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Doris\Downloads\"/>
    </mc:Choice>
  </mc:AlternateContent>
  <bookViews>
    <workbookView xWindow="0" yWindow="0" windowWidth="19200" windowHeight="6675" firstSheet="9" activeTab="12"/>
  </bookViews>
  <sheets>
    <sheet name="Original Data" sheetId="3" r:id="rId1"/>
    <sheet name="Cohort Analysis" sheetId="5" r:id="rId2"/>
    <sheet name="ABC Analysis" sheetId="6" r:id="rId3"/>
    <sheet name="Sales Productivity" sheetId="11" r:id="rId4"/>
    <sheet name="Service Level Proxy" sheetId="16" r:id="rId5"/>
    <sheet name="Price Compliance" sheetId="17" r:id="rId6"/>
    <sheet name="Revenue By Month" sheetId="20" r:id="rId7"/>
    <sheet name="Profit by R and C" sheetId="21" r:id="rId8"/>
    <sheet name="Top 10 SKUs" sheetId="22" r:id="rId9"/>
    <sheet name="KPIs" sheetId="23" r:id="rId10"/>
    <sheet name="Revenue Share" sheetId="25" r:id="rId11"/>
    <sheet name="Staging Data" sheetId="1" r:id="rId12"/>
    <sheet name="README" sheetId="4" r:id="rId13"/>
    <sheet name="Brief" sheetId="2" r:id="rId14"/>
    <sheet name="Dashboard" sheetId="18" r:id="rId15"/>
  </sheets>
  <definedNames>
    <definedName name="_xlnm._FilterDatabase" localSheetId="0" hidden="1">'Original Data'!$A$1:$R$633</definedName>
    <definedName name="_xlnm._FilterDatabase" localSheetId="11" hidden="1">'Staging Data'!$A$1:$Y$633</definedName>
    <definedName name="Slicer_Channel">#N/A</definedName>
    <definedName name="Slicer_Country">#N/A</definedName>
    <definedName name="Slicer_Order_Month">#N/A</definedName>
    <definedName name="Slicer_ProductCategory">#N/A</definedName>
    <definedName name="Slicer_Region">#N/A</definedName>
    <definedName name="Slicer_Region1">#N/A</definedName>
    <definedName name="Slicer_Salesperson">#N/A</definedName>
    <definedName name="Slicer_Salesperson1">#N/A</definedName>
  </definedNames>
  <calcPr calcId="152511"/>
  <pivotCaches>
    <pivotCache cacheId="0" r:id="rId16"/>
    <pivotCache cacheId="1" r:id="rId17"/>
    <pivotCache cacheId="2" r:id="rId18"/>
    <pivotCache cacheId="3" r:id="rId19"/>
    <pivotCache cacheId="4"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E2" i="1" l="1"/>
  <c r="AE3" i="1"/>
  <c r="V2" i="1"/>
  <c r="U4" i="1"/>
  <c r="U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U3"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M13" i="18"/>
  <c r="O43" i="18"/>
  <c r="P43" i="18"/>
  <c r="Q13" i="18"/>
  <c r="J13" i="18"/>
  <c r="W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2" i="1"/>
  <c r="AF3" i="1"/>
  <c r="AI3" i="1" s="1"/>
  <c r="AF4" i="1"/>
  <c r="AI4" i="1" s="1"/>
  <c r="AF5" i="1"/>
  <c r="AI5" i="1" s="1"/>
  <c r="AF6" i="1"/>
  <c r="AI6" i="1" s="1"/>
  <c r="AF7" i="1"/>
  <c r="AI7" i="1" s="1"/>
  <c r="AF8" i="1"/>
  <c r="AI8" i="1" s="1"/>
  <c r="AF9" i="1"/>
  <c r="AI9" i="1" s="1"/>
  <c r="AF10" i="1"/>
  <c r="AI10" i="1" s="1"/>
  <c r="AF11" i="1"/>
  <c r="AI11" i="1" s="1"/>
  <c r="AF12" i="1"/>
  <c r="AI12" i="1" s="1"/>
  <c r="AF13" i="1"/>
  <c r="AI13" i="1" s="1"/>
  <c r="AF14" i="1"/>
  <c r="AI14" i="1" s="1"/>
  <c r="AF15" i="1"/>
  <c r="AI15" i="1" s="1"/>
  <c r="AF16" i="1"/>
  <c r="AI16" i="1" s="1"/>
  <c r="AF17" i="1"/>
  <c r="AI17" i="1" s="1"/>
  <c r="AF18" i="1"/>
  <c r="AI18" i="1" s="1"/>
  <c r="AF19" i="1"/>
  <c r="AI19" i="1" s="1"/>
  <c r="AF20" i="1"/>
  <c r="AI20" i="1" s="1"/>
  <c r="AF21" i="1"/>
  <c r="AI21" i="1" s="1"/>
  <c r="AF22" i="1"/>
  <c r="AI22" i="1" s="1"/>
  <c r="AF23" i="1"/>
  <c r="AI23" i="1" s="1"/>
  <c r="AF24" i="1"/>
  <c r="AI24" i="1" s="1"/>
  <c r="AF25" i="1"/>
  <c r="AI25" i="1" s="1"/>
  <c r="AF26" i="1"/>
  <c r="AI26" i="1" s="1"/>
  <c r="AF27" i="1"/>
  <c r="AI27" i="1" s="1"/>
  <c r="AF28" i="1"/>
  <c r="AI28" i="1" s="1"/>
  <c r="AF29" i="1"/>
  <c r="AI29" i="1" s="1"/>
  <c r="AF30" i="1"/>
  <c r="AI30" i="1" s="1"/>
  <c r="AF31" i="1"/>
  <c r="AI31" i="1" s="1"/>
  <c r="AF32" i="1"/>
  <c r="AI32" i="1" s="1"/>
  <c r="AF33" i="1"/>
  <c r="AI33" i="1" s="1"/>
  <c r="AF34" i="1"/>
  <c r="AI34" i="1" s="1"/>
  <c r="AF35" i="1"/>
  <c r="AI35" i="1" s="1"/>
  <c r="AF36" i="1"/>
  <c r="AI36" i="1" s="1"/>
  <c r="AF37" i="1"/>
  <c r="AI37" i="1" s="1"/>
  <c r="AF38" i="1"/>
  <c r="AI38" i="1" s="1"/>
  <c r="AF39" i="1"/>
  <c r="AI39" i="1" s="1"/>
  <c r="AF40" i="1"/>
  <c r="AI40" i="1" s="1"/>
  <c r="AF41" i="1"/>
  <c r="AI41" i="1" s="1"/>
  <c r="AF42" i="1"/>
  <c r="AI42" i="1" s="1"/>
  <c r="AF43" i="1"/>
  <c r="AI43" i="1" s="1"/>
  <c r="AF44" i="1"/>
  <c r="AI44" i="1" s="1"/>
  <c r="AF45" i="1"/>
  <c r="AI45" i="1" s="1"/>
  <c r="AF46" i="1"/>
  <c r="AI46" i="1" s="1"/>
  <c r="AF47" i="1"/>
  <c r="AI47" i="1" s="1"/>
  <c r="AF48" i="1"/>
  <c r="AI48" i="1" s="1"/>
  <c r="AF49" i="1"/>
  <c r="AI49" i="1" s="1"/>
  <c r="AF50" i="1"/>
  <c r="AI50" i="1" s="1"/>
  <c r="AF51" i="1"/>
  <c r="AI51" i="1" s="1"/>
  <c r="AF52" i="1"/>
  <c r="AI52" i="1" s="1"/>
  <c r="AF53" i="1"/>
  <c r="AI53" i="1" s="1"/>
  <c r="AF54" i="1"/>
  <c r="AI54" i="1" s="1"/>
  <c r="AF55" i="1"/>
  <c r="AI55" i="1" s="1"/>
  <c r="AF56" i="1"/>
  <c r="AI56" i="1" s="1"/>
  <c r="AF57" i="1"/>
  <c r="AI57" i="1" s="1"/>
  <c r="AF58" i="1"/>
  <c r="AI58" i="1" s="1"/>
  <c r="AF59" i="1"/>
  <c r="AI59" i="1" s="1"/>
  <c r="AF60" i="1"/>
  <c r="AI60" i="1" s="1"/>
  <c r="AF61" i="1"/>
  <c r="AI61" i="1" s="1"/>
  <c r="AF62" i="1"/>
  <c r="AI62" i="1" s="1"/>
  <c r="AF63" i="1"/>
  <c r="AI63" i="1" s="1"/>
  <c r="AF64" i="1"/>
  <c r="AI64" i="1" s="1"/>
  <c r="AF65" i="1"/>
  <c r="AI65" i="1" s="1"/>
  <c r="AF66" i="1"/>
  <c r="AI66" i="1" s="1"/>
  <c r="AF67" i="1"/>
  <c r="AI67" i="1" s="1"/>
  <c r="AF68" i="1"/>
  <c r="AI68" i="1" s="1"/>
  <c r="AF69" i="1"/>
  <c r="AI69" i="1" s="1"/>
  <c r="AF70" i="1"/>
  <c r="AI70" i="1" s="1"/>
  <c r="AF71" i="1"/>
  <c r="AI71" i="1" s="1"/>
  <c r="AF72" i="1"/>
  <c r="AI72" i="1" s="1"/>
  <c r="AF73" i="1"/>
  <c r="AI73" i="1" s="1"/>
  <c r="AF74" i="1"/>
  <c r="AI74" i="1" s="1"/>
  <c r="AF75" i="1"/>
  <c r="AI75" i="1" s="1"/>
  <c r="AF76" i="1"/>
  <c r="AI76" i="1" s="1"/>
  <c r="AF77" i="1"/>
  <c r="AI77" i="1" s="1"/>
  <c r="AF78" i="1"/>
  <c r="AI78" i="1" s="1"/>
  <c r="AF79" i="1"/>
  <c r="AI79" i="1" s="1"/>
  <c r="AF80" i="1"/>
  <c r="AI80" i="1" s="1"/>
  <c r="AF81" i="1"/>
  <c r="AI81" i="1" s="1"/>
  <c r="AF82" i="1"/>
  <c r="AI82" i="1" s="1"/>
  <c r="AF83" i="1"/>
  <c r="AI83" i="1" s="1"/>
  <c r="AF84" i="1"/>
  <c r="AI84" i="1" s="1"/>
  <c r="AF85" i="1"/>
  <c r="AI85" i="1" s="1"/>
  <c r="AF86" i="1"/>
  <c r="AI86" i="1" s="1"/>
  <c r="AF87" i="1"/>
  <c r="AI87" i="1" s="1"/>
  <c r="AF88" i="1"/>
  <c r="AI88" i="1" s="1"/>
  <c r="AF89" i="1"/>
  <c r="AI89" i="1" s="1"/>
  <c r="AF90" i="1"/>
  <c r="AI90" i="1" s="1"/>
  <c r="AF91" i="1"/>
  <c r="AI91" i="1" s="1"/>
  <c r="AF92" i="1"/>
  <c r="AI92" i="1" s="1"/>
  <c r="AF93" i="1"/>
  <c r="AI93" i="1" s="1"/>
  <c r="AF94" i="1"/>
  <c r="AI94" i="1" s="1"/>
  <c r="AF95" i="1"/>
  <c r="AI95" i="1" s="1"/>
  <c r="AF96" i="1"/>
  <c r="AI96" i="1" s="1"/>
  <c r="AF97" i="1"/>
  <c r="AI97" i="1" s="1"/>
  <c r="AF98" i="1"/>
  <c r="AI98" i="1" s="1"/>
  <c r="AF99" i="1"/>
  <c r="AI99" i="1" s="1"/>
  <c r="AF100" i="1"/>
  <c r="AI100" i="1" s="1"/>
  <c r="AF101" i="1"/>
  <c r="AI101" i="1" s="1"/>
  <c r="AF102" i="1"/>
  <c r="AI102" i="1" s="1"/>
  <c r="AF103" i="1"/>
  <c r="AI103" i="1" s="1"/>
  <c r="AF104" i="1"/>
  <c r="AI104" i="1" s="1"/>
  <c r="AF105" i="1"/>
  <c r="AI105" i="1" s="1"/>
  <c r="AF106" i="1"/>
  <c r="AI106" i="1" s="1"/>
  <c r="AF107" i="1"/>
  <c r="AI107" i="1" s="1"/>
  <c r="AF108" i="1"/>
  <c r="AI108" i="1" s="1"/>
  <c r="AF109" i="1"/>
  <c r="AI109" i="1" s="1"/>
  <c r="AF110" i="1"/>
  <c r="AI110" i="1" s="1"/>
  <c r="AF111" i="1"/>
  <c r="AI111" i="1" s="1"/>
  <c r="AF112" i="1"/>
  <c r="AI112" i="1" s="1"/>
  <c r="AF113" i="1"/>
  <c r="AI113" i="1" s="1"/>
  <c r="AF114" i="1"/>
  <c r="AI114" i="1" s="1"/>
  <c r="AF115" i="1"/>
  <c r="AI115" i="1" s="1"/>
  <c r="AF116" i="1"/>
  <c r="AI116" i="1" s="1"/>
  <c r="AF117" i="1"/>
  <c r="AI117" i="1" s="1"/>
  <c r="AF118" i="1"/>
  <c r="AI118" i="1" s="1"/>
  <c r="AF119" i="1"/>
  <c r="AI119" i="1" s="1"/>
  <c r="AF120" i="1"/>
  <c r="AI120" i="1" s="1"/>
  <c r="AF121" i="1"/>
  <c r="AI121" i="1" s="1"/>
  <c r="AF122" i="1"/>
  <c r="AI122" i="1" s="1"/>
  <c r="AF123" i="1"/>
  <c r="AI123" i="1" s="1"/>
  <c r="AF124" i="1"/>
  <c r="AI124" i="1" s="1"/>
  <c r="AF125" i="1"/>
  <c r="AI125" i="1" s="1"/>
  <c r="AF126" i="1"/>
  <c r="AI126" i="1" s="1"/>
  <c r="AF127" i="1"/>
  <c r="AI127" i="1" s="1"/>
  <c r="AF128" i="1"/>
  <c r="AI128" i="1" s="1"/>
  <c r="AF129" i="1"/>
  <c r="AI129" i="1" s="1"/>
  <c r="AF130" i="1"/>
  <c r="AI130" i="1" s="1"/>
  <c r="AF131" i="1"/>
  <c r="AI131" i="1" s="1"/>
  <c r="AF132" i="1"/>
  <c r="AI132" i="1" s="1"/>
  <c r="AF133" i="1"/>
  <c r="AI133" i="1" s="1"/>
  <c r="AF134" i="1"/>
  <c r="AI134" i="1" s="1"/>
  <c r="AF135" i="1"/>
  <c r="AI135" i="1" s="1"/>
  <c r="AF136" i="1"/>
  <c r="AI136" i="1" s="1"/>
  <c r="AF137" i="1"/>
  <c r="AI137" i="1" s="1"/>
  <c r="AF138" i="1"/>
  <c r="AI138" i="1" s="1"/>
  <c r="AF139" i="1"/>
  <c r="AI139" i="1" s="1"/>
  <c r="AF140" i="1"/>
  <c r="AI140" i="1" s="1"/>
  <c r="AF141" i="1"/>
  <c r="AI141" i="1" s="1"/>
  <c r="AF142" i="1"/>
  <c r="AI142" i="1" s="1"/>
  <c r="AF143" i="1"/>
  <c r="AI143" i="1" s="1"/>
  <c r="AF144" i="1"/>
  <c r="AI144" i="1" s="1"/>
  <c r="AF145" i="1"/>
  <c r="AI145" i="1" s="1"/>
  <c r="AF146" i="1"/>
  <c r="AI146" i="1" s="1"/>
  <c r="AF147" i="1"/>
  <c r="AI147" i="1" s="1"/>
  <c r="AF148" i="1"/>
  <c r="AI148" i="1" s="1"/>
  <c r="AF149" i="1"/>
  <c r="AI149" i="1" s="1"/>
  <c r="AF150" i="1"/>
  <c r="AI150" i="1" s="1"/>
  <c r="AF151" i="1"/>
  <c r="AI151" i="1" s="1"/>
  <c r="AF152" i="1"/>
  <c r="AI152" i="1" s="1"/>
  <c r="AF153" i="1"/>
  <c r="AI153" i="1" s="1"/>
  <c r="AF154" i="1"/>
  <c r="AI154" i="1" s="1"/>
  <c r="AF155" i="1"/>
  <c r="AI155" i="1" s="1"/>
  <c r="AF156" i="1"/>
  <c r="AI156" i="1" s="1"/>
  <c r="AF157" i="1"/>
  <c r="AI157" i="1" s="1"/>
  <c r="AF158" i="1"/>
  <c r="AI158" i="1" s="1"/>
  <c r="AF159" i="1"/>
  <c r="AI159" i="1" s="1"/>
  <c r="AF160" i="1"/>
  <c r="AI160" i="1" s="1"/>
  <c r="AF161" i="1"/>
  <c r="AI161" i="1" s="1"/>
  <c r="AF162" i="1"/>
  <c r="AI162" i="1" s="1"/>
  <c r="AF163" i="1"/>
  <c r="AI163" i="1" s="1"/>
  <c r="AF164" i="1"/>
  <c r="AI164" i="1" s="1"/>
  <c r="AF165" i="1"/>
  <c r="AI165" i="1" s="1"/>
  <c r="AF166" i="1"/>
  <c r="AI166" i="1" s="1"/>
  <c r="AF167" i="1"/>
  <c r="AI167" i="1" s="1"/>
  <c r="AF168" i="1"/>
  <c r="AI168" i="1" s="1"/>
  <c r="AF169" i="1"/>
  <c r="AI169" i="1" s="1"/>
  <c r="AF170" i="1"/>
  <c r="AI170" i="1" s="1"/>
  <c r="AF171" i="1"/>
  <c r="AI171" i="1" s="1"/>
  <c r="AF172" i="1"/>
  <c r="AI172" i="1" s="1"/>
  <c r="AF173" i="1"/>
  <c r="AI173" i="1" s="1"/>
  <c r="AF174" i="1"/>
  <c r="AI174" i="1" s="1"/>
  <c r="AF175" i="1"/>
  <c r="AI175" i="1" s="1"/>
  <c r="AF176" i="1"/>
  <c r="AI176" i="1" s="1"/>
  <c r="AF177" i="1"/>
  <c r="AI177" i="1" s="1"/>
  <c r="AF178" i="1"/>
  <c r="AI178" i="1" s="1"/>
  <c r="AF179" i="1"/>
  <c r="AI179" i="1" s="1"/>
  <c r="AF180" i="1"/>
  <c r="AI180" i="1" s="1"/>
  <c r="AF181" i="1"/>
  <c r="AI181" i="1" s="1"/>
  <c r="AF182" i="1"/>
  <c r="AI182" i="1" s="1"/>
  <c r="AF183" i="1"/>
  <c r="AI183" i="1" s="1"/>
  <c r="AF184" i="1"/>
  <c r="AI184" i="1" s="1"/>
  <c r="AF185" i="1"/>
  <c r="AI185" i="1" s="1"/>
  <c r="AF186" i="1"/>
  <c r="AI186" i="1" s="1"/>
  <c r="AF187" i="1"/>
  <c r="AI187" i="1" s="1"/>
  <c r="AF188" i="1"/>
  <c r="AI188" i="1" s="1"/>
  <c r="AF189" i="1"/>
  <c r="AI189" i="1" s="1"/>
  <c r="AF190" i="1"/>
  <c r="AI190" i="1" s="1"/>
  <c r="AF191" i="1"/>
  <c r="AI191" i="1" s="1"/>
  <c r="AF192" i="1"/>
  <c r="AI192" i="1" s="1"/>
  <c r="AF193" i="1"/>
  <c r="AI193" i="1" s="1"/>
  <c r="AF194" i="1"/>
  <c r="AI194" i="1" s="1"/>
  <c r="AF195" i="1"/>
  <c r="AI195" i="1" s="1"/>
  <c r="AF196" i="1"/>
  <c r="AI196" i="1" s="1"/>
  <c r="AF197" i="1"/>
  <c r="AI197" i="1" s="1"/>
  <c r="AF198" i="1"/>
  <c r="AI198" i="1" s="1"/>
  <c r="AF199" i="1"/>
  <c r="AI199" i="1" s="1"/>
  <c r="AF200" i="1"/>
  <c r="AI200" i="1" s="1"/>
  <c r="AF201" i="1"/>
  <c r="AI201" i="1" s="1"/>
  <c r="AF202" i="1"/>
  <c r="AI202" i="1" s="1"/>
  <c r="AF203" i="1"/>
  <c r="AI203" i="1" s="1"/>
  <c r="AF204" i="1"/>
  <c r="AI204" i="1" s="1"/>
  <c r="AF205" i="1"/>
  <c r="AI205" i="1" s="1"/>
  <c r="AF206" i="1"/>
  <c r="AI206" i="1" s="1"/>
  <c r="AF207" i="1"/>
  <c r="AI207" i="1" s="1"/>
  <c r="AF208" i="1"/>
  <c r="AI208" i="1" s="1"/>
  <c r="AF209" i="1"/>
  <c r="AI209" i="1" s="1"/>
  <c r="AF210" i="1"/>
  <c r="AI210" i="1" s="1"/>
  <c r="AF211" i="1"/>
  <c r="AI211" i="1" s="1"/>
  <c r="AF212" i="1"/>
  <c r="AI212" i="1" s="1"/>
  <c r="AF213" i="1"/>
  <c r="AI213" i="1" s="1"/>
  <c r="AF214" i="1"/>
  <c r="AI214" i="1" s="1"/>
  <c r="AF215" i="1"/>
  <c r="AI215" i="1" s="1"/>
  <c r="AF216" i="1"/>
  <c r="AI216" i="1" s="1"/>
  <c r="AF217" i="1"/>
  <c r="AI217" i="1" s="1"/>
  <c r="AF218" i="1"/>
  <c r="AI218" i="1" s="1"/>
  <c r="AF219" i="1"/>
  <c r="AI219" i="1" s="1"/>
  <c r="AF220" i="1"/>
  <c r="AI220" i="1" s="1"/>
  <c r="AF221" i="1"/>
  <c r="AI221" i="1" s="1"/>
  <c r="AF222" i="1"/>
  <c r="AI222" i="1" s="1"/>
  <c r="AF223" i="1"/>
  <c r="AI223" i="1" s="1"/>
  <c r="AF224" i="1"/>
  <c r="AI224" i="1" s="1"/>
  <c r="AF225" i="1"/>
  <c r="AI225" i="1" s="1"/>
  <c r="AF226" i="1"/>
  <c r="AI226" i="1" s="1"/>
  <c r="AF227" i="1"/>
  <c r="AI227" i="1" s="1"/>
  <c r="AF228" i="1"/>
  <c r="AI228" i="1" s="1"/>
  <c r="AF229" i="1"/>
  <c r="AI229" i="1" s="1"/>
  <c r="AF230" i="1"/>
  <c r="AI230" i="1" s="1"/>
  <c r="AF231" i="1"/>
  <c r="AI231" i="1" s="1"/>
  <c r="AF232" i="1"/>
  <c r="AI232" i="1" s="1"/>
  <c r="AF233" i="1"/>
  <c r="AI233" i="1" s="1"/>
  <c r="AF234" i="1"/>
  <c r="AI234" i="1" s="1"/>
  <c r="AF235" i="1"/>
  <c r="AI235" i="1" s="1"/>
  <c r="AF236" i="1"/>
  <c r="AI236" i="1" s="1"/>
  <c r="AF237" i="1"/>
  <c r="AI237" i="1" s="1"/>
  <c r="AF238" i="1"/>
  <c r="AI238" i="1" s="1"/>
  <c r="AF239" i="1"/>
  <c r="AI239" i="1" s="1"/>
  <c r="AF240" i="1"/>
  <c r="AI240" i="1" s="1"/>
  <c r="AF241" i="1"/>
  <c r="AI241" i="1" s="1"/>
  <c r="AF242" i="1"/>
  <c r="AI242" i="1" s="1"/>
  <c r="AF243" i="1"/>
  <c r="AI243" i="1" s="1"/>
  <c r="AF244" i="1"/>
  <c r="AI244" i="1" s="1"/>
  <c r="AF245" i="1"/>
  <c r="AI245" i="1" s="1"/>
  <c r="AF246" i="1"/>
  <c r="AI246" i="1" s="1"/>
  <c r="AF247" i="1"/>
  <c r="AI247" i="1" s="1"/>
  <c r="AF248" i="1"/>
  <c r="AI248" i="1" s="1"/>
  <c r="AF249" i="1"/>
  <c r="AI249" i="1" s="1"/>
  <c r="AF250" i="1"/>
  <c r="AI250" i="1" s="1"/>
  <c r="AF251" i="1"/>
  <c r="AI251" i="1" s="1"/>
  <c r="AF252" i="1"/>
  <c r="AI252" i="1" s="1"/>
  <c r="AF253" i="1"/>
  <c r="AI253" i="1" s="1"/>
  <c r="AF254" i="1"/>
  <c r="AI254" i="1" s="1"/>
  <c r="AF255" i="1"/>
  <c r="AI255" i="1" s="1"/>
  <c r="AF256" i="1"/>
  <c r="AI256" i="1" s="1"/>
  <c r="AF257" i="1"/>
  <c r="AI257" i="1" s="1"/>
  <c r="AF258" i="1"/>
  <c r="AI258" i="1" s="1"/>
  <c r="AF259" i="1"/>
  <c r="AI259" i="1" s="1"/>
  <c r="AF260" i="1"/>
  <c r="AI260" i="1" s="1"/>
  <c r="AF261" i="1"/>
  <c r="AI261" i="1" s="1"/>
  <c r="AF262" i="1"/>
  <c r="AI262" i="1" s="1"/>
  <c r="AF263" i="1"/>
  <c r="AI263" i="1" s="1"/>
  <c r="AF264" i="1"/>
  <c r="AI264" i="1" s="1"/>
  <c r="AF265" i="1"/>
  <c r="AI265" i="1" s="1"/>
  <c r="AF266" i="1"/>
  <c r="AI266" i="1" s="1"/>
  <c r="AF267" i="1"/>
  <c r="AI267" i="1" s="1"/>
  <c r="AF268" i="1"/>
  <c r="AI268" i="1" s="1"/>
  <c r="AF269" i="1"/>
  <c r="AI269" i="1" s="1"/>
  <c r="AF270" i="1"/>
  <c r="AI270" i="1" s="1"/>
  <c r="AF271" i="1"/>
  <c r="AI271" i="1" s="1"/>
  <c r="AF272" i="1"/>
  <c r="AI272" i="1" s="1"/>
  <c r="AF273" i="1"/>
  <c r="AI273" i="1" s="1"/>
  <c r="AF274" i="1"/>
  <c r="AI274" i="1" s="1"/>
  <c r="AF275" i="1"/>
  <c r="AI275" i="1" s="1"/>
  <c r="AF276" i="1"/>
  <c r="AI276" i="1" s="1"/>
  <c r="AF277" i="1"/>
  <c r="AI277" i="1" s="1"/>
  <c r="AF278" i="1"/>
  <c r="AI278" i="1" s="1"/>
  <c r="AF279" i="1"/>
  <c r="AI279" i="1" s="1"/>
  <c r="AF280" i="1"/>
  <c r="AI280" i="1" s="1"/>
  <c r="AF281" i="1"/>
  <c r="AI281" i="1" s="1"/>
  <c r="AF282" i="1"/>
  <c r="AI282" i="1" s="1"/>
  <c r="AF283" i="1"/>
  <c r="AI283" i="1" s="1"/>
  <c r="AF284" i="1"/>
  <c r="AI284" i="1" s="1"/>
  <c r="AF285" i="1"/>
  <c r="AI285" i="1" s="1"/>
  <c r="AF286" i="1"/>
  <c r="AI286" i="1" s="1"/>
  <c r="AF287" i="1"/>
  <c r="AI287" i="1" s="1"/>
  <c r="AF288" i="1"/>
  <c r="AI288" i="1" s="1"/>
  <c r="AF289" i="1"/>
  <c r="AI289" i="1" s="1"/>
  <c r="AF290" i="1"/>
  <c r="AI290" i="1" s="1"/>
  <c r="AF291" i="1"/>
  <c r="AI291" i="1" s="1"/>
  <c r="AF292" i="1"/>
  <c r="AI292" i="1" s="1"/>
  <c r="AF293" i="1"/>
  <c r="AI293" i="1" s="1"/>
  <c r="AF294" i="1"/>
  <c r="AI294" i="1" s="1"/>
  <c r="AF295" i="1"/>
  <c r="AI295" i="1" s="1"/>
  <c r="AF296" i="1"/>
  <c r="AI296" i="1" s="1"/>
  <c r="AF297" i="1"/>
  <c r="AI297" i="1" s="1"/>
  <c r="AF298" i="1"/>
  <c r="AI298" i="1" s="1"/>
  <c r="AF299" i="1"/>
  <c r="AI299" i="1" s="1"/>
  <c r="AF300" i="1"/>
  <c r="AI300" i="1" s="1"/>
  <c r="AF301" i="1"/>
  <c r="AI301" i="1" s="1"/>
  <c r="AF302" i="1"/>
  <c r="AI302" i="1" s="1"/>
  <c r="AF303" i="1"/>
  <c r="AI303" i="1" s="1"/>
  <c r="AF304" i="1"/>
  <c r="AI304" i="1" s="1"/>
  <c r="AF305" i="1"/>
  <c r="AI305" i="1" s="1"/>
  <c r="AF306" i="1"/>
  <c r="AI306" i="1" s="1"/>
  <c r="AF307" i="1"/>
  <c r="AI307" i="1" s="1"/>
  <c r="AF308" i="1"/>
  <c r="AI308" i="1" s="1"/>
  <c r="AF309" i="1"/>
  <c r="AI309" i="1" s="1"/>
  <c r="AF310" i="1"/>
  <c r="AI310" i="1" s="1"/>
  <c r="AF311" i="1"/>
  <c r="AI311" i="1" s="1"/>
  <c r="AF312" i="1"/>
  <c r="AI312" i="1" s="1"/>
  <c r="AF313" i="1"/>
  <c r="AI313" i="1" s="1"/>
  <c r="AF314" i="1"/>
  <c r="AI314" i="1" s="1"/>
  <c r="AF315" i="1"/>
  <c r="AI315" i="1" s="1"/>
  <c r="AF316" i="1"/>
  <c r="AI316" i="1" s="1"/>
  <c r="AF317" i="1"/>
  <c r="AI317" i="1" s="1"/>
  <c r="AF318" i="1"/>
  <c r="AI318" i="1" s="1"/>
  <c r="AF319" i="1"/>
  <c r="AI319" i="1" s="1"/>
  <c r="AF320" i="1"/>
  <c r="AI320" i="1" s="1"/>
  <c r="AF321" i="1"/>
  <c r="AI321" i="1" s="1"/>
  <c r="AF322" i="1"/>
  <c r="AI322" i="1" s="1"/>
  <c r="AF323" i="1"/>
  <c r="AI323" i="1" s="1"/>
  <c r="AF324" i="1"/>
  <c r="AI324" i="1" s="1"/>
  <c r="AF325" i="1"/>
  <c r="AI325" i="1" s="1"/>
  <c r="AF326" i="1"/>
  <c r="AI326" i="1" s="1"/>
  <c r="AF327" i="1"/>
  <c r="AI327" i="1" s="1"/>
  <c r="AF328" i="1"/>
  <c r="AI328" i="1" s="1"/>
  <c r="AF329" i="1"/>
  <c r="AI329" i="1" s="1"/>
  <c r="AF330" i="1"/>
  <c r="AI330" i="1" s="1"/>
  <c r="AF331" i="1"/>
  <c r="AI331" i="1" s="1"/>
  <c r="AF332" i="1"/>
  <c r="AI332" i="1" s="1"/>
  <c r="AF333" i="1"/>
  <c r="AI333" i="1" s="1"/>
  <c r="AF334" i="1"/>
  <c r="AI334" i="1" s="1"/>
  <c r="AF335" i="1"/>
  <c r="AI335" i="1" s="1"/>
  <c r="AF336" i="1"/>
  <c r="AI336" i="1" s="1"/>
  <c r="AF337" i="1"/>
  <c r="AI337" i="1" s="1"/>
  <c r="AF338" i="1"/>
  <c r="AI338" i="1" s="1"/>
  <c r="AF339" i="1"/>
  <c r="AI339" i="1" s="1"/>
  <c r="AF340" i="1"/>
  <c r="AI340" i="1" s="1"/>
  <c r="AF341" i="1"/>
  <c r="AI341" i="1" s="1"/>
  <c r="AF342" i="1"/>
  <c r="AI342" i="1" s="1"/>
  <c r="AF343" i="1"/>
  <c r="AI343" i="1" s="1"/>
  <c r="AF344" i="1"/>
  <c r="AI344" i="1" s="1"/>
  <c r="AF345" i="1"/>
  <c r="AI345" i="1" s="1"/>
  <c r="AF346" i="1"/>
  <c r="AI346" i="1" s="1"/>
  <c r="AF347" i="1"/>
  <c r="AI347" i="1" s="1"/>
  <c r="AF348" i="1"/>
  <c r="AI348" i="1" s="1"/>
  <c r="AF349" i="1"/>
  <c r="AI349" i="1" s="1"/>
  <c r="AF350" i="1"/>
  <c r="AI350" i="1" s="1"/>
  <c r="AF351" i="1"/>
  <c r="AI351" i="1" s="1"/>
  <c r="AF352" i="1"/>
  <c r="AI352" i="1" s="1"/>
  <c r="AF353" i="1"/>
  <c r="AI353" i="1" s="1"/>
  <c r="AF354" i="1"/>
  <c r="AI354" i="1" s="1"/>
  <c r="AF355" i="1"/>
  <c r="AI355" i="1" s="1"/>
  <c r="AF356" i="1"/>
  <c r="AI356" i="1" s="1"/>
  <c r="AF357" i="1"/>
  <c r="AI357" i="1" s="1"/>
  <c r="AF358" i="1"/>
  <c r="AI358" i="1" s="1"/>
  <c r="AF359" i="1"/>
  <c r="AI359" i="1" s="1"/>
  <c r="AF360" i="1"/>
  <c r="AI360" i="1" s="1"/>
  <c r="AF361" i="1"/>
  <c r="AI361" i="1" s="1"/>
  <c r="AF362" i="1"/>
  <c r="AI362" i="1" s="1"/>
  <c r="AF363" i="1"/>
  <c r="AI363" i="1" s="1"/>
  <c r="AF364" i="1"/>
  <c r="AI364" i="1" s="1"/>
  <c r="AF365" i="1"/>
  <c r="AI365" i="1" s="1"/>
  <c r="AF366" i="1"/>
  <c r="AI366" i="1" s="1"/>
  <c r="AF367" i="1"/>
  <c r="AI367" i="1" s="1"/>
  <c r="AF368" i="1"/>
  <c r="AI368" i="1" s="1"/>
  <c r="AF369" i="1"/>
  <c r="AI369" i="1" s="1"/>
  <c r="AF370" i="1"/>
  <c r="AI370" i="1" s="1"/>
  <c r="AF371" i="1"/>
  <c r="AI371" i="1" s="1"/>
  <c r="AF372" i="1"/>
  <c r="AI372" i="1" s="1"/>
  <c r="AF373" i="1"/>
  <c r="AI373" i="1" s="1"/>
  <c r="AF374" i="1"/>
  <c r="AI374" i="1" s="1"/>
  <c r="AF375" i="1"/>
  <c r="AI375" i="1" s="1"/>
  <c r="AF376" i="1"/>
  <c r="AI376" i="1" s="1"/>
  <c r="AF377" i="1"/>
  <c r="AI377" i="1" s="1"/>
  <c r="AF378" i="1"/>
  <c r="AI378" i="1" s="1"/>
  <c r="AF379" i="1"/>
  <c r="AI379" i="1" s="1"/>
  <c r="AF380" i="1"/>
  <c r="AI380" i="1" s="1"/>
  <c r="AF381" i="1"/>
  <c r="AI381" i="1" s="1"/>
  <c r="AF382" i="1"/>
  <c r="AI382" i="1" s="1"/>
  <c r="AF383" i="1"/>
  <c r="AI383" i="1" s="1"/>
  <c r="AF384" i="1"/>
  <c r="AI384" i="1" s="1"/>
  <c r="AF385" i="1"/>
  <c r="AI385" i="1" s="1"/>
  <c r="AF386" i="1"/>
  <c r="AI386" i="1" s="1"/>
  <c r="AF387" i="1"/>
  <c r="AI387" i="1" s="1"/>
  <c r="AF388" i="1"/>
  <c r="AI388" i="1" s="1"/>
  <c r="AF389" i="1"/>
  <c r="AI389" i="1" s="1"/>
  <c r="AF390" i="1"/>
  <c r="AI390" i="1" s="1"/>
  <c r="AF391" i="1"/>
  <c r="AI391" i="1" s="1"/>
  <c r="AF392" i="1"/>
  <c r="AI392" i="1" s="1"/>
  <c r="AF393" i="1"/>
  <c r="AI393" i="1" s="1"/>
  <c r="AF394" i="1"/>
  <c r="AI394" i="1" s="1"/>
  <c r="AF395" i="1"/>
  <c r="AI395" i="1" s="1"/>
  <c r="AF396" i="1"/>
  <c r="AI396" i="1" s="1"/>
  <c r="AF397" i="1"/>
  <c r="AI397" i="1" s="1"/>
  <c r="AF398" i="1"/>
  <c r="AI398" i="1" s="1"/>
  <c r="AF399" i="1"/>
  <c r="AI399" i="1" s="1"/>
  <c r="AF400" i="1"/>
  <c r="AI400" i="1" s="1"/>
  <c r="AF401" i="1"/>
  <c r="AI401" i="1" s="1"/>
  <c r="AF402" i="1"/>
  <c r="AI402" i="1" s="1"/>
  <c r="AF403" i="1"/>
  <c r="AI403" i="1" s="1"/>
  <c r="AF404" i="1"/>
  <c r="AI404" i="1" s="1"/>
  <c r="AF405" i="1"/>
  <c r="AI405" i="1" s="1"/>
  <c r="AF406" i="1"/>
  <c r="AI406" i="1" s="1"/>
  <c r="AF407" i="1"/>
  <c r="AI407" i="1" s="1"/>
  <c r="AF408" i="1"/>
  <c r="AI408" i="1" s="1"/>
  <c r="AF409" i="1"/>
  <c r="AI409" i="1" s="1"/>
  <c r="AF410" i="1"/>
  <c r="AI410" i="1" s="1"/>
  <c r="AF411" i="1"/>
  <c r="AI411" i="1" s="1"/>
  <c r="AF412" i="1"/>
  <c r="AI412" i="1" s="1"/>
  <c r="AF413" i="1"/>
  <c r="AI413" i="1" s="1"/>
  <c r="AF414" i="1"/>
  <c r="AF415" i="1"/>
  <c r="AI415" i="1" s="1"/>
  <c r="AF416" i="1"/>
  <c r="AI416" i="1" s="1"/>
  <c r="AF417" i="1"/>
  <c r="AI417" i="1" s="1"/>
  <c r="AF418" i="1"/>
  <c r="AI418" i="1" s="1"/>
  <c r="AF419" i="1"/>
  <c r="AI419" i="1" s="1"/>
  <c r="AF420" i="1"/>
  <c r="AI420" i="1" s="1"/>
  <c r="AF421" i="1"/>
  <c r="AI421" i="1" s="1"/>
  <c r="AF422" i="1"/>
  <c r="AI422" i="1" s="1"/>
  <c r="AF423" i="1"/>
  <c r="AI423" i="1" s="1"/>
  <c r="AF424" i="1"/>
  <c r="AI424" i="1" s="1"/>
  <c r="AF425" i="1"/>
  <c r="AI425" i="1" s="1"/>
  <c r="AF426" i="1"/>
  <c r="AI426" i="1" s="1"/>
  <c r="AF427" i="1"/>
  <c r="AI427" i="1" s="1"/>
  <c r="AF428" i="1"/>
  <c r="AI428" i="1" s="1"/>
  <c r="AF429" i="1"/>
  <c r="AI429" i="1" s="1"/>
  <c r="AF430" i="1"/>
  <c r="AI430" i="1" s="1"/>
  <c r="AF431" i="1"/>
  <c r="AI431" i="1" s="1"/>
  <c r="AF432" i="1"/>
  <c r="AI432" i="1" s="1"/>
  <c r="AF433" i="1"/>
  <c r="AI433" i="1" s="1"/>
  <c r="AF434" i="1"/>
  <c r="AI434" i="1" s="1"/>
  <c r="AF435" i="1"/>
  <c r="AI435" i="1" s="1"/>
  <c r="AF436" i="1"/>
  <c r="AI436" i="1" s="1"/>
  <c r="AF437" i="1"/>
  <c r="AI437" i="1" s="1"/>
  <c r="AF438" i="1"/>
  <c r="AI438" i="1" s="1"/>
  <c r="AF439" i="1"/>
  <c r="AI439" i="1" s="1"/>
  <c r="AF440" i="1"/>
  <c r="AI440" i="1" s="1"/>
  <c r="AF441" i="1"/>
  <c r="AI441" i="1" s="1"/>
  <c r="AF442" i="1"/>
  <c r="AI442" i="1" s="1"/>
  <c r="AF443" i="1"/>
  <c r="AI443" i="1" s="1"/>
  <c r="AF444" i="1"/>
  <c r="AI444" i="1" s="1"/>
  <c r="AF445" i="1"/>
  <c r="AI445" i="1" s="1"/>
  <c r="AF446" i="1"/>
  <c r="AI446" i="1" s="1"/>
  <c r="AF447" i="1"/>
  <c r="AI447" i="1" s="1"/>
  <c r="AF448" i="1"/>
  <c r="AI448" i="1" s="1"/>
  <c r="AF449" i="1"/>
  <c r="AI449" i="1" s="1"/>
  <c r="AF450" i="1"/>
  <c r="AI450" i="1" s="1"/>
  <c r="AF451" i="1"/>
  <c r="AI451" i="1" s="1"/>
  <c r="AF452" i="1"/>
  <c r="AI452" i="1" s="1"/>
  <c r="AF453" i="1"/>
  <c r="AI453" i="1" s="1"/>
  <c r="AF454" i="1"/>
  <c r="AI454" i="1" s="1"/>
  <c r="AF455" i="1"/>
  <c r="AI455" i="1" s="1"/>
  <c r="AF456" i="1"/>
  <c r="AI456" i="1" s="1"/>
  <c r="AF457" i="1"/>
  <c r="AI457" i="1" s="1"/>
  <c r="AF458" i="1"/>
  <c r="AI458" i="1" s="1"/>
  <c r="AF459" i="1"/>
  <c r="AI459" i="1" s="1"/>
  <c r="AF460" i="1"/>
  <c r="AI460" i="1" s="1"/>
  <c r="AF461" i="1"/>
  <c r="AI461" i="1" s="1"/>
  <c r="AF462" i="1"/>
  <c r="AI462" i="1" s="1"/>
  <c r="AF463" i="1"/>
  <c r="AI463" i="1" s="1"/>
  <c r="AF464" i="1"/>
  <c r="AI464" i="1" s="1"/>
  <c r="AF465" i="1"/>
  <c r="AI465" i="1" s="1"/>
  <c r="AF466" i="1"/>
  <c r="AI466" i="1" s="1"/>
  <c r="AF467" i="1"/>
  <c r="AI467" i="1" s="1"/>
  <c r="AF468" i="1"/>
  <c r="AI468" i="1" s="1"/>
  <c r="AF469" i="1"/>
  <c r="AI469" i="1" s="1"/>
  <c r="AF470" i="1"/>
  <c r="AI470" i="1" s="1"/>
  <c r="AF471" i="1"/>
  <c r="AI471" i="1" s="1"/>
  <c r="AF472" i="1"/>
  <c r="AI472" i="1" s="1"/>
  <c r="AF473" i="1"/>
  <c r="AI473" i="1" s="1"/>
  <c r="AF474" i="1"/>
  <c r="AI474" i="1" s="1"/>
  <c r="AF475" i="1"/>
  <c r="AI475" i="1" s="1"/>
  <c r="AF476" i="1"/>
  <c r="AI476" i="1" s="1"/>
  <c r="AF477" i="1"/>
  <c r="AI477" i="1" s="1"/>
  <c r="AF478" i="1"/>
  <c r="AI478" i="1" s="1"/>
  <c r="AF479" i="1"/>
  <c r="AI479" i="1" s="1"/>
  <c r="AF480" i="1"/>
  <c r="AI480" i="1" s="1"/>
  <c r="AF481" i="1"/>
  <c r="AI481" i="1" s="1"/>
  <c r="AF482" i="1"/>
  <c r="AI482" i="1" s="1"/>
  <c r="AF483" i="1"/>
  <c r="AI483" i="1" s="1"/>
  <c r="AF484" i="1"/>
  <c r="AI484" i="1" s="1"/>
  <c r="AF485" i="1"/>
  <c r="AI485" i="1" s="1"/>
  <c r="AF486" i="1"/>
  <c r="AI486" i="1" s="1"/>
  <c r="AF487" i="1"/>
  <c r="AI487" i="1" s="1"/>
  <c r="AF488" i="1"/>
  <c r="AI488" i="1" s="1"/>
  <c r="AF489" i="1"/>
  <c r="AI489" i="1" s="1"/>
  <c r="AF490" i="1"/>
  <c r="AI490" i="1" s="1"/>
  <c r="AF491" i="1"/>
  <c r="AI491" i="1" s="1"/>
  <c r="AF492" i="1"/>
  <c r="AI492" i="1" s="1"/>
  <c r="AF493" i="1"/>
  <c r="AI493" i="1" s="1"/>
  <c r="AF494" i="1"/>
  <c r="AI494" i="1" s="1"/>
  <c r="AF495" i="1"/>
  <c r="AI495" i="1" s="1"/>
  <c r="AF496" i="1"/>
  <c r="AI496" i="1" s="1"/>
  <c r="AF497" i="1"/>
  <c r="AI497" i="1" s="1"/>
  <c r="AF498" i="1"/>
  <c r="AI498" i="1" s="1"/>
  <c r="AF499" i="1"/>
  <c r="AI499" i="1" s="1"/>
  <c r="AF500" i="1"/>
  <c r="AI500" i="1" s="1"/>
  <c r="AF501" i="1"/>
  <c r="AI501" i="1" s="1"/>
  <c r="AF502" i="1"/>
  <c r="AI502" i="1" s="1"/>
  <c r="AF503" i="1"/>
  <c r="AI503" i="1" s="1"/>
  <c r="AF504" i="1"/>
  <c r="AI504" i="1" s="1"/>
  <c r="AF505" i="1"/>
  <c r="AI505" i="1" s="1"/>
  <c r="AF506" i="1"/>
  <c r="AI506" i="1" s="1"/>
  <c r="AF507" i="1"/>
  <c r="AI507" i="1" s="1"/>
  <c r="AF508" i="1"/>
  <c r="AI508" i="1" s="1"/>
  <c r="AF509" i="1"/>
  <c r="AI509" i="1" s="1"/>
  <c r="AF510" i="1"/>
  <c r="AI510" i="1" s="1"/>
  <c r="AF511" i="1"/>
  <c r="AI511" i="1" s="1"/>
  <c r="AF512" i="1"/>
  <c r="AI512" i="1" s="1"/>
  <c r="AF513" i="1"/>
  <c r="AI513" i="1" s="1"/>
  <c r="AF514" i="1"/>
  <c r="AI514" i="1" s="1"/>
  <c r="AF515" i="1"/>
  <c r="AI515" i="1" s="1"/>
  <c r="AF516" i="1"/>
  <c r="AI516" i="1" s="1"/>
  <c r="AF517" i="1"/>
  <c r="AI517" i="1" s="1"/>
  <c r="AF518" i="1"/>
  <c r="AI518" i="1" s="1"/>
  <c r="AF519" i="1"/>
  <c r="AI519" i="1" s="1"/>
  <c r="AF520" i="1"/>
  <c r="AI520" i="1" s="1"/>
  <c r="AF521" i="1"/>
  <c r="AI521" i="1" s="1"/>
  <c r="AF522" i="1"/>
  <c r="AI522" i="1" s="1"/>
  <c r="AF523" i="1"/>
  <c r="AI523" i="1" s="1"/>
  <c r="AF524" i="1"/>
  <c r="AI524" i="1" s="1"/>
  <c r="AF525" i="1"/>
  <c r="AI525" i="1" s="1"/>
  <c r="AF526" i="1"/>
  <c r="AI526" i="1" s="1"/>
  <c r="AF527" i="1"/>
  <c r="AI527" i="1" s="1"/>
  <c r="AF528" i="1"/>
  <c r="AI528" i="1" s="1"/>
  <c r="AF529" i="1"/>
  <c r="AI529" i="1" s="1"/>
  <c r="AF530" i="1"/>
  <c r="AI530" i="1" s="1"/>
  <c r="AF531" i="1"/>
  <c r="AI531" i="1" s="1"/>
  <c r="AF532" i="1"/>
  <c r="AI532" i="1" s="1"/>
  <c r="AF533" i="1"/>
  <c r="AI533" i="1" s="1"/>
  <c r="AF534" i="1"/>
  <c r="AI534" i="1" s="1"/>
  <c r="AF535" i="1"/>
  <c r="AI535" i="1" s="1"/>
  <c r="AF536" i="1"/>
  <c r="AI536" i="1" s="1"/>
  <c r="AF537" i="1"/>
  <c r="AI537" i="1" s="1"/>
  <c r="AF538" i="1"/>
  <c r="AI538" i="1" s="1"/>
  <c r="AF539" i="1"/>
  <c r="AI539" i="1" s="1"/>
  <c r="AF540" i="1"/>
  <c r="AI540" i="1" s="1"/>
  <c r="AF541" i="1"/>
  <c r="AI541" i="1" s="1"/>
  <c r="AF542" i="1"/>
  <c r="AI542" i="1" s="1"/>
  <c r="AF543" i="1"/>
  <c r="AI543" i="1" s="1"/>
  <c r="AF544" i="1"/>
  <c r="AI544" i="1" s="1"/>
  <c r="AF545" i="1"/>
  <c r="AI545" i="1" s="1"/>
  <c r="AF546" i="1"/>
  <c r="AI546" i="1" s="1"/>
  <c r="AF547" i="1"/>
  <c r="AI547" i="1" s="1"/>
  <c r="AF548" i="1"/>
  <c r="AI548" i="1" s="1"/>
  <c r="AF549" i="1"/>
  <c r="AI549" i="1" s="1"/>
  <c r="AF550" i="1"/>
  <c r="AI550" i="1" s="1"/>
  <c r="AF551" i="1"/>
  <c r="AI551" i="1" s="1"/>
  <c r="AF552" i="1"/>
  <c r="AI552" i="1" s="1"/>
  <c r="AF553" i="1"/>
  <c r="AI553" i="1" s="1"/>
  <c r="AF554" i="1"/>
  <c r="AI554" i="1" s="1"/>
  <c r="AF555" i="1"/>
  <c r="AI555" i="1" s="1"/>
  <c r="AF556" i="1"/>
  <c r="AI556" i="1" s="1"/>
  <c r="AF557" i="1"/>
  <c r="AI557" i="1" s="1"/>
  <c r="AF558" i="1"/>
  <c r="AI558" i="1" s="1"/>
  <c r="AF559" i="1"/>
  <c r="AI559" i="1" s="1"/>
  <c r="AF560" i="1"/>
  <c r="AI560" i="1" s="1"/>
  <c r="AF561" i="1"/>
  <c r="AI561" i="1" s="1"/>
  <c r="AF562" i="1"/>
  <c r="AI562" i="1" s="1"/>
  <c r="AF563" i="1"/>
  <c r="AI563" i="1" s="1"/>
  <c r="AF564" i="1"/>
  <c r="AI564" i="1" s="1"/>
  <c r="AF565" i="1"/>
  <c r="AI565" i="1" s="1"/>
  <c r="AF566" i="1"/>
  <c r="AI566" i="1" s="1"/>
  <c r="AF567" i="1"/>
  <c r="AI567" i="1" s="1"/>
  <c r="AF568" i="1"/>
  <c r="AI568" i="1" s="1"/>
  <c r="AF569" i="1"/>
  <c r="AI569" i="1" s="1"/>
  <c r="AF570" i="1"/>
  <c r="AI570" i="1" s="1"/>
  <c r="AF571" i="1"/>
  <c r="AI571" i="1" s="1"/>
  <c r="AF572" i="1"/>
  <c r="AI572" i="1" s="1"/>
  <c r="AF573" i="1"/>
  <c r="AI573" i="1" s="1"/>
  <c r="AF574" i="1"/>
  <c r="AI574" i="1" s="1"/>
  <c r="AF575" i="1"/>
  <c r="AI575" i="1" s="1"/>
  <c r="AF576" i="1"/>
  <c r="AI576" i="1" s="1"/>
  <c r="AF577" i="1"/>
  <c r="AI577" i="1" s="1"/>
  <c r="AF578" i="1"/>
  <c r="AI578" i="1" s="1"/>
  <c r="AF579" i="1"/>
  <c r="AI579" i="1" s="1"/>
  <c r="AF580" i="1"/>
  <c r="AI580" i="1" s="1"/>
  <c r="AF581" i="1"/>
  <c r="AI581" i="1" s="1"/>
  <c r="AF582" i="1"/>
  <c r="AI582" i="1" s="1"/>
  <c r="AF583" i="1"/>
  <c r="AI583" i="1" s="1"/>
  <c r="AF584" i="1"/>
  <c r="AI584" i="1" s="1"/>
  <c r="AF585" i="1"/>
  <c r="AI585" i="1" s="1"/>
  <c r="AF586" i="1"/>
  <c r="AI586" i="1" s="1"/>
  <c r="AF587" i="1"/>
  <c r="AI587" i="1" s="1"/>
  <c r="AF588" i="1"/>
  <c r="AI588" i="1" s="1"/>
  <c r="AF589" i="1"/>
  <c r="AI589" i="1" s="1"/>
  <c r="AF590" i="1"/>
  <c r="AI590" i="1" s="1"/>
  <c r="AF591" i="1"/>
  <c r="AI591" i="1" s="1"/>
  <c r="AF592" i="1"/>
  <c r="AI592" i="1" s="1"/>
  <c r="AF593" i="1"/>
  <c r="AI593" i="1" s="1"/>
  <c r="AF594" i="1"/>
  <c r="AI594" i="1" s="1"/>
  <c r="AF595" i="1"/>
  <c r="AI595" i="1" s="1"/>
  <c r="AF596" i="1"/>
  <c r="AI596" i="1" s="1"/>
  <c r="AF597" i="1"/>
  <c r="AI597" i="1" s="1"/>
  <c r="AF598" i="1"/>
  <c r="AI598" i="1" s="1"/>
  <c r="AF599" i="1"/>
  <c r="AI599" i="1" s="1"/>
  <c r="AF600" i="1"/>
  <c r="AI600" i="1" s="1"/>
  <c r="AF601" i="1"/>
  <c r="AI601" i="1" s="1"/>
  <c r="AF602" i="1"/>
  <c r="AI602" i="1" s="1"/>
  <c r="AF603" i="1"/>
  <c r="AI603" i="1" s="1"/>
  <c r="AF604" i="1"/>
  <c r="AI604" i="1" s="1"/>
  <c r="AF605" i="1"/>
  <c r="AI605" i="1" s="1"/>
  <c r="AF606" i="1"/>
  <c r="AI606" i="1" s="1"/>
  <c r="AF607" i="1"/>
  <c r="AI607" i="1" s="1"/>
  <c r="AF608" i="1"/>
  <c r="AI608" i="1" s="1"/>
  <c r="AF609" i="1"/>
  <c r="AI609" i="1" s="1"/>
  <c r="AF610" i="1"/>
  <c r="AI610" i="1" s="1"/>
  <c r="AF611" i="1"/>
  <c r="AI611" i="1" s="1"/>
  <c r="AF612" i="1"/>
  <c r="AI612" i="1" s="1"/>
  <c r="AF613" i="1"/>
  <c r="AI613" i="1" s="1"/>
  <c r="AF614" i="1"/>
  <c r="AI614" i="1" s="1"/>
  <c r="AF615" i="1"/>
  <c r="AI615" i="1" s="1"/>
  <c r="AF616" i="1"/>
  <c r="AI616" i="1" s="1"/>
  <c r="AF617" i="1"/>
  <c r="AI617" i="1" s="1"/>
  <c r="AF618" i="1"/>
  <c r="AI618" i="1" s="1"/>
  <c r="AF619" i="1"/>
  <c r="AI619" i="1" s="1"/>
  <c r="AF620" i="1"/>
  <c r="AI620" i="1" s="1"/>
  <c r="AF621" i="1"/>
  <c r="AI621" i="1" s="1"/>
  <c r="AF622" i="1"/>
  <c r="AI622" i="1" s="1"/>
  <c r="AF623" i="1"/>
  <c r="AI623" i="1" s="1"/>
  <c r="AF624" i="1"/>
  <c r="AI624" i="1" s="1"/>
  <c r="AF625" i="1"/>
  <c r="AI625" i="1" s="1"/>
  <c r="AF626" i="1"/>
  <c r="AI626" i="1" s="1"/>
  <c r="AF627" i="1"/>
  <c r="AI627" i="1" s="1"/>
  <c r="AF628" i="1"/>
  <c r="AI628" i="1" s="1"/>
  <c r="AF629" i="1"/>
  <c r="AI629" i="1" s="1"/>
  <c r="AF630" i="1"/>
  <c r="AI630" i="1" s="1"/>
  <c r="AF631" i="1"/>
  <c r="AI631" i="1" s="1"/>
  <c r="AF632" i="1"/>
  <c r="AI632" i="1" s="1"/>
  <c r="AF633" i="1"/>
  <c r="AI633" i="1" s="1"/>
  <c r="AF2" i="1"/>
  <c r="AI2" i="1" s="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I414" i="1" l="1"/>
  <c r="AH633" i="1"/>
  <c r="AJ633" i="1" s="1"/>
  <c r="AH625" i="1"/>
  <c r="AJ625" i="1" s="1"/>
  <c r="AH617" i="1"/>
  <c r="AJ617" i="1" s="1"/>
  <c r="AH609" i="1"/>
  <c r="AJ609" i="1" s="1"/>
  <c r="AH601" i="1"/>
  <c r="AJ601" i="1" s="1"/>
  <c r="AH593" i="1"/>
  <c r="AJ593" i="1" s="1"/>
  <c r="AH585" i="1"/>
  <c r="AJ585" i="1" s="1"/>
  <c r="AH577" i="1"/>
  <c r="AJ577" i="1" s="1"/>
  <c r="AH569" i="1"/>
  <c r="AJ569" i="1" s="1"/>
  <c r="AH561" i="1"/>
  <c r="AJ561" i="1" s="1"/>
  <c r="AH553" i="1"/>
  <c r="AJ553" i="1" s="1"/>
  <c r="AH545" i="1"/>
  <c r="AJ545" i="1" s="1"/>
  <c r="AH537" i="1"/>
  <c r="AJ537" i="1" s="1"/>
  <c r="AH529" i="1"/>
  <c r="AJ529" i="1" s="1"/>
  <c r="AH521" i="1"/>
  <c r="AJ521" i="1" s="1"/>
  <c r="AH513" i="1"/>
  <c r="AJ513" i="1" s="1"/>
  <c r="AH505" i="1"/>
  <c r="AJ505" i="1" s="1"/>
  <c r="AH497" i="1"/>
  <c r="AJ497" i="1" s="1"/>
  <c r="AH489" i="1"/>
  <c r="AJ489" i="1" s="1"/>
  <c r="AH481" i="1"/>
  <c r="AJ481" i="1" s="1"/>
  <c r="AH473" i="1"/>
  <c r="AJ473" i="1" s="1"/>
  <c r="AH465" i="1"/>
  <c r="AJ465" i="1" s="1"/>
  <c r="AH457" i="1"/>
  <c r="AJ457" i="1" s="1"/>
  <c r="AH449" i="1"/>
  <c r="AJ449" i="1" s="1"/>
  <c r="AH441" i="1"/>
  <c r="AJ441" i="1" s="1"/>
  <c r="AH433" i="1"/>
  <c r="AJ433" i="1" s="1"/>
  <c r="AH425" i="1"/>
  <c r="AJ425" i="1" s="1"/>
  <c r="AH417" i="1"/>
  <c r="AJ417" i="1" s="1"/>
  <c r="AH409" i="1"/>
  <c r="AJ409" i="1" s="1"/>
  <c r="AH401" i="1"/>
  <c r="AJ401" i="1" s="1"/>
  <c r="AH393" i="1"/>
  <c r="AJ393" i="1" s="1"/>
  <c r="AH385" i="1"/>
  <c r="AJ385" i="1" s="1"/>
  <c r="AH377" i="1"/>
  <c r="AJ377" i="1" s="1"/>
  <c r="AH369" i="1"/>
  <c r="AJ369" i="1" s="1"/>
  <c r="AH361" i="1"/>
  <c r="AJ361" i="1" s="1"/>
  <c r="AH353" i="1"/>
  <c r="AJ353" i="1" s="1"/>
  <c r="AH345" i="1"/>
  <c r="AJ345" i="1" s="1"/>
  <c r="AH337" i="1"/>
  <c r="AJ337" i="1" s="1"/>
  <c r="AH329" i="1"/>
  <c r="AJ329" i="1" s="1"/>
  <c r="AH321" i="1"/>
  <c r="AJ321" i="1" s="1"/>
  <c r="AH313" i="1"/>
  <c r="AJ313" i="1" s="1"/>
  <c r="AH305" i="1"/>
  <c r="AJ305" i="1" s="1"/>
  <c r="AH297" i="1"/>
  <c r="AJ297" i="1" s="1"/>
  <c r="AH289" i="1"/>
  <c r="AJ289" i="1" s="1"/>
  <c r="AH281" i="1"/>
  <c r="AJ281" i="1" s="1"/>
  <c r="AH273" i="1"/>
  <c r="AJ273" i="1" s="1"/>
  <c r="AH265" i="1"/>
  <c r="AJ265" i="1" s="1"/>
  <c r="AH257" i="1"/>
  <c r="AJ257" i="1" s="1"/>
  <c r="AH249" i="1"/>
  <c r="AJ249" i="1" s="1"/>
  <c r="AH241" i="1"/>
  <c r="AJ241" i="1" s="1"/>
  <c r="AH233" i="1"/>
  <c r="AJ233" i="1" s="1"/>
  <c r="AH225" i="1"/>
  <c r="AJ225" i="1" s="1"/>
  <c r="AH217" i="1"/>
  <c r="AJ217" i="1" s="1"/>
  <c r="AH209" i="1"/>
  <c r="AJ209" i="1" s="1"/>
  <c r="AH201" i="1"/>
  <c r="AJ201" i="1" s="1"/>
  <c r="AH193" i="1"/>
  <c r="AJ193" i="1" s="1"/>
  <c r="AH185" i="1"/>
  <c r="AJ185" i="1" s="1"/>
  <c r="AH177" i="1"/>
  <c r="AJ177" i="1" s="1"/>
  <c r="AH169" i="1"/>
  <c r="AJ169" i="1" s="1"/>
  <c r="AH161" i="1"/>
  <c r="AJ161" i="1" s="1"/>
  <c r="AH153" i="1"/>
  <c r="AJ153" i="1" s="1"/>
  <c r="AH145" i="1"/>
  <c r="AJ145" i="1" s="1"/>
  <c r="AH137" i="1"/>
  <c r="AJ137" i="1" s="1"/>
  <c r="AH129" i="1"/>
  <c r="AJ129" i="1" s="1"/>
  <c r="AH121" i="1"/>
  <c r="AJ121" i="1" s="1"/>
  <c r="AH113" i="1"/>
  <c r="AJ113" i="1" s="1"/>
  <c r="AH105" i="1"/>
  <c r="AJ105" i="1" s="1"/>
  <c r="AH97" i="1"/>
  <c r="AJ97" i="1" s="1"/>
  <c r="AH89" i="1"/>
  <c r="AJ89" i="1" s="1"/>
  <c r="AH81" i="1"/>
  <c r="AJ81" i="1" s="1"/>
  <c r="AH73" i="1"/>
  <c r="AJ73" i="1" s="1"/>
  <c r="AH65" i="1"/>
  <c r="AJ65" i="1" s="1"/>
  <c r="AH57" i="1"/>
  <c r="AJ57" i="1" s="1"/>
  <c r="AH49" i="1"/>
  <c r="AJ49" i="1" s="1"/>
  <c r="AH41" i="1"/>
  <c r="AJ41" i="1" s="1"/>
  <c r="AH33" i="1"/>
  <c r="AJ33" i="1" s="1"/>
  <c r="AH25" i="1"/>
  <c r="AJ25" i="1" s="1"/>
  <c r="AH17" i="1"/>
  <c r="AJ17" i="1" s="1"/>
  <c r="AH9" i="1"/>
  <c r="AJ9" i="1" s="1"/>
  <c r="AH632" i="1"/>
  <c r="AJ632" i="1" s="1"/>
  <c r="AH624" i="1"/>
  <c r="AJ624" i="1" s="1"/>
  <c r="AH616" i="1"/>
  <c r="AJ616" i="1" s="1"/>
  <c r="AH608" i="1"/>
  <c r="AJ608" i="1" s="1"/>
  <c r="AH600" i="1"/>
  <c r="AJ600" i="1" s="1"/>
  <c r="AH592" i="1"/>
  <c r="AJ592" i="1" s="1"/>
  <c r="AH584" i="1"/>
  <c r="AJ584" i="1" s="1"/>
  <c r="AH576" i="1"/>
  <c r="AJ576" i="1" s="1"/>
  <c r="AH568" i="1"/>
  <c r="AJ568" i="1" s="1"/>
  <c r="AH560" i="1"/>
  <c r="AJ560" i="1" s="1"/>
  <c r="AH552" i="1"/>
  <c r="AJ552" i="1" s="1"/>
  <c r="AH544" i="1"/>
  <c r="AJ544" i="1" s="1"/>
  <c r="AH536" i="1"/>
  <c r="AJ536" i="1" s="1"/>
  <c r="AH528" i="1"/>
  <c r="AJ528" i="1" s="1"/>
  <c r="AH520" i="1"/>
  <c r="AJ520" i="1" s="1"/>
  <c r="AH512" i="1"/>
  <c r="AJ512" i="1" s="1"/>
  <c r="AH504" i="1"/>
  <c r="AJ504" i="1" s="1"/>
  <c r="AH496" i="1"/>
  <c r="AJ496" i="1" s="1"/>
  <c r="AH488" i="1"/>
  <c r="AJ488" i="1" s="1"/>
  <c r="AH480" i="1"/>
  <c r="AJ480" i="1" s="1"/>
  <c r="AH472" i="1"/>
  <c r="AJ472" i="1" s="1"/>
  <c r="AH464" i="1"/>
  <c r="AJ464" i="1" s="1"/>
  <c r="AH456" i="1"/>
  <c r="AJ456" i="1" s="1"/>
  <c r="AH448" i="1"/>
  <c r="AJ448" i="1" s="1"/>
  <c r="AH440" i="1"/>
  <c r="AJ440" i="1" s="1"/>
  <c r="AH432" i="1"/>
  <c r="AJ432" i="1" s="1"/>
  <c r="AH424" i="1"/>
  <c r="AJ424" i="1" s="1"/>
  <c r="AH416" i="1"/>
  <c r="AJ416" i="1" s="1"/>
  <c r="AH408" i="1"/>
  <c r="AJ408" i="1" s="1"/>
  <c r="AH400" i="1"/>
  <c r="AJ400" i="1" s="1"/>
  <c r="AH392" i="1"/>
  <c r="AJ392" i="1" s="1"/>
  <c r="AH384" i="1"/>
  <c r="AJ384" i="1" s="1"/>
  <c r="AH376" i="1"/>
  <c r="AJ376" i="1" s="1"/>
  <c r="AH368" i="1"/>
  <c r="AJ368" i="1" s="1"/>
  <c r="AH360" i="1"/>
  <c r="AJ360" i="1" s="1"/>
  <c r="AH352" i="1"/>
  <c r="AJ352" i="1" s="1"/>
  <c r="AH344" i="1"/>
  <c r="AJ344" i="1" s="1"/>
  <c r="AH336" i="1"/>
  <c r="AJ336" i="1" s="1"/>
  <c r="AH328" i="1"/>
  <c r="AJ328" i="1" s="1"/>
  <c r="AH320" i="1"/>
  <c r="AJ320" i="1" s="1"/>
  <c r="AH312" i="1"/>
  <c r="AJ312" i="1" s="1"/>
  <c r="AH304" i="1"/>
  <c r="AJ304" i="1" s="1"/>
  <c r="AH296" i="1"/>
  <c r="AJ296" i="1" s="1"/>
  <c r="AH288" i="1"/>
  <c r="AJ288" i="1" s="1"/>
  <c r="AH280" i="1"/>
  <c r="AJ280" i="1" s="1"/>
  <c r="AH272" i="1"/>
  <c r="AJ272" i="1" s="1"/>
  <c r="AH264" i="1"/>
  <c r="AJ264" i="1" s="1"/>
  <c r="AH256" i="1"/>
  <c r="AJ256" i="1" s="1"/>
  <c r="AH248" i="1"/>
  <c r="AJ248" i="1" s="1"/>
  <c r="AH240" i="1"/>
  <c r="AJ240" i="1" s="1"/>
  <c r="AH232" i="1"/>
  <c r="AJ232" i="1" s="1"/>
  <c r="AH224" i="1"/>
  <c r="AJ224" i="1" s="1"/>
  <c r="AH216" i="1"/>
  <c r="AJ216" i="1" s="1"/>
  <c r="AH208" i="1"/>
  <c r="AJ208" i="1" s="1"/>
  <c r="AH200" i="1"/>
  <c r="AJ200" i="1" s="1"/>
  <c r="AH192" i="1"/>
  <c r="AJ192" i="1" s="1"/>
  <c r="AH184" i="1"/>
  <c r="AJ184" i="1" s="1"/>
  <c r="AH176" i="1"/>
  <c r="AJ176" i="1" s="1"/>
  <c r="AH168" i="1"/>
  <c r="AJ168" i="1" s="1"/>
  <c r="AH160" i="1"/>
  <c r="AJ160" i="1" s="1"/>
  <c r="AH152" i="1"/>
  <c r="AJ152" i="1" s="1"/>
  <c r="AH144" i="1"/>
  <c r="AJ144" i="1" s="1"/>
  <c r="AH136" i="1"/>
  <c r="AJ136" i="1" s="1"/>
  <c r="AH128" i="1"/>
  <c r="AJ128" i="1" s="1"/>
  <c r="AH120" i="1"/>
  <c r="AJ120" i="1" s="1"/>
  <c r="AH112" i="1"/>
  <c r="AJ112" i="1" s="1"/>
  <c r="AH104" i="1"/>
  <c r="AJ104" i="1" s="1"/>
  <c r="AH96" i="1"/>
  <c r="AJ96" i="1" s="1"/>
  <c r="AH88" i="1"/>
  <c r="AJ88" i="1" s="1"/>
  <c r="AH80" i="1"/>
  <c r="AJ80" i="1" s="1"/>
  <c r="AH72" i="1"/>
  <c r="AJ72" i="1" s="1"/>
  <c r="AH64" i="1"/>
  <c r="AJ64" i="1" s="1"/>
  <c r="AH56" i="1"/>
  <c r="AJ56" i="1" s="1"/>
  <c r="AH48" i="1"/>
  <c r="AJ48" i="1" s="1"/>
  <c r="AH40" i="1"/>
  <c r="AJ40" i="1" s="1"/>
  <c r="AH32" i="1"/>
  <c r="AJ32" i="1" s="1"/>
  <c r="AH24" i="1"/>
  <c r="AJ24" i="1" s="1"/>
  <c r="AH16" i="1"/>
  <c r="AJ16" i="1" s="1"/>
  <c r="AH8" i="1"/>
  <c r="AJ8" i="1" s="1"/>
  <c r="AH631" i="1"/>
  <c r="AJ631" i="1" s="1"/>
  <c r="AH623" i="1"/>
  <c r="AJ623" i="1" s="1"/>
  <c r="AH615" i="1"/>
  <c r="AJ615" i="1" s="1"/>
  <c r="AH607" i="1"/>
  <c r="AJ607" i="1" s="1"/>
  <c r="AH599" i="1"/>
  <c r="AJ599" i="1" s="1"/>
  <c r="AH591" i="1"/>
  <c r="AJ591" i="1" s="1"/>
  <c r="AH583" i="1"/>
  <c r="AJ583" i="1" s="1"/>
  <c r="AH575" i="1"/>
  <c r="AJ575" i="1" s="1"/>
  <c r="AH567" i="1"/>
  <c r="AJ567" i="1" s="1"/>
  <c r="AH559" i="1"/>
  <c r="AJ559" i="1" s="1"/>
  <c r="AH551" i="1"/>
  <c r="AJ551" i="1" s="1"/>
  <c r="AH543" i="1"/>
  <c r="AJ543" i="1" s="1"/>
  <c r="AH535" i="1"/>
  <c r="AJ535" i="1" s="1"/>
  <c r="AH527" i="1"/>
  <c r="AJ527" i="1" s="1"/>
  <c r="AH519" i="1"/>
  <c r="AJ519" i="1" s="1"/>
  <c r="AH511" i="1"/>
  <c r="AJ511" i="1" s="1"/>
  <c r="AH503" i="1"/>
  <c r="AJ503" i="1" s="1"/>
  <c r="AH495" i="1"/>
  <c r="AJ495" i="1" s="1"/>
  <c r="AH487" i="1"/>
  <c r="AJ487" i="1" s="1"/>
  <c r="AH479" i="1"/>
  <c r="AJ479" i="1" s="1"/>
  <c r="AH471" i="1"/>
  <c r="AJ471" i="1" s="1"/>
  <c r="AH463" i="1"/>
  <c r="AJ463" i="1" s="1"/>
  <c r="AH455" i="1"/>
  <c r="AJ455" i="1" s="1"/>
  <c r="AH447" i="1"/>
  <c r="AJ447" i="1" s="1"/>
  <c r="AH439" i="1"/>
  <c r="AJ439" i="1" s="1"/>
  <c r="AH431" i="1"/>
  <c r="AJ431" i="1" s="1"/>
  <c r="AH423" i="1"/>
  <c r="AJ423" i="1" s="1"/>
  <c r="AH415" i="1"/>
  <c r="AJ415" i="1" s="1"/>
  <c r="AH407" i="1"/>
  <c r="AJ407" i="1" s="1"/>
  <c r="AH399" i="1"/>
  <c r="AJ399" i="1" s="1"/>
  <c r="AH391" i="1"/>
  <c r="AJ391" i="1" s="1"/>
  <c r="AH383" i="1"/>
  <c r="AJ383" i="1" s="1"/>
  <c r="AH375" i="1"/>
  <c r="AJ375" i="1" s="1"/>
  <c r="AH367" i="1"/>
  <c r="AJ367" i="1" s="1"/>
  <c r="AH359" i="1"/>
  <c r="AJ359" i="1" s="1"/>
  <c r="AH351" i="1"/>
  <c r="AJ351" i="1" s="1"/>
  <c r="AH343" i="1"/>
  <c r="AJ343" i="1" s="1"/>
  <c r="AH335" i="1"/>
  <c r="AJ335" i="1" s="1"/>
  <c r="AH327" i="1"/>
  <c r="AJ327" i="1" s="1"/>
  <c r="AH319" i="1"/>
  <c r="AJ319" i="1" s="1"/>
  <c r="AH311" i="1"/>
  <c r="AJ311" i="1" s="1"/>
  <c r="AH303" i="1"/>
  <c r="AJ303" i="1" s="1"/>
  <c r="AH295" i="1"/>
  <c r="AJ295" i="1" s="1"/>
  <c r="AH287" i="1"/>
  <c r="AJ287" i="1" s="1"/>
  <c r="AH279" i="1"/>
  <c r="AJ279" i="1" s="1"/>
  <c r="AH271" i="1"/>
  <c r="AJ271" i="1" s="1"/>
  <c r="AH263" i="1"/>
  <c r="AJ263" i="1" s="1"/>
  <c r="AH255" i="1"/>
  <c r="AJ255" i="1" s="1"/>
  <c r="AH247" i="1"/>
  <c r="AJ247" i="1" s="1"/>
  <c r="AH239" i="1"/>
  <c r="AJ239" i="1" s="1"/>
  <c r="AH231" i="1"/>
  <c r="AJ231" i="1" s="1"/>
  <c r="AH223" i="1"/>
  <c r="AJ223" i="1" s="1"/>
  <c r="AH215" i="1"/>
  <c r="AJ215" i="1" s="1"/>
  <c r="AH207" i="1"/>
  <c r="AJ207" i="1" s="1"/>
  <c r="AH199" i="1"/>
  <c r="AJ199" i="1" s="1"/>
  <c r="AH191" i="1"/>
  <c r="AJ191" i="1" s="1"/>
  <c r="AH183" i="1"/>
  <c r="AJ183" i="1" s="1"/>
  <c r="AH175" i="1"/>
  <c r="AJ175" i="1" s="1"/>
  <c r="AH167" i="1"/>
  <c r="AJ167" i="1" s="1"/>
  <c r="AH159" i="1"/>
  <c r="AJ159" i="1" s="1"/>
  <c r="AH151" i="1"/>
  <c r="AJ151" i="1" s="1"/>
  <c r="AH143" i="1"/>
  <c r="AJ143" i="1" s="1"/>
  <c r="AH135" i="1"/>
  <c r="AJ135" i="1" s="1"/>
  <c r="AH127" i="1"/>
  <c r="AJ127" i="1" s="1"/>
  <c r="AH119" i="1"/>
  <c r="AJ119" i="1" s="1"/>
  <c r="AH111" i="1"/>
  <c r="AJ111" i="1" s="1"/>
  <c r="AH103" i="1"/>
  <c r="AJ103" i="1" s="1"/>
  <c r="AH95" i="1"/>
  <c r="AJ95" i="1" s="1"/>
  <c r="AH87" i="1"/>
  <c r="AJ87" i="1" s="1"/>
  <c r="AH79" i="1"/>
  <c r="AJ79" i="1" s="1"/>
  <c r="AH71" i="1"/>
  <c r="AJ71" i="1" s="1"/>
  <c r="AH63" i="1"/>
  <c r="AJ63" i="1" s="1"/>
  <c r="AH55" i="1"/>
  <c r="AJ55" i="1" s="1"/>
  <c r="AH47" i="1"/>
  <c r="AJ47" i="1" s="1"/>
  <c r="AH39" i="1"/>
  <c r="AJ39" i="1" s="1"/>
  <c r="AH31" i="1"/>
  <c r="AJ31" i="1" s="1"/>
  <c r="AH23" i="1"/>
  <c r="AJ23" i="1" s="1"/>
  <c r="AH15" i="1"/>
  <c r="AJ15" i="1" s="1"/>
  <c r="AH7" i="1"/>
  <c r="AJ7" i="1" s="1"/>
  <c r="AH630" i="1"/>
  <c r="AJ630" i="1" s="1"/>
  <c r="AH622" i="1"/>
  <c r="AJ622" i="1" s="1"/>
  <c r="AH614" i="1"/>
  <c r="AJ614" i="1" s="1"/>
  <c r="AH606" i="1"/>
  <c r="AJ606" i="1" s="1"/>
  <c r="AH598" i="1"/>
  <c r="AJ598" i="1" s="1"/>
  <c r="AH590" i="1"/>
  <c r="AJ590" i="1" s="1"/>
  <c r="AH582" i="1"/>
  <c r="AJ582" i="1" s="1"/>
  <c r="AH574" i="1"/>
  <c r="AJ574" i="1" s="1"/>
  <c r="AH566" i="1"/>
  <c r="AJ566" i="1" s="1"/>
  <c r="AH558" i="1"/>
  <c r="AJ558" i="1" s="1"/>
  <c r="AH550" i="1"/>
  <c r="AJ550" i="1" s="1"/>
  <c r="AH542" i="1"/>
  <c r="AJ542" i="1" s="1"/>
  <c r="AH534" i="1"/>
  <c r="AJ534" i="1" s="1"/>
  <c r="AH526" i="1"/>
  <c r="AJ526" i="1" s="1"/>
  <c r="AH518" i="1"/>
  <c r="AJ518" i="1" s="1"/>
  <c r="AH510" i="1"/>
  <c r="AJ510" i="1" s="1"/>
  <c r="AH502" i="1"/>
  <c r="AJ502" i="1" s="1"/>
  <c r="AH494" i="1"/>
  <c r="AJ494" i="1" s="1"/>
  <c r="AH486" i="1"/>
  <c r="AJ486" i="1" s="1"/>
  <c r="AH478" i="1"/>
  <c r="AJ478" i="1" s="1"/>
  <c r="AH470" i="1"/>
  <c r="AJ470" i="1" s="1"/>
  <c r="AH462" i="1"/>
  <c r="AJ462" i="1" s="1"/>
  <c r="AH454" i="1"/>
  <c r="AJ454" i="1" s="1"/>
  <c r="AH446" i="1"/>
  <c r="AJ446" i="1" s="1"/>
  <c r="AH438" i="1"/>
  <c r="AJ438" i="1" s="1"/>
  <c r="AH430" i="1"/>
  <c r="AJ430" i="1" s="1"/>
  <c r="AH422" i="1"/>
  <c r="AJ422" i="1" s="1"/>
  <c r="AH414" i="1"/>
  <c r="AJ414" i="1" s="1"/>
  <c r="AH406" i="1"/>
  <c r="AJ406" i="1" s="1"/>
  <c r="AH398" i="1"/>
  <c r="AJ398" i="1" s="1"/>
  <c r="AH390" i="1"/>
  <c r="AJ390" i="1" s="1"/>
  <c r="AH382" i="1"/>
  <c r="AJ382" i="1" s="1"/>
  <c r="AH374" i="1"/>
  <c r="AJ374" i="1" s="1"/>
  <c r="AH366" i="1"/>
  <c r="AJ366" i="1" s="1"/>
  <c r="AH358" i="1"/>
  <c r="AJ358" i="1" s="1"/>
  <c r="AH350" i="1"/>
  <c r="AJ350" i="1" s="1"/>
  <c r="AH342" i="1"/>
  <c r="AJ342" i="1" s="1"/>
  <c r="AH334" i="1"/>
  <c r="AJ334" i="1" s="1"/>
  <c r="AH326" i="1"/>
  <c r="AJ326" i="1" s="1"/>
  <c r="AH318" i="1"/>
  <c r="AJ318" i="1" s="1"/>
  <c r="AH310" i="1"/>
  <c r="AJ310" i="1" s="1"/>
  <c r="AH302" i="1"/>
  <c r="AJ302" i="1" s="1"/>
  <c r="AH294" i="1"/>
  <c r="AJ294" i="1" s="1"/>
  <c r="AH286" i="1"/>
  <c r="AJ286" i="1" s="1"/>
  <c r="AH278" i="1"/>
  <c r="AJ278" i="1" s="1"/>
  <c r="AH270" i="1"/>
  <c r="AJ270" i="1" s="1"/>
  <c r="AH262" i="1"/>
  <c r="AJ262" i="1" s="1"/>
  <c r="AH254" i="1"/>
  <c r="AJ254" i="1" s="1"/>
  <c r="AH246" i="1"/>
  <c r="AJ246" i="1" s="1"/>
  <c r="AH238" i="1"/>
  <c r="AJ238" i="1" s="1"/>
  <c r="AH230" i="1"/>
  <c r="AJ230" i="1" s="1"/>
  <c r="AH222" i="1"/>
  <c r="AJ222" i="1" s="1"/>
  <c r="AH214" i="1"/>
  <c r="AJ214" i="1" s="1"/>
  <c r="AH206" i="1"/>
  <c r="AJ206" i="1" s="1"/>
  <c r="AH198" i="1"/>
  <c r="AJ198" i="1" s="1"/>
  <c r="AH190" i="1"/>
  <c r="AJ190" i="1" s="1"/>
  <c r="AH182" i="1"/>
  <c r="AJ182" i="1" s="1"/>
  <c r="AH174" i="1"/>
  <c r="AJ174" i="1" s="1"/>
  <c r="AH166" i="1"/>
  <c r="AJ166" i="1" s="1"/>
  <c r="AH158" i="1"/>
  <c r="AJ158" i="1" s="1"/>
  <c r="AH150" i="1"/>
  <c r="AJ150" i="1" s="1"/>
  <c r="AH142" i="1"/>
  <c r="AJ142" i="1" s="1"/>
  <c r="AH134" i="1"/>
  <c r="AJ134" i="1" s="1"/>
  <c r="AH126" i="1"/>
  <c r="AJ126" i="1" s="1"/>
  <c r="AH118" i="1"/>
  <c r="AJ118" i="1" s="1"/>
  <c r="AH110" i="1"/>
  <c r="AJ110" i="1" s="1"/>
  <c r="AH102" i="1"/>
  <c r="AJ102" i="1" s="1"/>
  <c r="AH94" i="1"/>
  <c r="AJ94" i="1" s="1"/>
  <c r="AH86" i="1"/>
  <c r="AJ86" i="1" s="1"/>
  <c r="AH78" i="1"/>
  <c r="AJ78" i="1" s="1"/>
  <c r="AH70" i="1"/>
  <c r="AJ70" i="1" s="1"/>
  <c r="AH62" i="1"/>
  <c r="AJ62" i="1" s="1"/>
  <c r="AH54" i="1"/>
  <c r="AJ54" i="1" s="1"/>
  <c r="AH46" i="1"/>
  <c r="AJ46" i="1" s="1"/>
  <c r="AH38" i="1"/>
  <c r="AJ38" i="1" s="1"/>
  <c r="AH30" i="1"/>
  <c r="AJ30" i="1" s="1"/>
  <c r="AH22" i="1"/>
  <c r="AJ22" i="1" s="1"/>
  <c r="AH14" i="1"/>
  <c r="AJ14" i="1" s="1"/>
  <c r="AH6" i="1"/>
  <c r="AJ6" i="1" s="1"/>
  <c r="AH629" i="1"/>
  <c r="AJ629" i="1" s="1"/>
  <c r="AH621" i="1"/>
  <c r="AJ621" i="1" s="1"/>
  <c r="AH613" i="1"/>
  <c r="AJ613" i="1" s="1"/>
  <c r="AH605" i="1"/>
  <c r="AJ605" i="1" s="1"/>
  <c r="AH597" i="1"/>
  <c r="AJ597" i="1" s="1"/>
  <c r="AH589" i="1"/>
  <c r="AJ589" i="1" s="1"/>
  <c r="AH581" i="1"/>
  <c r="AJ581" i="1" s="1"/>
  <c r="AH573" i="1"/>
  <c r="AJ573" i="1" s="1"/>
  <c r="AH565" i="1"/>
  <c r="AJ565" i="1" s="1"/>
  <c r="AH557" i="1"/>
  <c r="AJ557" i="1" s="1"/>
  <c r="AH549" i="1"/>
  <c r="AJ549" i="1" s="1"/>
  <c r="AH541" i="1"/>
  <c r="AJ541" i="1" s="1"/>
  <c r="AH533" i="1"/>
  <c r="AJ533" i="1" s="1"/>
  <c r="AH525" i="1"/>
  <c r="AJ525" i="1" s="1"/>
  <c r="AH517" i="1"/>
  <c r="AJ517" i="1" s="1"/>
  <c r="AH509" i="1"/>
  <c r="AJ509" i="1" s="1"/>
  <c r="AH501" i="1"/>
  <c r="AJ501" i="1" s="1"/>
  <c r="AH493" i="1"/>
  <c r="AJ493" i="1" s="1"/>
  <c r="AH485" i="1"/>
  <c r="AJ485" i="1" s="1"/>
  <c r="AH477" i="1"/>
  <c r="AJ477" i="1" s="1"/>
  <c r="AH469" i="1"/>
  <c r="AJ469" i="1" s="1"/>
  <c r="AH461" i="1"/>
  <c r="AJ461" i="1" s="1"/>
  <c r="AH453" i="1"/>
  <c r="AJ453" i="1" s="1"/>
  <c r="AH445" i="1"/>
  <c r="AJ445" i="1" s="1"/>
  <c r="AH437" i="1"/>
  <c r="AJ437" i="1" s="1"/>
  <c r="AH429" i="1"/>
  <c r="AJ429" i="1" s="1"/>
  <c r="AH421" i="1"/>
  <c r="AJ421" i="1" s="1"/>
  <c r="AH413" i="1"/>
  <c r="AJ413" i="1" s="1"/>
  <c r="AH405" i="1"/>
  <c r="AJ405" i="1" s="1"/>
  <c r="AH397" i="1"/>
  <c r="AJ397" i="1" s="1"/>
  <c r="AH389" i="1"/>
  <c r="AJ389" i="1" s="1"/>
  <c r="AH381" i="1"/>
  <c r="AJ381" i="1" s="1"/>
  <c r="AH373" i="1"/>
  <c r="AJ373" i="1" s="1"/>
  <c r="AH365" i="1"/>
  <c r="AJ365" i="1" s="1"/>
  <c r="AH357" i="1"/>
  <c r="AJ357" i="1" s="1"/>
  <c r="AH349" i="1"/>
  <c r="AJ349" i="1" s="1"/>
  <c r="AH341" i="1"/>
  <c r="AJ341" i="1" s="1"/>
  <c r="AH333" i="1"/>
  <c r="AJ333" i="1" s="1"/>
  <c r="AH325" i="1"/>
  <c r="AJ325" i="1" s="1"/>
  <c r="AH317" i="1"/>
  <c r="AJ317" i="1" s="1"/>
  <c r="AH309" i="1"/>
  <c r="AJ309" i="1" s="1"/>
  <c r="AH301" i="1"/>
  <c r="AJ301" i="1" s="1"/>
  <c r="AH293" i="1"/>
  <c r="AJ293" i="1" s="1"/>
  <c r="AH285" i="1"/>
  <c r="AJ285" i="1" s="1"/>
  <c r="AH277" i="1"/>
  <c r="AJ277" i="1" s="1"/>
  <c r="AH269" i="1"/>
  <c r="AJ269" i="1" s="1"/>
  <c r="AH261" i="1"/>
  <c r="AJ261" i="1" s="1"/>
  <c r="AH253" i="1"/>
  <c r="AJ253" i="1" s="1"/>
  <c r="AH245" i="1"/>
  <c r="AJ245" i="1" s="1"/>
  <c r="AH237" i="1"/>
  <c r="AJ237" i="1" s="1"/>
  <c r="AH229" i="1"/>
  <c r="AJ229" i="1" s="1"/>
  <c r="AH221" i="1"/>
  <c r="AJ221" i="1" s="1"/>
  <c r="AH213" i="1"/>
  <c r="AJ213" i="1" s="1"/>
  <c r="AH205" i="1"/>
  <c r="AJ205" i="1" s="1"/>
  <c r="AH197" i="1"/>
  <c r="AJ197" i="1" s="1"/>
  <c r="AH189" i="1"/>
  <c r="AJ189" i="1" s="1"/>
  <c r="AH181" i="1"/>
  <c r="AJ181" i="1" s="1"/>
  <c r="AH173" i="1"/>
  <c r="AJ173" i="1" s="1"/>
  <c r="AH165" i="1"/>
  <c r="AJ165" i="1" s="1"/>
  <c r="AH157" i="1"/>
  <c r="AJ157" i="1" s="1"/>
  <c r="AH149" i="1"/>
  <c r="AJ149" i="1" s="1"/>
  <c r="AH141" i="1"/>
  <c r="AJ141" i="1" s="1"/>
  <c r="AH133" i="1"/>
  <c r="AJ133" i="1" s="1"/>
  <c r="AH125" i="1"/>
  <c r="AJ125" i="1" s="1"/>
  <c r="AH117" i="1"/>
  <c r="AJ117" i="1" s="1"/>
  <c r="AH109" i="1"/>
  <c r="AJ109" i="1" s="1"/>
  <c r="AH101" i="1"/>
  <c r="AJ101" i="1" s="1"/>
  <c r="AH93" i="1"/>
  <c r="AJ93" i="1" s="1"/>
  <c r="AH85" i="1"/>
  <c r="AJ85" i="1" s="1"/>
  <c r="AH77" i="1"/>
  <c r="AJ77" i="1" s="1"/>
  <c r="AH69" i="1"/>
  <c r="AJ69" i="1" s="1"/>
  <c r="AH61" i="1"/>
  <c r="AJ61" i="1" s="1"/>
  <c r="AH53" i="1"/>
  <c r="AJ53" i="1" s="1"/>
  <c r="AH45" i="1"/>
  <c r="AJ45" i="1" s="1"/>
  <c r="AH37" i="1"/>
  <c r="AJ37" i="1" s="1"/>
  <c r="AH29" i="1"/>
  <c r="AJ29" i="1" s="1"/>
  <c r="AH21" i="1"/>
  <c r="AJ21" i="1" s="1"/>
  <c r="AH13" i="1"/>
  <c r="AJ13" i="1" s="1"/>
  <c r="AH5" i="1"/>
  <c r="AJ5" i="1" s="1"/>
  <c r="AH628" i="1"/>
  <c r="AJ628" i="1" s="1"/>
  <c r="AH620" i="1"/>
  <c r="AJ620" i="1" s="1"/>
  <c r="AH612" i="1"/>
  <c r="AJ612" i="1" s="1"/>
  <c r="AH604" i="1"/>
  <c r="AJ604" i="1" s="1"/>
  <c r="AH596" i="1"/>
  <c r="AJ596" i="1" s="1"/>
  <c r="AH588" i="1"/>
  <c r="AJ588" i="1" s="1"/>
  <c r="AH580" i="1"/>
  <c r="AJ580" i="1" s="1"/>
  <c r="AH572" i="1"/>
  <c r="AJ572" i="1" s="1"/>
  <c r="AH564" i="1"/>
  <c r="AJ564" i="1" s="1"/>
  <c r="AH556" i="1"/>
  <c r="AJ556" i="1" s="1"/>
  <c r="AH548" i="1"/>
  <c r="AJ548" i="1" s="1"/>
  <c r="AH540" i="1"/>
  <c r="AJ540" i="1" s="1"/>
  <c r="AH532" i="1"/>
  <c r="AJ532" i="1" s="1"/>
  <c r="AH524" i="1"/>
  <c r="AJ524" i="1" s="1"/>
  <c r="AH516" i="1"/>
  <c r="AJ516" i="1" s="1"/>
  <c r="AH508" i="1"/>
  <c r="AJ508" i="1" s="1"/>
  <c r="AH500" i="1"/>
  <c r="AJ500" i="1" s="1"/>
  <c r="AH492" i="1"/>
  <c r="AJ492" i="1" s="1"/>
  <c r="AH484" i="1"/>
  <c r="AJ484" i="1" s="1"/>
  <c r="AH476" i="1"/>
  <c r="AJ476" i="1" s="1"/>
  <c r="AH468" i="1"/>
  <c r="AJ468" i="1" s="1"/>
  <c r="AH460" i="1"/>
  <c r="AJ460" i="1" s="1"/>
  <c r="AH452" i="1"/>
  <c r="AJ452" i="1" s="1"/>
  <c r="AH444" i="1"/>
  <c r="AJ444" i="1" s="1"/>
  <c r="AH436" i="1"/>
  <c r="AJ436" i="1" s="1"/>
  <c r="AH428" i="1"/>
  <c r="AJ428" i="1" s="1"/>
  <c r="AH420" i="1"/>
  <c r="AJ420" i="1" s="1"/>
  <c r="AH412" i="1"/>
  <c r="AJ412" i="1" s="1"/>
  <c r="AH404" i="1"/>
  <c r="AJ404" i="1" s="1"/>
  <c r="AH396" i="1"/>
  <c r="AJ396" i="1" s="1"/>
  <c r="AH388" i="1"/>
  <c r="AJ388" i="1" s="1"/>
  <c r="AH380" i="1"/>
  <c r="AJ380" i="1" s="1"/>
  <c r="AH372" i="1"/>
  <c r="AJ372" i="1" s="1"/>
  <c r="AH364" i="1"/>
  <c r="AJ364" i="1" s="1"/>
  <c r="AH356" i="1"/>
  <c r="AJ356" i="1" s="1"/>
  <c r="AH348" i="1"/>
  <c r="AJ348" i="1" s="1"/>
  <c r="AH340" i="1"/>
  <c r="AJ340" i="1" s="1"/>
  <c r="AH332" i="1"/>
  <c r="AJ332" i="1" s="1"/>
  <c r="AH324" i="1"/>
  <c r="AJ324" i="1" s="1"/>
  <c r="AH316" i="1"/>
  <c r="AJ316" i="1" s="1"/>
  <c r="AH308" i="1"/>
  <c r="AJ308" i="1" s="1"/>
  <c r="AH300" i="1"/>
  <c r="AJ300" i="1" s="1"/>
  <c r="AH292" i="1"/>
  <c r="AJ292" i="1" s="1"/>
  <c r="AH284" i="1"/>
  <c r="AJ284" i="1" s="1"/>
  <c r="AH276" i="1"/>
  <c r="AJ276" i="1" s="1"/>
  <c r="AH268" i="1"/>
  <c r="AJ268" i="1" s="1"/>
  <c r="AH260" i="1"/>
  <c r="AJ260" i="1" s="1"/>
  <c r="AH252" i="1"/>
  <c r="AJ252" i="1" s="1"/>
  <c r="AH244" i="1"/>
  <c r="AJ244" i="1" s="1"/>
  <c r="AH236" i="1"/>
  <c r="AJ236" i="1" s="1"/>
  <c r="AH228" i="1"/>
  <c r="AJ228" i="1" s="1"/>
  <c r="AH220" i="1"/>
  <c r="AJ220" i="1" s="1"/>
  <c r="AH212" i="1"/>
  <c r="AJ212" i="1" s="1"/>
  <c r="AH204" i="1"/>
  <c r="AJ204" i="1" s="1"/>
  <c r="AH196" i="1"/>
  <c r="AJ196" i="1" s="1"/>
  <c r="AH188" i="1"/>
  <c r="AJ188" i="1" s="1"/>
  <c r="AH180" i="1"/>
  <c r="AJ180" i="1" s="1"/>
  <c r="AH172" i="1"/>
  <c r="AJ172" i="1" s="1"/>
  <c r="AH164" i="1"/>
  <c r="AJ164" i="1" s="1"/>
  <c r="AH156" i="1"/>
  <c r="AJ156" i="1" s="1"/>
  <c r="AH148" i="1"/>
  <c r="AJ148" i="1" s="1"/>
  <c r="AH140" i="1"/>
  <c r="AJ140" i="1" s="1"/>
  <c r="AH132" i="1"/>
  <c r="AJ132" i="1" s="1"/>
  <c r="AH124" i="1"/>
  <c r="AJ124" i="1" s="1"/>
  <c r="AH116" i="1"/>
  <c r="AJ116" i="1" s="1"/>
  <c r="AH108" i="1"/>
  <c r="AJ108" i="1" s="1"/>
  <c r="AH100" i="1"/>
  <c r="AJ100" i="1" s="1"/>
  <c r="AH92" i="1"/>
  <c r="AJ92" i="1" s="1"/>
  <c r="AH84" i="1"/>
  <c r="AJ84" i="1" s="1"/>
  <c r="AH76" i="1"/>
  <c r="AJ76" i="1" s="1"/>
  <c r="AH68" i="1"/>
  <c r="AJ68" i="1" s="1"/>
  <c r="AH60" i="1"/>
  <c r="AJ60" i="1" s="1"/>
  <c r="AH52" i="1"/>
  <c r="AJ52" i="1" s="1"/>
  <c r="AH44" i="1"/>
  <c r="AJ44" i="1" s="1"/>
  <c r="AH36" i="1"/>
  <c r="AJ36" i="1" s="1"/>
  <c r="AH28" i="1"/>
  <c r="AJ28" i="1" s="1"/>
  <c r="AH20" i="1"/>
  <c r="AJ20" i="1" s="1"/>
  <c r="AH12" i="1"/>
  <c r="AJ12" i="1" s="1"/>
  <c r="AH4" i="1"/>
  <c r="AJ4" i="1" s="1"/>
  <c r="AH627" i="1"/>
  <c r="AJ627" i="1" s="1"/>
  <c r="AH619" i="1"/>
  <c r="AJ619" i="1" s="1"/>
  <c r="AH611" i="1"/>
  <c r="AJ611" i="1" s="1"/>
  <c r="AH603" i="1"/>
  <c r="AJ603" i="1" s="1"/>
  <c r="AH595" i="1"/>
  <c r="AJ595" i="1" s="1"/>
  <c r="AH587" i="1"/>
  <c r="AJ587" i="1" s="1"/>
  <c r="AH579" i="1"/>
  <c r="AJ579" i="1" s="1"/>
  <c r="AH571" i="1"/>
  <c r="AJ571" i="1" s="1"/>
  <c r="AH563" i="1"/>
  <c r="AJ563" i="1" s="1"/>
  <c r="AH555" i="1"/>
  <c r="AJ555" i="1" s="1"/>
  <c r="AH547" i="1"/>
  <c r="AJ547" i="1" s="1"/>
  <c r="AH539" i="1"/>
  <c r="AJ539" i="1" s="1"/>
  <c r="AH531" i="1"/>
  <c r="AJ531" i="1" s="1"/>
  <c r="AH523" i="1"/>
  <c r="AJ523" i="1" s="1"/>
  <c r="AH515" i="1"/>
  <c r="AJ515" i="1" s="1"/>
  <c r="AH507" i="1"/>
  <c r="AJ507" i="1" s="1"/>
  <c r="AH499" i="1"/>
  <c r="AJ499" i="1" s="1"/>
  <c r="AH491" i="1"/>
  <c r="AJ491" i="1" s="1"/>
  <c r="AH483" i="1"/>
  <c r="AJ483" i="1" s="1"/>
  <c r="AH475" i="1"/>
  <c r="AJ475" i="1" s="1"/>
  <c r="AH467" i="1"/>
  <c r="AJ467" i="1" s="1"/>
  <c r="AH459" i="1"/>
  <c r="AJ459" i="1" s="1"/>
  <c r="AH451" i="1"/>
  <c r="AJ451" i="1" s="1"/>
  <c r="AH443" i="1"/>
  <c r="AJ443" i="1" s="1"/>
  <c r="AH435" i="1"/>
  <c r="AJ435" i="1" s="1"/>
  <c r="AH427" i="1"/>
  <c r="AJ427" i="1" s="1"/>
  <c r="AH419" i="1"/>
  <c r="AJ419" i="1" s="1"/>
  <c r="AH411" i="1"/>
  <c r="AJ411" i="1" s="1"/>
  <c r="AH403" i="1"/>
  <c r="AJ403" i="1" s="1"/>
  <c r="AH395" i="1"/>
  <c r="AJ395" i="1" s="1"/>
  <c r="AH387" i="1"/>
  <c r="AJ387" i="1" s="1"/>
  <c r="AH379" i="1"/>
  <c r="AJ379" i="1" s="1"/>
  <c r="AH371" i="1"/>
  <c r="AJ371" i="1" s="1"/>
  <c r="AH363" i="1"/>
  <c r="AJ363" i="1" s="1"/>
  <c r="AH355" i="1"/>
  <c r="AJ355" i="1" s="1"/>
  <c r="AH347" i="1"/>
  <c r="AJ347" i="1" s="1"/>
  <c r="AH339" i="1"/>
  <c r="AJ339" i="1" s="1"/>
  <c r="AH331" i="1"/>
  <c r="AJ331" i="1" s="1"/>
  <c r="AH323" i="1"/>
  <c r="AJ323" i="1" s="1"/>
  <c r="AH315" i="1"/>
  <c r="AJ315" i="1" s="1"/>
  <c r="AH307" i="1"/>
  <c r="AJ307" i="1" s="1"/>
  <c r="AH299" i="1"/>
  <c r="AJ299" i="1" s="1"/>
  <c r="AH291" i="1"/>
  <c r="AJ291" i="1" s="1"/>
  <c r="AH283" i="1"/>
  <c r="AJ283" i="1" s="1"/>
  <c r="AH275" i="1"/>
  <c r="AJ275" i="1" s="1"/>
  <c r="AH267" i="1"/>
  <c r="AJ267" i="1" s="1"/>
  <c r="AH259" i="1"/>
  <c r="AJ259" i="1" s="1"/>
  <c r="AH251" i="1"/>
  <c r="AJ251" i="1" s="1"/>
  <c r="AH243" i="1"/>
  <c r="AJ243" i="1" s="1"/>
  <c r="AH235" i="1"/>
  <c r="AJ235" i="1" s="1"/>
  <c r="AH227" i="1"/>
  <c r="AJ227" i="1" s="1"/>
  <c r="AH219" i="1"/>
  <c r="AJ219" i="1" s="1"/>
  <c r="AH211" i="1"/>
  <c r="AJ211" i="1" s="1"/>
  <c r="AH203" i="1"/>
  <c r="AJ203" i="1" s="1"/>
  <c r="AH195" i="1"/>
  <c r="AJ195" i="1" s="1"/>
  <c r="AH187" i="1"/>
  <c r="AJ187" i="1" s="1"/>
  <c r="AH179" i="1"/>
  <c r="AJ179" i="1" s="1"/>
  <c r="AH171" i="1"/>
  <c r="AJ171" i="1" s="1"/>
  <c r="AH163" i="1"/>
  <c r="AJ163" i="1" s="1"/>
  <c r="AH155" i="1"/>
  <c r="AJ155" i="1" s="1"/>
  <c r="AH147" i="1"/>
  <c r="AJ147" i="1" s="1"/>
  <c r="AH139" i="1"/>
  <c r="AJ139" i="1" s="1"/>
  <c r="AH131" i="1"/>
  <c r="AJ131" i="1" s="1"/>
  <c r="AH123" i="1"/>
  <c r="AJ123" i="1" s="1"/>
  <c r="AH115" i="1"/>
  <c r="AJ115" i="1" s="1"/>
  <c r="AH107" i="1"/>
  <c r="AJ107" i="1" s="1"/>
  <c r="AH99" i="1"/>
  <c r="AJ99" i="1" s="1"/>
  <c r="AH91" i="1"/>
  <c r="AJ91" i="1" s="1"/>
  <c r="AH83" i="1"/>
  <c r="AJ83" i="1" s="1"/>
  <c r="AH75" i="1"/>
  <c r="AJ75" i="1" s="1"/>
  <c r="AH67" i="1"/>
  <c r="AJ67" i="1" s="1"/>
  <c r="AH59" i="1"/>
  <c r="AJ59" i="1" s="1"/>
  <c r="AH51" i="1"/>
  <c r="AJ51" i="1" s="1"/>
  <c r="AH43" i="1"/>
  <c r="AJ43" i="1" s="1"/>
  <c r="AH35" i="1"/>
  <c r="AJ35" i="1" s="1"/>
  <c r="AH27" i="1"/>
  <c r="AJ27" i="1" s="1"/>
  <c r="AH19" i="1"/>
  <c r="AJ19" i="1" s="1"/>
  <c r="AH11" i="1"/>
  <c r="AJ11" i="1" s="1"/>
  <c r="AH3" i="1"/>
  <c r="AJ3" i="1" s="1"/>
  <c r="AH2" i="1"/>
  <c r="AJ2" i="1" s="1"/>
  <c r="AH626" i="1"/>
  <c r="AJ626" i="1" s="1"/>
  <c r="AH618" i="1"/>
  <c r="AJ618" i="1" s="1"/>
  <c r="AH610" i="1"/>
  <c r="AJ610" i="1" s="1"/>
  <c r="AH602" i="1"/>
  <c r="AJ602" i="1" s="1"/>
  <c r="AH594" i="1"/>
  <c r="AJ594" i="1" s="1"/>
  <c r="AH586" i="1"/>
  <c r="AJ586" i="1" s="1"/>
  <c r="AH578" i="1"/>
  <c r="AJ578" i="1" s="1"/>
  <c r="AH570" i="1"/>
  <c r="AJ570" i="1" s="1"/>
  <c r="AH562" i="1"/>
  <c r="AJ562" i="1" s="1"/>
  <c r="AH554" i="1"/>
  <c r="AJ554" i="1" s="1"/>
  <c r="AH546" i="1"/>
  <c r="AJ546" i="1" s="1"/>
  <c r="AH538" i="1"/>
  <c r="AJ538" i="1" s="1"/>
  <c r="AH530" i="1"/>
  <c r="AJ530" i="1" s="1"/>
  <c r="AH522" i="1"/>
  <c r="AJ522" i="1" s="1"/>
  <c r="AH514" i="1"/>
  <c r="AJ514" i="1" s="1"/>
  <c r="AH506" i="1"/>
  <c r="AJ506" i="1" s="1"/>
  <c r="AH498" i="1"/>
  <c r="AJ498" i="1" s="1"/>
  <c r="AH490" i="1"/>
  <c r="AJ490" i="1" s="1"/>
  <c r="AH482" i="1"/>
  <c r="AJ482" i="1" s="1"/>
  <c r="AH474" i="1"/>
  <c r="AJ474" i="1" s="1"/>
  <c r="AH466" i="1"/>
  <c r="AJ466" i="1" s="1"/>
  <c r="AH458" i="1"/>
  <c r="AJ458" i="1" s="1"/>
  <c r="AH450" i="1"/>
  <c r="AJ450" i="1" s="1"/>
  <c r="AH442" i="1"/>
  <c r="AJ442" i="1" s="1"/>
  <c r="AH434" i="1"/>
  <c r="AJ434" i="1" s="1"/>
  <c r="AH426" i="1"/>
  <c r="AJ426" i="1" s="1"/>
  <c r="AH418" i="1"/>
  <c r="AJ418" i="1" s="1"/>
  <c r="AH410" i="1"/>
  <c r="AJ410" i="1" s="1"/>
  <c r="AH402" i="1"/>
  <c r="AJ402" i="1" s="1"/>
  <c r="AH394" i="1"/>
  <c r="AJ394" i="1" s="1"/>
  <c r="AH386" i="1"/>
  <c r="AJ386" i="1" s="1"/>
  <c r="AH378" i="1"/>
  <c r="AJ378" i="1" s="1"/>
  <c r="AH370" i="1"/>
  <c r="AJ370" i="1" s="1"/>
  <c r="AH362" i="1"/>
  <c r="AJ362" i="1" s="1"/>
  <c r="AH354" i="1"/>
  <c r="AJ354" i="1" s="1"/>
  <c r="AH346" i="1"/>
  <c r="AJ346" i="1" s="1"/>
  <c r="AH338" i="1"/>
  <c r="AJ338" i="1" s="1"/>
  <c r="AH330" i="1"/>
  <c r="AJ330" i="1" s="1"/>
  <c r="AH322" i="1"/>
  <c r="AJ322" i="1" s="1"/>
  <c r="AH314" i="1"/>
  <c r="AJ314" i="1" s="1"/>
  <c r="AH306" i="1"/>
  <c r="AJ306" i="1" s="1"/>
  <c r="AH298" i="1"/>
  <c r="AJ298" i="1" s="1"/>
  <c r="AH290" i="1"/>
  <c r="AJ290" i="1" s="1"/>
  <c r="AH282" i="1"/>
  <c r="AJ282" i="1" s="1"/>
  <c r="AH274" i="1"/>
  <c r="AJ274" i="1" s="1"/>
  <c r="AH266" i="1"/>
  <c r="AJ266" i="1" s="1"/>
  <c r="AH258" i="1"/>
  <c r="AJ258" i="1" s="1"/>
  <c r="AH250" i="1"/>
  <c r="AJ250" i="1" s="1"/>
  <c r="AH242" i="1"/>
  <c r="AJ242" i="1" s="1"/>
  <c r="AH234" i="1"/>
  <c r="AJ234" i="1" s="1"/>
  <c r="AH226" i="1"/>
  <c r="AJ226" i="1" s="1"/>
  <c r="AH218" i="1"/>
  <c r="AJ218" i="1" s="1"/>
  <c r="AH210" i="1"/>
  <c r="AJ210" i="1" s="1"/>
  <c r="AH202" i="1"/>
  <c r="AJ202" i="1" s="1"/>
  <c r="AH194" i="1"/>
  <c r="AJ194" i="1" s="1"/>
  <c r="AH186" i="1"/>
  <c r="AJ186" i="1" s="1"/>
  <c r="AH178" i="1"/>
  <c r="AJ178" i="1" s="1"/>
  <c r="AH170" i="1"/>
  <c r="AJ170" i="1" s="1"/>
  <c r="AH162" i="1"/>
  <c r="AJ162" i="1" s="1"/>
  <c r="AH154" i="1"/>
  <c r="AJ154" i="1" s="1"/>
  <c r="AH146" i="1"/>
  <c r="AJ146" i="1" s="1"/>
  <c r="AH138" i="1"/>
  <c r="AJ138" i="1" s="1"/>
  <c r="AH130" i="1"/>
  <c r="AJ130" i="1" s="1"/>
  <c r="AH122" i="1"/>
  <c r="AJ122" i="1" s="1"/>
  <c r="AH114" i="1"/>
  <c r="AJ114" i="1" s="1"/>
  <c r="AH106" i="1"/>
  <c r="AJ106" i="1" s="1"/>
  <c r="AH98" i="1"/>
  <c r="AJ98" i="1" s="1"/>
  <c r="AH90" i="1"/>
  <c r="AJ90" i="1" s="1"/>
  <c r="AH82" i="1"/>
  <c r="AJ82" i="1" s="1"/>
  <c r="AH74" i="1"/>
  <c r="AJ74" i="1" s="1"/>
  <c r="AH66" i="1"/>
  <c r="AJ66" i="1" s="1"/>
  <c r="AH58" i="1"/>
  <c r="AJ58" i="1" s="1"/>
  <c r="AH50" i="1"/>
  <c r="AJ50" i="1" s="1"/>
  <c r="AH42" i="1"/>
  <c r="AJ42" i="1" s="1"/>
  <c r="AH34" i="1"/>
  <c r="AJ34" i="1" s="1"/>
  <c r="AH26" i="1"/>
  <c r="AJ26" i="1" s="1"/>
  <c r="AH18" i="1"/>
  <c r="AJ18" i="1" s="1"/>
  <c r="AH10" i="1"/>
  <c r="AJ10" i="1" s="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2" i="1"/>
  <c r="Z2" i="1"/>
  <c r="Z3" i="1"/>
  <c r="Z4" i="1"/>
  <c r="Z5" i="1"/>
  <c r="Z6" i="1"/>
  <c r="Z7" i="1"/>
  <c r="Z8" i="1"/>
  <c r="Z9" i="1"/>
  <c r="Z10" i="1"/>
  <c r="Z553" i="1"/>
  <c r="Z229" i="1"/>
  <c r="Z13" i="1"/>
  <c r="Z477" i="1"/>
  <c r="Z15" i="1"/>
  <c r="Z444" i="1"/>
  <c r="Z17" i="1"/>
  <c r="Z18" i="1"/>
  <c r="Z19" i="1"/>
  <c r="Z60" i="1"/>
  <c r="Z21" i="1"/>
  <c r="Z22" i="1"/>
  <c r="Z23" i="1"/>
  <c r="Z334" i="1"/>
  <c r="Z25" i="1"/>
  <c r="Z14" i="1"/>
  <c r="Z397" i="1"/>
  <c r="Z28" i="1"/>
  <c r="Z29" i="1"/>
  <c r="Z30" i="1"/>
  <c r="Z31" i="1"/>
  <c r="Z32" i="1"/>
  <c r="Z33" i="1"/>
  <c r="Z34" i="1"/>
  <c r="Z35" i="1"/>
  <c r="Z36" i="1"/>
  <c r="Z37" i="1"/>
  <c r="Z38" i="1"/>
  <c r="Z39" i="1"/>
  <c r="Z40" i="1"/>
  <c r="Z41" i="1"/>
  <c r="Z42" i="1"/>
  <c r="Z43" i="1"/>
  <c r="Z44" i="1"/>
  <c r="Z45" i="1"/>
  <c r="Z46" i="1"/>
  <c r="Z47" i="1"/>
  <c r="Z48" i="1"/>
  <c r="Z49" i="1"/>
  <c r="Z50" i="1"/>
  <c r="Z51" i="1"/>
  <c r="Z279" i="1"/>
  <c r="Z53" i="1"/>
  <c r="Z54" i="1"/>
  <c r="Z55" i="1"/>
  <c r="Z56" i="1"/>
  <c r="Z498" i="1"/>
  <c r="Z406" i="1"/>
  <c r="Z540" i="1"/>
  <c r="Z623" i="1"/>
  <c r="Z555" i="1"/>
  <c r="Z62" i="1"/>
  <c r="Z63" i="1"/>
  <c r="Z64" i="1"/>
  <c r="Z65" i="1"/>
  <c r="Z66" i="1"/>
  <c r="Z190" i="1"/>
  <c r="Z223" i="1"/>
  <c r="Z69" i="1"/>
  <c r="Z70" i="1"/>
  <c r="Z71" i="1"/>
  <c r="Z342" i="1"/>
  <c r="Z500" i="1"/>
  <c r="Z74" i="1"/>
  <c r="Z75" i="1"/>
  <c r="Z76" i="1"/>
  <c r="Z77" i="1"/>
  <c r="Z61" i="1"/>
  <c r="Z95" i="1"/>
  <c r="Z80" i="1"/>
  <c r="Z81" i="1"/>
  <c r="Z82" i="1"/>
  <c r="Z83" i="1"/>
  <c r="Z84" i="1"/>
  <c r="Z85" i="1"/>
  <c r="Z86" i="1"/>
  <c r="Z87" i="1"/>
  <c r="Z88" i="1"/>
  <c r="Z89" i="1"/>
  <c r="Z90" i="1"/>
  <c r="Z91" i="1"/>
  <c r="Z92" i="1"/>
  <c r="Z93" i="1"/>
  <c r="Z58" i="1"/>
  <c r="Z184" i="1"/>
  <c r="Z96" i="1"/>
  <c r="Z97" i="1"/>
  <c r="Z98" i="1"/>
  <c r="Z79" i="1"/>
  <c r="Z100" i="1"/>
  <c r="Z101" i="1"/>
  <c r="Z102" i="1"/>
  <c r="Z103" i="1"/>
  <c r="Z104" i="1"/>
  <c r="Z496" i="1"/>
  <c r="Z106" i="1"/>
  <c r="Z107" i="1"/>
  <c r="Z108" i="1"/>
  <c r="Z109" i="1"/>
  <c r="Z110" i="1"/>
  <c r="Z622" i="1"/>
  <c r="Z112" i="1"/>
  <c r="Z113" i="1"/>
  <c r="Z114" i="1"/>
  <c r="Z580" i="1"/>
  <c r="Z116" i="1"/>
  <c r="Z16" i="1"/>
  <c r="Z118" i="1"/>
  <c r="Z119" i="1"/>
  <c r="Z120" i="1"/>
  <c r="Z121" i="1"/>
  <c r="Z122" i="1"/>
  <c r="Z123" i="1"/>
  <c r="Z124" i="1"/>
  <c r="Z339" i="1"/>
  <c r="Z126" i="1"/>
  <c r="Z127" i="1"/>
  <c r="Z128" i="1"/>
  <c r="Z129" i="1"/>
  <c r="Z130" i="1"/>
  <c r="Z131" i="1"/>
  <c r="Z458" i="1"/>
  <c r="Z556" i="1"/>
  <c r="Z134" i="1"/>
  <c r="Z135" i="1"/>
  <c r="Z136" i="1"/>
  <c r="Z137" i="1"/>
  <c r="Z138" i="1"/>
  <c r="Z139" i="1"/>
  <c r="Z140" i="1"/>
  <c r="Z591" i="1"/>
  <c r="Z142" i="1"/>
  <c r="Z143" i="1"/>
  <c r="Z99" i="1"/>
  <c r="Z145" i="1"/>
  <c r="Z67" i="1"/>
  <c r="Z147" i="1"/>
  <c r="Z148" i="1"/>
  <c r="Z295" i="1"/>
  <c r="Z150" i="1"/>
  <c r="Z151" i="1"/>
  <c r="Z152" i="1"/>
  <c r="Z153" i="1"/>
  <c r="Z154" i="1"/>
  <c r="Z155" i="1"/>
  <c r="Z327" i="1"/>
  <c r="Z157" i="1"/>
  <c r="Z158" i="1"/>
  <c r="Z159" i="1"/>
  <c r="Z354" i="1"/>
  <c r="Z161" i="1"/>
  <c r="Z162" i="1"/>
  <c r="Z163" i="1"/>
  <c r="Z261" i="1"/>
  <c r="Z165" i="1"/>
  <c r="Z166" i="1"/>
  <c r="Z167" i="1"/>
  <c r="Z168" i="1"/>
  <c r="Z169" i="1"/>
  <c r="Z170" i="1"/>
  <c r="Z171" i="1"/>
  <c r="Z292" i="1"/>
  <c r="Z173" i="1"/>
  <c r="Z174" i="1"/>
  <c r="Z175" i="1"/>
  <c r="Z176" i="1"/>
  <c r="Z177" i="1"/>
  <c r="Z178" i="1"/>
  <c r="Z179" i="1"/>
  <c r="Z180" i="1"/>
  <c r="Z181" i="1"/>
  <c r="Z625" i="1"/>
  <c r="Z183" i="1"/>
  <c r="Z440" i="1"/>
  <c r="Z185" i="1"/>
  <c r="Z186" i="1"/>
  <c r="Z348" i="1"/>
  <c r="Z188" i="1"/>
  <c r="Z132" i="1"/>
  <c r="Z78" i="1"/>
  <c r="Z270" i="1"/>
  <c r="Z192" i="1"/>
  <c r="Z193" i="1"/>
  <c r="Z194" i="1"/>
  <c r="Z195" i="1"/>
  <c r="Z196" i="1"/>
  <c r="Z330" i="1"/>
  <c r="Z198" i="1"/>
  <c r="Z199" i="1"/>
  <c r="Z200" i="1"/>
  <c r="Z201" i="1"/>
  <c r="Z202" i="1"/>
  <c r="Z203" i="1"/>
  <c r="Z204" i="1"/>
  <c r="Z205" i="1"/>
  <c r="Z206" i="1"/>
  <c r="Z207" i="1"/>
  <c r="Z208" i="1"/>
  <c r="Z111" i="1"/>
  <c r="Z210" i="1"/>
  <c r="Z211" i="1"/>
  <c r="Z212" i="1"/>
  <c r="Z213" i="1"/>
  <c r="Z214" i="1"/>
  <c r="Z215" i="1"/>
  <c r="Z419" i="1"/>
  <c r="Z217" i="1"/>
  <c r="Z218" i="1"/>
  <c r="Z219" i="1"/>
  <c r="Z220" i="1"/>
  <c r="Z326" i="1"/>
  <c r="Z222" i="1"/>
  <c r="Z608" i="1"/>
  <c r="Z224" i="1"/>
  <c r="Z225" i="1"/>
  <c r="Z226" i="1"/>
  <c r="Z197" i="1"/>
  <c r="Z228" i="1"/>
  <c r="Z524" i="1"/>
  <c r="Z230" i="1"/>
  <c r="Z231" i="1"/>
  <c r="Z232" i="1"/>
  <c r="Z537" i="1"/>
  <c r="Z234" i="1"/>
  <c r="Z235" i="1"/>
  <c r="Z236" i="1"/>
  <c r="Z237" i="1"/>
  <c r="Z238" i="1"/>
  <c r="Z239" i="1"/>
  <c r="Z240" i="1"/>
  <c r="Z241" i="1"/>
  <c r="Z242" i="1"/>
  <c r="Z243" i="1"/>
  <c r="Z244" i="1"/>
  <c r="Z245" i="1"/>
  <c r="Z20" i="1"/>
  <c r="Z247" i="1"/>
  <c r="Z248" i="1"/>
  <c r="Z249" i="1"/>
  <c r="Z250" i="1"/>
  <c r="Z251" i="1"/>
  <c r="Z252" i="1"/>
  <c r="Z253" i="1"/>
  <c r="Z254" i="1"/>
  <c r="Z255" i="1"/>
  <c r="Z256" i="1"/>
  <c r="Z257" i="1"/>
  <c r="Z258" i="1"/>
  <c r="Z259" i="1"/>
  <c r="Z260" i="1"/>
  <c r="Z453" i="1"/>
  <c r="Z262" i="1"/>
  <c r="Z209" i="1"/>
  <c r="Z94" i="1"/>
  <c r="Z265" i="1"/>
  <c r="Z266" i="1"/>
  <c r="Z267" i="1"/>
  <c r="Z268" i="1"/>
  <c r="Z269" i="1"/>
  <c r="Z216" i="1"/>
  <c r="Z271" i="1"/>
  <c r="Z468" i="1"/>
  <c r="Z273" i="1"/>
  <c r="Z274" i="1"/>
  <c r="Z275" i="1"/>
  <c r="Z276" i="1"/>
  <c r="Z221" i="1"/>
  <c r="Z278" i="1"/>
  <c r="Z494" i="1"/>
  <c r="Z280" i="1"/>
  <c r="Z281" i="1"/>
  <c r="Z282" i="1"/>
  <c r="Z283" i="1"/>
  <c r="Z284" i="1"/>
  <c r="Z285" i="1"/>
  <c r="Z286" i="1"/>
  <c r="Z287" i="1"/>
  <c r="Z288" i="1"/>
  <c r="Z289" i="1"/>
  <c r="Z115" i="1"/>
  <c r="Z291" i="1"/>
  <c r="Z189" i="1"/>
  <c r="Z495" i="1"/>
  <c r="Z146" i="1"/>
  <c r="Z463" i="1"/>
  <c r="Z296" i="1"/>
  <c r="Z297" i="1"/>
  <c r="Z298" i="1"/>
  <c r="Z299" i="1"/>
  <c r="Z300" i="1"/>
  <c r="Z308" i="1"/>
  <c r="Z302" i="1"/>
  <c r="Z303" i="1"/>
  <c r="Z73" i="1"/>
  <c r="Z305" i="1"/>
  <c r="Z306" i="1"/>
  <c r="Z307" i="1"/>
  <c r="Z59" i="1"/>
  <c r="Z309" i="1"/>
  <c r="Z310" i="1"/>
  <c r="Z311" i="1"/>
  <c r="Z312" i="1"/>
  <c r="Z272" i="1"/>
  <c r="Z321" i="1"/>
  <c r="Z315" i="1"/>
  <c r="Z316" i="1"/>
  <c r="Z317" i="1"/>
  <c r="Z318" i="1"/>
  <c r="Z182" i="1"/>
  <c r="Z320" i="1"/>
  <c r="Z24" i="1"/>
  <c r="Z322" i="1"/>
  <c r="Z323" i="1"/>
  <c r="Z324" i="1"/>
  <c r="Z227" i="1"/>
  <c r="Z325" i="1"/>
  <c r="Z357" i="1"/>
  <c r="Z328" i="1"/>
  <c r="Z329" i="1"/>
  <c r="Z551" i="1"/>
  <c r="Z331" i="1"/>
  <c r="Z332" i="1"/>
  <c r="Z333" i="1"/>
  <c r="Z481" i="1"/>
  <c r="Z519" i="1"/>
  <c r="Z336" i="1"/>
  <c r="Z337" i="1"/>
  <c r="Z338" i="1"/>
  <c r="Z233" i="1"/>
  <c r="Z561" i="1"/>
  <c r="Z341" i="1"/>
  <c r="Z72" i="1"/>
  <c r="Z343" i="1"/>
  <c r="Z344" i="1"/>
  <c r="Z345" i="1"/>
  <c r="Z346" i="1"/>
  <c r="Z347" i="1"/>
  <c r="Z12" i="1"/>
  <c r="Z349" i="1"/>
  <c r="Z350" i="1"/>
  <c r="Z351" i="1"/>
  <c r="Z352" i="1"/>
  <c r="Z353" i="1"/>
  <c r="Z133" i="1"/>
  <c r="Z355" i="1"/>
  <c r="Z356" i="1"/>
  <c r="Z149" i="1"/>
  <c r="Z587" i="1"/>
  <c r="Z264" i="1"/>
  <c r="Z558" i="1"/>
  <c r="Z361" i="1"/>
  <c r="Z68"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293" i="1"/>
  <c r="Z398" i="1"/>
  <c r="Z399" i="1"/>
  <c r="Z400" i="1"/>
  <c r="Z401" i="1"/>
  <c r="Z402" i="1"/>
  <c r="Z403" i="1"/>
  <c r="Z404" i="1"/>
  <c r="Z405" i="1"/>
  <c r="Z359" i="1"/>
  <c r="Z407" i="1"/>
  <c r="Z408" i="1"/>
  <c r="Z409" i="1"/>
  <c r="Z410" i="1"/>
  <c r="Z144" i="1"/>
  <c r="Z412" i="1"/>
  <c r="Z413" i="1"/>
  <c r="Z414" i="1"/>
  <c r="Z415" i="1"/>
  <c r="Z416" i="1"/>
  <c r="Z417" i="1"/>
  <c r="Z335" i="1"/>
  <c r="Z418" i="1"/>
  <c r="Z420" i="1"/>
  <c r="Z421" i="1"/>
  <c r="Z422" i="1"/>
  <c r="Z423" i="1"/>
  <c r="Z424" i="1"/>
  <c r="Z425" i="1"/>
  <c r="Z426" i="1"/>
  <c r="Z427" i="1"/>
  <c r="Z428" i="1"/>
  <c r="Z429" i="1"/>
  <c r="Z430" i="1"/>
  <c r="Z431" i="1"/>
  <c r="Z432" i="1"/>
  <c r="Z433" i="1"/>
  <c r="Z434" i="1"/>
  <c r="Z435" i="1"/>
  <c r="Z436" i="1"/>
  <c r="Z437" i="1"/>
  <c r="Z438" i="1"/>
  <c r="Z439" i="1"/>
  <c r="Z141" i="1"/>
  <c r="Z441" i="1"/>
  <c r="Z442" i="1"/>
  <c r="Z443" i="1"/>
  <c r="Z105" i="1"/>
  <c r="Z445" i="1"/>
  <c r="Z446" i="1"/>
  <c r="Z447" i="1"/>
  <c r="Z448" i="1"/>
  <c r="Z449" i="1"/>
  <c r="Z450" i="1"/>
  <c r="Z451" i="1"/>
  <c r="Z452" i="1"/>
  <c r="Z187" i="1"/>
  <c r="Z454" i="1"/>
  <c r="Z455" i="1"/>
  <c r="Z456" i="1"/>
  <c r="Z290" i="1"/>
  <c r="Z191" i="1"/>
  <c r="Z459" i="1"/>
  <c r="Z460" i="1"/>
  <c r="Z461" i="1"/>
  <c r="Z462" i="1"/>
  <c r="Z601" i="1"/>
  <c r="Z464" i="1"/>
  <c r="Z465" i="1"/>
  <c r="Z466" i="1"/>
  <c r="Z467" i="1"/>
  <c r="Z573" i="1"/>
  <c r="Z469" i="1"/>
  <c r="Z470" i="1"/>
  <c r="Z471" i="1"/>
  <c r="Z472" i="1"/>
  <c r="Z473" i="1"/>
  <c r="Z474" i="1"/>
  <c r="Z475" i="1"/>
  <c r="Z476" i="1"/>
  <c r="Z26" i="1"/>
  <c r="Z478" i="1"/>
  <c r="Z479" i="1"/>
  <c r="Z480" i="1"/>
  <c r="Z156" i="1"/>
  <c r="Z482" i="1"/>
  <c r="Z483" i="1"/>
  <c r="Z484" i="1"/>
  <c r="Z485" i="1"/>
  <c r="Z117" i="1"/>
  <c r="Z487" i="1"/>
  <c r="Z488" i="1"/>
  <c r="Z489" i="1"/>
  <c r="Z490" i="1"/>
  <c r="Z491" i="1"/>
  <c r="Z583" i="1"/>
  <c r="Z493" i="1"/>
  <c r="Z457" i="1"/>
  <c r="Z246" i="1"/>
  <c r="Z319" i="1"/>
  <c r="Z497" i="1"/>
  <c r="Z57" i="1"/>
  <c r="Z499" i="1"/>
  <c r="Z362" i="1"/>
  <c r="Z607" i="1"/>
  <c r="Z502" i="1"/>
  <c r="Z503" i="1"/>
  <c r="Z504" i="1"/>
  <c r="Z505" i="1"/>
  <c r="Z486" i="1"/>
  <c r="Z507" i="1"/>
  <c r="Z508" i="1"/>
  <c r="Z509" i="1"/>
  <c r="Z510" i="1"/>
  <c r="Z511" i="1"/>
  <c r="Z512" i="1"/>
  <c r="Z513" i="1"/>
  <c r="Z514" i="1"/>
  <c r="Z515" i="1"/>
  <c r="Z516" i="1"/>
  <c r="Z517" i="1"/>
  <c r="Z518" i="1"/>
  <c r="Z596" i="1"/>
  <c r="Z520" i="1"/>
  <c r="Z521" i="1"/>
  <c r="Z522" i="1"/>
  <c r="Z523" i="1"/>
  <c r="Z160" i="1"/>
  <c r="Z525" i="1"/>
  <c r="Z526" i="1"/>
  <c r="Z527" i="1"/>
  <c r="Z528" i="1"/>
  <c r="Z529" i="1"/>
  <c r="Z530" i="1"/>
  <c r="Z531" i="1"/>
  <c r="Z532" i="1"/>
  <c r="Z533" i="1"/>
  <c r="Z534" i="1"/>
  <c r="Z535" i="1"/>
  <c r="Z536" i="1"/>
  <c r="Z358" i="1"/>
  <c r="Z538" i="1"/>
  <c r="Z539" i="1"/>
  <c r="Z164" i="1"/>
  <c r="Z541" i="1"/>
  <c r="Z542" i="1"/>
  <c r="Z543" i="1"/>
  <c r="Z544" i="1"/>
  <c r="Z545" i="1"/>
  <c r="Z546" i="1"/>
  <c r="Z547" i="1"/>
  <c r="Z548" i="1"/>
  <c r="Z277" i="1"/>
  <c r="Z550" i="1"/>
  <c r="Z304" i="1"/>
  <c r="Z552" i="1"/>
  <c r="Z584" i="1"/>
  <c r="Z554" i="1"/>
  <c r="Z172" i="1"/>
  <c r="Z263" i="1"/>
  <c r="Z557" i="1"/>
  <c r="Z52" i="1"/>
  <c r="Z559" i="1"/>
  <c r="Z560" i="1"/>
  <c r="Z301" i="1"/>
  <c r="Z562" i="1"/>
  <c r="Z563" i="1"/>
  <c r="Z564" i="1"/>
  <c r="Z565" i="1"/>
  <c r="Z566" i="1"/>
  <c r="Z567" i="1"/>
  <c r="Z568" i="1"/>
  <c r="Z569" i="1"/>
  <c r="Z570" i="1"/>
  <c r="Z571" i="1"/>
  <c r="Z572" i="1"/>
  <c r="Z549" i="1"/>
  <c r="Z574" i="1"/>
  <c r="Z575" i="1"/>
  <c r="Z576" i="1"/>
  <c r="Z577" i="1"/>
  <c r="Z578" i="1"/>
  <c r="Z579" i="1"/>
  <c r="Z492" i="1"/>
  <c r="Z581" i="1"/>
  <c r="Z582" i="1"/>
  <c r="Z27" i="1"/>
  <c r="Z11" i="1"/>
  <c r="Z585" i="1"/>
  <c r="Z586" i="1"/>
  <c r="Z501" i="1"/>
  <c r="Z588" i="1"/>
  <c r="Z589" i="1"/>
  <c r="Z590" i="1"/>
  <c r="Z314" i="1"/>
  <c r="Z360" i="1"/>
  <c r="Z593" i="1"/>
  <c r="Z594" i="1"/>
  <c r="Z595" i="1"/>
  <c r="Z411" i="1"/>
  <c r="Z597" i="1"/>
  <c r="Z598" i="1"/>
  <c r="Z599" i="1"/>
  <c r="Z600" i="1"/>
  <c r="Z313" i="1"/>
  <c r="Z602" i="1"/>
  <c r="Z603" i="1"/>
  <c r="Z604" i="1"/>
  <c r="Z605" i="1"/>
  <c r="Z606" i="1"/>
  <c r="Z125" i="1"/>
  <c r="Z294" i="1"/>
  <c r="Z609" i="1"/>
  <c r="Z610" i="1"/>
  <c r="Z611" i="1"/>
  <c r="Z612" i="1"/>
  <c r="Z613" i="1"/>
  <c r="Z614" i="1"/>
  <c r="Z615" i="1"/>
  <c r="Z616" i="1"/>
  <c r="Z617" i="1"/>
  <c r="Z618" i="1"/>
  <c r="Z619" i="1"/>
  <c r="Z620" i="1"/>
  <c r="Z621" i="1"/>
  <c r="Z592" i="1"/>
  <c r="Z506" i="1"/>
  <c r="Z624" i="1"/>
  <c r="Z340" i="1"/>
  <c r="Z626" i="1"/>
  <c r="Z627" i="1"/>
  <c r="Z628" i="1"/>
  <c r="Z629" i="1"/>
  <c r="Z630" i="1"/>
  <c r="Z631" i="1"/>
  <c r="Z632" i="1"/>
  <c r="Z633" i="1"/>
  <c r="O13" i="18"/>
  <c r="Y3" i="1" l="1"/>
  <c r="Y4" i="1"/>
  <c r="Y5" i="1"/>
  <c r="Y6" i="1"/>
  <c r="Y7" i="1"/>
  <c r="Y8" i="1"/>
  <c r="Y9" i="1"/>
  <c r="Y10" i="1"/>
  <c r="Y553" i="1"/>
  <c r="Y229" i="1"/>
  <c r="Y13" i="1"/>
  <c r="Y477" i="1"/>
  <c r="Y15" i="1"/>
  <c r="Y444" i="1"/>
  <c r="Y17" i="1"/>
  <c r="Y18" i="1"/>
  <c r="Y19" i="1"/>
  <c r="Y60" i="1"/>
  <c r="Y21" i="1"/>
  <c r="Y22" i="1"/>
  <c r="Y23" i="1"/>
  <c r="Y334" i="1"/>
  <c r="Y25" i="1"/>
  <c r="Y14" i="1"/>
  <c r="Y397" i="1"/>
  <c r="Y28" i="1"/>
  <c r="Y29" i="1"/>
  <c r="Y30" i="1"/>
  <c r="Y31" i="1"/>
  <c r="Y32" i="1"/>
  <c r="Y33" i="1"/>
  <c r="Y34" i="1"/>
  <c r="Y35" i="1"/>
  <c r="Y36" i="1"/>
  <c r="Y37" i="1"/>
  <c r="Y38" i="1"/>
  <c r="Y39" i="1"/>
  <c r="Y40" i="1"/>
  <c r="Y41" i="1"/>
  <c r="Y42" i="1"/>
  <c r="Y43" i="1"/>
  <c r="Y44" i="1"/>
  <c r="Y45" i="1"/>
  <c r="Y46" i="1"/>
  <c r="Y47" i="1"/>
  <c r="Y48" i="1"/>
  <c r="Y49" i="1"/>
  <c r="Y50" i="1"/>
  <c r="Y51" i="1"/>
  <c r="Y279" i="1"/>
  <c r="Y53" i="1"/>
  <c r="Y54" i="1"/>
  <c r="Y55" i="1"/>
  <c r="Y56" i="1"/>
  <c r="Y498" i="1"/>
  <c r="Y406" i="1"/>
  <c r="Y540" i="1"/>
  <c r="Y623" i="1"/>
  <c r="Y555" i="1"/>
  <c r="Y62" i="1"/>
  <c r="Y63" i="1"/>
  <c r="Y64" i="1"/>
  <c r="Y65" i="1"/>
  <c r="Y66" i="1"/>
  <c r="Y190" i="1"/>
  <c r="Y223" i="1"/>
  <c r="Y69" i="1"/>
  <c r="Y70" i="1"/>
  <c r="Y71" i="1"/>
  <c r="Y342" i="1"/>
  <c r="Y500" i="1"/>
  <c r="Y74" i="1"/>
  <c r="Y75" i="1"/>
  <c r="Y76" i="1"/>
  <c r="Y77" i="1"/>
  <c r="Y61" i="1"/>
  <c r="Y95" i="1"/>
  <c r="Y80" i="1"/>
  <c r="Y81" i="1"/>
  <c r="Y82" i="1"/>
  <c r="Y83" i="1"/>
  <c r="Y84" i="1"/>
  <c r="Y85" i="1"/>
  <c r="Y86" i="1"/>
  <c r="Y87" i="1"/>
  <c r="Y88" i="1"/>
  <c r="Y89" i="1"/>
  <c r="Y90" i="1"/>
  <c r="Y91" i="1"/>
  <c r="Y92" i="1"/>
  <c r="Y93" i="1"/>
  <c r="Y58" i="1"/>
  <c r="Y184" i="1"/>
  <c r="Y96" i="1"/>
  <c r="Y97" i="1"/>
  <c r="Y98" i="1"/>
  <c r="Y79" i="1"/>
  <c r="Y100" i="1"/>
  <c r="Y101" i="1"/>
  <c r="Y102" i="1"/>
  <c r="Y103" i="1"/>
  <c r="Y104" i="1"/>
  <c r="Y496" i="1"/>
  <c r="Y106" i="1"/>
  <c r="Y107" i="1"/>
  <c r="Y108" i="1"/>
  <c r="Y109" i="1"/>
  <c r="Y110" i="1"/>
  <c r="Y622" i="1"/>
  <c r="Y112" i="1"/>
  <c r="Y113" i="1"/>
  <c r="Y114" i="1"/>
  <c r="Y580" i="1"/>
  <c r="Y116" i="1"/>
  <c r="Y16" i="1"/>
  <c r="Y118" i="1"/>
  <c r="Y119" i="1"/>
  <c r="Y120" i="1"/>
  <c r="Y121" i="1"/>
  <c r="Y122" i="1"/>
  <c r="Y123" i="1"/>
  <c r="Y124" i="1"/>
  <c r="Y339" i="1"/>
  <c r="Y126" i="1"/>
  <c r="Y127" i="1"/>
  <c r="Y128" i="1"/>
  <c r="Y129" i="1"/>
  <c r="Y130" i="1"/>
  <c r="Y131" i="1"/>
  <c r="Y458" i="1"/>
  <c r="Y556" i="1"/>
  <c r="Y134" i="1"/>
  <c r="Y135" i="1"/>
  <c r="Y136" i="1"/>
  <c r="Y137" i="1"/>
  <c r="Y138" i="1"/>
  <c r="Y139" i="1"/>
  <c r="Y140" i="1"/>
  <c r="Y591" i="1"/>
  <c r="Y142" i="1"/>
  <c r="Y143" i="1"/>
  <c r="Y99" i="1"/>
  <c r="Y145" i="1"/>
  <c r="Y67" i="1"/>
  <c r="Y147" i="1"/>
  <c r="Y148" i="1"/>
  <c r="Y295" i="1"/>
  <c r="Y150" i="1"/>
  <c r="Y151" i="1"/>
  <c r="Y152" i="1"/>
  <c r="Y153" i="1"/>
  <c r="Y154" i="1"/>
  <c r="Y155" i="1"/>
  <c r="Y327" i="1"/>
  <c r="Y157" i="1"/>
  <c r="Y158" i="1"/>
  <c r="Y159" i="1"/>
  <c r="Y354" i="1"/>
  <c r="Y161" i="1"/>
  <c r="Y162" i="1"/>
  <c r="Y163" i="1"/>
  <c r="Y261" i="1"/>
  <c r="Y165" i="1"/>
  <c r="Y166" i="1"/>
  <c r="Y167" i="1"/>
  <c r="Y168" i="1"/>
  <c r="Y169" i="1"/>
  <c r="Y170" i="1"/>
  <c r="Y171" i="1"/>
  <c r="Y292" i="1"/>
  <c r="Y173" i="1"/>
  <c r="Y174" i="1"/>
  <c r="Y175" i="1"/>
  <c r="Y176" i="1"/>
  <c r="Y177" i="1"/>
  <c r="Y178" i="1"/>
  <c r="Y179" i="1"/>
  <c r="Y180" i="1"/>
  <c r="Y181" i="1"/>
  <c r="Y625" i="1"/>
  <c r="Y183" i="1"/>
  <c r="Y440" i="1"/>
  <c r="Y185" i="1"/>
  <c r="Y186" i="1"/>
  <c r="Y348" i="1"/>
  <c r="Y188" i="1"/>
  <c r="Y132" i="1"/>
  <c r="Y78" i="1"/>
  <c r="Y270" i="1"/>
  <c r="Y192" i="1"/>
  <c r="Y193" i="1"/>
  <c r="Y194" i="1"/>
  <c r="Y195" i="1"/>
  <c r="Y196" i="1"/>
  <c r="Y330" i="1"/>
  <c r="Y198" i="1"/>
  <c r="Y199" i="1"/>
  <c r="Y200" i="1"/>
  <c r="Y201" i="1"/>
  <c r="Y202" i="1"/>
  <c r="Y203" i="1"/>
  <c r="Y204" i="1"/>
  <c r="Y205" i="1"/>
  <c r="Y206" i="1"/>
  <c r="Y207" i="1"/>
  <c r="Y208" i="1"/>
  <c r="Y111" i="1"/>
  <c r="Y210" i="1"/>
  <c r="Y211" i="1"/>
  <c r="Y212" i="1"/>
  <c r="Y213" i="1"/>
  <c r="Y214" i="1"/>
  <c r="Y215" i="1"/>
  <c r="Y419" i="1"/>
  <c r="Y217" i="1"/>
  <c r="Y218" i="1"/>
  <c r="Y219" i="1"/>
  <c r="Y220" i="1"/>
  <c r="Y326" i="1"/>
  <c r="Y222" i="1"/>
  <c r="Y608" i="1"/>
  <c r="Y224" i="1"/>
  <c r="Y225" i="1"/>
  <c r="Y226" i="1"/>
  <c r="Y197" i="1"/>
  <c r="Y228" i="1"/>
  <c r="Y524" i="1"/>
  <c r="Y230" i="1"/>
  <c r="Y231" i="1"/>
  <c r="Y232" i="1"/>
  <c r="Y537" i="1"/>
  <c r="Y234" i="1"/>
  <c r="Y235" i="1"/>
  <c r="Y236" i="1"/>
  <c r="Y237" i="1"/>
  <c r="Y238" i="1"/>
  <c r="Y239" i="1"/>
  <c r="Y240" i="1"/>
  <c r="Y241" i="1"/>
  <c r="Y242" i="1"/>
  <c r="Y243" i="1"/>
  <c r="Y244" i="1"/>
  <c r="Y245" i="1"/>
  <c r="Y20" i="1"/>
  <c r="Y247" i="1"/>
  <c r="Y248" i="1"/>
  <c r="Y249" i="1"/>
  <c r="Y250" i="1"/>
  <c r="Y251" i="1"/>
  <c r="Y252" i="1"/>
  <c r="Y253" i="1"/>
  <c r="Y254" i="1"/>
  <c r="Y255" i="1"/>
  <c r="Y256" i="1"/>
  <c r="Y257" i="1"/>
  <c r="Y258" i="1"/>
  <c r="Y259" i="1"/>
  <c r="Y260" i="1"/>
  <c r="Y453" i="1"/>
  <c r="Y262" i="1"/>
  <c r="Y209" i="1"/>
  <c r="Y94" i="1"/>
  <c r="Y265" i="1"/>
  <c r="Y266" i="1"/>
  <c r="Y267" i="1"/>
  <c r="Y268" i="1"/>
  <c r="Y269" i="1"/>
  <c r="Y216" i="1"/>
  <c r="Y271" i="1"/>
  <c r="Y468" i="1"/>
  <c r="Y273" i="1"/>
  <c r="Y274" i="1"/>
  <c r="Y275" i="1"/>
  <c r="Y276" i="1"/>
  <c r="Y221" i="1"/>
  <c r="Y278" i="1"/>
  <c r="Y494" i="1"/>
  <c r="Y280" i="1"/>
  <c r="Y281" i="1"/>
  <c r="Y282" i="1"/>
  <c r="Y283" i="1"/>
  <c r="Y284" i="1"/>
  <c r="Y285" i="1"/>
  <c r="Y286" i="1"/>
  <c r="Y287" i="1"/>
  <c r="Y288" i="1"/>
  <c r="Y289" i="1"/>
  <c r="Y115" i="1"/>
  <c r="Y291" i="1"/>
  <c r="Y189" i="1"/>
  <c r="Y495" i="1"/>
  <c r="Y146" i="1"/>
  <c r="Y463" i="1"/>
  <c r="Y296" i="1"/>
  <c r="Y297" i="1"/>
  <c r="Y298" i="1"/>
  <c r="Y299" i="1"/>
  <c r="Y300" i="1"/>
  <c r="Y308" i="1"/>
  <c r="Y302" i="1"/>
  <c r="Y303" i="1"/>
  <c r="Y73" i="1"/>
  <c r="Y305" i="1"/>
  <c r="Y306" i="1"/>
  <c r="Y307" i="1"/>
  <c r="Y59" i="1"/>
  <c r="Y309" i="1"/>
  <c r="Y310" i="1"/>
  <c r="Y311" i="1"/>
  <c r="Y312" i="1"/>
  <c r="Y272" i="1"/>
  <c r="Y321" i="1"/>
  <c r="Y315" i="1"/>
  <c r="Y316" i="1"/>
  <c r="Y317" i="1"/>
  <c r="Y318" i="1"/>
  <c r="Y182" i="1"/>
  <c r="Y320" i="1"/>
  <c r="Y24" i="1"/>
  <c r="Y322" i="1"/>
  <c r="Y323" i="1"/>
  <c r="Y324" i="1"/>
  <c r="Y227" i="1"/>
  <c r="Y325" i="1"/>
  <c r="Y357" i="1"/>
  <c r="Y328" i="1"/>
  <c r="Y329" i="1"/>
  <c r="Y551" i="1"/>
  <c r="Y331" i="1"/>
  <c r="Y332" i="1"/>
  <c r="Y333" i="1"/>
  <c r="Y481" i="1"/>
  <c r="Y519" i="1"/>
  <c r="Y336" i="1"/>
  <c r="Y337" i="1"/>
  <c r="Y338" i="1"/>
  <c r="Y233" i="1"/>
  <c r="Y561" i="1"/>
  <c r="Y341" i="1"/>
  <c r="Y72" i="1"/>
  <c r="Y343" i="1"/>
  <c r="Y344" i="1"/>
  <c r="Y345" i="1"/>
  <c r="Y346" i="1"/>
  <c r="Y347" i="1"/>
  <c r="Y12" i="1"/>
  <c r="Y349" i="1"/>
  <c r="Y350" i="1"/>
  <c r="Y351" i="1"/>
  <c r="Y352" i="1"/>
  <c r="Y353" i="1"/>
  <c r="Y133" i="1"/>
  <c r="Y355" i="1"/>
  <c r="Y356" i="1"/>
  <c r="Y149" i="1"/>
  <c r="Y587" i="1"/>
  <c r="Y264" i="1"/>
  <c r="Y558" i="1"/>
  <c r="Y361" i="1"/>
  <c r="Y68"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293" i="1"/>
  <c r="Y398" i="1"/>
  <c r="Y399" i="1"/>
  <c r="Y400" i="1"/>
  <c r="Y401" i="1"/>
  <c r="Y402" i="1"/>
  <c r="Y403" i="1"/>
  <c r="Y404" i="1"/>
  <c r="Y405" i="1"/>
  <c r="Y359" i="1"/>
  <c r="Y407" i="1"/>
  <c r="Y408" i="1"/>
  <c r="Y409" i="1"/>
  <c r="Y410" i="1"/>
  <c r="Y144" i="1"/>
  <c r="Y412" i="1"/>
  <c r="Y413" i="1"/>
  <c r="Y414" i="1"/>
  <c r="Y415" i="1"/>
  <c r="Y416" i="1"/>
  <c r="Y417" i="1"/>
  <c r="Y335" i="1"/>
  <c r="Y418" i="1"/>
  <c r="Y420" i="1"/>
  <c r="Y421" i="1"/>
  <c r="Y422" i="1"/>
  <c r="Y423" i="1"/>
  <c r="Y424" i="1"/>
  <c r="Y425" i="1"/>
  <c r="Y426" i="1"/>
  <c r="Y427" i="1"/>
  <c r="Y428" i="1"/>
  <c r="Y429" i="1"/>
  <c r="Y430" i="1"/>
  <c r="Y431" i="1"/>
  <c r="Y432" i="1"/>
  <c r="Y433" i="1"/>
  <c r="Y434" i="1"/>
  <c r="Y435" i="1"/>
  <c r="Y436" i="1"/>
  <c r="Y437" i="1"/>
  <c r="Y438" i="1"/>
  <c r="Y439" i="1"/>
  <c r="Y141" i="1"/>
  <c r="Y441" i="1"/>
  <c r="Y442" i="1"/>
  <c r="Y443" i="1"/>
  <c r="Y105" i="1"/>
  <c r="Y445" i="1"/>
  <c r="Y446" i="1"/>
  <c r="Y447" i="1"/>
  <c r="Y448" i="1"/>
  <c r="Y449" i="1"/>
  <c r="Y450" i="1"/>
  <c r="Y451" i="1"/>
  <c r="Y452" i="1"/>
  <c r="Y187" i="1"/>
  <c r="Y454" i="1"/>
  <c r="Y455" i="1"/>
  <c r="Y456" i="1"/>
  <c r="Y290" i="1"/>
  <c r="Y191" i="1"/>
  <c r="Y459" i="1"/>
  <c r="Y460" i="1"/>
  <c r="Y461" i="1"/>
  <c r="Y462" i="1"/>
  <c r="Y601" i="1"/>
  <c r="Y464" i="1"/>
  <c r="Y465" i="1"/>
  <c r="Y466" i="1"/>
  <c r="Y467" i="1"/>
  <c r="Y573" i="1"/>
  <c r="Y469" i="1"/>
  <c r="Y470" i="1"/>
  <c r="Y471" i="1"/>
  <c r="Y472" i="1"/>
  <c r="Y473" i="1"/>
  <c r="Y474" i="1"/>
  <c r="Y475" i="1"/>
  <c r="Y476" i="1"/>
  <c r="Y26" i="1"/>
  <c r="Y478" i="1"/>
  <c r="Y479" i="1"/>
  <c r="Y480" i="1"/>
  <c r="Y156" i="1"/>
  <c r="Y482" i="1"/>
  <c r="Y483" i="1"/>
  <c r="Y484" i="1"/>
  <c r="Y485" i="1"/>
  <c r="Y117" i="1"/>
  <c r="Y487" i="1"/>
  <c r="Y488" i="1"/>
  <c r="Y489" i="1"/>
  <c r="Y490" i="1"/>
  <c r="Y491" i="1"/>
  <c r="Y583" i="1"/>
  <c r="Y493" i="1"/>
  <c r="Y457" i="1"/>
  <c r="Y246" i="1"/>
  <c r="Y319" i="1"/>
  <c r="Y497" i="1"/>
  <c r="Y57" i="1"/>
  <c r="Y499" i="1"/>
  <c r="Y362" i="1"/>
  <c r="Y607" i="1"/>
  <c r="Y502" i="1"/>
  <c r="Y503" i="1"/>
  <c r="Y504" i="1"/>
  <c r="Y505" i="1"/>
  <c r="Y486" i="1"/>
  <c r="Y507" i="1"/>
  <c r="Y508" i="1"/>
  <c r="Y509" i="1"/>
  <c r="Y510" i="1"/>
  <c r="Y511" i="1"/>
  <c r="Y512" i="1"/>
  <c r="Y513" i="1"/>
  <c r="Y514" i="1"/>
  <c r="Y515" i="1"/>
  <c r="Y516" i="1"/>
  <c r="Y517" i="1"/>
  <c r="Y518" i="1"/>
  <c r="Y596" i="1"/>
  <c r="Y520" i="1"/>
  <c r="Y521" i="1"/>
  <c r="Y522" i="1"/>
  <c r="Y523" i="1"/>
  <c r="Y160" i="1"/>
  <c r="Y525" i="1"/>
  <c r="Y526" i="1"/>
  <c r="Y527" i="1"/>
  <c r="Y528" i="1"/>
  <c r="Y529" i="1"/>
  <c r="Y530" i="1"/>
  <c r="Y531" i="1"/>
  <c r="Y532" i="1"/>
  <c r="Y533" i="1"/>
  <c r="Y534" i="1"/>
  <c r="Y535" i="1"/>
  <c r="Y536" i="1"/>
  <c r="Y358" i="1"/>
  <c r="Y538" i="1"/>
  <c r="Y539" i="1"/>
  <c r="Y164" i="1"/>
  <c r="Y541" i="1"/>
  <c r="Y542" i="1"/>
  <c r="Y543" i="1"/>
  <c r="Y544" i="1"/>
  <c r="Y545" i="1"/>
  <c r="Y546" i="1"/>
  <c r="Y547" i="1"/>
  <c r="Y548" i="1"/>
  <c r="Y277" i="1"/>
  <c r="Y550" i="1"/>
  <c r="Y304" i="1"/>
  <c r="Y552" i="1"/>
  <c r="Y584" i="1"/>
  <c r="Y554" i="1"/>
  <c r="Y172" i="1"/>
  <c r="Y263" i="1"/>
  <c r="Y557" i="1"/>
  <c r="Y52" i="1"/>
  <c r="Y559" i="1"/>
  <c r="Y560" i="1"/>
  <c r="Y301" i="1"/>
  <c r="Y562" i="1"/>
  <c r="Y563" i="1"/>
  <c r="Y564" i="1"/>
  <c r="Y565" i="1"/>
  <c r="Y566" i="1"/>
  <c r="Y567" i="1"/>
  <c r="Y568" i="1"/>
  <c r="Y569" i="1"/>
  <c r="Y570" i="1"/>
  <c r="Y571" i="1"/>
  <c r="Y572" i="1"/>
  <c r="Y549" i="1"/>
  <c r="Y574" i="1"/>
  <c r="Y575" i="1"/>
  <c r="Y576" i="1"/>
  <c r="Y577" i="1"/>
  <c r="Y578" i="1"/>
  <c r="Y579" i="1"/>
  <c r="Y492" i="1"/>
  <c r="Y581" i="1"/>
  <c r="Y582" i="1"/>
  <c r="Y27" i="1"/>
  <c r="Y11" i="1"/>
  <c r="Y585" i="1"/>
  <c r="Y586" i="1"/>
  <c r="Y501" i="1"/>
  <c r="Y588" i="1"/>
  <c r="Y589" i="1"/>
  <c r="Y590" i="1"/>
  <c r="Y314" i="1"/>
  <c r="Y360" i="1"/>
  <c r="Y593" i="1"/>
  <c r="Y594" i="1"/>
  <c r="Y595" i="1"/>
  <c r="Y411" i="1"/>
  <c r="Y597" i="1"/>
  <c r="Y598" i="1"/>
  <c r="Y599" i="1"/>
  <c r="Y600" i="1"/>
  <c r="Y313" i="1"/>
  <c r="Y602" i="1"/>
  <c r="Y603" i="1"/>
  <c r="Y604" i="1"/>
  <c r="Y605" i="1"/>
  <c r="Y606" i="1"/>
  <c r="Y125" i="1"/>
  <c r="Y294" i="1"/>
  <c r="Y609" i="1"/>
  <c r="Y610" i="1"/>
  <c r="Y611" i="1"/>
  <c r="Y612" i="1"/>
  <c r="Y613" i="1"/>
  <c r="Y614" i="1"/>
  <c r="Y615" i="1"/>
  <c r="Y616" i="1"/>
  <c r="Y617" i="1"/>
  <c r="Y618" i="1"/>
  <c r="Y619" i="1"/>
  <c r="Y620" i="1"/>
  <c r="Y621" i="1"/>
  <c r="Y592" i="1"/>
  <c r="Y506" i="1"/>
  <c r="Y624" i="1"/>
  <c r="Y340" i="1"/>
  <c r="Y626" i="1"/>
  <c r="Y627" i="1"/>
  <c r="Y628" i="1"/>
  <c r="Y629" i="1"/>
  <c r="Y630" i="1"/>
  <c r="Y631" i="1"/>
  <c r="Y632" i="1"/>
  <c r="Y633" i="1"/>
  <c r="Y2" i="1"/>
  <c r="V136" i="1"/>
  <c r="W136" i="1" s="1"/>
  <c r="V9" i="1"/>
  <c r="W9" i="1" s="1"/>
  <c r="V477" i="1"/>
  <c r="V17" i="1"/>
  <c r="W17" i="1" s="1"/>
  <c r="V19" i="1"/>
  <c r="V23" i="1"/>
  <c r="V25" i="1"/>
  <c r="W25" i="1" s="1"/>
  <c r="V33" i="1"/>
  <c r="W33" i="1" s="1"/>
  <c r="V34" i="1"/>
  <c r="V36" i="1"/>
  <c r="V39" i="1"/>
  <c r="V41" i="1"/>
  <c r="W41" i="1" s="1"/>
  <c r="V49" i="1"/>
  <c r="W49" i="1" s="1"/>
  <c r="V56" i="1"/>
  <c r="V498" i="1"/>
  <c r="W498" i="1" s="1"/>
  <c r="V623" i="1"/>
  <c r="V64" i="1"/>
  <c r="V65" i="1"/>
  <c r="W65" i="1" s="1"/>
  <c r="V500" i="1"/>
  <c r="W500" i="1" s="1"/>
  <c r="V74" i="1"/>
  <c r="V75" i="1"/>
  <c r="V61" i="1"/>
  <c r="V81" i="1"/>
  <c r="W81" i="1" s="1"/>
  <c r="V89" i="1"/>
  <c r="W89" i="1" s="1"/>
  <c r="V92" i="1"/>
  <c r="V97" i="1"/>
  <c r="W97" i="1" s="1"/>
  <c r="V101" i="1"/>
  <c r="V496" i="1"/>
  <c r="W496" i="1" s="1"/>
  <c r="V110" i="1"/>
  <c r="V622" i="1"/>
  <c r="V113" i="1"/>
  <c r="W113" i="1" s="1"/>
  <c r="V580" i="1"/>
  <c r="V119" i="1"/>
  <c r="V121" i="1"/>
  <c r="W121" i="1" s="1"/>
  <c r="V128" i="1"/>
  <c r="V129" i="1"/>
  <c r="W129" i="1" s="1"/>
  <c r="V130" i="1"/>
  <c r="V458" i="1"/>
  <c r="D3" i="1"/>
  <c r="X3" i="1" s="1"/>
  <c r="D4" i="1"/>
  <c r="D5" i="1"/>
  <c r="X5" i="1" s="1"/>
  <c r="D6" i="1"/>
  <c r="D7" i="1"/>
  <c r="X7" i="1" s="1"/>
  <c r="D8" i="1"/>
  <c r="D9" i="1"/>
  <c r="D10" i="1"/>
  <c r="D553" i="1"/>
  <c r="X553" i="1" s="1"/>
  <c r="D229" i="1"/>
  <c r="X229" i="1" s="1"/>
  <c r="D13" i="1"/>
  <c r="D477" i="1"/>
  <c r="G477" i="1" s="1"/>
  <c r="D15" i="1"/>
  <c r="G15" i="1" s="1"/>
  <c r="D444" i="1"/>
  <c r="X444" i="1" s="1"/>
  <c r="D17" i="1"/>
  <c r="D18" i="1"/>
  <c r="G18" i="1" s="1"/>
  <c r="D19" i="1"/>
  <c r="D60" i="1"/>
  <c r="D21" i="1"/>
  <c r="X21" i="1" s="1"/>
  <c r="D22" i="1"/>
  <c r="D23" i="1"/>
  <c r="X23" i="1" s="1"/>
  <c r="D334" i="1"/>
  <c r="D25" i="1"/>
  <c r="D14" i="1"/>
  <c r="X14" i="1" s="1"/>
  <c r="D397" i="1"/>
  <c r="X397" i="1" s="1"/>
  <c r="D28" i="1"/>
  <c r="D29" i="1"/>
  <c r="D30" i="1"/>
  <c r="D31" i="1"/>
  <c r="D32" i="1"/>
  <c r="G32" i="1" s="1"/>
  <c r="D33" i="1"/>
  <c r="D34" i="1"/>
  <c r="G34" i="1" s="1"/>
  <c r="D35" i="1"/>
  <c r="X35" i="1" s="1"/>
  <c r="D36" i="1"/>
  <c r="D37" i="1"/>
  <c r="D38" i="1"/>
  <c r="D39" i="1"/>
  <c r="X39" i="1" s="1"/>
  <c r="D40" i="1"/>
  <c r="G40" i="1" s="1"/>
  <c r="D41" i="1"/>
  <c r="D42" i="1"/>
  <c r="X42" i="1" s="1"/>
  <c r="D43" i="1"/>
  <c r="X43" i="1" s="1"/>
  <c r="D44" i="1"/>
  <c r="D45" i="1"/>
  <c r="X45" i="1" s="1"/>
  <c r="D46" i="1"/>
  <c r="D47" i="1"/>
  <c r="D48" i="1"/>
  <c r="X48" i="1" s="1"/>
  <c r="D49" i="1"/>
  <c r="D50" i="1"/>
  <c r="G50" i="1" s="1"/>
  <c r="D51" i="1"/>
  <c r="D279" i="1"/>
  <c r="D53" i="1"/>
  <c r="X53" i="1" s="1"/>
  <c r="D54" i="1"/>
  <c r="G54" i="1" s="1"/>
  <c r="D55" i="1"/>
  <c r="D56" i="1"/>
  <c r="X56" i="1" s="1"/>
  <c r="D498" i="1"/>
  <c r="G498" i="1" s="1"/>
  <c r="D406" i="1"/>
  <c r="X406" i="1" s="1"/>
  <c r="D540" i="1"/>
  <c r="D623" i="1"/>
  <c r="D555" i="1"/>
  <c r="X555" i="1" s="1"/>
  <c r="D62" i="1"/>
  <c r="X62" i="1" s="1"/>
  <c r="D63" i="1"/>
  <c r="D64" i="1"/>
  <c r="D65" i="1"/>
  <c r="D66" i="1"/>
  <c r="X66" i="1" s="1"/>
  <c r="D190" i="1"/>
  <c r="X190" i="1" s="1"/>
  <c r="D223" i="1"/>
  <c r="D69" i="1"/>
  <c r="D70" i="1"/>
  <c r="X70" i="1" s="1"/>
  <c r="D71" i="1"/>
  <c r="G71" i="1" s="1"/>
  <c r="D342" i="1"/>
  <c r="X342" i="1" s="1"/>
  <c r="D500" i="1"/>
  <c r="D74" i="1"/>
  <c r="X74" i="1" s="1"/>
  <c r="D75" i="1"/>
  <c r="X75" i="1" s="1"/>
  <c r="D76" i="1"/>
  <c r="D77" i="1"/>
  <c r="D61" i="1"/>
  <c r="G61" i="1" s="1"/>
  <c r="D95" i="1"/>
  <c r="D80" i="1"/>
  <c r="X80" i="1" s="1"/>
  <c r="D81" i="1"/>
  <c r="D82" i="1"/>
  <c r="D83" i="1"/>
  <c r="X83" i="1" s="1"/>
  <c r="D84" i="1"/>
  <c r="D85" i="1"/>
  <c r="D86" i="1"/>
  <c r="D87" i="1"/>
  <c r="G87" i="1" s="1"/>
  <c r="D88" i="1"/>
  <c r="G88" i="1" s="1"/>
  <c r="D89" i="1"/>
  <c r="D90" i="1"/>
  <c r="G90" i="1" s="1"/>
  <c r="D91" i="1"/>
  <c r="D92" i="1"/>
  <c r="D93" i="1"/>
  <c r="D58" i="1"/>
  <c r="X58" i="1" s="1"/>
  <c r="D184" i="1"/>
  <c r="D96" i="1"/>
  <c r="D97" i="1"/>
  <c r="D98" i="1"/>
  <c r="X98" i="1" s="1"/>
  <c r="D79" i="1"/>
  <c r="X79" i="1" s="1"/>
  <c r="D100" i="1"/>
  <c r="D101" i="1"/>
  <c r="D102" i="1"/>
  <c r="X102" i="1" s="1"/>
  <c r="D103" i="1"/>
  <c r="G103" i="1" s="1"/>
  <c r="D104" i="1"/>
  <c r="X104" i="1" s="1"/>
  <c r="D496" i="1"/>
  <c r="D106" i="1"/>
  <c r="D107" i="1"/>
  <c r="D108" i="1"/>
  <c r="D109" i="1"/>
  <c r="D110" i="1"/>
  <c r="G110" i="1" s="1"/>
  <c r="D622" i="1"/>
  <c r="D112" i="1"/>
  <c r="G112" i="1" s="1"/>
  <c r="D113" i="1"/>
  <c r="D114" i="1"/>
  <c r="D580" i="1"/>
  <c r="D116" i="1"/>
  <c r="D16" i="1"/>
  <c r="D118" i="1"/>
  <c r="D119" i="1"/>
  <c r="G119" i="1" s="1"/>
  <c r="D120" i="1"/>
  <c r="X120" i="1" s="1"/>
  <c r="D121" i="1"/>
  <c r="D122" i="1"/>
  <c r="X122" i="1" s="1"/>
  <c r="D123" i="1"/>
  <c r="D124" i="1"/>
  <c r="D339" i="1"/>
  <c r="D126" i="1"/>
  <c r="X126" i="1" s="1"/>
  <c r="D127" i="1"/>
  <c r="G127" i="1" s="1"/>
  <c r="D128" i="1"/>
  <c r="G128" i="1" s="1"/>
  <c r="D129" i="1"/>
  <c r="D130" i="1"/>
  <c r="X130" i="1" s="1"/>
  <c r="D131" i="1"/>
  <c r="D458" i="1"/>
  <c r="D556" i="1"/>
  <c r="D134" i="1"/>
  <c r="X134" i="1" s="1"/>
  <c r="D135" i="1"/>
  <c r="D136" i="1"/>
  <c r="X136" i="1" s="1"/>
  <c r="D137" i="1"/>
  <c r="D138" i="1"/>
  <c r="G138" i="1" s="1"/>
  <c r="D139" i="1"/>
  <c r="D140" i="1"/>
  <c r="D591" i="1"/>
  <c r="D142" i="1"/>
  <c r="D143" i="1"/>
  <c r="G143" i="1" s="1"/>
  <c r="D99" i="1"/>
  <c r="X99" i="1" s="1"/>
  <c r="D145" i="1"/>
  <c r="D67" i="1"/>
  <c r="D147" i="1"/>
  <c r="D148" i="1"/>
  <c r="X148" i="1" s="1"/>
  <c r="D295" i="1"/>
  <c r="D150" i="1"/>
  <c r="D151" i="1"/>
  <c r="D152" i="1"/>
  <c r="D153" i="1"/>
  <c r="D154" i="1"/>
  <c r="G154" i="1" s="1"/>
  <c r="D155" i="1"/>
  <c r="D327" i="1"/>
  <c r="D157" i="1"/>
  <c r="D158" i="1"/>
  <c r="X158" i="1" s="1"/>
  <c r="D159" i="1"/>
  <c r="D354" i="1"/>
  <c r="G354" i="1" s="1"/>
  <c r="D161" i="1"/>
  <c r="D162" i="1"/>
  <c r="X162" i="1" s="1"/>
  <c r="D163" i="1"/>
  <c r="X163" i="1" s="1"/>
  <c r="D261" i="1"/>
  <c r="D165" i="1"/>
  <c r="D166" i="1"/>
  <c r="X166" i="1" s="1"/>
  <c r="D167" i="1"/>
  <c r="D168" i="1"/>
  <c r="X168" i="1" s="1"/>
  <c r="D169" i="1"/>
  <c r="D170" i="1"/>
  <c r="D171" i="1"/>
  <c r="D292" i="1"/>
  <c r="D173" i="1"/>
  <c r="D174" i="1"/>
  <c r="X174" i="1" s="1"/>
  <c r="D175" i="1"/>
  <c r="D176" i="1"/>
  <c r="X176" i="1" s="1"/>
  <c r="D177" i="1"/>
  <c r="X177" i="1" s="1"/>
  <c r="D178" i="1"/>
  <c r="G178" i="1" s="1"/>
  <c r="D179" i="1"/>
  <c r="D180" i="1"/>
  <c r="D181" i="1"/>
  <c r="D625" i="1"/>
  <c r="D183" i="1"/>
  <c r="D440" i="1"/>
  <c r="X440" i="1" s="1"/>
  <c r="D185" i="1"/>
  <c r="D186" i="1"/>
  <c r="X186" i="1" s="1"/>
  <c r="D348" i="1"/>
  <c r="D188" i="1"/>
  <c r="D132" i="1"/>
  <c r="D78" i="1"/>
  <c r="X78" i="1" s="1"/>
  <c r="D270" i="1"/>
  <c r="G270" i="1" s="1"/>
  <c r="D192" i="1"/>
  <c r="D193" i="1"/>
  <c r="X193" i="1" s="1"/>
  <c r="D194" i="1"/>
  <c r="X194" i="1" s="1"/>
  <c r="D195" i="1"/>
  <c r="D196" i="1"/>
  <c r="D330" i="1"/>
  <c r="D198" i="1"/>
  <c r="X198" i="1" s="1"/>
  <c r="D199" i="1"/>
  <c r="D200" i="1"/>
  <c r="D201" i="1"/>
  <c r="D202" i="1"/>
  <c r="X202" i="1" s="1"/>
  <c r="D203" i="1"/>
  <c r="D204" i="1"/>
  <c r="D205" i="1"/>
  <c r="D206" i="1"/>
  <c r="G206" i="1" s="1"/>
  <c r="D207" i="1"/>
  <c r="D208" i="1"/>
  <c r="X208" i="1" s="1"/>
  <c r="D111" i="1"/>
  <c r="D210" i="1"/>
  <c r="G210" i="1" s="1"/>
  <c r="D211" i="1"/>
  <c r="D212" i="1"/>
  <c r="D213" i="1"/>
  <c r="D214" i="1"/>
  <c r="D215" i="1"/>
  <c r="D419" i="1"/>
  <c r="D217" i="1"/>
  <c r="D218" i="1"/>
  <c r="X218" i="1" s="1"/>
  <c r="D219" i="1"/>
  <c r="D220" i="1"/>
  <c r="D326" i="1"/>
  <c r="X326" i="1" s="1"/>
  <c r="D222" i="1"/>
  <c r="G222" i="1" s="1"/>
  <c r="D608" i="1"/>
  <c r="D224" i="1"/>
  <c r="D225" i="1"/>
  <c r="D226" i="1"/>
  <c r="X226" i="1" s="1"/>
  <c r="D197" i="1"/>
  <c r="D228" i="1"/>
  <c r="D524" i="1"/>
  <c r="D230" i="1"/>
  <c r="G230" i="1" s="1"/>
  <c r="D231" i="1"/>
  <c r="D232" i="1"/>
  <c r="D537" i="1"/>
  <c r="X537" i="1" s="1"/>
  <c r="D234" i="1"/>
  <c r="D235" i="1"/>
  <c r="D236" i="1"/>
  <c r="D237" i="1"/>
  <c r="D238" i="1"/>
  <c r="X238" i="1" s="1"/>
  <c r="D239" i="1"/>
  <c r="D240" i="1"/>
  <c r="D241" i="1"/>
  <c r="D242" i="1"/>
  <c r="X242" i="1" s="1"/>
  <c r="D243" i="1"/>
  <c r="D244" i="1"/>
  <c r="D245" i="1"/>
  <c r="X245" i="1" s="1"/>
  <c r="D20" i="1"/>
  <c r="G20" i="1" s="1"/>
  <c r="D247" i="1"/>
  <c r="D248" i="1"/>
  <c r="D249" i="1"/>
  <c r="D250" i="1"/>
  <c r="X250" i="1" s="1"/>
  <c r="D251" i="1"/>
  <c r="D252" i="1"/>
  <c r="D253" i="1"/>
  <c r="D254" i="1"/>
  <c r="X254" i="1" s="1"/>
  <c r="D255" i="1"/>
  <c r="D256" i="1"/>
  <c r="D257" i="1"/>
  <c r="D258" i="1"/>
  <c r="X258" i="1" s="1"/>
  <c r="D259" i="1"/>
  <c r="D260" i="1"/>
  <c r="D453" i="1"/>
  <c r="D262" i="1"/>
  <c r="X262" i="1" s="1"/>
  <c r="D209" i="1"/>
  <c r="G209" i="1" s="1"/>
  <c r="D94" i="1"/>
  <c r="D265" i="1"/>
  <c r="D266" i="1"/>
  <c r="X266" i="1" s="1"/>
  <c r="D267" i="1"/>
  <c r="D268" i="1"/>
  <c r="D269" i="1"/>
  <c r="X269" i="1" s="1"/>
  <c r="D216" i="1"/>
  <c r="D271" i="1"/>
  <c r="D468" i="1"/>
  <c r="D273" i="1"/>
  <c r="D274" i="1"/>
  <c r="G274" i="1" s="1"/>
  <c r="D275" i="1"/>
  <c r="D276" i="1"/>
  <c r="D221" i="1"/>
  <c r="D278" i="1"/>
  <c r="X278" i="1" s="1"/>
  <c r="D494" i="1"/>
  <c r="D280" i="1"/>
  <c r="D281" i="1"/>
  <c r="D282" i="1"/>
  <c r="X282" i="1" s="1"/>
  <c r="D283" i="1"/>
  <c r="D284" i="1"/>
  <c r="D285" i="1"/>
  <c r="D286" i="1"/>
  <c r="X286" i="1" s="1"/>
  <c r="D287" i="1"/>
  <c r="D288" i="1"/>
  <c r="D289" i="1"/>
  <c r="D115" i="1"/>
  <c r="X115" i="1" s="1"/>
  <c r="D291" i="1"/>
  <c r="D189" i="1"/>
  <c r="X189" i="1" s="1"/>
  <c r="D495" i="1"/>
  <c r="D146" i="1"/>
  <c r="G146" i="1" s="1"/>
  <c r="D463" i="1"/>
  <c r="D296" i="1"/>
  <c r="G296" i="1" s="1"/>
  <c r="D297" i="1"/>
  <c r="D298" i="1"/>
  <c r="X298" i="1" s="1"/>
  <c r="D299" i="1"/>
  <c r="D300" i="1"/>
  <c r="D308" i="1"/>
  <c r="X308" i="1" s="1"/>
  <c r="D302" i="1"/>
  <c r="X302" i="1" s="1"/>
  <c r="D303" i="1"/>
  <c r="D73" i="1"/>
  <c r="D305" i="1"/>
  <c r="D306" i="1"/>
  <c r="X306" i="1" s="1"/>
  <c r="D307" i="1"/>
  <c r="D59" i="1"/>
  <c r="D309" i="1"/>
  <c r="D310" i="1"/>
  <c r="X310" i="1" s="1"/>
  <c r="D311" i="1"/>
  <c r="D312" i="1"/>
  <c r="D272" i="1"/>
  <c r="D321" i="1"/>
  <c r="X321" i="1" s="1"/>
  <c r="D315" i="1"/>
  <c r="D316" i="1"/>
  <c r="D317" i="1"/>
  <c r="D318" i="1"/>
  <c r="X318" i="1" s="1"/>
  <c r="D182" i="1"/>
  <c r="X182" i="1" s="1"/>
  <c r="D320" i="1"/>
  <c r="D24" i="1"/>
  <c r="D322" i="1"/>
  <c r="G322" i="1" s="1"/>
  <c r="D323" i="1"/>
  <c r="D324" i="1"/>
  <c r="D227" i="1"/>
  <c r="D325" i="1"/>
  <c r="X325" i="1" s="1"/>
  <c r="D357" i="1"/>
  <c r="D328" i="1"/>
  <c r="X328" i="1" s="1"/>
  <c r="D329" i="1"/>
  <c r="D551" i="1"/>
  <c r="G551" i="1" s="1"/>
  <c r="D331" i="1"/>
  <c r="D332" i="1"/>
  <c r="D333" i="1"/>
  <c r="D481" i="1"/>
  <c r="X481" i="1" s="1"/>
  <c r="D519" i="1"/>
  <c r="D336" i="1"/>
  <c r="D337" i="1"/>
  <c r="X337" i="1" s="1"/>
  <c r="D338" i="1"/>
  <c r="X338" i="1" s="1"/>
  <c r="D233" i="1"/>
  <c r="D561" i="1"/>
  <c r="D341" i="1"/>
  <c r="D72" i="1"/>
  <c r="X72" i="1" s="1"/>
  <c r="D343" i="1"/>
  <c r="D344" i="1"/>
  <c r="D345" i="1"/>
  <c r="D346" i="1"/>
  <c r="X346" i="1" s="1"/>
  <c r="D347" i="1"/>
  <c r="D12" i="1"/>
  <c r="D349" i="1"/>
  <c r="D350" i="1"/>
  <c r="G350" i="1" s="1"/>
  <c r="D351" i="1"/>
  <c r="D352" i="1"/>
  <c r="D353" i="1"/>
  <c r="D133" i="1"/>
  <c r="D355" i="1"/>
  <c r="D356" i="1"/>
  <c r="X356" i="1" s="1"/>
  <c r="D149" i="1"/>
  <c r="D587" i="1"/>
  <c r="X587" i="1" s="1"/>
  <c r="D264" i="1"/>
  <c r="D558" i="1"/>
  <c r="D361" i="1"/>
  <c r="D68" i="1"/>
  <c r="D363" i="1"/>
  <c r="D364" i="1"/>
  <c r="D365" i="1"/>
  <c r="X365" i="1" s="1"/>
  <c r="D366" i="1"/>
  <c r="G366" i="1" s="1"/>
  <c r="D367" i="1"/>
  <c r="D368" i="1"/>
  <c r="D369" i="1"/>
  <c r="D370" i="1"/>
  <c r="D371" i="1"/>
  <c r="D372" i="1"/>
  <c r="D373" i="1"/>
  <c r="D374" i="1"/>
  <c r="X374" i="1" s="1"/>
  <c r="D375" i="1"/>
  <c r="D376" i="1"/>
  <c r="D377" i="1"/>
  <c r="D378" i="1"/>
  <c r="D379" i="1"/>
  <c r="D380" i="1"/>
  <c r="D381" i="1"/>
  <c r="D382" i="1"/>
  <c r="X382" i="1" s="1"/>
  <c r="D383" i="1"/>
  <c r="X383" i="1" s="1"/>
  <c r="D384" i="1"/>
  <c r="D385" i="1"/>
  <c r="D386" i="1"/>
  <c r="D387" i="1"/>
  <c r="D388" i="1"/>
  <c r="D389" i="1"/>
  <c r="D390" i="1"/>
  <c r="D391" i="1"/>
  <c r="D392" i="1"/>
  <c r="X392" i="1" s="1"/>
  <c r="D393" i="1"/>
  <c r="D394" i="1"/>
  <c r="D395" i="1"/>
  <c r="D396" i="1"/>
  <c r="D293" i="1"/>
  <c r="D398" i="1"/>
  <c r="D399" i="1"/>
  <c r="G399" i="1" s="1"/>
  <c r="D400" i="1"/>
  <c r="D401" i="1"/>
  <c r="X401" i="1" s="1"/>
  <c r="D402" i="1"/>
  <c r="D403" i="1"/>
  <c r="D404" i="1"/>
  <c r="D405" i="1"/>
  <c r="D359" i="1"/>
  <c r="D407" i="1"/>
  <c r="D408" i="1"/>
  <c r="D409" i="1"/>
  <c r="D410" i="1"/>
  <c r="X410" i="1" s="1"/>
  <c r="D144" i="1"/>
  <c r="D412" i="1"/>
  <c r="D413" i="1"/>
  <c r="D414" i="1"/>
  <c r="D415" i="1"/>
  <c r="D416" i="1"/>
  <c r="D417" i="1"/>
  <c r="D335" i="1"/>
  <c r="D418" i="1"/>
  <c r="D420" i="1"/>
  <c r="X420" i="1" s="1"/>
  <c r="D421" i="1"/>
  <c r="D422" i="1"/>
  <c r="D423" i="1"/>
  <c r="D424" i="1"/>
  <c r="D425" i="1"/>
  <c r="D426" i="1"/>
  <c r="D427" i="1"/>
  <c r="D428" i="1"/>
  <c r="X428" i="1" s="1"/>
  <c r="D429" i="1"/>
  <c r="D430" i="1"/>
  <c r="D431" i="1"/>
  <c r="D432" i="1"/>
  <c r="D433" i="1"/>
  <c r="G433" i="1" s="1"/>
  <c r="D434" i="1"/>
  <c r="D435" i="1"/>
  <c r="D436" i="1"/>
  <c r="X436" i="1" s="1"/>
  <c r="D437" i="1"/>
  <c r="D438" i="1"/>
  <c r="D439" i="1"/>
  <c r="D141" i="1"/>
  <c r="D441" i="1"/>
  <c r="D442" i="1"/>
  <c r="D443" i="1"/>
  <c r="D105" i="1"/>
  <c r="X105" i="1" s="1"/>
  <c r="D445" i="1"/>
  <c r="D446" i="1"/>
  <c r="D447" i="1"/>
  <c r="D448" i="1"/>
  <c r="D449" i="1"/>
  <c r="D450" i="1"/>
  <c r="D451" i="1"/>
  <c r="D452" i="1"/>
  <c r="X452" i="1" s="1"/>
  <c r="D187" i="1"/>
  <c r="D454" i="1"/>
  <c r="D455" i="1"/>
  <c r="D456" i="1"/>
  <c r="D290" i="1"/>
  <c r="D191" i="1"/>
  <c r="D459" i="1"/>
  <c r="D460" i="1"/>
  <c r="X460" i="1" s="1"/>
  <c r="D461" i="1"/>
  <c r="D462" i="1"/>
  <c r="D601" i="1"/>
  <c r="D464" i="1"/>
  <c r="D465" i="1"/>
  <c r="D466" i="1"/>
  <c r="G466" i="1" s="1"/>
  <c r="D467" i="1"/>
  <c r="D573" i="1"/>
  <c r="X573" i="1" s="1"/>
  <c r="D469" i="1"/>
  <c r="D470" i="1"/>
  <c r="D471" i="1"/>
  <c r="D472" i="1"/>
  <c r="D473" i="1"/>
  <c r="D474" i="1"/>
  <c r="D475" i="1"/>
  <c r="D476" i="1"/>
  <c r="X476" i="1" s="1"/>
  <c r="D26" i="1"/>
  <c r="D478" i="1"/>
  <c r="D479" i="1"/>
  <c r="D480" i="1"/>
  <c r="D156" i="1"/>
  <c r="D482" i="1"/>
  <c r="D483" i="1"/>
  <c r="D484" i="1"/>
  <c r="X484" i="1" s="1"/>
  <c r="D485" i="1"/>
  <c r="D117" i="1"/>
  <c r="D487" i="1"/>
  <c r="D488" i="1"/>
  <c r="D489" i="1"/>
  <c r="D490" i="1"/>
  <c r="D491" i="1"/>
  <c r="D583" i="1"/>
  <c r="X583" i="1" s="1"/>
  <c r="D493" i="1"/>
  <c r="D457" i="1"/>
  <c r="D246" i="1"/>
  <c r="D319" i="1"/>
  <c r="D497" i="1"/>
  <c r="D57" i="1"/>
  <c r="D499" i="1"/>
  <c r="D362" i="1"/>
  <c r="X362" i="1" s="1"/>
  <c r="D607" i="1"/>
  <c r="D502" i="1"/>
  <c r="G502" i="1" s="1"/>
  <c r="D503" i="1"/>
  <c r="D504" i="1"/>
  <c r="D505" i="1"/>
  <c r="D486" i="1"/>
  <c r="D507" i="1"/>
  <c r="D508" i="1"/>
  <c r="X508" i="1" s="1"/>
  <c r="D509" i="1"/>
  <c r="D510" i="1"/>
  <c r="D511" i="1"/>
  <c r="D512" i="1"/>
  <c r="D513" i="1"/>
  <c r="D514" i="1"/>
  <c r="D515" i="1"/>
  <c r="D516" i="1"/>
  <c r="X516" i="1" s="1"/>
  <c r="D517" i="1"/>
  <c r="D518" i="1"/>
  <c r="D596" i="1"/>
  <c r="D520" i="1"/>
  <c r="D521" i="1"/>
  <c r="D522" i="1"/>
  <c r="D523" i="1"/>
  <c r="D160" i="1"/>
  <c r="X160" i="1" s="1"/>
  <c r="D525" i="1"/>
  <c r="D526" i="1"/>
  <c r="D527" i="1"/>
  <c r="D528" i="1"/>
  <c r="D529" i="1"/>
  <c r="D530" i="1"/>
  <c r="D531" i="1"/>
  <c r="D532" i="1"/>
  <c r="X532" i="1" s="1"/>
  <c r="D533" i="1"/>
  <c r="D534" i="1"/>
  <c r="D535" i="1"/>
  <c r="D536" i="1"/>
  <c r="G536" i="1" s="1"/>
  <c r="D358" i="1"/>
  <c r="D538" i="1"/>
  <c r="D539" i="1"/>
  <c r="D164" i="1"/>
  <c r="X164" i="1" s="1"/>
  <c r="D541" i="1"/>
  <c r="D542" i="1"/>
  <c r="D543" i="1"/>
  <c r="D544" i="1"/>
  <c r="D545" i="1"/>
  <c r="D546" i="1"/>
  <c r="D547" i="1"/>
  <c r="D548" i="1"/>
  <c r="X548" i="1" s="1"/>
  <c r="D277" i="1"/>
  <c r="D550" i="1"/>
  <c r="D304" i="1"/>
  <c r="D552" i="1"/>
  <c r="D584" i="1"/>
  <c r="D554" i="1"/>
  <c r="D172" i="1"/>
  <c r="D263" i="1"/>
  <c r="X263" i="1" s="1"/>
  <c r="D557" i="1"/>
  <c r="D52" i="1"/>
  <c r="D559" i="1"/>
  <c r="D560" i="1"/>
  <c r="D301" i="1"/>
  <c r="D562" i="1"/>
  <c r="D563" i="1"/>
  <c r="D564" i="1"/>
  <c r="X564" i="1" s="1"/>
  <c r="D565" i="1"/>
  <c r="D566" i="1"/>
  <c r="D567" i="1"/>
  <c r="D568" i="1"/>
  <c r="D569" i="1"/>
  <c r="G569" i="1" s="1"/>
  <c r="D570" i="1"/>
  <c r="D571" i="1"/>
  <c r="D572" i="1"/>
  <c r="X572" i="1" s="1"/>
  <c r="D549" i="1"/>
  <c r="D574" i="1"/>
  <c r="D575" i="1"/>
  <c r="D576" i="1"/>
  <c r="D577" i="1"/>
  <c r="D578" i="1"/>
  <c r="D579" i="1"/>
  <c r="D492" i="1"/>
  <c r="X492" i="1" s="1"/>
  <c r="D581" i="1"/>
  <c r="D582" i="1"/>
  <c r="D27" i="1"/>
  <c r="D11" i="1"/>
  <c r="D585" i="1"/>
  <c r="D586" i="1"/>
  <c r="D501" i="1"/>
  <c r="D588" i="1"/>
  <c r="X588" i="1" s="1"/>
  <c r="D589" i="1"/>
  <c r="D590" i="1"/>
  <c r="D314" i="1"/>
  <c r="D360" i="1"/>
  <c r="D593" i="1"/>
  <c r="D594" i="1"/>
  <c r="D595" i="1"/>
  <c r="D411" i="1"/>
  <c r="X411" i="1" s="1"/>
  <c r="D597" i="1"/>
  <c r="D598" i="1"/>
  <c r="D599" i="1"/>
  <c r="D600" i="1"/>
  <c r="D313" i="1"/>
  <c r="D602" i="1"/>
  <c r="G602" i="1" s="1"/>
  <c r="D603" i="1"/>
  <c r="D604" i="1"/>
  <c r="X604" i="1" s="1"/>
  <c r="D605" i="1"/>
  <c r="D606" i="1"/>
  <c r="D125" i="1"/>
  <c r="D294" i="1"/>
  <c r="D609" i="1"/>
  <c r="D610" i="1"/>
  <c r="D611" i="1"/>
  <c r="D612" i="1"/>
  <c r="X612" i="1" s="1"/>
  <c r="D613" i="1"/>
  <c r="D614" i="1"/>
  <c r="D615" i="1"/>
  <c r="D616" i="1"/>
  <c r="D617" i="1"/>
  <c r="D618" i="1"/>
  <c r="D619" i="1"/>
  <c r="D620" i="1"/>
  <c r="X620" i="1" s="1"/>
  <c r="D621" i="1"/>
  <c r="D592" i="1"/>
  <c r="D506" i="1"/>
  <c r="D624" i="1"/>
  <c r="D340" i="1"/>
  <c r="G340" i="1" s="1"/>
  <c r="D626" i="1"/>
  <c r="D627" i="1"/>
  <c r="D628" i="1"/>
  <c r="X628" i="1" s="1"/>
  <c r="D629" i="1"/>
  <c r="D630" i="1"/>
  <c r="D631" i="1"/>
  <c r="D632" i="1"/>
  <c r="D633" i="1"/>
  <c r="D2" i="1"/>
  <c r="E3" i="1"/>
  <c r="E4" i="1"/>
  <c r="E5" i="1"/>
  <c r="E6" i="1"/>
  <c r="E7" i="1"/>
  <c r="E8" i="1"/>
  <c r="E9" i="1"/>
  <c r="E10" i="1"/>
  <c r="E553" i="1"/>
  <c r="E229" i="1"/>
  <c r="E13" i="1"/>
  <c r="E477" i="1"/>
  <c r="E15" i="1"/>
  <c r="E444" i="1"/>
  <c r="E17" i="1"/>
  <c r="E18" i="1"/>
  <c r="E19" i="1"/>
  <c r="E60" i="1"/>
  <c r="E21" i="1"/>
  <c r="E22" i="1"/>
  <c r="E23" i="1"/>
  <c r="E334" i="1"/>
  <c r="E25" i="1"/>
  <c r="E14" i="1"/>
  <c r="E397" i="1"/>
  <c r="E28" i="1"/>
  <c r="E29" i="1"/>
  <c r="E30" i="1"/>
  <c r="E31" i="1"/>
  <c r="E32" i="1"/>
  <c r="E33" i="1"/>
  <c r="E34" i="1"/>
  <c r="E35" i="1"/>
  <c r="E36" i="1"/>
  <c r="E37" i="1"/>
  <c r="E38" i="1"/>
  <c r="E39" i="1"/>
  <c r="E40" i="1"/>
  <c r="E41" i="1"/>
  <c r="E42" i="1"/>
  <c r="E43" i="1"/>
  <c r="E44" i="1"/>
  <c r="E45" i="1"/>
  <c r="E46" i="1"/>
  <c r="E47" i="1"/>
  <c r="E48" i="1"/>
  <c r="E49" i="1"/>
  <c r="E50" i="1"/>
  <c r="E51" i="1"/>
  <c r="E279" i="1"/>
  <c r="E53" i="1"/>
  <c r="E54" i="1"/>
  <c r="E55" i="1"/>
  <c r="E56" i="1"/>
  <c r="E498" i="1"/>
  <c r="E406" i="1"/>
  <c r="E540" i="1"/>
  <c r="E623" i="1"/>
  <c r="E555" i="1"/>
  <c r="E62" i="1"/>
  <c r="E63" i="1"/>
  <c r="E64" i="1"/>
  <c r="E65" i="1"/>
  <c r="F65" i="1" s="1"/>
  <c r="E66" i="1"/>
  <c r="E190" i="1"/>
  <c r="E223" i="1"/>
  <c r="E69" i="1"/>
  <c r="E70" i="1"/>
  <c r="E71" i="1"/>
  <c r="E342" i="1"/>
  <c r="E500" i="1"/>
  <c r="E74" i="1"/>
  <c r="E75" i="1"/>
  <c r="E76" i="1"/>
  <c r="E77" i="1"/>
  <c r="E61" i="1"/>
  <c r="E95" i="1"/>
  <c r="E80" i="1"/>
  <c r="E81" i="1"/>
  <c r="E82" i="1"/>
  <c r="E83" i="1"/>
  <c r="E84" i="1"/>
  <c r="E85" i="1"/>
  <c r="E86" i="1"/>
  <c r="E87" i="1"/>
  <c r="E88" i="1"/>
  <c r="E89" i="1"/>
  <c r="E90" i="1"/>
  <c r="E91" i="1"/>
  <c r="E92" i="1"/>
  <c r="E93" i="1"/>
  <c r="E58" i="1"/>
  <c r="E184" i="1"/>
  <c r="E96" i="1"/>
  <c r="E97" i="1"/>
  <c r="F97" i="1" s="1"/>
  <c r="E98" i="1"/>
  <c r="F98" i="1" s="1"/>
  <c r="E79" i="1"/>
  <c r="E100" i="1"/>
  <c r="E101" i="1"/>
  <c r="E102" i="1"/>
  <c r="E103" i="1"/>
  <c r="E104" i="1"/>
  <c r="E496" i="1"/>
  <c r="E106" i="1"/>
  <c r="E107" i="1"/>
  <c r="E108" i="1"/>
  <c r="E109" i="1"/>
  <c r="E110" i="1"/>
  <c r="E622" i="1"/>
  <c r="E112" i="1"/>
  <c r="E113" i="1"/>
  <c r="E114" i="1"/>
  <c r="E580" i="1"/>
  <c r="E116" i="1"/>
  <c r="E16" i="1"/>
  <c r="E118" i="1"/>
  <c r="E119" i="1"/>
  <c r="E120" i="1"/>
  <c r="E121" i="1"/>
  <c r="E122" i="1"/>
  <c r="E123" i="1"/>
  <c r="E124" i="1"/>
  <c r="E339" i="1"/>
  <c r="E126" i="1"/>
  <c r="E127" i="1"/>
  <c r="E128" i="1"/>
  <c r="E129" i="1"/>
  <c r="F129" i="1" s="1"/>
  <c r="E130" i="1"/>
  <c r="E131" i="1"/>
  <c r="E458" i="1"/>
  <c r="E556" i="1"/>
  <c r="E134" i="1"/>
  <c r="E135" i="1"/>
  <c r="E136" i="1"/>
  <c r="E137" i="1"/>
  <c r="E138" i="1"/>
  <c r="E139" i="1"/>
  <c r="E140" i="1"/>
  <c r="E591" i="1"/>
  <c r="E142" i="1"/>
  <c r="E143" i="1"/>
  <c r="E99" i="1"/>
  <c r="E145" i="1"/>
  <c r="E67" i="1"/>
  <c r="E147" i="1"/>
  <c r="E148" i="1"/>
  <c r="E295" i="1"/>
  <c r="E150" i="1"/>
  <c r="E151" i="1"/>
  <c r="E152" i="1"/>
  <c r="E153" i="1"/>
  <c r="E154" i="1"/>
  <c r="E155" i="1"/>
  <c r="E327" i="1"/>
  <c r="E157" i="1"/>
  <c r="E158" i="1"/>
  <c r="E159" i="1"/>
  <c r="E354" i="1"/>
  <c r="E161" i="1"/>
  <c r="F161" i="1" s="1"/>
  <c r="E162" i="1"/>
  <c r="F162" i="1" s="1"/>
  <c r="E163" i="1"/>
  <c r="E261" i="1"/>
  <c r="E165" i="1"/>
  <c r="E166" i="1"/>
  <c r="E167" i="1"/>
  <c r="E168" i="1"/>
  <c r="E169" i="1"/>
  <c r="E170" i="1"/>
  <c r="E171" i="1"/>
  <c r="E292" i="1"/>
  <c r="E173" i="1"/>
  <c r="E174" i="1"/>
  <c r="E175" i="1"/>
  <c r="E176" i="1"/>
  <c r="E177" i="1"/>
  <c r="E178" i="1"/>
  <c r="E179" i="1"/>
  <c r="E180" i="1"/>
  <c r="E181" i="1"/>
  <c r="E625" i="1"/>
  <c r="E183" i="1"/>
  <c r="E440" i="1"/>
  <c r="E185" i="1"/>
  <c r="E186" i="1"/>
  <c r="E348" i="1"/>
  <c r="E188" i="1"/>
  <c r="E132" i="1"/>
  <c r="E78" i="1"/>
  <c r="E270" i="1"/>
  <c r="E192" i="1"/>
  <c r="E193" i="1"/>
  <c r="E194" i="1"/>
  <c r="E195" i="1"/>
  <c r="E196" i="1"/>
  <c r="E330" i="1"/>
  <c r="E198" i="1"/>
  <c r="E199" i="1"/>
  <c r="E200" i="1"/>
  <c r="E201" i="1"/>
  <c r="E202" i="1"/>
  <c r="E203" i="1"/>
  <c r="E204" i="1"/>
  <c r="E205" i="1"/>
  <c r="E206" i="1"/>
  <c r="E207" i="1"/>
  <c r="E208" i="1"/>
  <c r="E111" i="1"/>
  <c r="F111" i="1" s="1"/>
  <c r="E210" i="1"/>
  <c r="F210" i="1" s="1"/>
  <c r="E211" i="1"/>
  <c r="E212" i="1"/>
  <c r="E213" i="1"/>
  <c r="E214" i="1"/>
  <c r="E215" i="1"/>
  <c r="E419" i="1"/>
  <c r="E217" i="1"/>
  <c r="F217" i="1" s="1"/>
  <c r="E218" i="1"/>
  <c r="E219" i="1"/>
  <c r="E220" i="1"/>
  <c r="E326" i="1"/>
  <c r="E222" i="1"/>
  <c r="E608" i="1"/>
  <c r="E224" i="1"/>
  <c r="E225" i="1"/>
  <c r="E226" i="1"/>
  <c r="E197" i="1"/>
  <c r="E228" i="1"/>
  <c r="E524" i="1"/>
  <c r="E230" i="1"/>
  <c r="E231" i="1"/>
  <c r="E232" i="1"/>
  <c r="F232" i="1" s="1"/>
  <c r="E537" i="1"/>
  <c r="E234" i="1"/>
  <c r="E235" i="1"/>
  <c r="E236" i="1"/>
  <c r="E237" i="1"/>
  <c r="E238" i="1"/>
  <c r="E239" i="1"/>
  <c r="E240" i="1"/>
  <c r="F240" i="1" s="1"/>
  <c r="E241" i="1"/>
  <c r="E242" i="1"/>
  <c r="E243" i="1"/>
  <c r="E244" i="1"/>
  <c r="E245" i="1"/>
  <c r="E20" i="1"/>
  <c r="E247" i="1"/>
  <c r="E248" i="1"/>
  <c r="E249" i="1"/>
  <c r="E250" i="1"/>
  <c r="E251" i="1"/>
  <c r="E252" i="1"/>
  <c r="E253" i="1"/>
  <c r="E254" i="1"/>
  <c r="E255" i="1"/>
  <c r="E256" i="1"/>
  <c r="E257" i="1"/>
  <c r="E258" i="1"/>
  <c r="E259" i="1"/>
  <c r="E260" i="1"/>
  <c r="E453" i="1"/>
  <c r="E262" i="1"/>
  <c r="E209" i="1"/>
  <c r="E94" i="1"/>
  <c r="E265" i="1"/>
  <c r="E266" i="1"/>
  <c r="E267" i="1"/>
  <c r="E268" i="1"/>
  <c r="E269" i="1"/>
  <c r="E216" i="1"/>
  <c r="E271" i="1"/>
  <c r="E468" i="1"/>
  <c r="E273" i="1"/>
  <c r="F273" i="1" s="1"/>
  <c r="E274" i="1"/>
  <c r="E275" i="1"/>
  <c r="E276" i="1"/>
  <c r="E221" i="1"/>
  <c r="E278" i="1"/>
  <c r="E494" i="1"/>
  <c r="E280" i="1"/>
  <c r="E281" i="1"/>
  <c r="F281" i="1" s="1"/>
  <c r="E282" i="1"/>
  <c r="E283" i="1"/>
  <c r="E284" i="1"/>
  <c r="E285" i="1"/>
  <c r="E286" i="1"/>
  <c r="E287" i="1"/>
  <c r="E288" i="1"/>
  <c r="E289" i="1"/>
  <c r="E115" i="1"/>
  <c r="E291" i="1"/>
  <c r="E189" i="1"/>
  <c r="E495" i="1"/>
  <c r="E146" i="1"/>
  <c r="E463" i="1"/>
  <c r="E296" i="1"/>
  <c r="F296" i="1" s="1"/>
  <c r="E297" i="1"/>
  <c r="E298" i="1"/>
  <c r="E299" i="1"/>
  <c r="E300" i="1"/>
  <c r="E308" i="1"/>
  <c r="E302" i="1"/>
  <c r="E303" i="1"/>
  <c r="E73" i="1"/>
  <c r="F73" i="1" s="1"/>
  <c r="E305" i="1"/>
  <c r="E306" i="1"/>
  <c r="E307" i="1"/>
  <c r="E59" i="1"/>
  <c r="E309" i="1"/>
  <c r="E310" i="1"/>
  <c r="E311" i="1"/>
  <c r="E312" i="1"/>
  <c r="E272" i="1"/>
  <c r="E321" i="1"/>
  <c r="E315" i="1"/>
  <c r="E316" i="1"/>
  <c r="E317" i="1"/>
  <c r="E318" i="1"/>
  <c r="E182" i="1"/>
  <c r="E320" i="1"/>
  <c r="E24" i="1"/>
  <c r="E322" i="1"/>
  <c r="E323" i="1"/>
  <c r="E324" i="1"/>
  <c r="E227" i="1"/>
  <c r="E325" i="1"/>
  <c r="E357" i="1"/>
  <c r="E328" i="1"/>
  <c r="E329" i="1"/>
  <c r="E551" i="1"/>
  <c r="E331" i="1"/>
  <c r="E332" i="1"/>
  <c r="E333" i="1"/>
  <c r="E481" i="1"/>
  <c r="E519" i="1"/>
  <c r="E336" i="1"/>
  <c r="E337" i="1"/>
  <c r="F337" i="1" s="1"/>
  <c r="E338" i="1"/>
  <c r="E233" i="1"/>
  <c r="E561" i="1"/>
  <c r="E341" i="1"/>
  <c r="E72" i="1"/>
  <c r="E343" i="1"/>
  <c r="E344" i="1"/>
  <c r="E345" i="1"/>
  <c r="F345" i="1" s="1"/>
  <c r="E346" i="1"/>
  <c r="E347" i="1"/>
  <c r="E12" i="1"/>
  <c r="E349" i="1"/>
  <c r="E350" i="1"/>
  <c r="E351" i="1"/>
  <c r="E352" i="1"/>
  <c r="E353" i="1"/>
  <c r="E133" i="1"/>
  <c r="E355" i="1"/>
  <c r="E356" i="1"/>
  <c r="E149" i="1"/>
  <c r="E587" i="1"/>
  <c r="E264" i="1"/>
  <c r="E558" i="1"/>
  <c r="F558" i="1" s="1"/>
  <c r="E361" i="1"/>
  <c r="E68" i="1"/>
  <c r="E363" i="1"/>
  <c r="E364" i="1"/>
  <c r="E365" i="1"/>
  <c r="E366" i="1"/>
  <c r="E367" i="1"/>
  <c r="E368" i="1"/>
  <c r="F368" i="1" s="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293" i="1"/>
  <c r="E398" i="1"/>
  <c r="E399" i="1"/>
  <c r="E400" i="1"/>
  <c r="E401" i="1"/>
  <c r="F401" i="1" s="1"/>
  <c r="E402" i="1"/>
  <c r="E403" i="1"/>
  <c r="E404" i="1"/>
  <c r="E405" i="1"/>
  <c r="E359" i="1"/>
  <c r="E407" i="1"/>
  <c r="E408" i="1"/>
  <c r="E409" i="1"/>
  <c r="F409" i="1" s="1"/>
  <c r="E410" i="1"/>
  <c r="E144" i="1"/>
  <c r="E412" i="1"/>
  <c r="E413" i="1"/>
  <c r="E414" i="1"/>
  <c r="E415" i="1"/>
  <c r="E416" i="1"/>
  <c r="E417" i="1"/>
  <c r="E335" i="1"/>
  <c r="E418" i="1"/>
  <c r="E420" i="1"/>
  <c r="E421" i="1"/>
  <c r="E422" i="1"/>
  <c r="E423" i="1"/>
  <c r="E424" i="1"/>
  <c r="F424" i="1" s="1"/>
  <c r="E425" i="1"/>
  <c r="E426" i="1"/>
  <c r="E427" i="1"/>
  <c r="E428" i="1"/>
  <c r="E429" i="1"/>
  <c r="E430" i="1"/>
  <c r="E431" i="1"/>
  <c r="E432" i="1"/>
  <c r="F432" i="1" s="1"/>
  <c r="E433" i="1"/>
  <c r="E434" i="1"/>
  <c r="E435" i="1"/>
  <c r="E436" i="1"/>
  <c r="E437" i="1"/>
  <c r="E438" i="1"/>
  <c r="E439" i="1"/>
  <c r="E141" i="1"/>
  <c r="E441" i="1"/>
  <c r="E442" i="1"/>
  <c r="E443" i="1"/>
  <c r="E105" i="1"/>
  <c r="E445" i="1"/>
  <c r="E446" i="1"/>
  <c r="E447" i="1"/>
  <c r="E448" i="1"/>
  <c r="E449" i="1"/>
  <c r="E450" i="1"/>
  <c r="E451" i="1"/>
  <c r="E452" i="1"/>
  <c r="E187" i="1"/>
  <c r="E454" i="1"/>
  <c r="E455" i="1"/>
  <c r="E456" i="1"/>
  <c r="E290" i="1"/>
  <c r="E191" i="1"/>
  <c r="E459" i="1"/>
  <c r="E460" i="1"/>
  <c r="E461" i="1"/>
  <c r="E462" i="1"/>
  <c r="E601" i="1"/>
  <c r="E464" i="1"/>
  <c r="E465" i="1"/>
  <c r="F465" i="1" s="1"/>
  <c r="E466" i="1"/>
  <c r="E467" i="1"/>
  <c r="E573" i="1"/>
  <c r="E469" i="1"/>
  <c r="E470" i="1"/>
  <c r="E471" i="1"/>
  <c r="E472" i="1"/>
  <c r="E473" i="1"/>
  <c r="F473" i="1" s="1"/>
  <c r="E474" i="1"/>
  <c r="E475" i="1"/>
  <c r="E476" i="1"/>
  <c r="E26" i="1"/>
  <c r="E478" i="1"/>
  <c r="E479" i="1"/>
  <c r="E480" i="1"/>
  <c r="E156" i="1"/>
  <c r="E482" i="1"/>
  <c r="E483" i="1"/>
  <c r="E484" i="1"/>
  <c r="E485" i="1"/>
  <c r="E117" i="1"/>
  <c r="E487" i="1"/>
  <c r="E488" i="1"/>
  <c r="F488" i="1" s="1"/>
  <c r="E489" i="1"/>
  <c r="E490" i="1"/>
  <c r="E491" i="1"/>
  <c r="E583" i="1"/>
  <c r="E493" i="1"/>
  <c r="E457" i="1"/>
  <c r="E246" i="1"/>
  <c r="E319" i="1"/>
  <c r="F319" i="1" s="1"/>
  <c r="E497" i="1"/>
  <c r="E57" i="1"/>
  <c r="E499" i="1"/>
  <c r="E362" i="1"/>
  <c r="E607" i="1"/>
  <c r="E502" i="1"/>
  <c r="E503" i="1"/>
  <c r="E504" i="1"/>
  <c r="E505" i="1"/>
  <c r="E486" i="1"/>
  <c r="E507" i="1"/>
  <c r="E508" i="1"/>
  <c r="E509" i="1"/>
  <c r="E510" i="1"/>
  <c r="E511" i="1"/>
  <c r="E512" i="1"/>
  <c r="E513" i="1"/>
  <c r="E514" i="1"/>
  <c r="E515" i="1"/>
  <c r="E516" i="1"/>
  <c r="E517" i="1"/>
  <c r="E518" i="1"/>
  <c r="E596" i="1"/>
  <c r="E520" i="1"/>
  <c r="E521" i="1"/>
  <c r="E522" i="1"/>
  <c r="E523" i="1"/>
  <c r="E160" i="1"/>
  <c r="E525" i="1"/>
  <c r="E526" i="1"/>
  <c r="E527" i="1"/>
  <c r="E528" i="1"/>
  <c r="E529" i="1"/>
  <c r="E530" i="1"/>
  <c r="E531" i="1"/>
  <c r="E532" i="1"/>
  <c r="E533" i="1"/>
  <c r="E534" i="1"/>
  <c r="E535" i="1"/>
  <c r="E536" i="1"/>
  <c r="E358" i="1"/>
  <c r="F358" i="1" s="1"/>
  <c r="E538" i="1"/>
  <c r="E539" i="1"/>
  <c r="E164" i="1"/>
  <c r="E541" i="1"/>
  <c r="E542" i="1"/>
  <c r="E543" i="1"/>
  <c r="E544" i="1"/>
  <c r="E545" i="1"/>
  <c r="E546" i="1"/>
  <c r="E547" i="1"/>
  <c r="E548" i="1"/>
  <c r="E277" i="1"/>
  <c r="E550" i="1"/>
  <c r="E304" i="1"/>
  <c r="E552" i="1"/>
  <c r="F552" i="1" s="1"/>
  <c r="E584" i="1"/>
  <c r="F584" i="1" s="1"/>
  <c r="E554" i="1"/>
  <c r="E172" i="1"/>
  <c r="E263" i="1"/>
  <c r="E557" i="1"/>
  <c r="E52" i="1"/>
  <c r="E559" i="1"/>
  <c r="E560" i="1"/>
  <c r="F560" i="1" s="1"/>
  <c r="E301" i="1"/>
  <c r="E562" i="1"/>
  <c r="E563" i="1"/>
  <c r="E564" i="1"/>
  <c r="E565" i="1"/>
  <c r="E566" i="1"/>
  <c r="E567" i="1"/>
  <c r="E568" i="1"/>
  <c r="E569" i="1"/>
  <c r="E570" i="1"/>
  <c r="E571" i="1"/>
  <c r="E572" i="1"/>
  <c r="E549" i="1"/>
  <c r="E574" i="1"/>
  <c r="E575" i="1"/>
  <c r="E576" i="1"/>
  <c r="E577" i="1"/>
  <c r="E578" i="1"/>
  <c r="E579" i="1"/>
  <c r="E492" i="1"/>
  <c r="E581" i="1"/>
  <c r="E582" i="1"/>
  <c r="E27" i="1"/>
  <c r="E11" i="1"/>
  <c r="E585" i="1"/>
  <c r="E586" i="1"/>
  <c r="E501" i="1"/>
  <c r="E588" i="1"/>
  <c r="E589" i="1"/>
  <c r="E590" i="1"/>
  <c r="E314" i="1"/>
  <c r="E360" i="1"/>
  <c r="E593" i="1"/>
  <c r="F593" i="1" s="1"/>
  <c r="E594" i="1"/>
  <c r="E595" i="1"/>
  <c r="E411" i="1"/>
  <c r="E597" i="1"/>
  <c r="E598" i="1"/>
  <c r="E599" i="1"/>
  <c r="E600" i="1"/>
  <c r="E313" i="1"/>
  <c r="F313" i="1" s="1"/>
  <c r="E602" i="1"/>
  <c r="E603" i="1"/>
  <c r="E604" i="1"/>
  <c r="E605" i="1"/>
  <c r="E606" i="1"/>
  <c r="E125" i="1"/>
  <c r="E294" i="1"/>
  <c r="E609" i="1"/>
  <c r="E610" i="1"/>
  <c r="E611" i="1"/>
  <c r="E612" i="1"/>
  <c r="E613" i="1"/>
  <c r="E614" i="1"/>
  <c r="E615" i="1"/>
  <c r="E616" i="1"/>
  <c r="F616" i="1" s="1"/>
  <c r="E617" i="1"/>
  <c r="E618" i="1"/>
  <c r="E619" i="1"/>
  <c r="E620" i="1"/>
  <c r="E621" i="1"/>
  <c r="E592" i="1"/>
  <c r="E506" i="1"/>
  <c r="E624" i="1"/>
  <c r="F624" i="1" s="1"/>
  <c r="E340" i="1"/>
  <c r="E626" i="1"/>
  <c r="E627" i="1"/>
  <c r="E628" i="1"/>
  <c r="E629" i="1"/>
  <c r="E630" i="1"/>
  <c r="E631" i="1"/>
  <c r="E632" i="1"/>
  <c r="E633" i="1"/>
  <c r="E2" i="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2" i="3"/>
  <c r="V96" i="1" l="1"/>
  <c r="W96" i="1" s="1"/>
  <c r="V83" i="1"/>
  <c r="W83" i="1" s="1"/>
  <c r="F529" i="1"/>
  <c r="G564" i="1"/>
  <c r="G160" i="1"/>
  <c r="G436" i="1"/>
  <c r="G258" i="1"/>
  <c r="G75" i="1"/>
  <c r="X551" i="1"/>
  <c r="X354" i="1"/>
  <c r="G182" i="1"/>
  <c r="G392" i="1"/>
  <c r="G537" i="1"/>
  <c r="G397" i="1"/>
  <c r="X127" i="1"/>
  <c r="G45" i="1"/>
  <c r="G628" i="1"/>
  <c r="G374" i="1"/>
  <c r="G193" i="1"/>
  <c r="X340" i="1"/>
  <c r="X90" i="1"/>
  <c r="G588" i="1"/>
  <c r="G365" i="1"/>
  <c r="G134" i="1"/>
  <c r="X536" i="1"/>
  <c r="X18" i="1"/>
  <c r="G120" i="1"/>
  <c r="X366" i="1"/>
  <c r="G310" i="1"/>
  <c r="G104" i="1"/>
  <c r="G362" i="1"/>
  <c r="G189" i="1"/>
  <c r="X209" i="1"/>
  <c r="G460" i="1"/>
  <c r="G282" i="1"/>
  <c r="X230" i="1"/>
  <c r="X630" i="1"/>
  <c r="G630" i="1"/>
  <c r="G592" i="1"/>
  <c r="X592" i="1"/>
  <c r="X614" i="1"/>
  <c r="G614" i="1"/>
  <c r="X606" i="1"/>
  <c r="G606" i="1"/>
  <c r="X598" i="1"/>
  <c r="G598" i="1"/>
  <c r="G590" i="1"/>
  <c r="X590" i="1"/>
  <c r="X582" i="1"/>
  <c r="G582" i="1"/>
  <c r="X574" i="1"/>
  <c r="G574" i="1"/>
  <c r="G566" i="1"/>
  <c r="X566" i="1"/>
  <c r="X52" i="1"/>
  <c r="G52" i="1"/>
  <c r="G550" i="1"/>
  <c r="X550" i="1"/>
  <c r="X542" i="1"/>
  <c r="G542" i="1"/>
  <c r="X534" i="1"/>
  <c r="G534" i="1"/>
  <c r="X526" i="1"/>
  <c r="G526" i="1"/>
  <c r="X518" i="1"/>
  <c r="G518" i="1"/>
  <c r="X510" i="1"/>
  <c r="G510" i="1"/>
  <c r="X457" i="1"/>
  <c r="G457" i="1"/>
  <c r="G117" i="1"/>
  <c r="X117" i="1"/>
  <c r="X478" i="1"/>
  <c r="G478" i="1"/>
  <c r="G462" i="1"/>
  <c r="X462" i="1"/>
  <c r="X454" i="1"/>
  <c r="G454" i="1"/>
  <c r="X446" i="1"/>
  <c r="G446" i="1"/>
  <c r="X438" i="1"/>
  <c r="G438" i="1"/>
  <c r="G430" i="1"/>
  <c r="X430" i="1"/>
  <c r="X422" i="1"/>
  <c r="G422" i="1"/>
  <c r="X414" i="1"/>
  <c r="G414" i="1"/>
  <c r="X359" i="1"/>
  <c r="G359" i="1"/>
  <c r="X398" i="1"/>
  <c r="G398" i="1"/>
  <c r="X390" i="1"/>
  <c r="G390" i="1"/>
  <c r="X629" i="1"/>
  <c r="G629" i="1"/>
  <c r="X621" i="1"/>
  <c r="G621" i="1"/>
  <c r="X613" i="1"/>
  <c r="G613" i="1"/>
  <c r="X605" i="1"/>
  <c r="G605" i="1"/>
  <c r="X597" i="1"/>
  <c r="G597" i="1"/>
  <c r="X589" i="1"/>
  <c r="G589" i="1"/>
  <c r="X581" i="1"/>
  <c r="G581" i="1"/>
  <c r="X549" i="1"/>
  <c r="G549" i="1"/>
  <c r="X565" i="1"/>
  <c r="G565" i="1"/>
  <c r="X557" i="1"/>
  <c r="G557" i="1"/>
  <c r="X277" i="1"/>
  <c r="G277" i="1"/>
  <c r="X541" i="1"/>
  <c r="G541" i="1"/>
  <c r="X533" i="1"/>
  <c r="G533" i="1"/>
  <c r="X525" i="1"/>
  <c r="G525" i="1"/>
  <c r="X517" i="1"/>
  <c r="G517" i="1"/>
  <c r="X509" i="1"/>
  <c r="G509" i="1"/>
  <c r="X607" i="1"/>
  <c r="G607" i="1"/>
  <c r="X493" i="1"/>
  <c r="G493" i="1"/>
  <c r="X485" i="1"/>
  <c r="G485" i="1"/>
  <c r="X26" i="1"/>
  <c r="G26" i="1"/>
  <c r="X469" i="1"/>
  <c r="G469" i="1"/>
  <c r="X461" i="1"/>
  <c r="G461" i="1"/>
  <c r="X187" i="1"/>
  <c r="G187" i="1"/>
  <c r="X445" i="1"/>
  <c r="G445" i="1"/>
  <c r="X437" i="1"/>
  <c r="G437" i="1"/>
  <c r="X429" i="1"/>
  <c r="G429" i="1"/>
  <c r="X421" i="1"/>
  <c r="G421" i="1"/>
  <c r="X413" i="1"/>
  <c r="G413" i="1"/>
  <c r="X405" i="1"/>
  <c r="G405" i="1"/>
  <c r="X293" i="1"/>
  <c r="G293" i="1"/>
  <c r="X389" i="1"/>
  <c r="G389" i="1"/>
  <c r="X381" i="1"/>
  <c r="G381" i="1"/>
  <c r="X373" i="1"/>
  <c r="G373" i="1"/>
  <c r="X149" i="1"/>
  <c r="G149" i="1"/>
  <c r="X349" i="1"/>
  <c r="G349" i="1"/>
  <c r="X341" i="1"/>
  <c r="G341" i="1"/>
  <c r="X333" i="1"/>
  <c r="G333" i="1"/>
  <c r="X227" i="1"/>
  <c r="G227" i="1"/>
  <c r="X317" i="1"/>
  <c r="G317" i="1"/>
  <c r="X309" i="1"/>
  <c r="G309" i="1"/>
  <c r="X495" i="1"/>
  <c r="G495" i="1"/>
  <c r="X285" i="1"/>
  <c r="G285" i="1"/>
  <c r="X221" i="1"/>
  <c r="G221" i="1"/>
  <c r="X453" i="1"/>
  <c r="G453" i="1"/>
  <c r="X253" i="1"/>
  <c r="G253" i="1"/>
  <c r="X237" i="1"/>
  <c r="G237" i="1"/>
  <c r="X524" i="1"/>
  <c r="G524" i="1"/>
  <c r="X213" i="1"/>
  <c r="G213" i="1"/>
  <c r="X205" i="1"/>
  <c r="G205" i="1"/>
  <c r="X330" i="1"/>
  <c r="G330" i="1"/>
  <c r="X132" i="1"/>
  <c r="G132" i="1"/>
  <c r="X181" i="1"/>
  <c r="G181" i="1"/>
  <c r="X173" i="1"/>
  <c r="G173" i="1"/>
  <c r="X165" i="1"/>
  <c r="G165" i="1"/>
  <c r="X157" i="1"/>
  <c r="G157" i="1"/>
  <c r="X295" i="1"/>
  <c r="G295" i="1"/>
  <c r="X591" i="1"/>
  <c r="G591" i="1"/>
  <c r="X556" i="1"/>
  <c r="G556" i="1"/>
  <c r="X339" i="1"/>
  <c r="G339" i="1"/>
  <c r="X16" i="1"/>
  <c r="G16" i="1"/>
  <c r="X109" i="1"/>
  <c r="G109" i="1"/>
  <c r="X101" i="1"/>
  <c r="G101" i="1"/>
  <c r="X93" i="1"/>
  <c r="G93" i="1"/>
  <c r="X85" i="1"/>
  <c r="G85" i="1"/>
  <c r="X77" i="1"/>
  <c r="G77" i="1"/>
  <c r="X69" i="1"/>
  <c r="G69" i="1"/>
  <c r="G492" i="1"/>
  <c r="G516" i="1"/>
  <c r="G452" i="1"/>
  <c r="G383" i="1"/>
  <c r="G326" i="1"/>
  <c r="X602" i="1"/>
  <c r="X498" i="1"/>
  <c r="X470" i="1"/>
  <c r="G470" i="1"/>
  <c r="X412" i="1"/>
  <c r="G412" i="1"/>
  <c r="X404" i="1"/>
  <c r="G404" i="1"/>
  <c r="X396" i="1"/>
  <c r="G396" i="1"/>
  <c r="X388" i="1"/>
  <c r="G388" i="1"/>
  <c r="X380" i="1"/>
  <c r="G380" i="1"/>
  <c r="X372" i="1"/>
  <c r="G372" i="1"/>
  <c r="X364" i="1"/>
  <c r="G364" i="1"/>
  <c r="X12" i="1"/>
  <c r="G12" i="1"/>
  <c r="X561" i="1"/>
  <c r="G561" i="1"/>
  <c r="X332" i="1"/>
  <c r="G332" i="1"/>
  <c r="X324" i="1"/>
  <c r="G324" i="1"/>
  <c r="X316" i="1"/>
  <c r="G316" i="1"/>
  <c r="X59" i="1"/>
  <c r="G59" i="1"/>
  <c r="X300" i="1"/>
  <c r="G300" i="1"/>
  <c r="X284" i="1"/>
  <c r="G284" i="1"/>
  <c r="X276" i="1"/>
  <c r="G276" i="1"/>
  <c r="X268" i="1"/>
  <c r="G268" i="1"/>
  <c r="X260" i="1"/>
  <c r="G260" i="1"/>
  <c r="X252" i="1"/>
  <c r="G252" i="1"/>
  <c r="X244" i="1"/>
  <c r="G244" i="1"/>
  <c r="X236" i="1"/>
  <c r="G236" i="1"/>
  <c r="X228" i="1"/>
  <c r="G228" i="1"/>
  <c r="X220" i="1"/>
  <c r="G220" i="1"/>
  <c r="X212" i="1"/>
  <c r="G212" i="1"/>
  <c r="X204" i="1"/>
  <c r="G204" i="1"/>
  <c r="X196" i="1"/>
  <c r="G196" i="1"/>
  <c r="X188" i="1"/>
  <c r="G188" i="1"/>
  <c r="X180" i="1"/>
  <c r="G180" i="1"/>
  <c r="X292" i="1"/>
  <c r="G292" i="1"/>
  <c r="X261" i="1"/>
  <c r="G261" i="1"/>
  <c r="X327" i="1"/>
  <c r="G327" i="1"/>
  <c r="X140" i="1"/>
  <c r="G140" i="1"/>
  <c r="X458" i="1"/>
  <c r="G458" i="1"/>
  <c r="X124" i="1"/>
  <c r="G124" i="1"/>
  <c r="X116" i="1"/>
  <c r="G116" i="1"/>
  <c r="X108" i="1"/>
  <c r="G108" i="1"/>
  <c r="X100" i="1"/>
  <c r="G100" i="1"/>
  <c r="X92" i="1"/>
  <c r="G92" i="1"/>
  <c r="X84" i="1"/>
  <c r="G84" i="1"/>
  <c r="X76" i="1"/>
  <c r="G76" i="1"/>
  <c r="X223" i="1"/>
  <c r="G223" i="1"/>
  <c r="X623" i="1"/>
  <c r="G623" i="1"/>
  <c r="X279" i="1"/>
  <c r="G279" i="1"/>
  <c r="X44" i="1"/>
  <c r="G44" i="1"/>
  <c r="X36" i="1"/>
  <c r="G36" i="1"/>
  <c r="X28" i="1"/>
  <c r="G28" i="1"/>
  <c r="X60" i="1"/>
  <c r="G60" i="1"/>
  <c r="X4" i="1"/>
  <c r="G4" i="1"/>
  <c r="G572" i="1"/>
  <c r="G508" i="1"/>
  <c r="G105" i="1"/>
  <c r="G308" i="1"/>
  <c r="G208" i="1"/>
  <c r="X569" i="1"/>
  <c r="X296" i="1"/>
  <c r="X627" i="1"/>
  <c r="G627" i="1"/>
  <c r="X603" i="1"/>
  <c r="G603" i="1"/>
  <c r="X571" i="1"/>
  <c r="G571" i="1"/>
  <c r="X547" i="1"/>
  <c r="G547" i="1"/>
  <c r="X523" i="1"/>
  <c r="G523" i="1"/>
  <c r="X499" i="1"/>
  <c r="G499" i="1"/>
  <c r="X467" i="1"/>
  <c r="G467" i="1"/>
  <c r="X435" i="1"/>
  <c r="G435" i="1"/>
  <c r="X144" i="1"/>
  <c r="G144" i="1"/>
  <c r="X379" i="1"/>
  <c r="G379" i="1"/>
  <c r="X355" i="1"/>
  <c r="G355" i="1"/>
  <c r="X331" i="1"/>
  <c r="G331" i="1"/>
  <c r="X307" i="1"/>
  <c r="G307" i="1"/>
  <c r="X283" i="1"/>
  <c r="G283" i="1"/>
  <c r="X259" i="1"/>
  <c r="G259" i="1"/>
  <c r="X235" i="1"/>
  <c r="G235" i="1"/>
  <c r="X211" i="1"/>
  <c r="G211" i="1"/>
  <c r="X195" i="1"/>
  <c r="G195" i="1"/>
  <c r="X348" i="1"/>
  <c r="G348" i="1"/>
  <c r="X171" i="1"/>
  <c r="G171" i="1"/>
  <c r="X147" i="1"/>
  <c r="G147" i="1"/>
  <c r="X2" i="1"/>
  <c r="G2" i="1"/>
  <c r="X626" i="1"/>
  <c r="G626" i="1"/>
  <c r="X618" i="1"/>
  <c r="G618" i="1"/>
  <c r="X610" i="1"/>
  <c r="G610" i="1"/>
  <c r="X594" i="1"/>
  <c r="G594" i="1"/>
  <c r="X586" i="1"/>
  <c r="G586" i="1"/>
  <c r="X578" i="1"/>
  <c r="G578" i="1"/>
  <c r="X570" i="1"/>
  <c r="G570" i="1"/>
  <c r="X562" i="1"/>
  <c r="G562" i="1"/>
  <c r="X554" i="1"/>
  <c r="G554" i="1"/>
  <c r="X546" i="1"/>
  <c r="G546" i="1"/>
  <c r="X538" i="1"/>
  <c r="G538" i="1"/>
  <c r="G530" i="1"/>
  <c r="X530" i="1"/>
  <c r="X522" i="1"/>
  <c r="G522" i="1"/>
  <c r="X514" i="1"/>
  <c r="G514" i="1"/>
  <c r="X486" i="1"/>
  <c r="G486" i="1"/>
  <c r="X57" i="1"/>
  <c r="G57" i="1"/>
  <c r="X490" i="1"/>
  <c r="G490" i="1"/>
  <c r="X482" i="1"/>
  <c r="G482" i="1"/>
  <c r="X474" i="1"/>
  <c r="G474" i="1"/>
  <c r="X191" i="1"/>
  <c r="G191" i="1"/>
  <c r="X450" i="1"/>
  <c r="G450" i="1"/>
  <c r="X442" i="1"/>
  <c r="G442" i="1"/>
  <c r="X434" i="1"/>
  <c r="G434" i="1"/>
  <c r="X426" i="1"/>
  <c r="G426" i="1"/>
  <c r="X335" i="1"/>
  <c r="G335" i="1"/>
  <c r="X402" i="1"/>
  <c r="G402" i="1"/>
  <c r="G394" i="1"/>
  <c r="X394" i="1"/>
  <c r="X386" i="1"/>
  <c r="G386" i="1"/>
  <c r="X378" i="1"/>
  <c r="G378" i="1"/>
  <c r="X370" i="1"/>
  <c r="G370" i="1"/>
  <c r="X68" i="1"/>
  <c r="G68" i="1"/>
  <c r="X133" i="1"/>
  <c r="G133" i="1"/>
  <c r="G620" i="1"/>
  <c r="G263" i="1"/>
  <c r="G583" i="1"/>
  <c r="G428" i="1"/>
  <c r="G356" i="1"/>
  <c r="G177" i="1"/>
  <c r="G555" i="1"/>
  <c r="X502" i="1"/>
  <c r="X491" i="1"/>
  <c r="G491" i="1"/>
  <c r="X633" i="1"/>
  <c r="G633" i="1"/>
  <c r="X617" i="1"/>
  <c r="G617" i="1"/>
  <c r="X609" i="1"/>
  <c r="G609" i="1"/>
  <c r="X313" i="1"/>
  <c r="G313" i="1"/>
  <c r="X593" i="1"/>
  <c r="G593" i="1"/>
  <c r="X585" i="1"/>
  <c r="G585" i="1"/>
  <c r="X577" i="1"/>
  <c r="G577" i="1"/>
  <c r="X301" i="1"/>
  <c r="G301" i="1"/>
  <c r="X584" i="1"/>
  <c r="G584" i="1"/>
  <c r="X545" i="1"/>
  <c r="G545" i="1"/>
  <c r="X358" i="1"/>
  <c r="G358" i="1"/>
  <c r="X529" i="1"/>
  <c r="G529" i="1"/>
  <c r="X521" i="1"/>
  <c r="G521" i="1"/>
  <c r="X513" i="1"/>
  <c r="G513" i="1"/>
  <c r="X505" i="1"/>
  <c r="G505" i="1"/>
  <c r="G497" i="1"/>
  <c r="X497" i="1"/>
  <c r="X489" i="1"/>
  <c r="G489" i="1"/>
  <c r="X156" i="1"/>
  <c r="G156" i="1"/>
  <c r="X473" i="1"/>
  <c r="G473" i="1"/>
  <c r="X465" i="1"/>
  <c r="G465" i="1"/>
  <c r="X290" i="1"/>
  <c r="G290" i="1"/>
  <c r="X449" i="1"/>
  <c r="G449" i="1"/>
  <c r="X441" i="1"/>
  <c r="G441" i="1"/>
  <c r="G425" i="1"/>
  <c r="X425" i="1"/>
  <c r="X417" i="1"/>
  <c r="G417" i="1"/>
  <c r="X409" i="1"/>
  <c r="G409" i="1"/>
  <c r="G393" i="1"/>
  <c r="X393" i="1"/>
  <c r="X385" i="1"/>
  <c r="G385" i="1"/>
  <c r="X377" i="1"/>
  <c r="G377" i="1"/>
  <c r="X369" i="1"/>
  <c r="G369" i="1"/>
  <c r="X361" i="1"/>
  <c r="G361" i="1"/>
  <c r="X353" i="1"/>
  <c r="G353" i="1"/>
  <c r="X345" i="1"/>
  <c r="G345" i="1"/>
  <c r="X329" i="1"/>
  <c r="G329" i="1"/>
  <c r="X24" i="1"/>
  <c r="G24" i="1"/>
  <c r="G272" i="1"/>
  <c r="X272" i="1"/>
  <c r="X305" i="1"/>
  <c r="G305" i="1"/>
  <c r="X297" i="1"/>
  <c r="G297" i="1"/>
  <c r="X289" i="1"/>
  <c r="G289" i="1"/>
  <c r="X281" i="1"/>
  <c r="G281" i="1"/>
  <c r="X273" i="1"/>
  <c r="G273" i="1"/>
  <c r="G265" i="1"/>
  <c r="X265" i="1"/>
  <c r="X257" i="1"/>
  <c r="G257" i="1"/>
  <c r="X249" i="1"/>
  <c r="G249" i="1"/>
  <c r="X241" i="1"/>
  <c r="G241" i="1"/>
  <c r="X225" i="1"/>
  <c r="G225" i="1"/>
  <c r="X217" i="1"/>
  <c r="G217" i="1"/>
  <c r="X111" i="1"/>
  <c r="G111" i="1"/>
  <c r="G201" i="1"/>
  <c r="X201" i="1"/>
  <c r="X185" i="1"/>
  <c r="G185" i="1"/>
  <c r="G169" i="1"/>
  <c r="X169" i="1"/>
  <c r="X161" i="1"/>
  <c r="G161" i="1"/>
  <c r="G153" i="1"/>
  <c r="X153" i="1"/>
  <c r="X145" i="1"/>
  <c r="G145" i="1"/>
  <c r="G137" i="1"/>
  <c r="X137" i="1"/>
  <c r="X129" i="1"/>
  <c r="G129" i="1"/>
  <c r="G121" i="1"/>
  <c r="X121" i="1"/>
  <c r="X113" i="1"/>
  <c r="G113" i="1"/>
  <c r="X496" i="1"/>
  <c r="G496" i="1"/>
  <c r="X97" i="1"/>
  <c r="G97" i="1"/>
  <c r="X89" i="1"/>
  <c r="G89" i="1"/>
  <c r="X81" i="1"/>
  <c r="G81" i="1"/>
  <c r="X500" i="1"/>
  <c r="G500" i="1"/>
  <c r="X65" i="1"/>
  <c r="G65" i="1"/>
  <c r="X49" i="1"/>
  <c r="G49" i="1"/>
  <c r="G41" i="1"/>
  <c r="X41" i="1"/>
  <c r="X33" i="1"/>
  <c r="G33" i="1"/>
  <c r="X25" i="1"/>
  <c r="G25" i="1"/>
  <c r="X17" i="1"/>
  <c r="G17" i="1"/>
  <c r="X9" i="1"/>
  <c r="G9" i="1"/>
  <c r="G612" i="1"/>
  <c r="G548" i="1"/>
  <c r="G484" i="1"/>
  <c r="G420" i="1"/>
  <c r="G346" i="1"/>
  <c r="G269" i="1"/>
  <c r="G163" i="1"/>
  <c r="X466" i="1"/>
  <c r="X619" i="1"/>
  <c r="G619" i="1"/>
  <c r="X595" i="1"/>
  <c r="G595" i="1"/>
  <c r="X579" i="1"/>
  <c r="G579" i="1"/>
  <c r="X172" i="1"/>
  <c r="G172" i="1"/>
  <c r="X531" i="1"/>
  <c r="G531" i="1"/>
  <c r="X507" i="1"/>
  <c r="G507" i="1"/>
  <c r="X475" i="1"/>
  <c r="G475" i="1"/>
  <c r="X459" i="1"/>
  <c r="G459" i="1"/>
  <c r="X443" i="1"/>
  <c r="G443" i="1"/>
  <c r="X418" i="1"/>
  <c r="G418" i="1"/>
  <c r="X403" i="1"/>
  <c r="G403" i="1"/>
  <c r="X387" i="1"/>
  <c r="G387" i="1"/>
  <c r="X363" i="1"/>
  <c r="G363" i="1"/>
  <c r="X233" i="1"/>
  <c r="G233" i="1"/>
  <c r="X323" i="1"/>
  <c r="G323" i="1"/>
  <c r="X299" i="1"/>
  <c r="G299" i="1"/>
  <c r="X275" i="1"/>
  <c r="G275" i="1"/>
  <c r="X251" i="1"/>
  <c r="G251" i="1"/>
  <c r="X197" i="1"/>
  <c r="G197" i="1"/>
  <c r="X155" i="1"/>
  <c r="G155" i="1"/>
  <c r="X131" i="1"/>
  <c r="G131" i="1"/>
  <c r="X123" i="1"/>
  <c r="G123" i="1"/>
  <c r="X580" i="1"/>
  <c r="G580" i="1"/>
  <c r="X107" i="1"/>
  <c r="G107" i="1"/>
  <c r="X632" i="1"/>
  <c r="G632" i="1"/>
  <c r="X624" i="1"/>
  <c r="G624" i="1"/>
  <c r="G616" i="1"/>
  <c r="X616" i="1"/>
  <c r="X294" i="1"/>
  <c r="G294" i="1"/>
  <c r="G600" i="1"/>
  <c r="X600" i="1"/>
  <c r="X360" i="1"/>
  <c r="G360" i="1"/>
  <c r="X11" i="1"/>
  <c r="G11" i="1"/>
  <c r="X576" i="1"/>
  <c r="G576" i="1"/>
  <c r="X568" i="1"/>
  <c r="G568" i="1"/>
  <c r="X560" i="1"/>
  <c r="G560" i="1"/>
  <c r="X552" i="1"/>
  <c r="G552" i="1"/>
  <c r="X544" i="1"/>
  <c r="G544" i="1"/>
  <c r="G528" i="1"/>
  <c r="X528" i="1"/>
  <c r="X520" i="1"/>
  <c r="G520" i="1"/>
  <c r="X512" i="1"/>
  <c r="G512" i="1"/>
  <c r="X504" i="1"/>
  <c r="G504" i="1"/>
  <c r="G319" i="1"/>
  <c r="X319" i="1"/>
  <c r="X488" i="1"/>
  <c r="G488" i="1"/>
  <c r="X480" i="1"/>
  <c r="G480" i="1"/>
  <c r="X472" i="1"/>
  <c r="G472" i="1"/>
  <c r="X464" i="1"/>
  <c r="G464" i="1"/>
  <c r="X456" i="1"/>
  <c r="G456" i="1"/>
  <c r="X448" i="1"/>
  <c r="G448" i="1"/>
  <c r="X141" i="1"/>
  <c r="G141" i="1"/>
  <c r="X432" i="1"/>
  <c r="G432" i="1"/>
  <c r="X424" i="1"/>
  <c r="G424" i="1"/>
  <c r="X416" i="1"/>
  <c r="G416" i="1"/>
  <c r="X408" i="1"/>
  <c r="G408" i="1"/>
  <c r="X400" i="1"/>
  <c r="G400" i="1"/>
  <c r="G384" i="1"/>
  <c r="X384" i="1"/>
  <c r="X376" i="1"/>
  <c r="G376" i="1"/>
  <c r="X368" i="1"/>
  <c r="G368" i="1"/>
  <c r="G558" i="1"/>
  <c r="X558" i="1"/>
  <c r="X352" i="1"/>
  <c r="G352" i="1"/>
  <c r="X344" i="1"/>
  <c r="G344" i="1"/>
  <c r="X336" i="1"/>
  <c r="G336" i="1"/>
  <c r="X320" i="1"/>
  <c r="G320" i="1"/>
  <c r="X312" i="1"/>
  <c r="G312" i="1"/>
  <c r="X73" i="1"/>
  <c r="G73" i="1"/>
  <c r="X288" i="1"/>
  <c r="G288" i="1"/>
  <c r="G280" i="1"/>
  <c r="X280" i="1"/>
  <c r="G468" i="1"/>
  <c r="X468" i="1"/>
  <c r="X94" i="1"/>
  <c r="G94" i="1"/>
  <c r="G256" i="1"/>
  <c r="X256" i="1"/>
  <c r="X248" i="1"/>
  <c r="G248" i="1"/>
  <c r="X240" i="1"/>
  <c r="G240" i="1"/>
  <c r="X232" i="1"/>
  <c r="G232" i="1"/>
  <c r="G224" i="1"/>
  <c r="X224" i="1"/>
  <c r="X419" i="1"/>
  <c r="G419" i="1"/>
  <c r="X200" i="1"/>
  <c r="G200" i="1"/>
  <c r="X192" i="1"/>
  <c r="G192" i="1"/>
  <c r="G604" i="1"/>
  <c r="G164" i="1"/>
  <c r="G476" i="1"/>
  <c r="G410" i="1"/>
  <c r="G337" i="1"/>
  <c r="G148" i="1"/>
  <c r="X433" i="1"/>
  <c r="X611" i="1"/>
  <c r="G611" i="1"/>
  <c r="X501" i="1"/>
  <c r="G501" i="1"/>
  <c r="X563" i="1"/>
  <c r="G563" i="1"/>
  <c r="X539" i="1"/>
  <c r="G539" i="1"/>
  <c r="X515" i="1"/>
  <c r="G515" i="1"/>
  <c r="X483" i="1"/>
  <c r="G483" i="1"/>
  <c r="X451" i="1"/>
  <c r="G451" i="1"/>
  <c r="X427" i="1"/>
  <c r="G427" i="1"/>
  <c r="X395" i="1"/>
  <c r="G395" i="1"/>
  <c r="X371" i="1"/>
  <c r="G371" i="1"/>
  <c r="X347" i="1"/>
  <c r="G347" i="1"/>
  <c r="X315" i="1"/>
  <c r="G315" i="1"/>
  <c r="X291" i="1"/>
  <c r="G291" i="1"/>
  <c r="X267" i="1"/>
  <c r="G267" i="1"/>
  <c r="X243" i="1"/>
  <c r="G243" i="1"/>
  <c r="X219" i="1"/>
  <c r="G219" i="1"/>
  <c r="X203" i="1"/>
  <c r="G203" i="1"/>
  <c r="X179" i="1"/>
  <c r="G179" i="1"/>
  <c r="X139" i="1"/>
  <c r="G139" i="1"/>
  <c r="X631" i="1"/>
  <c r="G631" i="1"/>
  <c r="X506" i="1"/>
  <c r="G506" i="1"/>
  <c r="G615" i="1"/>
  <c r="X615" i="1"/>
  <c r="X125" i="1"/>
  <c r="G125" i="1"/>
  <c r="G599" i="1"/>
  <c r="X599" i="1"/>
  <c r="X314" i="1"/>
  <c r="G314" i="1"/>
  <c r="X27" i="1"/>
  <c r="G27" i="1"/>
  <c r="X575" i="1"/>
  <c r="G575" i="1"/>
  <c r="X567" i="1"/>
  <c r="G567" i="1"/>
  <c r="X559" i="1"/>
  <c r="G559" i="1"/>
  <c r="X304" i="1"/>
  <c r="G304" i="1"/>
  <c r="X543" i="1"/>
  <c r="G543" i="1"/>
  <c r="X535" i="1"/>
  <c r="G535" i="1"/>
  <c r="X527" i="1"/>
  <c r="G527" i="1"/>
  <c r="G596" i="1"/>
  <c r="X596" i="1"/>
  <c r="X511" i="1"/>
  <c r="G511" i="1"/>
  <c r="X503" i="1"/>
  <c r="G503" i="1"/>
  <c r="X246" i="1"/>
  <c r="G246" i="1"/>
  <c r="G487" i="1"/>
  <c r="X487" i="1"/>
  <c r="X479" i="1"/>
  <c r="G479" i="1"/>
  <c r="X471" i="1"/>
  <c r="G471" i="1"/>
  <c r="G601" i="1"/>
  <c r="X601" i="1"/>
  <c r="X455" i="1"/>
  <c r="G455" i="1"/>
  <c r="X447" i="1"/>
  <c r="G447" i="1"/>
  <c r="X439" i="1"/>
  <c r="G439" i="1"/>
  <c r="X431" i="1"/>
  <c r="G431" i="1"/>
  <c r="X423" i="1"/>
  <c r="G423" i="1"/>
  <c r="X415" i="1"/>
  <c r="G415" i="1"/>
  <c r="X407" i="1"/>
  <c r="G407" i="1"/>
  <c r="X391" i="1"/>
  <c r="G391" i="1"/>
  <c r="G375" i="1"/>
  <c r="X375" i="1"/>
  <c r="X367" i="1"/>
  <c r="G367" i="1"/>
  <c r="G264" i="1"/>
  <c r="X264" i="1"/>
  <c r="X351" i="1"/>
  <c r="G351" i="1"/>
  <c r="X343" i="1"/>
  <c r="G343" i="1"/>
  <c r="X519" i="1"/>
  <c r="G519" i="1"/>
  <c r="X357" i="1"/>
  <c r="G357" i="1"/>
  <c r="X311" i="1"/>
  <c r="G311" i="1"/>
  <c r="X303" i="1"/>
  <c r="G303" i="1"/>
  <c r="X463" i="1"/>
  <c r="G463" i="1"/>
  <c r="X287" i="1"/>
  <c r="G287" i="1"/>
  <c r="G494" i="1"/>
  <c r="X494" i="1"/>
  <c r="G271" i="1"/>
  <c r="X271" i="1"/>
  <c r="G255" i="1"/>
  <c r="X255" i="1"/>
  <c r="G247" i="1"/>
  <c r="X247" i="1"/>
  <c r="G239" i="1"/>
  <c r="X239" i="1"/>
  <c r="G231" i="1"/>
  <c r="X231" i="1"/>
  <c r="X608" i="1"/>
  <c r="G608" i="1"/>
  <c r="G215" i="1"/>
  <c r="X215" i="1"/>
  <c r="G207" i="1"/>
  <c r="X207" i="1"/>
  <c r="G411" i="1"/>
  <c r="G532" i="1"/>
  <c r="G573" i="1"/>
  <c r="G401" i="1"/>
  <c r="G328" i="1"/>
  <c r="G245" i="1"/>
  <c r="G229" i="1"/>
  <c r="X399" i="1"/>
  <c r="X91" i="1"/>
  <c r="G91" i="1"/>
  <c r="X540" i="1"/>
  <c r="G540" i="1"/>
  <c r="X51" i="1"/>
  <c r="G51" i="1"/>
  <c r="X19" i="1"/>
  <c r="G19" i="1"/>
  <c r="G382" i="1"/>
  <c r="G318" i="1"/>
  <c r="G115" i="1"/>
  <c r="G78" i="1"/>
  <c r="G176" i="1"/>
  <c r="G162" i="1"/>
  <c r="G102" i="1"/>
  <c r="G74" i="1"/>
  <c r="G406" i="1"/>
  <c r="G43" i="1"/>
  <c r="G14" i="1"/>
  <c r="G553" i="1"/>
  <c r="X146" i="1"/>
  <c r="X270" i="1"/>
  <c r="X154" i="1"/>
  <c r="X88" i="1"/>
  <c r="X54" i="1"/>
  <c r="X15" i="1"/>
  <c r="X234" i="1"/>
  <c r="G234" i="1"/>
  <c r="X170" i="1"/>
  <c r="G170" i="1"/>
  <c r="G67" i="1"/>
  <c r="X67" i="1"/>
  <c r="X114" i="1"/>
  <c r="G114" i="1"/>
  <c r="X106" i="1"/>
  <c r="G106" i="1"/>
  <c r="G82" i="1"/>
  <c r="X82" i="1"/>
  <c r="X10" i="1"/>
  <c r="G10" i="1"/>
  <c r="G3" i="1"/>
  <c r="G325" i="1"/>
  <c r="G298" i="1"/>
  <c r="G278" i="1"/>
  <c r="G254" i="1"/>
  <c r="G242" i="1"/>
  <c r="G218" i="1"/>
  <c r="G174" i="1"/>
  <c r="G158" i="1"/>
  <c r="G130" i="1"/>
  <c r="G342" i="1"/>
  <c r="G42" i="1"/>
  <c r="G7" i="1"/>
  <c r="X322" i="1"/>
  <c r="X222" i="1"/>
  <c r="X119" i="1"/>
  <c r="X87" i="1"/>
  <c r="X50" i="1"/>
  <c r="X477" i="1"/>
  <c r="G481" i="1"/>
  <c r="G306" i="1"/>
  <c r="G266" i="1"/>
  <c r="G202" i="1"/>
  <c r="G186" i="1"/>
  <c r="G99" i="1"/>
  <c r="G79" i="1"/>
  <c r="G70" i="1"/>
  <c r="G56" i="1"/>
  <c r="G39" i="1"/>
  <c r="G23" i="1"/>
  <c r="G5" i="1"/>
  <c r="X350" i="1"/>
  <c r="X178" i="1"/>
  <c r="X112" i="1"/>
  <c r="X61" i="1"/>
  <c r="X152" i="1"/>
  <c r="G152" i="1"/>
  <c r="X96" i="1"/>
  <c r="G96" i="1"/>
  <c r="G64" i="1"/>
  <c r="X64" i="1"/>
  <c r="X334" i="1"/>
  <c r="G334" i="1"/>
  <c r="X8" i="1"/>
  <c r="G8" i="1"/>
  <c r="G72" i="1"/>
  <c r="G321" i="1"/>
  <c r="G126" i="1"/>
  <c r="G98" i="1"/>
  <c r="G83" i="1"/>
  <c r="G190" i="1"/>
  <c r="G53" i="1"/>
  <c r="G21" i="1"/>
  <c r="X20" i="1"/>
  <c r="X210" i="1"/>
  <c r="X143" i="1"/>
  <c r="X110" i="1"/>
  <c r="X40" i="1"/>
  <c r="G199" i="1"/>
  <c r="X199" i="1"/>
  <c r="G183" i="1"/>
  <c r="X183" i="1"/>
  <c r="G175" i="1"/>
  <c r="X175" i="1"/>
  <c r="G167" i="1"/>
  <c r="X167" i="1"/>
  <c r="X159" i="1"/>
  <c r="G159" i="1"/>
  <c r="G151" i="1"/>
  <c r="X151" i="1"/>
  <c r="G135" i="1"/>
  <c r="X135" i="1"/>
  <c r="G622" i="1"/>
  <c r="X622" i="1"/>
  <c r="X184" i="1"/>
  <c r="G184" i="1"/>
  <c r="G95" i="1"/>
  <c r="X95" i="1"/>
  <c r="G63" i="1"/>
  <c r="X63" i="1"/>
  <c r="G55" i="1"/>
  <c r="X55" i="1"/>
  <c r="G47" i="1"/>
  <c r="X47" i="1"/>
  <c r="X31" i="1"/>
  <c r="G31" i="1"/>
  <c r="G286" i="1"/>
  <c r="G262" i="1"/>
  <c r="G250" i="1"/>
  <c r="G238" i="1"/>
  <c r="G226" i="1"/>
  <c r="G198" i="1"/>
  <c r="G440" i="1"/>
  <c r="G168" i="1"/>
  <c r="G58" i="1"/>
  <c r="G66" i="1"/>
  <c r="G35" i="1"/>
  <c r="X274" i="1"/>
  <c r="X138" i="1"/>
  <c r="X71" i="1"/>
  <c r="X34" i="1"/>
  <c r="X216" i="1"/>
  <c r="G216" i="1"/>
  <c r="X214" i="1"/>
  <c r="G214" i="1"/>
  <c r="G625" i="1"/>
  <c r="X625" i="1"/>
  <c r="X150" i="1"/>
  <c r="G150" i="1"/>
  <c r="X142" i="1"/>
  <c r="G142" i="1"/>
  <c r="G118" i="1"/>
  <c r="X118" i="1"/>
  <c r="X86" i="1"/>
  <c r="G86" i="1"/>
  <c r="G46" i="1"/>
  <c r="X46" i="1"/>
  <c r="G38" i="1"/>
  <c r="X38" i="1"/>
  <c r="G30" i="1"/>
  <c r="X30" i="1"/>
  <c r="G22" i="1"/>
  <c r="X22" i="1"/>
  <c r="G6" i="1"/>
  <c r="X6" i="1"/>
  <c r="G587" i="1"/>
  <c r="G166" i="1"/>
  <c r="G122" i="1"/>
  <c r="G80" i="1"/>
  <c r="G444" i="1"/>
  <c r="X206" i="1"/>
  <c r="X103" i="1"/>
  <c r="X32" i="1"/>
  <c r="X37" i="1"/>
  <c r="G37" i="1"/>
  <c r="X29" i="1"/>
  <c r="G29" i="1"/>
  <c r="X13" i="1"/>
  <c r="G13" i="1"/>
  <c r="G338" i="1"/>
  <c r="G302" i="1"/>
  <c r="G194" i="1"/>
  <c r="G136" i="1"/>
  <c r="G62" i="1"/>
  <c r="G48" i="1"/>
  <c r="X128" i="1"/>
  <c r="F466" i="1"/>
  <c r="V55" i="1"/>
  <c r="W55" i="1" s="1"/>
  <c r="F338" i="1"/>
  <c r="W64" i="1"/>
  <c r="F512" i="1"/>
  <c r="F384" i="1"/>
  <c r="F297" i="1"/>
  <c r="W23" i="1"/>
  <c r="F633" i="1"/>
  <c r="F340" i="1"/>
  <c r="F617" i="1"/>
  <c r="F609" i="1"/>
  <c r="F585" i="1"/>
  <c r="F577" i="1"/>
  <c r="F569" i="1"/>
  <c r="F301" i="1"/>
  <c r="F545" i="1"/>
  <c r="F521" i="1"/>
  <c r="F513" i="1"/>
  <c r="F505" i="1"/>
  <c r="F497" i="1"/>
  <c r="F489" i="1"/>
  <c r="F156" i="1"/>
  <c r="F290" i="1"/>
  <c r="F449" i="1"/>
  <c r="F441" i="1"/>
  <c r="F433" i="1"/>
  <c r="F425" i="1"/>
  <c r="F417" i="1"/>
  <c r="F393" i="1"/>
  <c r="F385" i="1"/>
  <c r="F377" i="1"/>
  <c r="F369" i="1"/>
  <c r="F361" i="1"/>
  <c r="F353" i="1"/>
  <c r="F329" i="1"/>
  <c r="F24" i="1"/>
  <c r="F272" i="1"/>
  <c r="F305" i="1"/>
  <c r="F289" i="1"/>
  <c r="F265" i="1"/>
  <c r="F257" i="1"/>
  <c r="F249" i="1"/>
  <c r="F537" i="1"/>
  <c r="F506" i="1"/>
  <c r="F615" i="1"/>
  <c r="F125" i="1"/>
  <c r="F599" i="1"/>
  <c r="F314" i="1"/>
  <c r="F27" i="1"/>
  <c r="F575" i="1"/>
  <c r="F567" i="1"/>
  <c r="F559" i="1"/>
  <c r="F304" i="1"/>
  <c r="F596" i="1"/>
  <c r="F511" i="1"/>
  <c r="F503" i="1"/>
  <c r="F246" i="1"/>
  <c r="F487" i="1"/>
  <c r="F479" i="1"/>
  <c r="F471" i="1"/>
  <c r="F601" i="1"/>
  <c r="F455" i="1"/>
  <c r="F447" i="1"/>
  <c r="F439" i="1"/>
  <c r="F431" i="1"/>
  <c r="F423" i="1"/>
  <c r="F415" i="1"/>
  <c r="F407" i="1"/>
  <c r="F399" i="1"/>
  <c r="F391" i="1"/>
  <c r="F383" i="1"/>
  <c r="F375" i="1"/>
  <c r="F367" i="1"/>
  <c r="F264" i="1"/>
  <c r="F351" i="1"/>
  <c r="F343" i="1"/>
  <c r="F519" i="1"/>
  <c r="F357" i="1"/>
  <c r="F182" i="1"/>
  <c r="F311" i="1"/>
  <c r="F303" i="1"/>
  <c r="F463" i="1"/>
  <c r="F287" i="1"/>
  <c r="F494" i="1"/>
  <c r="F271" i="1"/>
  <c r="F209" i="1"/>
  <c r="F255" i="1"/>
  <c r="F247" i="1"/>
  <c r="F239" i="1"/>
  <c r="F231" i="1"/>
  <c r="F608" i="1"/>
  <c r="F215" i="1"/>
  <c r="F207" i="1"/>
  <c r="F199" i="1"/>
  <c r="F270" i="1"/>
  <c r="F183" i="1"/>
  <c r="F175" i="1"/>
  <c r="F167" i="1"/>
  <c r="F159" i="1"/>
  <c r="F151" i="1"/>
  <c r="F143" i="1"/>
  <c r="F135" i="1"/>
  <c r="F127" i="1"/>
  <c r="F119" i="1"/>
  <c r="F622" i="1"/>
  <c r="F103" i="1"/>
  <c r="F184" i="1"/>
  <c r="F87" i="1"/>
  <c r="F95" i="1"/>
  <c r="F71" i="1"/>
  <c r="F63" i="1"/>
  <c r="F55" i="1"/>
  <c r="F47" i="1"/>
  <c r="F39" i="1"/>
  <c r="F31" i="1"/>
  <c r="F23" i="1"/>
  <c r="F15" i="1"/>
  <c r="F7" i="1"/>
  <c r="W101" i="1"/>
  <c r="F632" i="1"/>
  <c r="F294" i="1"/>
  <c r="F568" i="1"/>
  <c r="F528" i="1"/>
  <c r="F480" i="1"/>
  <c r="F141" i="1"/>
  <c r="F400" i="1"/>
  <c r="F336" i="1"/>
  <c r="F631" i="1"/>
  <c r="F543" i="1"/>
  <c r="F630" i="1"/>
  <c r="F592" i="1"/>
  <c r="F614" i="1"/>
  <c r="F606" i="1"/>
  <c r="F598" i="1"/>
  <c r="F590" i="1"/>
  <c r="F582" i="1"/>
  <c r="F574" i="1"/>
  <c r="F566" i="1"/>
  <c r="F52" i="1"/>
  <c r="F550" i="1"/>
  <c r="F542" i="1"/>
  <c r="F534" i="1"/>
  <c r="F526" i="1"/>
  <c r="F518" i="1"/>
  <c r="F510" i="1"/>
  <c r="F502" i="1"/>
  <c r="F457" i="1"/>
  <c r="F117" i="1"/>
  <c r="F478" i="1"/>
  <c r="F470" i="1"/>
  <c r="F462" i="1"/>
  <c r="F454" i="1"/>
  <c r="F446" i="1"/>
  <c r="F438" i="1"/>
  <c r="F430" i="1"/>
  <c r="F422" i="1"/>
  <c r="F414" i="1"/>
  <c r="F359" i="1"/>
  <c r="F398" i="1"/>
  <c r="F390" i="1"/>
  <c r="F382" i="1"/>
  <c r="F374" i="1"/>
  <c r="F366" i="1"/>
  <c r="F587" i="1"/>
  <c r="F350" i="1"/>
  <c r="F72" i="1"/>
  <c r="F481" i="1"/>
  <c r="F325" i="1"/>
  <c r="F318" i="1"/>
  <c r="F310" i="1"/>
  <c r="F302" i="1"/>
  <c r="F146" i="1"/>
  <c r="F286" i="1"/>
  <c r="F278" i="1"/>
  <c r="F216" i="1"/>
  <c r="F262" i="1"/>
  <c r="F254" i="1"/>
  <c r="F20" i="1"/>
  <c r="F238" i="1"/>
  <c r="F230" i="1"/>
  <c r="F222" i="1"/>
  <c r="V556" i="1"/>
  <c r="W556" i="1" s="1"/>
  <c r="V339" i="1"/>
  <c r="W339" i="1" s="1"/>
  <c r="V16" i="1"/>
  <c r="W16" i="1" s="1"/>
  <c r="V109" i="1"/>
  <c r="W109" i="1" s="1"/>
  <c r="V93" i="1"/>
  <c r="W93" i="1" s="1"/>
  <c r="V85" i="1"/>
  <c r="W85" i="1" s="1"/>
  <c r="V77" i="1"/>
  <c r="W77" i="1" s="1"/>
  <c r="V69" i="1"/>
  <c r="W69" i="1" s="1"/>
  <c r="V555" i="1"/>
  <c r="W555" i="1" s="1"/>
  <c r="V53" i="1"/>
  <c r="W53" i="1" s="1"/>
  <c r="V45" i="1"/>
  <c r="W45" i="1" s="1"/>
  <c r="V37" i="1"/>
  <c r="W37" i="1" s="1"/>
  <c r="V29" i="1"/>
  <c r="W29" i="1" s="1"/>
  <c r="V21" i="1"/>
  <c r="W21" i="1" s="1"/>
  <c r="V13" i="1"/>
  <c r="W13" i="1" s="1"/>
  <c r="V5" i="1"/>
  <c r="W5" i="1" s="1"/>
  <c r="F576" i="1"/>
  <c r="F448" i="1"/>
  <c r="F408" i="1"/>
  <c r="F320" i="1"/>
  <c r="F527" i="1"/>
  <c r="F629" i="1"/>
  <c r="F621" i="1"/>
  <c r="F613" i="1"/>
  <c r="F605" i="1"/>
  <c r="F597" i="1"/>
  <c r="F589" i="1"/>
  <c r="F581" i="1"/>
  <c r="F549" i="1"/>
  <c r="F565" i="1"/>
  <c r="F557" i="1"/>
  <c r="F277" i="1"/>
  <c r="F541" i="1"/>
  <c r="F533" i="1"/>
  <c r="F525" i="1"/>
  <c r="F517" i="1"/>
  <c r="F509" i="1"/>
  <c r="F607" i="1"/>
  <c r="F493" i="1"/>
  <c r="F485" i="1"/>
  <c r="F26" i="1"/>
  <c r="F469" i="1"/>
  <c r="F461" i="1"/>
  <c r="F187" i="1"/>
  <c r="F445" i="1"/>
  <c r="F437" i="1"/>
  <c r="F429" i="1"/>
  <c r="F421" i="1"/>
  <c r="F413" i="1"/>
  <c r="F405" i="1"/>
  <c r="F293" i="1"/>
  <c r="F389" i="1"/>
  <c r="F381" i="1"/>
  <c r="F373" i="1"/>
  <c r="F365" i="1"/>
  <c r="F149" i="1"/>
  <c r="F349" i="1"/>
  <c r="F341" i="1"/>
  <c r="F333" i="1"/>
  <c r="F227" i="1"/>
  <c r="F317" i="1"/>
  <c r="F309" i="1"/>
  <c r="F308" i="1"/>
  <c r="F495" i="1"/>
  <c r="F285" i="1"/>
  <c r="F221" i="1"/>
  <c r="F269" i="1"/>
  <c r="F453" i="1"/>
  <c r="F253" i="1"/>
  <c r="F245" i="1"/>
  <c r="F237" i="1"/>
  <c r="F524" i="1"/>
  <c r="F326" i="1"/>
  <c r="F213" i="1"/>
  <c r="F205" i="1"/>
  <c r="F330" i="1"/>
  <c r="F132" i="1"/>
  <c r="F181" i="1"/>
  <c r="F173" i="1"/>
  <c r="F165" i="1"/>
  <c r="F157" i="1"/>
  <c r="F295" i="1"/>
  <c r="F591" i="1"/>
  <c r="F556" i="1"/>
  <c r="F339" i="1"/>
  <c r="F16" i="1"/>
  <c r="F109" i="1"/>
  <c r="F101" i="1"/>
  <c r="F93" i="1"/>
  <c r="F85" i="1"/>
  <c r="F77" i="1"/>
  <c r="F69" i="1"/>
  <c r="F555" i="1"/>
  <c r="F53" i="1"/>
  <c r="F45" i="1"/>
  <c r="F37" i="1"/>
  <c r="F29" i="1"/>
  <c r="F21" i="1"/>
  <c r="F13" i="1"/>
  <c r="F5" i="1"/>
  <c r="F360" i="1"/>
  <c r="F544" i="1"/>
  <c r="F504" i="1"/>
  <c r="F464" i="1"/>
  <c r="F376" i="1"/>
  <c r="F344" i="1"/>
  <c r="F280" i="1"/>
  <c r="F535" i="1"/>
  <c r="F628" i="1"/>
  <c r="F620" i="1"/>
  <c r="F612" i="1"/>
  <c r="F604" i="1"/>
  <c r="F411" i="1"/>
  <c r="F588" i="1"/>
  <c r="F492" i="1"/>
  <c r="F572" i="1"/>
  <c r="F564" i="1"/>
  <c r="F263" i="1"/>
  <c r="F548" i="1"/>
  <c r="F164" i="1"/>
  <c r="F532" i="1"/>
  <c r="F160" i="1"/>
  <c r="F516" i="1"/>
  <c r="F508" i="1"/>
  <c r="F362" i="1"/>
  <c r="F583" i="1"/>
  <c r="F484" i="1"/>
  <c r="F476" i="1"/>
  <c r="F573" i="1"/>
  <c r="F460" i="1"/>
  <c r="F452" i="1"/>
  <c r="F105" i="1"/>
  <c r="F436" i="1"/>
  <c r="F428" i="1"/>
  <c r="F420" i="1"/>
  <c r="F412" i="1"/>
  <c r="F404" i="1"/>
  <c r="F396" i="1"/>
  <c r="F388" i="1"/>
  <c r="F380" i="1"/>
  <c r="F372" i="1"/>
  <c r="F364" i="1"/>
  <c r="F356" i="1"/>
  <c r="F12" i="1"/>
  <c r="F561" i="1"/>
  <c r="F332" i="1"/>
  <c r="F324" i="1"/>
  <c r="F316" i="1"/>
  <c r="F59" i="1"/>
  <c r="F300" i="1"/>
  <c r="F189" i="1"/>
  <c r="F284" i="1"/>
  <c r="F276" i="1"/>
  <c r="F268" i="1"/>
  <c r="F260" i="1"/>
  <c r="F252" i="1"/>
  <c r="F244" i="1"/>
  <c r="F236" i="1"/>
  <c r="F228" i="1"/>
  <c r="V131" i="1"/>
  <c r="W131" i="1" s="1"/>
  <c r="F600" i="1"/>
  <c r="F536" i="1"/>
  <c r="F472" i="1"/>
  <c r="F392" i="1"/>
  <c r="F328" i="1"/>
  <c r="F256" i="1"/>
  <c r="V135" i="1"/>
  <c r="W135" i="1" s="1"/>
  <c r="F627" i="1"/>
  <c r="F619" i="1"/>
  <c r="F611" i="1"/>
  <c r="F603" i="1"/>
  <c r="F595" i="1"/>
  <c r="F501" i="1"/>
  <c r="F579" i="1"/>
  <c r="F571" i="1"/>
  <c r="F563" i="1"/>
  <c r="F172" i="1"/>
  <c r="F547" i="1"/>
  <c r="F539" i="1"/>
  <c r="F531" i="1"/>
  <c r="F523" i="1"/>
  <c r="F515" i="1"/>
  <c r="F507" i="1"/>
  <c r="F499" i="1"/>
  <c r="F491" i="1"/>
  <c r="F483" i="1"/>
  <c r="F475" i="1"/>
  <c r="F467" i="1"/>
  <c r="F459" i="1"/>
  <c r="F451" i="1"/>
  <c r="F443" i="1"/>
  <c r="F435" i="1"/>
  <c r="F427" i="1"/>
  <c r="F418" i="1"/>
  <c r="F144" i="1"/>
  <c r="F403" i="1"/>
  <c r="F395" i="1"/>
  <c r="F387" i="1"/>
  <c r="F379" i="1"/>
  <c r="F371" i="1"/>
  <c r="F363" i="1"/>
  <c r="F355" i="1"/>
  <c r="F347" i="1"/>
  <c r="F233" i="1"/>
  <c r="F331" i="1"/>
  <c r="F323" i="1"/>
  <c r="F315" i="1"/>
  <c r="F307" i="1"/>
  <c r="F299" i="1"/>
  <c r="F291" i="1"/>
  <c r="F283" i="1"/>
  <c r="F275" i="1"/>
  <c r="F267" i="1"/>
  <c r="F259" i="1"/>
  <c r="F251" i="1"/>
  <c r="F243" i="1"/>
  <c r="F235" i="1"/>
  <c r="F197" i="1"/>
  <c r="F219" i="1"/>
  <c r="F211" i="1"/>
  <c r="F203" i="1"/>
  <c r="F195" i="1"/>
  <c r="F348" i="1"/>
  <c r="F179" i="1"/>
  <c r="F171" i="1"/>
  <c r="F163" i="1"/>
  <c r="F155" i="1"/>
  <c r="F147" i="1"/>
  <c r="F139" i="1"/>
  <c r="F131" i="1"/>
  <c r="F123" i="1"/>
  <c r="F580" i="1"/>
  <c r="F107" i="1"/>
  <c r="F79" i="1"/>
  <c r="F91" i="1"/>
  <c r="F83" i="1"/>
  <c r="F75" i="1"/>
  <c r="F190" i="1"/>
  <c r="F540" i="1"/>
  <c r="F51" i="1"/>
  <c r="F43" i="1"/>
  <c r="F35" i="1"/>
  <c r="F397" i="1"/>
  <c r="F19" i="1"/>
  <c r="F553" i="1"/>
  <c r="F3" i="1"/>
  <c r="F11" i="1"/>
  <c r="F520" i="1"/>
  <c r="F456" i="1"/>
  <c r="F416" i="1"/>
  <c r="F352" i="1"/>
  <c r="F312" i="1"/>
  <c r="F288" i="1"/>
  <c r="F468" i="1"/>
  <c r="F94" i="1"/>
  <c r="F248" i="1"/>
  <c r="F192" i="1"/>
  <c r="F2" i="1"/>
  <c r="F626" i="1"/>
  <c r="F618" i="1"/>
  <c r="F610" i="1"/>
  <c r="F602" i="1"/>
  <c r="F594" i="1"/>
  <c r="F586" i="1"/>
  <c r="F578" i="1"/>
  <c r="F570" i="1"/>
  <c r="F562" i="1"/>
  <c r="F554" i="1"/>
  <c r="F546" i="1"/>
  <c r="F538" i="1"/>
  <c r="F530" i="1"/>
  <c r="F522" i="1"/>
  <c r="F514" i="1"/>
  <c r="F486" i="1"/>
  <c r="F57" i="1"/>
  <c r="F490" i="1"/>
  <c r="F482" i="1"/>
  <c r="F474" i="1"/>
  <c r="F191" i="1"/>
  <c r="F450" i="1"/>
  <c r="F442" i="1"/>
  <c r="F434" i="1"/>
  <c r="F426" i="1"/>
  <c r="F335" i="1"/>
  <c r="F410" i="1"/>
  <c r="F402" i="1"/>
  <c r="F394" i="1"/>
  <c r="F386" i="1"/>
  <c r="F378" i="1"/>
  <c r="F370" i="1"/>
  <c r="F68" i="1"/>
  <c r="F133" i="1"/>
  <c r="F346" i="1"/>
  <c r="F551" i="1"/>
  <c r="F322" i="1"/>
  <c r="F321" i="1"/>
  <c r="F306" i="1"/>
  <c r="F298" i="1"/>
  <c r="F115" i="1"/>
  <c r="F282" i="1"/>
  <c r="F274" i="1"/>
  <c r="F266" i="1"/>
  <c r="F258" i="1"/>
  <c r="F250" i="1"/>
  <c r="F130" i="1"/>
  <c r="F66" i="1"/>
  <c r="F34" i="1"/>
  <c r="F220" i="1"/>
  <c r="F212" i="1"/>
  <c r="F204" i="1"/>
  <c r="F196" i="1"/>
  <c r="F188" i="1"/>
  <c r="F180" i="1"/>
  <c r="F292" i="1"/>
  <c r="F261" i="1"/>
  <c r="F327" i="1"/>
  <c r="F148" i="1"/>
  <c r="F140" i="1"/>
  <c r="F458" i="1"/>
  <c r="F124" i="1"/>
  <c r="F116" i="1"/>
  <c r="F108" i="1"/>
  <c r="F100" i="1"/>
  <c r="F92" i="1"/>
  <c r="F84" i="1"/>
  <c r="F76" i="1"/>
  <c r="F223" i="1"/>
  <c r="F623" i="1"/>
  <c r="F279" i="1"/>
  <c r="F44" i="1"/>
  <c r="F36" i="1"/>
  <c r="F28" i="1"/>
  <c r="F60" i="1"/>
  <c r="F229" i="1"/>
  <c r="F4" i="1"/>
  <c r="V124" i="1"/>
  <c r="W124" i="1" s="1"/>
  <c r="V116" i="1"/>
  <c r="W116" i="1" s="1"/>
  <c r="V108" i="1"/>
  <c r="W108" i="1" s="1"/>
  <c r="V100" i="1"/>
  <c r="W100" i="1" s="1"/>
  <c r="V84" i="1"/>
  <c r="W84" i="1" s="1"/>
  <c r="V76" i="1"/>
  <c r="W76" i="1" s="1"/>
  <c r="V223" i="1"/>
  <c r="W223" i="1" s="1"/>
  <c r="V279" i="1"/>
  <c r="W279" i="1" s="1"/>
  <c r="V44" i="1"/>
  <c r="W44" i="1" s="1"/>
  <c r="V28" i="1"/>
  <c r="W28" i="1" s="1"/>
  <c r="V60" i="1"/>
  <c r="W60" i="1" s="1"/>
  <c r="V229" i="1"/>
  <c r="W229" i="1" s="1"/>
  <c r="V4" i="1"/>
  <c r="W4" i="1" s="1"/>
  <c r="W458" i="1"/>
  <c r="W623" i="1"/>
  <c r="W19" i="1"/>
  <c r="V123" i="1"/>
  <c r="W123" i="1" s="1"/>
  <c r="V107" i="1"/>
  <c r="W107" i="1" s="1"/>
  <c r="V79" i="1"/>
  <c r="W79" i="1" s="1"/>
  <c r="V91" i="1"/>
  <c r="W91" i="1" s="1"/>
  <c r="V190" i="1"/>
  <c r="W190" i="1" s="1"/>
  <c r="V540" i="1"/>
  <c r="W540" i="1" s="1"/>
  <c r="V51" i="1"/>
  <c r="W51" i="1" s="1"/>
  <c r="V43" i="1"/>
  <c r="W43" i="1" s="1"/>
  <c r="V35" i="1"/>
  <c r="W35" i="1" s="1"/>
  <c r="V397" i="1"/>
  <c r="W397" i="1" s="1"/>
  <c r="V553" i="1"/>
  <c r="W553" i="1" s="1"/>
  <c r="V3" i="1"/>
  <c r="W3" i="1" s="1"/>
  <c r="W130" i="1"/>
  <c r="W56" i="1"/>
  <c r="W477" i="1"/>
  <c r="F242" i="1"/>
  <c r="F234" i="1"/>
  <c r="F226" i="1"/>
  <c r="F218" i="1"/>
  <c r="F202" i="1"/>
  <c r="F194" i="1"/>
  <c r="F186" i="1"/>
  <c r="F178" i="1"/>
  <c r="F170" i="1"/>
  <c r="F154" i="1"/>
  <c r="F67" i="1"/>
  <c r="F138" i="1"/>
  <c r="F122" i="1"/>
  <c r="F114" i="1"/>
  <c r="F106" i="1"/>
  <c r="F90" i="1"/>
  <c r="F82" i="1"/>
  <c r="F74" i="1"/>
  <c r="F406" i="1"/>
  <c r="F50" i="1"/>
  <c r="F42" i="1"/>
  <c r="F14" i="1"/>
  <c r="F18" i="1"/>
  <c r="F10" i="1"/>
  <c r="V122" i="1"/>
  <c r="W122" i="1" s="1"/>
  <c r="V106" i="1"/>
  <c r="W106" i="1" s="1"/>
  <c r="V98" i="1"/>
  <c r="W98" i="1" s="1"/>
  <c r="V90" i="1"/>
  <c r="W90" i="1" s="1"/>
  <c r="V82" i="1"/>
  <c r="W82" i="1" s="1"/>
  <c r="V66" i="1"/>
  <c r="W66" i="1" s="1"/>
  <c r="V406" i="1"/>
  <c r="W406" i="1" s="1"/>
  <c r="V42" i="1"/>
  <c r="W42" i="1" s="1"/>
  <c r="V14" i="1"/>
  <c r="W14" i="1" s="1"/>
  <c r="V18" i="1"/>
  <c r="W18" i="1" s="1"/>
  <c r="V10" i="1"/>
  <c r="W10" i="1" s="1"/>
  <c r="W128" i="1"/>
  <c r="W92" i="1"/>
  <c r="F241" i="1"/>
  <c r="F225" i="1"/>
  <c r="F201" i="1"/>
  <c r="F193" i="1"/>
  <c r="F185" i="1"/>
  <c r="F177" i="1"/>
  <c r="F169" i="1"/>
  <c r="F153" i="1"/>
  <c r="F145" i="1"/>
  <c r="F137" i="1"/>
  <c r="F121" i="1"/>
  <c r="F113" i="1"/>
  <c r="F496" i="1"/>
  <c r="F89" i="1"/>
  <c r="F81" i="1"/>
  <c r="F500" i="1"/>
  <c r="F498" i="1"/>
  <c r="F49" i="1"/>
  <c r="F41" i="1"/>
  <c r="F33" i="1"/>
  <c r="F25" i="1"/>
  <c r="F17" i="1"/>
  <c r="F9" i="1"/>
  <c r="W119" i="1"/>
  <c r="F224" i="1"/>
  <c r="F419" i="1"/>
  <c r="F208" i="1"/>
  <c r="F200" i="1"/>
  <c r="F440" i="1"/>
  <c r="V120" i="1"/>
  <c r="W120" i="1" s="1"/>
  <c r="V112" i="1"/>
  <c r="W112" i="1" s="1"/>
  <c r="V104" i="1"/>
  <c r="W104" i="1" s="1"/>
  <c r="V88" i="1"/>
  <c r="W88" i="1" s="1"/>
  <c r="V80" i="1"/>
  <c r="W80" i="1" s="1"/>
  <c r="V342" i="1"/>
  <c r="W342" i="1" s="1"/>
  <c r="V48" i="1"/>
  <c r="W48" i="1" s="1"/>
  <c r="V40" i="1"/>
  <c r="W40" i="1" s="1"/>
  <c r="V32" i="1"/>
  <c r="W32" i="1" s="1"/>
  <c r="V334" i="1"/>
  <c r="W334" i="1" s="1"/>
  <c r="V444" i="1"/>
  <c r="W444" i="1" s="1"/>
  <c r="V8" i="1"/>
  <c r="W8" i="1" s="1"/>
  <c r="W580" i="1"/>
  <c r="W61" i="1"/>
  <c r="W39" i="1"/>
  <c r="V114" i="1"/>
  <c r="W114" i="1" s="1"/>
  <c r="V127" i="1"/>
  <c r="W127" i="1" s="1"/>
  <c r="V103" i="1"/>
  <c r="W103" i="1" s="1"/>
  <c r="V184" i="1"/>
  <c r="W184" i="1" s="1"/>
  <c r="V87" i="1"/>
  <c r="W87" i="1" s="1"/>
  <c r="V95" i="1"/>
  <c r="W95" i="1" s="1"/>
  <c r="V71" i="1"/>
  <c r="W71" i="1" s="1"/>
  <c r="V63" i="1"/>
  <c r="W63" i="1" s="1"/>
  <c r="V47" i="1"/>
  <c r="W47" i="1" s="1"/>
  <c r="V31" i="1"/>
  <c r="W31" i="1" s="1"/>
  <c r="V15" i="1"/>
  <c r="W15" i="1" s="1"/>
  <c r="V7" i="1"/>
  <c r="W7" i="1" s="1"/>
  <c r="W622" i="1"/>
  <c r="W75" i="1"/>
  <c r="W36" i="1"/>
  <c r="F214" i="1"/>
  <c r="F206" i="1"/>
  <c r="F198" i="1"/>
  <c r="F78" i="1"/>
  <c r="F625" i="1"/>
  <c r="F174" i="1"/>
  <c r="F166" i="1"/>
  <c r="F158" i="1"/>
  <c r="F150" i="1"/>
  <c r="F142" i="1"/>
  <c r="F134" i="1"/>
  <c r="F126" i="1"/>
  <c r="F118" i="1"/>
  <c r="F110" i="1"/>
  <c r="F102" i="1"/>
  <c r="F58" i="1"/>
  <c r="F86" i="1"/>
  <c r="F61" i="1"/>
  <c r="F70" i="1"/>
  <c r="F62" i="1"/>
  <c r="F54" i="1"/>
  <c r="F46" i="1"/>
  <c r="F38" i="1"/>
  <c r="F30" i="1"/>
  <c r="F22" i="1"/>
  <c r="F477" i="1"/>
  <c r="F6" i="1"/>
  <c r="V134" i="1"/>
  <c r="W134" i="1" s="1"/>
  <c r="V126" i="1"/>
  <c r="W126" i="1" s="1"/>
  <c r="V118" i="1"/>
  <c r="W118" i="1" s="1"/>
  <c r="V102" i="1"/>
  <c r="W102" i="1" s="1"/>
  <c r="V58" i="1"/>
  <c r="W58" i="1" s="1"/>
  <c r="V86" i="1"/>
  <c r="W86" i="1" s="1"/>
  <c r="V70" i="1"/>
  <c r="W70" i="1" s="1"/>
  <c r="V62" i="1"/>
  <c r="W62" i="1" s="1"/>
  <c r="V54" i="1"/>
  <c r="W54" i="1" s="1"/>
  <c r="V46" i="1"/>
  <c r="W46" i="1" s="1"/>
  <c r="V38" i="1"/>
  <c r="W38" i="1" s="1"/>
  <c r="V30" i="1"/>
  <c r="W30" i="1" s="1"/>
  <c r="V22" i="1"/>
  <c r="W22" i="1" s="1"/>
  <c r="V6" i="1"/>
  <c r="W6" i="1" s="1"/>
  <c r="W110" i="1"/>
  <c r="W74" i="1"/>
  <c r="W34" i="1"/>
  <c r="V50" i="1"/>
  <c r="W50" i="1" s="1"/>
  <c r="F176" i="1"/>
  <c r="F168" i="1"/>
  <c r="F354" i="1"/>
  <c r="F152" i="1"/>
  <c r="F99" i="1"/>
  <c r="F136" i="1"/>
  <c r="F128" i="1"/>
  <c r="F120" i="1"/>
  <c r="F112" i="1"/>
  <c r="F104" i="1"/>
  <c r="F96" i="1"/>
  <c r="F88" i="1"/>
  <c r="F80" i="1"/>
  <c r="F342" i="1"/>
  <c r="F64" i="1"/>
  <c r="F56" i="1"/>
  <c r="F48" i="1"/>
  <c r="F40" i="1"/>
  <c r="F32" i="1"/>
  <c r="F334" i="1"/>
  <c r="F444" i="1"/>
  <c r="F8" i="1"/>
  <c r="V633" i="1" l="1"/>
  <c r="W633" i="1" s="1"/>
  <c r="V617" i="1"/>
  <c r="W617" i="1" s="1"/>
  <c r="V609" i="1"/>
  <c r="W609" i="1" s="1"/>
  <c r="V593" i="1"/>
  <c r="W593" i="1" s="1"/>
  <c r="V585" i="1"/>
  <c r="W585" i="1" s="1"/>
  <c r="V569" i="1"/>
  <c r="W569" i="1" s="1"/>
  <c r="V301" i="1"/>
  <c r="W301" i="1" s="1"/>
  <c r="V545" i="1"/>
  <c r="W545" i="1" s="1"/>
  <c r="V358" i="1"/>
  <c r="W358" i="1" s="1"/>
  <c r="V521" i="1"/>
  <c r="W521" i="1" s="1"/>
  <c r="V513" i="1"/>
  <c r="W513" i="1" s="1"/>
  <c r="V497" i="1"/>
  <c r="W497" i="1" s="1"/>
  <c r="V156" i="1"/>
  <c r="W156" i="1" s="1"/>
  <c r="V465" i="1"/>
  <c r="W465" i="1" s="1"/>
  <c r="V449" i="1"/>
  <c r="W449" i="1" s="1"/>
  <c r="V441" i="1"/>
  <c r="W441" i="1" s="1"/>
  <c r="V425" i="1"/>
  <c r="W425" i="1" s="1"/>
  <c r="V417" i="1"/>
  <c r="W417" i="1" s="1"/>
  <c r="V401" i="1"/>
  <c r="W401" i="1" s="1"/>
  <c r="V385" i="1"/>
  <c r="W385" i="1" s="1"/>
  <c r="V377" i="1"/>
  <c r="W377" i="1" s="1"/>
  <c r="V361" i="1"/>
  <c r="W361" i="1" s="1"/>
  <c r="V345" i="1"/>
  <c r="W345" i="1" s="1"/>
  <c r="V329" i="1"/>
  <c r="W329" i="1" s="1"/>
  <c r="V272" i="1"/>
  <c r="W272" i="1" s="1"/>
  <c r="V305" i="1"/>
  <c r="W305" i="1" s="1"/>
  <c r="V289" i="1"/>
  <c r="W289" i="1" s="1"/>
  <c r="V281" i="1"/>
  <c r="W281" i="1" s="1"/>
  <c r="V265" i="1"/>
  <c r="W265" i="1" s="1"/>
  <c r="V249" i="1"/>
  <c r="W249" i="1" s="1"/>
  <c r="V241" i="1"/>
  <c r="W241" i="1" s="1"/>
  <c r="V225" i="1"/>
  <c r="W225" i="1" s="1"/>
  <c r="V217" i="1"/>
  <c r="W217" i="1" s="1"/>
  <c r="V201" i="1"/>
  <c r="W201" i="1" s="1"/>
  <c r="V193" i="1"/>
  <c r="W193" i="1" s="1"/>
  <c r="V177" i="1"/>
  <c r="W177" i="1" s="1"/>
  <c r="V169" i="1"/>
  <c r="W169" i="1" s="1"/>
  <c r="V161" i="1"/>
  <c r="W161" i="1" s="1"/>
  <c r="V145" i="1"/>
  <c r="W145" i="1" s="1"/>
  <c r="V137" i="1"/>
  <c r="W137" i="1" s="1"/>
  <c r="V632" i="1"/>
  <c r="W632" i="1" s="1"/>
  <c r="V624" i="1"/>
  <c r="W624" i="1" s="1"/>
  <c r="V616" i="1"/>
  <c r="W616" i="1" s="1"/>
  <c r="V294" i="1"/>
  <c r="W294" i="1" s="1"/>
  <c r="V600" i="1"/>
  <c r="W600" i="1" s="1"/>
  <c r="V360" i="1"/>
  <c r="W360" i="1" s="1"/>
  <c r="V11" i="1"/>
  <c r="W11" i="1" s="1"/>
  <c r="V576" i="1"/>
  <c r="W576" i="1" s="1"/>
  <c r="V568" i="1"/>
  <c r="W568" i="1" s="1"/>
  <c r="V560" i="1"/>
  <c r="W560" i="1" s="1"/>
  <c r="V552" i="1"/>
  <c r="W552" i="1" s="1"/>
  <c r="V544" i="1"/>
  <c r="W544" i="1" s="1"/>
  <c r="V536" i="1"/>
  <c r="W536" i="1" s="1"/>
  <c r="V528" i="1"/>
  <c r="W528" i="1" s="1"/>
  <c r="V520" i="1"/>
  <c r="W520" i="1" s="1"/>
  <c r="V512" i="1"/>
  <c r="W512" i="1" s="1"/>
  <c r="V504" i="1"/>
  <c r="W504" i="1" s="1"/>
  <c r="V319" i="1"/>
  <c r="W319" i="1" s="1"/>
  <c r="V488" i="1"/>
  <c r="W488" i="1" s="1"/>
  <c r="V480" i="1"/>
  <c r="W480" i="1" s="1"/>
  <c r="V472" i="1"/>
  <c r="W472" i="1" s="1"/>
  <c r="V464" i="1"/>
  <c r="W464" i="1" s="1"/>
  <c r="V456" i="1"/>
  <c r="W456" i="1" s="1"/>
  <c r="V448" i="1"/>
  <c r="W448" i="1" s="1"/>
  <c r="V141" i="1"/>
  <c r="W141" i="1" s="1"/>
  <c r="V432" i="1"/>
  <c r="W432" i="1" s="1"/>
  <c r="V424" i="1"/>
  <c r="W424" i="1" s="1"/>
  <c r="V416" i="1"/>
  <c r="W416" i="1" s="1"/>
  <c r="V408" i="1"/>
  <c r="W408" i="1" s="1"/>
  <c r="V400" i="1"/>
  <c r="W400" i="1" s="1"/>
  <c r="V392" i="1"/>
  <c r="W392" i="1" s="1"/>
  <c r="V384" i="1"/>
  <c r="W384" i="1" s="1"/>
  <c r="V376" i="1"/>
  <c r="W376" i="1" s="1"/>
  <c r="V368" i="1"/>
  <c r="W368" i="1" s="1"/>
  <c r="V558" i="1"/>
  <c r="W558" i="1" s="1"/>
  <c r="V352" i="1"/>
  <c r="W352" i="1" s="1"/>
  <c r="V344" i="1"/>
  <c r="W344" i="1" s="1"/>
  <c r="V336" i="1"/>
  <c r="W336" i="1" s="1"/>
  <c r="V328" i="1"/>
  <c r="W328" i="1" s="1"/>
  <c r="V320" i="1"/>
  <c r="W320" i="1" s="1"/>
  <c r="V312" i="1"/>
  <c r="W312" i="1" s="1"/>
  <c r="V73" i="1"/>
  <c r="W73" i="1" s="1"/>
  <c r="V296" i="1"/>
  <c r="W296" i="1" s="1"/>
  <c r="V288" i="1"/>
  <c r="W288" i="1" s="1"/>
  <c r="V280" i="1"/>
  <c r="W280" i="1" s="1"/>
  <c r="V468" i="1"/>
  <c r="W468" i="1" s="1"/>
  <c r="V94" i="1"/>
  <c r="W94" i="1" s="1"/>
  <c r="V256" i="1"/>
  <c r="W256" i="1" s="1"/>
  <c r="V248" i="1"/>
  <c r="W248" i="1" s="1"/>
  <c r="V240" i="1"/>
  <c r="W240" i="1" s="1"/>
  <c r="V232" i="1"/>
  <c r="W232" i="1" s="1"/>
  <c r="V224" i="1"/>
  <c r="W224" i="1" s="1"/>
  <c r="V419" i="1"/>
  <c r="W419" i="1" s="1"/>
  <c r="V208" i="1"/>
  <c r="W208" i="1" s="1"/>
  <c r="V200" i="1"/>
  <c r="W200" i="1" s="1"/>
  <c r="V192" i="1"/>
  <c r="W192" i="1" s="1"/>
  <c r="V440" i="1"/>
  <c r="W440" i="1" s="1"/>
  <c r="V176" i="1"/>
  <c r="W176" i="1" s="1"/>
  <c r="V168" i="1"/>
  <c r="W168" i="1" s="1"/>
  <c r="V354" i="1"/>
  <c r="W354" i="1" s="1"/>
  <c r="V152" i="1"/>
  <c r="W152" i="1" s="1"/>
  <c r="V99" i="1"/>
  <c r="W99" i="1" s="1"/>
  <c r="V125" i="1"/>
  <c r="W125" i="1" s="1"/>
  <c r="V575" i="1"/>
  <c r="W575" i="1" s="1"/>
  <c r="V527" i="1"/>
  <c r="W527" i="1" s="1"/>
  <c r="V246" i="1"/>
  <c r="W246" i="1" s="1"/>
  <c r="V447" i="1"/>
  <c r="W447" i="1" s="1"/>
  <c r="V407" i="1"/>
  <c r="W407" i="1" s="1"/>
  <c r="V351" i="1"/>
  <c r="W351" i="1" s="1"/>
  <c r="V303" i="1"/>
  <c r="W303" i="1" s="1"/>
  <c r="V247" i="1"/>
  <c r="W247" i="1" s="1"/>
  <c r="V199" i="1"/>
  <c r="W199" i="1" s="1"/>
  <c r="V167" i="1"/>
  <c r="W167" i="1" s="1"/>
  <c r="V143" i="1"/>
  <c r="W143" i="1" s="1"/>
  <c r="V630" i="1"/>
  <c r="W630" i="1" s="1"/>
  <c r="V592" i="1"/>
  <c r="W592" i="1" s="1"/>
  <c r="V614" i="1"/>
  <c r="W614" i="1" s="1"/>
  <c r="V606" i="1"/>
  <c r="W606" i="1" s="1"/>
  <c r="V598" i="1"/>
  <c r="W598" i="1" s="1"/>
  <c r="V590" i="1"/>
  <c r="W590" i="1" s="1"/>
  <c r="V582" i="1"/>
  <c r="W582" i="1" s="1"/>
  <c r="V574" i="1"/>
  <c r="W574" i="1" s="1"/>
  <c r="V566" i="1"/>
  <c r="W566" i="1" s="1"/>
  <c r="V52" i="1"/>
  <c r="W52" i="1" s="1"/>
  <c r="V550" i="1"/>
  <c r="W550" i="1" s="1"/>
  <c r="V542" i="1"/>
  <c r="W542" i="1" s="1"/>
  <c r="V534" i="1"/>
  <c r="W534" i="1" s="1"/>
  <c r="V526" i="1"/>
  <c r="W526" i="1" s="1"/>
  <c r="V518" i="1"/>
  <c r="W518" i="1" s="1"/>
  <c r="V510" i="1"/>
  <c r="W510" i="1" s="1"/>
  <c r="V502" i="1"/>
  <c r="W502" i="1" s="1"/>
  <c r="V457" i="1"/>
  <c r="W457" i="1" s="1"/>
  <c r="V117" i="1"/>
  <c r="W117" i="1" s="1"/>
  <c r="V478" i="1"/>
  <c r="W478" i="1" s="1"/>
  <c r="V470" i="1"/>
  <c r="W470" i="1" s="1"/>
  <c r="V462" i="1"/>
  <c r="W462" i="1" s="1"/>
  <c r="V454" i="1"/>
  <c r="W454" i="1" s="1"/>
  <c r="V446" i="1"/>
  <c r="W446" i="1" s="1"/>
  <c r="V438" i="1"/>
  <c r="W438" i="1" s="1"/>
  <c r="V430" i="1"/>
  <c r="W430" i="1" s="1"/>
  <c r="V422" i="1"/>
  <c r="W422" i="1" s="1"/>
  <c r="V414" i="1"/>
  <c r="W414" i="1" s="1"/>
  <c r="V359" i="1"/>
  <c r="W359" i="1" s="1"/>
  <c r="V398" i="1"/>
  <c r="W398" i="1" s="1"/>
  <c r="V390" i="1"/>
  <c r="W390" i="1" s="1"/>
  <c r="V382" i="1"/>
  <c r="W382" i="1" s="1"/>
  <c r="V374" i="1"/>
  <c r="W374" i="1" s="1"/>
  <c r="V366" i="1"/>
  <c r="W366" i="1" s="1"/>
  <c r="V587" i="1"/>
  <c r="W587" i="1" s="1"/>
  <c r="V350" i="1"/>
  <c r="W350" i="1" s="1"/>
  <c r="V72" i="1"/>
  <c r="W72" i="1" s="1"/>
  <c r="V481" i="1"/>
  <c r="W481" i="1" s="1"/>
  <c r="V325" i="1"/>
  <c r="W325" i="1" s="1"/>
  <c r="V318" i="1"/>
  <c r="W318" i="1" s="1"/>
  <c r="V310" i="1"/>
  <c r="W310" i="1" s="1"/>
  <c r="V302" i="1"/>
  <c r="W302" i="1" s="1"/>
  <c r="V146" i="1"/>
  <c r="W146" i="1" s="1"/>
  <c r="V286" i="1"/>
  <c r="W286" i="1" s="1"/>
  <c r="V278" i="1"/>
  <c r="W278" i="1" s="1"/>
  <c r="V216" i="1"/>
  <c r="W216" i="1" s="1"/>
  <c r="V262" i="1"/>
  <c r="W262" i="1" s="1"/>
  <c r="V254" i="1"/>
  <c r="W254" i="1" s="1"/>
  <c r="V20" i="1"/>
  <c r="W20" i="1" s="1"/>
  <c r="V238" i="1"/>
  <c r="W238" i="1" s="1"/>
  <c r="V230" i="1"/>
  <c r="W230" i="1" s="1"/>
  <c r="V222" i="1"/>
  <c r="W222" i="1" s="1"/>
  <c r="V214" i="1"/>
  <c r="W214" i="1" s="1"/>
  <c r="V206" i="1"/>
  <c r="W206" i="1" s="1"/>
  <c r="V198" i="1"/>
  <c r="W198" i="1" s="1"/>
  <c r="V78" i="1"/>
  <c r="W78" i="1" s="1"/>
  <c r="V625" i="1"/>
  <c r="W625" i="1" s="1"/>
  <c r="V174" i="1"/>
  <c r="W174" i="1" s="1"/>
  <c r="V166" i="1"/>
  <c r="W166" i="1" s="1"/>
  <c r="V158" i="1"/>
  <c r="W158" i="1" s="1"/>
  <c r="V150" i="1"/>
  <c r="W150" i="1" s="1"/>
  <c r="V142" i="1"/>
  <c r="W142" i="1" s="1"/>
  <c r="V631" i="1"/>
  <c r="W631" i="1" s="1"/>
  <c r="V314" i="1"/>
  <c r="W314" i="1" s="1"/>
  <c r="V559" i="1"/>
  <c r="W559" i="1" s="1"/>
  <c r="V543" i="1"/>
  <c r="W543" i="1" s="1"/>
  <c r="V596" i="1"/>
  <c r="W596" i="1" s="1"/>
  <c r="V487" i="1"/>
  <c r="W487" i="1" s="1"/>
  <c r="V455" i="1"/>
  <c r="W455" i="1" s="1"/>
  <c r="V415" i="1"/>
  <c r="W415" i="1" s="1"/>
  <c r="V391" i="1"/>
  <c r="W391" i="1" s="1"/>
  <c r="V367" i="1"/>
  <c r="W367" i="1" s="1"/>
  <c r="V519" i="1"/>
  <c r="W519" i="1" s="1"/>
  <c r="V311" i="1"/>
  <c r="W311" i="1" s="1"/>
  <c r="V494" i="1"/>
  <c r="W494" i="1" s="1"/>
  <c r="V209" i="1"/>
  <c r="W209" i="1" s="1"/>
  <c r="V239" i="1"/>
  <c r="W239" i="1" s="1"/>
  <c r="V207" i="1"/>
  <c r="W207" i="1" s="1"/>
  <c r="V183" i="1"/>
  <c r="W183" i="1" s="1"/>
  <c r="V151" i="1"/>
  <c r="W151" i="1" s="1"/>
  <c r="V613" i="1"/>
  <c r="W613" i="1" s="1"/>
  <c r="V589" i="1"/>
  <c r="W589" i="1" s="1"/>
  <c r="V557" i="1"/>
  <c r="W557" i="1" s="1"/>
  <c r="V277" i="1"/>
  <c r="W277" i="1" s="1"/>
  <c r="V517" i="1"/>
  <c r="W517" i="1" s="1"/>
  <c r="V509" i="1"/>
  <c r="W509" i="1" s="1"/>
  <c r="V493" i="1"/>
  <c r="W493" i="1" s="1"/>
  <c r="V26" i="1"/>
  <c r="W26" i="1" s="1"/>
  <c r="V461" i="1"/>
  <c r="W461" i="1" s="1"/>
  <c r="V187" i="1"/>
  <c r="W187" i="1" s="1"/>
  <c r="V437" i="1"/>
  <c r="W437" i="1" s="1"/>
  <c r="V429" i="1"/>
  <c r="W429" i="1" s="1"/>
  <c r="V413" i="1"/>
  <c r="W413" i="1" s="1"/>
  <c r="V293" i="1"/>
  <c r="W293" i="1" s="1"/>
  <c r="V389" i="1"/>
  <c r="W389" i="1" s="1"/>
  <c r="V373" i="1"/>
  <c r="W373" i="1" s="1"/>
  <c r="V149" i="1"/>
  <c r="W149" i="1" s="1"/>
  <c r="V341" i="1"/>
  <c r="W341" i="1" s="1"/>
  <c r="V333" i="1"/>
  <c r="W333" i="1" s="1"/>
  <c r="V317" i="1"/>
  <c r="W317" i="1" s="1"/>
  <c r="V308" i="1"/>
  <c r="W308" i="1" s="1"/>
  <c r="V495" i="1"/>
  <c r="W495" i="1" s="1"/>
  <c r="V221" i="1"/>
  <c r="W221" i="1" s="1"/>
  <c r="V453" i="1"/>
  <c r="W453" i="1" s="1"/>
  <c r="V253" i="1"/>
  <c r="W253" i="1" s="1"/>
  <c r="V237" i="1"/>
  <c r="W237" i="1" s="1"/>
  <c r="V326" i="1"/>
  <c r="W326" i="1" s="1"/>
  <c r="V205" i="1"/>
  <c r="W205" i="1" s="1"/>
  <c r="V132" i="1"/>
  <c r="W132" i="1" s="1"/>
  <c r="V181" i="1"/>
  <c r="W181" i="1" s="1"/>
  <c r="V157" i="1"/>
  <c r="W157" i="1" s="1"/>
  <c r="V612" i="1"/>
  <c r="W612" i="1" s="1"/>
  <c r="V492" i="1"/>
  <c r="W492" i="1" s="1"/>
  <c r="V263" i="1"/>
  <c r="W263" i="1" s="1"/>
  <c r="V532" i="1"/>
  <c r="W532" i="1" s="1"/>
  <c r="V508" i="1"/>
  <c r="W508" i="1" s="1"/>
  <c r="V484" i="1"/>
  <c r="W484" i="1" s="1"/>
  <c r="V573" i="1"/>
  <c r="W573" i="1" s="1"/>
  <c r="V105" i="1"/>
  <c r="W105" i="1" s="1"/>
  <c r="V420" i="1"/>
  <c r="W420" i="1" s="1"/>
  <c r="V396" i="1"/>
  <c r="W396" i="1" s="1"/>
  <c r="V372" i="1"/>
  <c r="W372" i="1" s="1"/>
  <c r="V356" i="1"/>
  <c r="W356" i="1" s="1"/>
  <c r="V332" i="1"/>
  <c r="W332" i="1" s="1"/>
  <c r="V59" i="1"/>
  <c r="W59" i="1" s="1"/>
  <c r="V284" i="1"/>
  <c r="W284" i="1" s="1"/>
  <c r="V268" i="1"/>
  <c r="W268" i="1" s="1"/>
  <c r="V244" i="1"/>
  <c r="W244" i="1" s="1"/>
  <c r="V220" i="1"/>
  <c r="W220" i="1" s="1"/>
  <c r="V196" i="1"/>
  <c r="W196" i="1" s="1"/>
  <c r="V261" i="1"/>
  <c r="W261" i="1" s="1"/>
  <c r="V439" i="1"/>
  <c r="W439" i="1" s="1"/>
  <c r="V581" i="1"/>
  <c r="W581" i="1" s="1"/>
  <c r="V541" i="1"/>
  <c r="W541" i="1" s="1"/>
  <c r="V607" i="1"/>
  <c r="W607" i="1" s="1"/>
  <c r="V485" i="1"/>
  <c r="W485" i="1" s="1"/>
  <c r="V469" i="1"/>
  <c r="W469" i="1" s="1"/>
  <c r="V445" i="1"/>
  <c r="W445" i="1" s="1"/>
  <c r="V421" i="1"/>
  <c r="W421" i="1" s="1"/>
  <c r="V405" i="1"/>
  <c r="W405" i="1" s="1"/>
  <c r="V381" i="1"/>
  <c r="W381" i="1" s="1"/>
  <c r="V365" i="1"/>
  <c r="W365" i="1" s="1"/>
  <c r="V349" i="1"/>
  <c r="W349" i="1" s="1"/>
  <c r="V227" i="1"/>
  <c r="W227" i="1" s="1"/>
  <c r="V309" i="1"/>
  <c r="W309" i="1" s="1"/>
  <c r="V285" i="1"/>
  <c r="W285" i="1" s="1"/>
  <c r="V269" i="1"/>
  <c r="W269" i="1" s="1"/>
  <c r="V245" i="1"/>
  <c r="W245" i="1" s="1"/>
  <c r="V524" i="1"/>
  <c r="W524" i="1" s="1"/>
  <c r="V213" i="1"/>
  <c r="W213" i="1" s="1"/>
  <c r="V330" i="1"/>
  <c r="W330" i="1" s="1"/>
  <c r="V173" i="1"/>
  <c r="W173" i="1" s="1"/>
  <c r="V165" i="1"/>
  <c r="W165" i="1" s="1"/>
  <c r="V295" i="1"/>
  <c r="W295" i="1" s="1"/>
  <c r="V591" i="1"/>
  <c r="W591" i="1" s="1"/>
  <c r="V628" i="1"/>
  <c r="W628" i="1" s="1"/>
  <c r="V620" i="1"/>
  <c r="W620" i="1" s="1"/>
  <c r="V604" i="1"/>
  <c r="W604" i="1" s="1"/>
  <c r="V411" i="1"/>
  <c r="W411" i="1" s="1"/>
  <c r="V588" i="1"/>
  <c r="W588" i="1" s="1"/>
  <c r="V572" i="1"/>
  <c r="W572" i="1" s="1"/>
  <c r="V564" i="1"/>
  <c r="W564" i="1" s="1"/>
  <c r="V548" i="1"/>
  <c r="W548" i="1" s="1"/>
  <c r="V164" i="1"/>
  <c r="W164" i="1" s="1"/>
  <c r="V160" i="1"/>
  <c r="W160" i="1" s="1"/>
  <c r="V516" i="1"/>
  <c r="W516" i="1" s="1"/>
  <c r="V362" i="1"/>
  <c r="W362" i="1" s="1"/>
  <c r="V583" i="1"/>
  <c r="W583" i="1" s="1"/>
  <c r="V476" i="1"/>
  <c r="W476" i="1" s="1"/>
  <c r="V460" i="1"/>
  <c r="W460" i="1" s="1"/>
  <c r="V452" i="1"/>
  <c r="W452" i="1" s="1"/>
  <c r="V436" i="1"/>
  <c r="W436" i="1" s="1"/>
  <c r="V428" i="1"/>
  <c r="W428" i="1" s="1"/>
  <c r="V412" i="1"/>
  <c r="W412" i="1" s="1"/>
  <c r="V404" i="1"/>
  <c r="W404" i="1" s="1"/>
  <c r="V388" i="1"/>
  <c r="W388" i="1" s="1"/>
  <c r="V380" i="1"/>
  <c r="W380" i="1" s="1"/>
  <c r="V364" i="1"/>
  <c r="W364" i="1" s="1"/>
  <c r="V12" i="1"/>
  <c r="W12" i="1" s="1"/>
  <c r="V561" i="1"/>
  <c r="W561" i="1" s="1"/>
  <c r="V324" i="1"/>
  <c r="W324" i="1" s="1"/>
  <c r="V316" i="1"/>
  <c r="W316" i="1" s="1"/>
  <c r="V300" i="1"/>
  <c r="W300" i="1" s="1"/>
  <c r="V189" i="1"/>
  <c r="W189" i="1" s="1"/>
  <c r="V276" i="1"/>
  <c r="W276" i="1" s="1"/>
  <c r="V260" i="1"/>
  <c r="W260" i="1" s="1"/>
  <c r="V252" i="1"/>
  <c r="W252" i="1" s="1"/>
  <c r="V236" i="1"/>
  <c r="W236" i="1" s="1"/>
  <c r="V228" i="1"/>
  <c r="W228" i="1" s="1"/>
  <c r="V212" i="1"/>
  <c r="W212" i="1" s="1"/>
  <c r="V204" i="1"/>
  <c r="W204" i="1" s="1"/>
  <c r="V188" i="1"/>
  <c r="W188" i="1" s="1"/>
  <c r="V180" i="1"/>
  <c r="W180" i="1" s="1"/>
  <c r="V292" i="1"/>
  <c r="W292" i="1" s="1"/>
  <c r="V327" i="1"/>
  <c r="W327" i="1" s="1"/>
  <c r="V148" i="1"/>
  <c r="W148" i="1" s="1"/>
  <c r="V140" i="1"/>
  <c r="W140" i="1" s="1"/>
  <c r="V627" i="1"/>
  <c r="W627" i="1" s="1"/>
  <c r="V619" i="1"/>
  <c r="W619" i="1" s="1"/>
  <c r="V611" i="1"/>
  <c r="W611" i="1" s="1"/>
  <c r="V603" i="1"/>
  <c r="W603" i="1" s="1"/>
  <c r="V595" i="1"/>
  <c r="W595" i="1" s="1"/>
  <c r="V501" i="1"/>
  <c r="W501" i="1" s="1"/>
  <c r="V579" i="1"/>
  <c r="W579" i="1" s="1"/>
  <c r="V571" i="1"/>
  <c r="W571" i="1" s="1"/>
  <c r="V563" i="1"/>
  <c r="W563" i="1" s="1"/>
  <c r="V172" i="1"/>
  <c r="W172" i="1" s="1"/>
  <c r="V547" i="1"/>
  <c r="W547" i="1" s="1"/>
  <c r="V539" i="1"/>
  <c r="W539" i="1" s="1"/>
  <c r="V531" i="1"/>
  <c r="W531" i="1" s="1"/>
  <c r="V523" i="1"/>
  <c r="W523" i="1" s="1"/>
  <c r="V515" i="1"/>
  <c r="W515" i="1" s="1"/>
  <c r="V507" i="1"/>
  <c r="W507" i="1" s="1"/>
  <c r="V499" i="1"/>
  <c r="W499" i="1" s="1"/>
  <c r="V491" i="1"/>
  <c r="W491" i="1" s="1"/>
  <c r="V483" i="1"/>
  <c r="W483" i="1" s="1"/>
  <c r="V475" i="1"/>
  <c r="W475" i="1" s="1"/>
  <c r="V467" i="1"/>
  <c r="W467" i="1" s="1"/>
  <c r="V459" i="1"/>
  <c r="W459" i="1" s="1"/>
  <c r="V451" i="1"/>
  <c r="W451" i="1" s="1"/>
  <c r="V443" i="1"/>
  <c r="W443" i="1" s="1"/>
  <c r="V435" i="1"/>
  <c r="W435" i="1" s="1"/>
  <c r="V427" i="1"/>
  <c r="W427" i="1" s="1"/>
  <c r="V418" i="1"/>
  <c r="W418" i="1" s="1"/>
  <c r="V144" i="1"/>
  <c r="W144" i="1" s="1"/>
  <c r="V403" i="1"/>
  <c r="W403" i="1" s="1"/>
  <c r="V395" i="1"/>
  <c r="W395" i="1" s="1"/>
  <c r="V387" i="1"/>
  <c r="W387" i="1" s="1"/>
  <c r="V379" i="1"/>
  <c r="W379" i="1" s="1"/>
  <c r="V371" i="1"/>
  <c r="W371" i="1" s="1"/>
  <c r="V363" i="1"/>
  <c r="W363" i="1" s="1"/>
  <c r="V355" i="1"/>
  <c r="W355" i="1" s="1"/>
  <c r="V347" i="1"/>
  <c r="W347" i="1" s="1"/>
  <c r="V233" i="1"/>
  <c r="W233" i="1" s="1"/>
  <c r="V331" i="1"/>
  <c r="W331" i="1" s="1"/>
  <c r="V323" i="1"/>
  <c r="W323" i="1" s="1"/>
  <c r="V315" i="1"/>
  <c r="W315" i="1" s="1"/>
  <c r="V307" i="1"/>
  <c r="W307" i="1" s="1"/>
  <c r="V299" i="1"/>
  <c r="W299" i="1" s="1"/>
  <c r="V291" i="1"/>
  <c r="W291" i="1" s="1"/>
  <c r="V283" i="1"/>
  <c r="W283" i="1" s="1"/>
  <c r="V275" i="1"/>
  <c r="W275" i="1" s="1"/>
  <c r="V267" i="1"/>
  <c r="W267" i="1" s="1"/>
  <c r="V259" i="1"/>
  <c r="W259" i="1" s="1"/>
  <c r="V251" i="1"/>
  <c r="W251" i="1" s="1"/>
  <c r="V243" i="1"/>
  <c r="W243" i="1" s="1"/>
  <c r="V235" i="1"/>
  <c r="W235" i="1" s="1"/>
  <c r="V197" i="1"/>
  <c r="W197" i="1" s="1"/>
  <c r="V219" i="1"/>
  <c r="W219" i="1" s="1"/>
  <c r="V211" i="1"/>
  <c r="W211" i="1" s="1"/>
  <c r="V203" i="1"/>
  <c r="W203" i="1" s="1"/>
  <c r="V195" i="1"/>
  <c r="W195" i="1" s="1"/>
  <c r="V348" i="1"/>
  <c r="W348" i="1" s="1"/>
  <c r="V179" i="1"/>
  <c r="W179" i="1" s="1"/>
  <c r="V171" i="1"/>
  <c r="W171" i="1" s="1"/>
  <c r="V163" i="1"/>
  <c r="W163" i="1" s="1"/>
  <c r="V155" i="1"/>
  <c r="W155" i="1" s="1"/>
  <c r="V147" i="1"/>
  <c r="W147" i="1" s="1"/>
  <c r="V139" i="1"/>
  <c r="W139" i="1" s="1"/>
  <c r="V615" i="1"/>
  <c r="W615" i="1" s="1"/>
  <c r="V27" i="1"/>
  <c r="W27" i="1" s="1"/>
  <c r="V304" i="1"/>
  <c r="W304" i="1" s="1"/>
  <c r="V511" i="1"/>
  <c r="W511" i="1" s="1"/>
  <c r="V471" i="1"/>
  <c r="W471" i="1" s="1"/>
  <c r="V423" i="1"/>
  <c r="W423" i="1" s="1"/>
  <c r="V383" i="1"/>
  <c r="W383" i="1" s="1"/>
  <c r="V264" i="1"/>
  <c r="W264" i="1" s="1"/>
  <c r="V357" i="1"/>
  <c r="W357" i="1" s="1"/>
  <c r="V463" i="1"/>
  <c r="W463" i="1" s="1"/>
  <c r="V255" i="1"/>
  <c r="W255" i="1" s="1"/>
  <c r="V608" i="1"/>
  <c r="W608" i="1" s="1"/>
  <c r="V175" i="1"/>
  <c r="W175" i="1" s="1"/>
  <c r="V629" i="1"/>
  <c r="W629" i="1" s="1"/>
  <c r="V605" i="1"/>
  <c r="W605" i="1" s="1"/>
  <c r="V549" i="1"/>
  <c r="W549" i="1" s="1"/>
  <c r="V533" i="1"/>
  <c r="W533" i="1" s="1"/>
  <c r="V618" i="1"/>
  <c r="W618" i="1" s="1"/>
  <c r="V594" i="1"/>
  <c r="W594" i="1" s="1"/>
  <c r="V578" i="1"/>
  <c r="W578" i="1" s="1"/>
  <c r="V562" i="1"/>
  <c r="W562" i="1" s="1"/>
  <c r="V546" i="1"/>
  <c r="W546" i="1" s="1"/>
  <c r="V530" i="1"/>
  <c r="W530" i="1" s="1"/>
  <c r="V514" i="1"/>
  <c r="W514" i="1" s="1"/>
  <c r="V57" i="1"/>
  <c r="W57" i="1" s="1"/>
  <c r="V474" i="1"/>
  <c r="W474" i="1" s="1"/>
  <c r="V191" i="1"/>
  <c r="W191" i="1" s="1"/>
  <c r="V434" i="1"/>
  <c r="W434" i="1" s="1"/>
  <c r="V335" i="1"/>
  <c r="W335" i="1" s="1"/>
  <c r="V394" i="1"/>
  <c r="W394" i="1" s="1"/>
  <c r="V378" i="1"/>
  <c r="W378" i="1" s="1"/>
  <c r="V68" i="1"/>
  <c r="W68" i="1" s="1"/>
  <c r="V346" i="1"/>
  <c r="W346" i="1" s="1"/>
  <c r="V322" i="1"/>
  <c r="W322" i="1" s="1"/>
  <c r="V306" i="1"/>
  <c r="W306" i="1" s="1"/>
  <c r="V115" i="1"/>
  <c r="W115" i="1" s="1"/>
  <c r="V266" i="1"/>
  <c r="W266" i="1" s="1"/>
  <c r="V250" i="1"/>
  <c r="W250" i="1" s="1"/>
  <c r="V226" i="1"/>
  <c r="W226" i="1" s="1"/>
  <c r="V210" i="1"/>
  <c r="W210" i="1" s="1"/>
  <c r="V194" i="1"/>
  <c r="W194" i="1" s="1"/>
  <c r="V170" i="1"/>
  <c r="W170" i="1" s="1"/>
  <c r="V138" i="1"/>
  <c r="W138" i="1" s="1"/>
  <c r="V506" i="1"/>
  <c r="W506" i="1" s="1"/>
  <c r="V599" i="1"/>
  <c r="W599" i="1" s="1"/>
  <c r="V567" i="1"/>
  <c r="W567" i="1" s="1"/>
  <c r="V535" i="1"/>
  <c r="W535" i="1" s="1"/>
  <c r="V503" i="1"/>
  <c r="W503" i="1" s="1"/>
  <c r="V479" i="1"/>
  <c r="W479" i="1" s="1"/>
  <c r="V601" i="1"/>
  <c r="W601" i="1" s="1"/>
  <c r="V431" i="1"/>
  <c r="W431" i="1" s="1"/>
  <c r="V399" i="1"/>
  <c r="W399" i="1" s="1"/>
  <c r="V375" i="1"/>
  <c r="W375" i="1" s="1"/>
  <c r="V343" i="1"/>
  <c r="W343" i="1" s="1"/>
  <c r="V182" i="1"/>
  <c r="W182" i="1" s="1"/>
  <c r="V287" i="1"/>
  <c r="W287" i="1" s="1"/>
  <c r="V271" i="1"/>
  <c r="W271" i="1" s="1"/>
  <c r="V231" i="1"/>
  <c r="W231" i="1" s="1"/>
  <c r="V215" i="1"/>
  <c r="W215" i="1" s="1"/>
  <c r="V270" i="1"/>
  <c r="W270" i="1" s="1"/>
  <c r="V159" i="1"/>
  <c r="W159" i="1" s="1"/>
  <c r="V621" i="1"/>
  <c r="W621" i="1" s="1"/>
  <c r="V597" i="1"/>
  <c r="W597" i="1" s="1"/>
  <c r="V565" i="1"/>
  <c r="W565" i="1" s="1"/>
  <c r="V525" i="1"/>
  <c r="W525" i="1" s="1"/>
  <c r="V626" i="1"/>
  <c r="W626" i="1" s="1"/>
  <c r="V610" i="1"/>
  <c r="W610" i="1" s="1"/>
  <c r="V602" i="1"/>
  <c r="W602" i="1" s="1"/>
  <c r="V586" i="1"/>
  <c r="W586" i="1" s="1"/>
  <c r="V570" i="1"/>
  <c r="W570" i="1" s="1"/>
  <c r="V554" i="1"/>
  <c r="W554" i="1" s="1"/>
  <c r="V538" i="1"/>
  <c r="W538" i="1" s="1"/>
  <c r="V522" i="1"/>
  <c r="W522" i="1" s="1"/>
  <c r="V486" i="1"/>
  <c r="W486" i="1" s="1"/>
  <c r="V490" i="1"/>
  <c r="W490" i="1" s="1"/>
  <c r="V482" i="1"/>
  <c r="W482" i="1" s="1"/>
  <c r="V466" i="1"/>
  <c r="W466" i="1" s="1"/>
  <c r="V450" i="1"/>
  <c r="W450" i="1" s="1"/>
  <c r="V442" i="1"/>
  <c r="W442" i="1" s="1"/>
  <c r="V426" i="1"/>
  <c r="W426" i="1" s="1"/>
  <c r="V410" i="1"/>
  <c r="W410" i="1" s="1"/>
  <c r="V402" i="1"/>
  <c r="W402" i="1" s="1"/>
  <c r="V386" i="1"/>
  <c r="W386" i="1" s="1"/>
  <c r="V370" i="1"/>
  <c r="W370" i="1" s="1"/>
  <c r="V133" i="1"/>
  <c r="W133" i="1" s="1"/>
  <c r="V338" i="1"/>
  <c r="W338" i="1" s="1"/>
  <c r="V551" i="1"/>
  <c r="W551" i="1" s="1"/>
  <c r="V321" i="1"/>
  <c r="W321" i="1" s="1"/>
  <c r="V298" i="1"/>
  <c r="W298" i="1" s="1"/>
  <c r="V282" i="1"/>
  <c r="W282" i="1" s="1"/>
  <c r="V274" i="1"/>
  <c r="W274" i="1" s="1"/>
  <c r="V258" i="1"/>
  <c r="W258" i="1" s="1"/>
  <c r="V242" i="1"/>
  <c r="W242" i="1" s="1"/>
  <c r="V234" i="1"/>
  <c r="W234" i="1" s="1"/>
  <c r="V218" i="1"/>
  <c r="W218" i="1" s="1"/>
  <c r="V202" i="1"/>
  <c r="W202" i="1" s="1"/>
  <c r="V186" i="1"/>
  <c r="W186" i="1" s="1"/>
  <c r="V178" i="1"/>
  <c r="W178" i="1" s="1"/>
  <c r="V162" i="1"/>
  <c r="W162" i="1" s="1"/>
  <c r="V154" i="1"/>
  <c r="W154" i="1" s="1"/>
  <c r="V67" i="1"/>
  <c r="W67" i="1" s="1"/>
  <c r="V340" i="1"/>
  <c r="W340" i="1" s="1"/>
  <c r="V313" i="1"/>
  <c r="W313" i="1" s="1"/>
  <c r="V577" i="1"/>
  <c r="W577" i="1" s="1"/>
  <c r="V584" i="1"/>
  <c r="W584" i="1" s="1"/>
  <c r="V529" i="1"/>
  <c r="W529" i="1" s="1"/>
  <c r="V505" i="1"/>
  <c r="W505" i="1" s="1"/>
  <c r="V489" i="1"/>
  <c r="W489" i="1" s="1"/>
  <c r="V473" i="1"/>
  <c r="W473" i="1" s="1"/>
  <c r="V290" i="1"/>
  <c r="W290" i="1" s="1"/>
  <c r="V433" i="1"/>
  <c r="W433" i="1" s="1"/>
  <c r="V409" i="1"/>
  <c r="W409" i="1" s="1"/>
  <c r="V393" i="1"/>
  <c r="W393" i="1" s="1"/>
  <c r="V369" i="1"/>
  <c r="W369" i="1" s="1"/>
  <c r="V353" i="1"/>
  <c r="W353" i="1" s="1"/>
  <c r="V337" i="1"/>
  <c r="W337" i="1" s="1"/>
  <c r="V24" i="1"/>
  <c r="W24" i="1" s="1"/>
  <c r="V297" i="1"/>
  <c r="W297" i="1" s="1"/>
  <c r="V273" i="1"/>
  <c r="W273" i="1" s="1"/>
  <c r="V257" i="1"/>
  <c r="W257" i="1" s="1"/>
  <c r="V537" i="1"/>
  <c r="W537" i="1" s="1"/>
  <c r="V111" i="1"/>
  <c r="W111" i="1" s="1"/>
  <c r="V185" i="1"/>
  <c r="W185" i="1" s="1"/>
  <c r="V153" i="1"/>
  <c r="W153" i="1" s="1"/>
</calcChain>
</file>

<file path=xl/sharedStrings.xml><?xml version="1.0" encoding="utf-8"?>
<sst xmlns="http://schemas.openxmlformats.org/spreadsheetml/2006/main" count="12227" uniqueCount="1520">
  <si>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</si>
  <si>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</si>
  <si>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</si>
  <si>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</si>
  <si>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</si>
  <si>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</si>
  <si>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</si>
  <si>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</si>
  <si>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</si>
  <si>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</si>
  <si>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</si>
  <si>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</si>
  <si>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</si>
  <si>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</si>
  <si>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</si>
  <si>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</si>
  <si>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</si>
  <si>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</si>
  <si>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</si>
  <si>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</si>
  <si>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</si>
  <si>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</si>
  <si>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</si>
  <si>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</si>
  <si>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</si>
  <si>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</si>
  <si>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</si>
  <si>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</si>
  <si>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</si>
  <si>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</si>
  <si>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</si>
  <si>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</si>
  <si>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</si>
  <si>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</si>
  <si>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</si>
  <si>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</si>
  <si>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</si>
  <si>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</si>
  <si>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</si>
  <si>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</si>
  <si>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</si>
  <si>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</si>
  <si>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</si>
  <si>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</si>
  <si>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</si>
  <si>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</si>
  <si>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</si>
  <si>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</si>
  <si>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</si>
  <si>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</si>
  <si>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</si>
  <si>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</si>
  <si>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</si>
  <si>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</si>
  <si>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</si>
  <si>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</si>
  <si>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</si>
  <si>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</si>
  <si>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</si>
  <si>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</si>
  <si>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</si>
  <si>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</si>
  <si>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</si>
  <si>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</si>
  <si>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</si>
  <si>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</si>
  <si>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</si>
  <si>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</si>
  <si>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</si>
  <si>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</si>
  <si>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</si>
  <si>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</si>
  <si>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</si>
  <si>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</si>
  <si>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</si>
  <si>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</si>
  <si>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</si>
  <si>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</si>
  <si>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</si>
  <si>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</si>
  <si>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</si>
  <si>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</si>
  <si>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</si>
  <si>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</si>
  <si>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</si>
  <si>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</si>
  <si>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</si>
  <si>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</si>
  <si>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</si>
  <si>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</si>
  <si>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</si>
  <si>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</si>
  <si>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</si>
  <si>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</si>
  <si>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</si>
  <si>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</si>
  <si>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</si>
  <si>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</si>
  <si>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</si>
  <si>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</si>
  <si>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</si>
  <si>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</si>
  <si>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</si>
  <si>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</si>
  <si>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</si>
  <si>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</si>
  <si>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</si>
  <si>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</si>
  <si>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</si>
  <si>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</si>
  <si>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</si>
  <si>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</si>
  <si>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</si>
  <si>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</si>
  <si>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</si>
  <si>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</si>
  <si>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</si>
  <si>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</si>
  <si>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</si>
  <si>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</si>
  <si>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</si>
  <si>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</si>
  <si>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</si>
  <si>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</si>
  <si>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</si>
  <si>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</si>
  <si>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</si>
  <si>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</si>
  <si>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</si>
  <si>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</si>
  <si>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</si>
  <si>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</si>
  <si>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</si>
  <si>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</si>
  <si>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</si>
  <si>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</si>
  <si>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</si>
  <si>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</si>
  <si>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</si>
  <si>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</si>
  <si>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</si>
  <si>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</si>
  <si>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</si>
  <si>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</si>
  <si>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</si>
  <si>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</si>
  <si>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</si>
  <si>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</si>
  <si>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</si>
  <si>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</si>
  <si>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</si>
  <si>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</si>
  <si>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</si>
  <si>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</si>
  <si>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</si>
  <si>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</si>
  <si>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</si>
  <si>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</si>
  <si>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</si>
  <si>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</si>
  <si>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</si>
  <si>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</si>
  <si>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</si>
  <si>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</si>
  <si>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</si>
  <si>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</si>
  <si>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</si>
  <si>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</si>
  <si>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</si>
  <si>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</si>
  <si>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</si>
  <si>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</si>
  <si>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</si>
  <si>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</si>
  <si>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</si>
  <si>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</si>
  <si>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</si>
  <si>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</si>
  <si>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</si>
  <si>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</si>
  <si>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</si>
  <si>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</si>
  <si>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</si>
  <si>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</si>
  <si>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</si>
  <si>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</si>
  <si>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</si>
  <si>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</si>
  <si>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</si>
  <si>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</si>
  <si>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</si>
  <si>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</si>
  <si>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</si>
  <si>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</si>
  <si>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</si>
  <si>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</si>
  <si>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</si>
  <si>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</si>
  <si>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</si>
  <si>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</si>
  <si>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</si>
  <si>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</si>
  <si>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</si>
  <si>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</si>
  <si>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</si>
  <si>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</si>
  <si>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</si>
  <si>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</si>
  <si>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</si>
  <si>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</si>
  <si>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</si>
  <si>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</si>
  <si>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</si>
  <si>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</si>
  <si>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</si>
  <si>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</si>
  <si>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</si>
  <si>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</si>
  <si>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</si>
  <si>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</si>
  <si>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</si>
  <si>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</si>
  <si>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</si>
  <si>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</si>
  <si>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</si>
  <si>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</si>
  <si>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</si>
  <si>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</si>
  <si>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</si>
  <si>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</si>
  <si>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</si>
  <si>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</si>
  <si>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</si>
  <si>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</si>
  <si>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</si>
  <si>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</si>
  <si>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</si>
  <si>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</si>
  <si>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</si>
  <si>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</si>
  <si>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</si>
  <si>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</si>
  <si>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</si>
  <si>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</si>
  <si>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</si>
  <si>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</si>
  <si>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</si>
  <si>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</si>
  <si>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</si>
  <si>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</si>
  <si>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</si>
  <si>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</si>
  <si>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</si>
  <si>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</si>
  <si>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</si>
  <si>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</si>
  <si>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</si>
  <si>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</si>
  <si>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</si>
  <si>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</si>
  <si>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</si>
  <si>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</si>
  <si>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</si>
  <si>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</si>
  <si>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</si>
  <si>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</si>
  <si>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</si>
  <si>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</si>
  <si>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</si>
  <si>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</si>
  <si>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</si>
  <si>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</si>
  <si>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</si>
  <si>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</si>
  <si>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</si>
  <si>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</si>
  <si>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</si>
  <si>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</si>
  <si>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</si>
  <si>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</si>
  <si>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</si>
  <si>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</si>
  <si>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</si>
  <si>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</si>
  <si>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</si>
  <si>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</si>
  <si>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</si>
  <si>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</si>
  <si>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</si>
  <si>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</si>
  <si>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</si>
  <si>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</si>
  <si>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</si>
  <si>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</si>
  <si>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</si>
  <si>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</si>
  <si>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</si>
  <si>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</si>
  <si>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</si>
  <si>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</si>
  <si>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</si>
  <si>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</si>
  <si>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</si>
  <si>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</si>
  <si>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</si>
  <si>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</si>
  <si>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</si>
  <si>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</si>
  <si>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</si>
  <si>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</si>
  <si>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</si>
  <si>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</si>
  <si>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</si>
  <si>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</si>
  <si>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</si>
  <si>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</si>
  <si>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</si>
  <si>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</si>
  <si>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</si>
  <si>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</si>
  <si>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</si>
  <si>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</si>
  <si>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</si>
  <si>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</si>
  <si>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</si>
  <si>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</si>
  <si>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</si>
  <si>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</si>
  <si>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</si>
  <si>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</si>
  <si>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</si>
  <si>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</si>
  <si>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</si>
  <si>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</si>
  <si>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</si>
  <si>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</si>
  <si>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</si>
  <si>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</si>
  <si>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</si>
  <si>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</si>
  <si>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</si>
  <si>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</si>
  <si>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</si>
  <si>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</si>
  <si>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</si>
  <si>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</si>
  <si>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</si>
  <si>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</si>
  <si>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</si>
  <si>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</si>
  <si>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</si>
  <si>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</si>
  <si>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</si>
  <si>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</si>
  <si>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</si>
  <si>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</si>
  <si>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</si>
  <si>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</si>
  <si>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</si>
  <si>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</si>
  <si>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</si>
  <si>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</si>
  <si>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</si>
  <si>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</si>
  <si>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</si>
  <si>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</si>
  <si>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</si>
  <si>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</si>
  <si>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</si>
  <si>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</si>
  <si>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</si>
  <si>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</si>
  <si>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</si>
  <si>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</si>
  <si>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</si>
  <si>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</si>
  <si>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</si>
  <si>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</si>
  <si>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</si>
  <si>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</si>
  <si>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</si>
  <si>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</si>
  <si>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</si>
  <si>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</si>
  <si>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</si>
  <si>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</si>
  <si>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</si>
  <si>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</si>
  <si>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</si>
  <si>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</si>
  <si>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</si>
  <si>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</si>
  <si>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</si>
  <si>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</si>
  <si>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</si>
  <si>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</si>
  <si>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</si>
  <si>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</si>
  <si>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</si>
  <si>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</si>
  <si>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</si>
  <si>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</si>
  <si>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</si>
  <si>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</si>
  <si>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</si>
  <si>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</si>
  <si>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</si>
  <si>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</si>
  <si>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</si>
  <si>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</si>
  <si>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</si>
  <si>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</si>
  <si>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</si>
  <si>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</si>
  <si>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</si>
  <si>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</si>
  <si>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</si>
  <si>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</si>
  <si>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</si>
  <si>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</si>
  <si>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</si>
  <si>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</si>
  <si>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</si>
  <si>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</si>
  <si>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</si>
  <si>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</si>
  <si>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</si>
  <si>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</si>
  <si>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</si>
  <si>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</si>
  <si>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</si>
  <si>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</si>
  <si>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</si>
  <si>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</si>
  <si>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</si>
  <si>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</si>
  <si>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</si>
  <si>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</si>
  <si>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</si>
  <si>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</si>
  <si>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</si>
  <si>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</si>
  <si>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</si>
  <si>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</si>
  <si>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</si>
  <si>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</si>
  <si>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</si>
  <si>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</si>
  <si>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</si>
  <si>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</si>
  <si>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</si>
  <si>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</si>
  <si>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</si>
  <si>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</si>
  <si>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</si>
  <si>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</si>
  <si>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</si>
  <si>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</si>
  <si>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</si>
  <si>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</si>
  <si>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</si>
  <si>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</si>
  <si>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</si>
  <si>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</si>
  <si>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</si>
  <si>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</si>
  <si>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</si>
  <si>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</si>
  <si>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</si>
  <si>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</si>
  <si>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</si>
  <si>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</si>
  <si>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</si>
  <si>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</si>
  <si>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</si>
  <si>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</si>
  <si>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</si>
  <si>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</si>
  <si>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</si>
  <si>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</si>
  <si>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</si>
  <si>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</si>
  <si>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</si>
  <si>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</si>
  <si>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</si>
  <si>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</si>
  <si>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</si>
  <si>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</si>
  <si>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</si>
  <si>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</si>
  <si>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</si>
  <si>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</si>
  <si>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</si>
  <si>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</si>
  <si>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</si>
  <si>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</si>
  <si>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</si>
  <si>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</si>
  <si>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</si>
  <si>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</si>
  <si>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</si>
  <si>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</si>
  <si>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</si>
  <si>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</si>
  <si>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</si>
  <si>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</si>
  <si>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</si>
  <si>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</si>
  <si>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</si>
  <si>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</si>
  <si>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</si>
  <si>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</si>
  <si>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</si>
  <si>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</si>
  <si>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</si>
  <si>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</si>
  <si>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</si>
  <si>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</si>
  <si>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</si>
  <si>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</si>
  <si>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</si>
  <si>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</si>
  <si>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</si>
  <si>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</si>
  <si>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</si>
  <si>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</si>
  <si>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</si>
  <si>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</si>
  <si>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</si>
  <si>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</si>
  <si>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</si>
  <si>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</si>
  <si>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</si>
  <si>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</si>
  <si>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</si>
  <si>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</si>
  <si>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</si>
  <si>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</si>
  <si>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</si>
  <si>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</si>
  <si>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</si>
  <si>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</si>
  <si>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</si>
  <si>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</si>
  <si>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</si>
  <si>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</si>
  <si>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</si>
  <si>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</si>
  <si>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</si>
  <si>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</si>
  <si>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</si>
  <si>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</si>
  <si>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</si>
  <si>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</si>
  <si>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</si>
  <si>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</si>
  <si>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</si>
  <si>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</si>
  <si>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</si>
  <si>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</si>
  <si>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</si>
  <si>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</si>
  <si>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</si>
  <si>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</si>
  <si>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</si>
  <si>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</si>
  <si>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</si>
  <si>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</si>
  <si>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</si>
  <si>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</si>
  <si>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</si>
  <si>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</si>
  <si>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</si>
  <si>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</si>
  <si>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</si>
  <si>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</si>
  <si>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</si>
  <si>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</si>
  <si>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</si>
  <si>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</si>
  <si>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</si>
  <si>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</si>
  <si>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</si>
  <si>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</si>
  <si>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</si>
  <si>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</si>
  <si>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</si>
  <si>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</si>
  <si>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</si>
  <si>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</si>
  <si>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</si>
  <si>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</si>
  <si>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</si>
  <si>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</si>
  <si>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</si>
  <si>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</si>
  <si>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</si>
  <si>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</si>
  <si>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</si>
  <si>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</si>
  <si>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</si>
  <si>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</si>
  <si>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</si>
  <si>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</si>
  <si>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</si>
  <si>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</si>
  <si>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</si>
  <si>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</si>
  <si>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</si>
  <si>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</si>
  <si>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</si>
  <si>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</si>
  <si>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</si>
  <si>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</si>
  <si>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</si>
  <si>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</si>
  <si>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</si>
  <si>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</si>
  <si>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</si>
  <si>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</si>
  <si>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</si>
  <si>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</si>
  <si>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</si>
  <si>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</si>
  <si>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</si>
  <si>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</si>
  <si>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</si>
  <si>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</si>
  <si>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</si>
  <si>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</si>
  <si>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</si>
  <si>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</si>
  <si>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</si>
  <si>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</si>
  <si>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</si>
  <si>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</si>
  <si>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</si>
  <si>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</si>
  <si>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</si>
  <si>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</si>
  <si>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</si>
  <si>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</si>
  <si>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</si>
  <si>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</si>
  <si>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</si>
  <si>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</si>
  <si>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</si>
  <si>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</si>
  <si>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</si>
  <si>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</si>
  <si>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</si>
  <si>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</si>
  <si>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</si>
  <si>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</si>
  <si>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</si>
  <si>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</si>
  <si>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</si>
  <si>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</si>
  <si>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</si>
  <si>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</si>
  <si>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</si>
  <si>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</si>
  <si>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</si>
  <si>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</si>
  <si>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</si>
  <si>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</si>
  <si>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</si>
  <si>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</si>
  <si>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</si>
  <si>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</si>
  <si>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</si>
  <si>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</si>
  <si>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</si>
  <si>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</si>
  <si>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</si>
  <si>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</si>
  <si>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</si>
  <si>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</si>
  <si>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</si>
  <si>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</si>
  <si>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</si>
  <si>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</si>
  <si>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</si>
  <si>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</si>
  <si>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</si>
  <si>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</si>
  <si>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</si>
  <si>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</si>
  <si>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</si>
  <si>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</si>
  <si>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</si>
  <si>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</si>
  <si>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</si>
  <si>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</si>
  <si>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</si>
  <si>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</si>
  <si>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</si>
  <si>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</si>
  <si>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</si>
  <si>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</si>
  <si>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</si>
  <si>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</si>
  <si>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</si>
  <si>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</si>
  <si>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</si>
  <si>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</si>
  <si>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</si>
  <si>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</si>
  <si>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</si>
  <si>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</si>
  <si>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</si>
  <si>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</si>
  <si>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</si>
  <si>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</si>
  <si>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</si>
  <si>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</si>
  <si>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</si>
  <si>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</si>
  <si>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</si>
  <si>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</si>
  <si>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</si>
  <si>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</si>
  <si>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</si>
  <si>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</si>
  <si>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</si>
  <si>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</si>
  <si>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</si>
  <si>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</si>
  <si>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</si>
  <si>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</si>
  <si>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</si>
  <si>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</si>
  <si>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</si>
  <si>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</si>
  <si>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</si>
  <si>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</si>
  <si>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</si>
  <si>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</si>
  <si>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</si>
  <si>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</si>
  <si>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</si>
  <si>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</si>
  <si>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</si>
  <si>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</si>
  <si>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</si>
  <si>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</si>
  <si>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</si>
  <si>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</si>
  <si>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</si>
  <si>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</si>
  <si>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</si>
  <si>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</si>
  <si>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</si>
  <si>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</si>
  <si>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</si>
  <si>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</si>
  <si>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</si>
  <si>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</si>
  <si>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</si>
  <si>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</si>
  <si>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</si>
  <si>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</si>
  <si>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</si>
  <si>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</si>
  <si>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</si>
  <si>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</si>
  <si>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</si>
  <si>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</si>
  <si>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</si>
  <si>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</si>
  <si>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</si>
  <si>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</si>
  <si>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</si>
  <si>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</si>
  <si>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</si>
  <si>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</si>
  <si>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</si>
  <si>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</si>
  <si>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</si>
  <si>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</si>
  <si>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</si>
  <si>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</si>
  <si>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</si>
  <si>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</si>
  <si>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</si>
  <si>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</si>
  <si>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</si>
  <si>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</si>
  <si>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</si>
  <si>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</si>
  <si>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</si>
  <si>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</si>
  <si>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</si>
  <si>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</si>
  <si>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</si>
  <si>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</si>
  <si>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</si>
  <si>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</si>
  <si>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</si>
  <si>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</si>
  <si>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</si>
  <si>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</si>
  <si>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</si>
  <si>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</si>
  <si>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</si>
  <si>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</si>
  <si>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</si>
  <si>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</si>
  <si>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</si>
  <si>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</si>
  <si>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</si>
  <si>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</si>
  <si>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</si>
  <si>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</si>
  <si>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</si>
  <si>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</si>
  <si>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</si>
  <si>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</si>
  <si>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</si>
  <si>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</si>
  <si>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</si>
  <si>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</si>
  <si>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</si>
  <si>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</si>
  <si>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</si>
  <si>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</si>
  <si>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</si>
  <si>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</si>
  <si>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</si>
  <si>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</si>
  <si>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</si>
  <si>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</si>
  <si>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</si>
  <si>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</si>
  <si>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</si>
  <si>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</si>
  <si>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</si>
  <si>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</si>
  <si>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</si>
  <si>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</si>
  <si>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</si>
  <si>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</si>
  <si>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</si>
  <si>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</si>
  <si>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</si>
  <si>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</si>
  <si>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</si>
  <si>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</si>
  <si>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</si>
  <si>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</si>
  <si>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</si>
  <si>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</si>
  <si>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</si>
  <si>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</si>
  <si>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</si>
  <si>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</si>
  <si>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</si>
  <si>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</si>
  <si>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</si>
  <si>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</si>
  <si>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</si>
  <si>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</si>
  <si>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</si>
  <si>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</si>
  <si>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</si>
  <si>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</si>
  <si>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</si>
  <si>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</si>
  <si>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</si>
  <si>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</si>
  <si>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</si>
  <si>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</si>
  <si>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</si>
  <si>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</si>
  <si>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</si>
  <si>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</si>
  <si>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</si>
  <si>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</si>
  <si>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</si>
  <si>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</si>
  <si>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</si>
  <si>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</si>
  <si>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</si>
  <si>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</si>
  <si>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</si>
  <si>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</si>
  <si>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</si>
  <si>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</si>
  <si>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</si>
  <si>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</si>
  <si>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</si>
  <si>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</si>
  <si>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</si>
  <si>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</si>
  <si>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</si>
  <si>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</si>
  <si>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</si>
  <si>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</si>
  <si>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</si>
  <si>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</si>
  <si>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</si>
  <si>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</si>
  <si>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</si>
  <si>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</si>
  <si>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</si>
  <si>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</si>
  <si>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</si>
  <si>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</si>
  <si>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</si>
  <si>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</si>
  <si>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</si>
  <si>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</si>
  <si>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</si>
  <si>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</si>
  <si>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</si>
  <si>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</si>
  <si>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</si>
  <si>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</si>
  <si>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</si>
  <si>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</si>
  <si>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</si>
  <si>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</si>
  <si>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</si>
  <si>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</si>
  <si>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</si>
  <si>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</si>
  <si>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</si>
  <si>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</si>
  <si>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</si>
  <si>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</si>
  <si>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</si>
  <si>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</si>
  <si>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</si>
  <si>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</si>
  <si>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</si>
  <si>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</si>
  <si>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</si>
  <si>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</si>
  <si>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</si>
  <si>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</si>
  <si>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</si>
  <si>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</si>
  <si>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</si>
  <si>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</si>
  <si>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</si>
  <si>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</si>
  <si>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</si>
  <si>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</si>
  <si>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</si>
  <si>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</si>
  <si>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</si>
  <si>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</si>
  <si>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</si>
  <si>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</si>
  <si>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</si>
  <si>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</si>
  <si>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</si>
  <si>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</si>
  <si>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</si>
  <si>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</si>
  <si>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</si>
  <si>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</si>
  <si>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</si>
  <si>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</si>
  <si>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</si>
  <si>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</si>
  <si>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</si>
  <si>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</si>
  <si>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</si>
  <si>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</si>
  <si>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</si>
  <si>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</si>
  <si>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</si>
  <si>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</si>
  <si>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</si>
  <si>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</si>
  <si>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</si>
  <si>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</si>
  <si>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</si>
  <si>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</si>
  <si>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</si>
  <si>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</si>
  <si>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</si>
  <si>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</si>
  <si>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</si>
  <si>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</si>
  <si>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</si>
  <si>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</si>
  <si>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</si>
  <si>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</si>
  <si>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</si>
  <si>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</si>
  <si>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</si>
  <si>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</si>
  <si>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</si>
  <si>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</si>
  <si>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</si>
  <si>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</si>
  <si>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</si>
  <si>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</si>
  <si>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</si>
  <si>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</si>
  <si>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</si>
  <si>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</si>
  <si>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</si>
  <si>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</si>
  <si>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</si>
  <si>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</si>
  <si>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</si>
  <si>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</si>
  <si>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</si>
  <si>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</si>
  <si>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</si>
  <si>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</si>
  <si>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</si>
  <si>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</si>
  <si>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</si>
  <si>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</si>
  <si>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</si>
  <si>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</si>
  <si>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</si>
  <si>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</si>
  <si>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</si>
  <si>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</si>
  <si>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</si>
  <si>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</si>
  <si>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</si>
  <si>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</si>
  <si>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</si>
  <si>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</si>
  <si>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</si>
  <si>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</si>
  <si>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</si>
  <si>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</si>
  <si>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</si>
  <si>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</si>
  <si>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</si>
  <si>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</si>
  <si>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</si>
  <si>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</si>
  <si>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</si>
  <si>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</si>
  <si>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</si>
  <si>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</si>
  <si>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</si>
  <si>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</si>
  <si>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</si>
  <si>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</si>
  <si>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</si>
  <si>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</si>
  <si>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</si>
  <si>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</si>
  <si>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</si>
  <si>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</si>
  <si>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</si>
  <si>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</si>
  <si>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</si>
  <si>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</si>
  <si>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</si>
  <si>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</si>
  <si>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</si>
  <si>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</si>
  <si>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</si>
  <si>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</si>
  <si>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</si>
  <si>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</si>
  <si>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</si>
  <si>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</si>
  <si>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</si>
  <si>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</si>
  <si>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</si>
  <si>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</si>
  <si>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</si>
  <si>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</si>
  <si>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</si>
  <si>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</si>
  <si>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</si>
  <si>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</si>
  <si>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</si>
  <si>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</si>
  <si>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</si>
  <si>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</si>
  <si>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</si>
  <si>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</si>
  <si>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</si>
  <si>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</si>
  <si>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</si>
  <si>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</si>
  <si>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</si>
  <si>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</si>
  <si>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</si>
  <si>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</si>
  <si>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</si>
  <si>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</si>
  <si>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</si>
  <si>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</si>
  <si>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</si>
  <si>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</si>
  <si>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</si>
  <si>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</si>
  <si>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</si>
  <si>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</si>
  <si>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</si>
  <si>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</si>
  <si>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</si>
  <si>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</si>
  <si>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</si>
  <si>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</si>
  <si>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</si>
  <si>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</si>
  <si>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</si>
  <si>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</si>
  <si>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</si>
  <si>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</si>
  <si>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</si>
  <si>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</si>
  <si>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</si>
  <si>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</si>
  <si>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</si>
  <si>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</si>
  <si>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</si>
  <si>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</si>
  <si>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</si>
  <si>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</si>
  <si>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</si>
  <si>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</si>
  <si>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</si>
  <si>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</si>
  <si>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</si>
  <si>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</si>
  <si>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</si>
  <si>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</si>
  <si>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</si>
  <si>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</si>
  <si>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</si>
  <si>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</si>
  <si>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</si>
  <si>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</si>
  <si>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</si>
  <si>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</si>
  <si>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</si>
  <si>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</si>
  <si>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</si>
  <si>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</si>
  <si>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</si>
  <si>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</si>
  <si>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</si>
  <si>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</si>
  <si>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</si>
  <si>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</si>
  <si>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</si>
  <si>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</si>
  <si>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</si>
  <si>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</si>
  <si>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</si>
  <si>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</si>
  <si>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</si>
  <si>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</si>
  <si>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</si>
  <si>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</si>
  <si>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</si>
  <si>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</si>
  <si>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</si>
  <si>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</si>
  <si>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</si>
  <si>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</si>
  <si>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</si>
  <si>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</si>
  <si>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</si>
  <si>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</si>
  <si>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</si>
  <si>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</si>
  <si>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</si>
  <si>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</si>
  <si>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</si>
  <si>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</si>
  <si>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</si>
  <si>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</si>
  <si>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</si>
  <si>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</si>
  <si>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</si>
  <si>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</si>
  <si>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</si>
  <si>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</si>
  <si>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</si>
  <si>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</si>
  <si>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</si>
  <si>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</si>
  <si>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</si>
  <si>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</si>
  <si>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</si>
  <si>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</si>
  <si>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</si>
  <si>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</si>
  <si>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</si>
  <si>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</si>
  <si>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</si>
  <si>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</si>
  <si>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</si>
  <si>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</si>
  <si>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</si>
  <si>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</si>
  <si>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</si>
  <si>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</si>
  <si>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</si>
  <si>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</si>
  <si>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</si>
  <si>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</si>
  <si>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</si>
  <si>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</si>
  <si>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</si>
  <si>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</si>
  <si>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</si>
  <si>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</si>
  <si>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</si>
  <si>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</si>
  <si>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</si>
  <si>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</si>
  <si>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</si>
  <si>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</si>
  <si>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</si>
  <si>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</si>
  <si>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</si>
  <si>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</si>
  <si>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</si>
  <si>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</si>
  <si>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</si>
  <si>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</si>
  <si>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</si>
  <si>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</si>
  <si>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</si>
  <si>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</si>
  <si>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</si>
  <si>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</si>
  <si>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</si>
  <si>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</si>
  <si>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</si>
  <si>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</si>
  <si>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</si>
  <si>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</si>
  <si>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</si>
  <si>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</si>
  <si>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</si>
  <si>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</si>
  <si>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</si>
  <si>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</si>
  <si>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</si>
  <si>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</si>
  <si>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</si>
  <si>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</si>
  <si>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</si>
  <si>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</si>
  <si>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</si>
  <si>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</si>
  <si>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</si>
  <si>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</si>
  <si>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</si>
  <si>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</si>
  <si>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</si>
  <si>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</si>
  <si>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</si>
  <si>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</si>
  <si>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</si>
  <si>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</si>
  <si>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</si>
  <si>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</si>
  <si>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</si>
  <si>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</si>
  <si>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</si>
  <si>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</si>
  <si>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</si>
  <si>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</si>
  <si>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</si>
  <si>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</si>
  <si>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</si>
  <si>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</si>
  <si>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</si>
  <si>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</si>
  <si>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</si>
  <si>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</si>
  <si>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</si>
  <si>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</si>
  <si>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</si>
  <si>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</si>
  <si>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</si>
  <si>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</si>
  <si>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</si>
  <si>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</si>
  <si>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</si>
  <si>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</si>
  <si>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</si>
  <si>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</si>
  <si>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</si>
  <si>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</si>
  <si>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</si>
  <si>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</si>
  <si>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</si>
  <si>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</si>
  <si>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</si>
  <si>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</si>
  <si>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</si>
  <si>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</si>
  <si>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</si>
  <si>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</si>
  <si>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</si>
  <si>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</si>
  <si>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</si>
  <si>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</si>
  <si>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</si>
  <si>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</si>
  <si>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</si>
  <si>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</si>
  <si>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</si>
  <si>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</si>
  <si>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</si>
  <si>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</si>
  <si>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</si>
  <si>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</si>
  <si>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</si>
  <si>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</si>
  <si>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</si>
  <si>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</si>
  <si>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</si>
  <si>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</si>
  <si>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</si>
  <si>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</si>
  <si>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</si>
  <si>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</si>
  <si>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</si>
  <si>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</si>
  <si>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</si>
  <si>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</si>
  <si>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</si>
  <si>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</si>
  <si>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</si>
  <si>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</si>
  <si>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</si>
  <si>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</si>
  <si>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</si>
  <si>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</si>
  <si>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</si>
  <si>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</si>
  <si>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</si>
  <si>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</si>
  <si>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</si>
  <si>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</si>
  <si>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</si>
  <si>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</si>
  <si>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</si>
  <si>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</si>
  <si>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</si>
  <si>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</si>
  <si>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</si>
  <si>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</si>
  <si>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</si>
  <si>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</si>
  <si>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</si>
  <si>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</si>
  <si>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</si>
  <si>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</si>
  <si>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</si>
  <si>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</si>
  <si>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</si>
  <si>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</si>
  <si>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</si>
  <si>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</si>
  <si>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</si>
  <si>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</si>
  <si>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</si>
  <si>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</si>
  <si>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</si>
  <si>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</si>
  <si>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</si>
  <si>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</si>
  <si>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</si>
  <si>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</si>
  <si>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</si>
  <si>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</si>
  <si>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</si>
  <si>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</si>
  <si>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</si>
  <si>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</si>
  <si>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</si>
  <si>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</si>
  <si>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</si>
  <si>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</si>
  <si>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</si>
  <si>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</si>
  <si>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</si>
  <si>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</si>
  <si>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</si>
  <si>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</si>
  <si>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</si>
  <si>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</si>
  <si>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</si>
  <si>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</si>
  <si>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</si>
  <si>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</si>
  <si>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</si>
  <si>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</si>
  <si>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</si>
  <si>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</si>
  <si>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</si>
  <si>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</si>
  <si>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</si>
  <si>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</si>
  <si>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</si>
  <si>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</si>
  <si>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</si>
  <si>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</si>
  <si>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</si>
  <si>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</si>
  <si>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</si>
  <si>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</si>
  <si>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</si>
  <si>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</si>
  <si>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</si>
  <si>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</si>
  <si>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</si>
  <si>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</si>
  <si>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</si>
  <si>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</si>
  <si>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 City</t>
  </si>
  <si>
    <t>Unknown Channel</t>
  </si>
  <si>
    <t>Unknown Salesperson</t>
  </si>
  <si>
    <t>New Required Date</t>
  </si>
  <si>
    <t>LeadTimeDays</t>
  </si>
  <si>
    <t>GrossRevenue</t>
  </si>
  <si>
    <t>CostOfGoods</t>
  </si>
  <si>
    <t>GrossProfit</t>
  </si>
  <si>
    <t>MarginPct</t>
  </si>
  <si>
    <t>The duplicates have been highlighted in red colour.</t>
  </si>
  <si>
    <t>The data has been formatted to the correct data types i.e orderdate and requireddate to dates, numbers to numbers, unit cost to currency, SKU to text, quantity to number etc..</t>
  </si>
  <si>
    <t>Blanks have been replaced with: unknown city, unknown salesperson and unknown channel for the respective columns</t>
  </si>
  <si>
    <t>Negative unit values were identified and converted to positive values.</t>
  </si>
  <si>
    <t>Lead Time</t>
  </si>
  <si>
    <t>Correct RD</t>
  </si>
  <si>
    <t>Corrected OD</t>
  </si>
  <si>
    <t>Used IF to swap required dates that were earlier than order date. Then generated the lead time (required date-ordered date)</t>
  </si>
  <si>
    <t>New Order Date</t>
  </si>
  <si>
    <t xml:space="preserve">Identified the discount percentage &gt;30 and replaced them with null and then calculated the mean and replaced the nulls mean </t>
  </si>
  <si>
    <t>MMM-YYY</t>
  </si>
  <si>
    <t>QUARTERS</t>
  </si>
  <si>
    <t>HIERARCY</t>
  </si>
  <si>
    <t>Price Band</t>
  </si>
  <si>
    <t>Utilised Quartile function and divided unit prices based on 25th, 50th and 75th quantiles to develop price bands.</t>
  </si>
  <si>
    <t>Row Labels</t>
  </si>
  <si>
    <t>Grand Total</t>
  </si>
  <si>
    <t>Sum of GrossRevenue</t>
  </si>
  <si>
    <t>Column Labels</t>
  </si>
  <si>
    <t>6-2023</t>
  </si>
  <si>
    <t>A pivot table to show the first month a specific country appeared on the orders and the gross revenue for that month.</t>
  </si>
  <si>
    <t>A = Top 80%</t>
  </si>
  <si>
    <t>B = Next 15%</t>
  </si>
  <si>
    <t>C = Last 5%</t>
  </si>
  <si>
    <t>ABC analysis was done and colours were assigned to different classes i.e A - Blue, B - Green and C - Orange</t>
  </si>
  <si>
    <t>Sum of GrossProfit</t>
  </si>
  <si>
    <t>Count of OrderID</t>
  </si>
  <si>
    <t>Order Year</t>
  </si>
  <si>
    <t>Order Month</t>
  </si>
  <si>
    <t>Asales productivity pivot table has been created to show salespersons with the highest orders overall.</t>
  </si>
  <si>
    <t>A revenue share pivot table has been created and a pie chart was used to visualize sales per region using different channels in Africa and Asia, the retail channel dominated while in America and Europe the online channel dominated</t>
  </si>
  <si>
    <t>7 Day Lead Time</t>
  </si>
  <si>
    <t>No</t>
  </si>
  <si>
    <t>Yes</t>
  </si>
  <si>
    <t>Disct%&gt;20</t>
  </si>
  <si>
    <t>Count of DiscountPct</t>
  </si>
  <si>
    <t>Average of GrossRevenue</t>
  </si>
  <si>
    <t>GROSS REVENUE</t>
  </si>
  <si>
    <t>AVERAGE GROSS REVENUE</t>
  </si>
  <si>
    <t>ON TIME %</t>
  </si>
  <si>
    <t>TOTAL GROSS PROFIT</t>
  </si>
  <si>
    <t>ScenarioGrossProfit</t>
  </si>
  <si>
    <t>ScenarioCostOfGoods</t>
  </si>
  <si>
    <t>ScenarioGrossRevenue</t>
  </si>
  <si>
    <t>ScenarioQuantity</t>
  </si>
  <si>
    <t>ScenarioUnitCost</t>
  </si>
  <si>
    <t>ScenarioDiscount</t>
  </si>
  <si>
    <t>Sum of CostOfGoods</t>
  </si>
  <si>
    <t>Sum of ScenarioGrossRevenue</t>
  </si>
  <si>
    <t>Sum of ScenarioGrossProfit</t>
  </si>
  <si>
    <t>SCENARIO GROSS REVENUE</t>
  </si>
  <si>
    <t>SCENARIO GROSS PROFIT</t>
  </si>
  <si>
    <t>UnitCost inflation factor (e.g., 0%–15%).</t>
  </si>
  <si>
    <t>Global Discount Cap (e.g., 0%–25%).</t>
  </si>
  <si>
    <t>Quantity uplift (e.g., 0%–20%).</t>
  </si>
  <si>
    <t>10-2023</t>
  </si>
  <si>
    <t>11-2023</t>
  </si>
  <si>
    <t>11-2024</t>
  </si>
  <si>
    <t>1-2023</t>
  </si>
  <si>
    <t>1-2024</t>
  </si>
  <si>
    <t>1-2025</t>
  </si>
  <si>
    <t>12-2023</t>
  </si>
  <si>
    <t>2-2023</t>
  </si>
  <si>
    <t>2-2024</t>
  </si>
  <si>
    <t>2-2025</t>
  </si>
  <si>
    <t>3-2023</t>
  </si>
  <si>
    <t>3-2025</t>
  </si>
  <si>
    <t>4-2023</t>
  </si>
  <si>
    <t>4-2024</t>
  </si>
  <si>
    <t>4-2025</t>
  </si>
  <si>
    <t>5-2023</t>
  </si>
  <si>
    <t>5-2024</t>
  </si>
  <si>
    <t>5-2025</t>
  </si>
  <si>
    <t>6-2024</t>
  </si>
  <si>
    <t>7-2023</t>
  </si>
  <si>
    <t>7-2024</t>
  </si>
  <si>
    <t>7-2025</t>
  </si>
  <si>
    <t>8-2023</t>
  </si>
  <si>
    <t>8-2024</t>
  </si>
  <si>
    <t>8-2025</t>
  </si>
  <si>
    <t>9-2023</t>
  </si>
  <si>
    <t>9-2024</t>
  </si>
  <si>
    <t>9-2025</t>
  </si>
  <si>
    <t>A scenario panel has been created on the dashboard with its own KPIs.</t>
  </si>
  <si>
    <t>The highest revenue collected per month in Africa occurred in the Sixth month</t>
  </si>
  <si>
    <t>In America, online channel dominated all other channels</t>
  </si>
  <si>
    <t>In Asia, the retail channel dominated all other channels</t>
  </si>
  <si>
    <t>In Europe, United Kingdom had the highest gross revenue</t>
  </si>
  <si>
    <t>In Europe, the retail channel made losses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</si>
</sst>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Ksh&quot;#,##0.00"/>
    <numFmt numFmtId="165" formatCode="[$-F800]dddd\,\ mmmm\ dd\,\ yyyy"/>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22"/>
      <color theme="1"/>
      <name val="Calibri"/>
      <family val="2"/>
      <scheme val="minor"/>
    </font>
    <font>
      <b/>
      <sz val="22"/>
      <color theme="0"/>
      <name val="Calibri"/>
      <family val="2"/>
      <scheme val="minor"/>
    </font>
    <font>
      <b/>
      <sz val="22"/>
      <color rgb="FFFFFF00"/>
      <name val="Calibri"/>
      <family val="2"/>
      <scheme val="minor"/>
    </font>
    <font>
      <b/>
      <sz val="22"/>
      <color theme="1"/>
      <name val="Calibri"/>
      <family val="2"/>
      <scheme val="minor"/>
    </font>
  </fonts>
  <fills count="6">
    <fill>
      <patternFill patternType="none"/>
    </fill>
    <fill>
      <patternFill patternType="gray125"/>
    </fill>
    <fill>
      <patternFill patternType="solid">
        <fgColor theme="4"/>
        <bgColor indexed="64"/>
      </patternFill>
    </fill>
    <fill>
      <patternFill patternType="solid">
        <fgColor theme="9" tint="-0.249977111117893"/>
        <bgColor indexed="64"/>
      </patternFill>
    </fill>
    <fill>
      <patternFill patternType="solid">
        <fgColor theme="6"/>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4" fontId="1" fillId="0" borderId="1" xfId="0" applyNumberFormat="1" applyFont="1" applyBorder="1" applyAlignment="1">
      <alignment horizontal="center" vertical="top"/>
    </xf>
    <xf numFmtId="14" fontId="0" fillId="0" borderId="0" xfId="0" applyNumberFormat="1"/>
    <xf numFmtId="1" fontId="1" fillId="0" borderId="1" xfId="0" applyNumberFormat="1" applyFont="1" applyBorder="1" applyAlignment="1">
      <alignment horizontal="center" vertical="top"/>
    </xf>
    <xf numFmtId="1" fontId="0" fillId="0" borderId="0" xfId="0" applyNumberFormat="1"/>
    <xf numFmtId="49" fontId="0" fillId="0" borderId="0" xfId="0" applyNumberFormat="1" applyFont="1"/>
    <xf numFmtId="14" fontId="0" fillId="0" borderId="0" xfId="0" applyNumberFormat="1" applyFont="1"/>
    <xf numFmtId="1" fontId="0" fillId="0" borderId="0" xfId="0" applyNumberFormat="1" applyFont="1"/>
    <xf numFmtId="0" fontId="0" fillId="0" borderId="0" xfId="0" applyFont="1"/>
    <xf numFmtId="0" fontId="1" fillId="0" borderId="0" xfId="0" applyFont="1"/>
    <xf numFmtId="164" fontId="0" fillId="0" borderId="0" xfId="0" applyNumberFormat="1"/>
    <xf numFmtId="10" fontId="1" fillId="0" borderId="1" xfId="0" applyNumberFormat="1" applyFont="1" applyBorder="1" applyAlignment="1">
      <alignment horizontal="center" vertical="top"/>
    </xf>
    <xf numFmtId="10" fontId="0" fillId="0" borderId="0" xfId="0" applyNumberFormat="1"/>
    <xf numFmtId="10" fontId="0" fillId="0" borderId="0" xfId="0" applyNumberFormat="1" applyFont="1"/>
    <xf numFmtId="0" fontId="0" fillId="0" borderId="0" xfId="0" applyNumberFormat="1"/>
    <xf numFmtId="164" fontId="1" fillId="0" borderId="1" xfId="0" applyNumberFormat="1" applyFont="1" applyFill="1" applyBorder="1" applyAlignment="1">
      <alignment horizontal="center" vertical="top"/>
    </xf>
    <xf numFmtId="164" fontId="0" fillId="0" borderId="0" xfId="0" applyNumberFormat="1" applyFill="1"/>
    <xf numFmtId="164" fontId="0" fillId="0" borderId="0" xfId="0" applyNumberFormat="1" applyFont="1" applyFill="1"/>
    <xf numFmtId="164" fontId="1" fillId="0" borderId="0" xfId="0" applyNumberFormat="1" applyFont="1"/>
    <xf numFmtId="10"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Fill="1"/>
    <xf numFmtId="164" fontId="0" fillId="2" borderId="0" xfId="0" applyNumberFormat="1" applyFill="1"/>
    <xf numFmtId="164" fontId="0" fillId="3" borderId="0" xfId="0" applyNumberFormat="1" applyFill="1"/>
    <xf numFmtId="164" fontId="0" fillId="4" borderId="0" xfId="0" applyNumberFormat="1" applyFill="1"/>
    <xf numFmtId="0" fontId="1" fillId="3" borderId="0" xfId="0" applyFont="1" applyFill="1"/>
    <xf numFmtId="0" fontId="1" fillId="4" borderId="0" xfId="0" applyFont="1" applyFill="1"/>
    <xf numFmtId="0" fontId="1" fillId="2" borderId="0" xfId="0" applyFont="1" applyFill="1"/>
    <xf numFmtId="0" fontId="0" fillId="5" borderId="0" xfId="0" applyFill="1"/>
    <xf numFmtId="10" fontId="1" fillId="0" borderId="0" xfId="1" applyNumberFormat="1" applyFont="1"/>
    <xf numFmtId="10" fontId="0" fillId="0" borderId="0" xfId="1" applyNumberFormat="1" applyFont="1"/>
    <xf numFmtId="0" fontId="3" fillId="5" borderId="0" xfId="0" applyFont="1" applyFill="1"/>
    <xf numFmtId="0" fontId="4" fillId="2" borderId="0" xfId="0" applyFont="1" applyFill="1" applyAlignment="1">
      <alignment horizontal="center" vertical="center"/>
    </xf>
    <xf numFmtId="0" fontId="4" fillId="2" borderId="0" xfId="0" applyFont="1" applyFill="1"/>
    <xf numFmtId="164" fontId="5" fillId="2" borderId="0" xfId="0" applyNumberFormat="1" applyFont="1" applyFill="1" applyAlignment="1">
      <alignment horizontal="center" vertical="center"/>
    </xf>
    <xf numFmtId="10" fontId="5" fillId="2" borderId="0" xfId="0" applyNumberFormat="1" applyFont="1" applyFill="1" applyAlignment="1">
      <alignment horizontal="center" vertical="center"/>
    </xf>
    <xf numFmtId="0" fontId="6" fillId="5" borderId="0" xfId="0" applyFont="1" applyFill="1"/>
    <xf numFmtId="9" fontId="6" fillId="5" borderId="0" xfId="1" applyFont="1" applyFill="1"/>
  </cellXfs>
  <cellStyles count="2">
    <cellStyle name="Normal" xfId="0" builtinId="0"/>
    <cellStyle name="Percent" xfId="1" builtinId="5"/>
  </cellStyles>
  <dxfs count="183">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fill>
        <patternFill patternType="solid">
          <bgColor theme="9" tint="-0.249977111117893"/>
        </patternFill>
      </fill>
    </dxf>
    <dxf>
      <fill>
        <patternFill patternType="solid">
          <bgColor theme="6"/>
        </patternFill>
      </fill>
    </dxf>
    <dxf>
      <fill>
        <patternFill patternType="solid">
          <bgColor theme="4"/>
        </patternFill>
      </fill>
    </dxf>
    <dxf>
      <fill>
        <patternFill patternType="solid">
          <bgColor theme="9" tint="-0.249977111117893"/>
        </patternFill>
      </fill>
    </dxf>
    <dxf>
      <fill>
        <patternFill patternType="solid">
          <bgColor theme="6"/>
        </patternFill>
      </fill>
    </dxf>
    <dxf>
      <fill>
        <patternFill patternType="solid">
          <bgColor theme="4"/>
        </patternFill>
      </fill>
    </dxf>
    <dxf>
      <fill>
        <patternFill patternType="solid">
          <bgColor theme="9" tint="-0.249977111117893"/>
        </patternFill>
      </fill>
    </dxf>
    <dxf>
      <fill>
        <patternFill patternType="solid">
          <bgColor theme="6"/>
        </patternFill>
      </fill>
    </dxf>
    <dxf>
      <fill>
        <patternFill patternType="solid">
          <bgColor theme="4"/>
        </patternFill>
      </fill>
    </dxf>
    <dxf>
      <fill>
        <patternFill patternType="solid">
          <bgColor theme="9" tint="-0.249977111117893"/>
        </patternFill>
      </fill>
    </dxf>
    <dxf>
      <fill>
        <patternFill patternType="solid">
          <bgColor theme="6"/>
        </patternFill>
      </fill>
    </dxf>
    <dxf>
      <fill>
        <patternFill patternType="solid">
          <bgColor theme="4"/>
        </patternFill>
      </fill>
    </dxf>
    <dxf>
      <fill>
        <patternFill patternType="solid">
          <bgColor theme="9" tint="-0.249977111117893"/>
        </patternFill>
      </fill>
    </dxf>
    <dxf>
      <fill>
        <patternFill patternType="solid">
          <bgColor theme="6"/>
        </patternFill>
      </fill>
    </dxf>
    <dxf>
      <fill>
        <patternFill patternType="solid">
          <bgColor theme="4"/>
        </patternFill>
      </fill>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fill>
        <patternFill>
          <bgColor theme="9" tint="-0.249977111117893"/>
        </patternFill>
      </fill>
    </dxf>
    <dxf>
      <fill>
        <patternFill patternType="solid">
          <bgColor theme="9"/>
        </patternFill>
      </fill>
    </dxf>
    <dxf>
      <fill>
        <patternFill patternType="solid">
          <bgColor theme="6"/>
        </patternFill>
      </fill>
    </dxf>
    <dxf>
      <fill>
        <patternFill patternType="solid">
          <bgColor theme="4"/>
        </patternFill>
      </fill>
    </dxf>
    <dxf>
      <fill>
        <patternFill patternType="solid">
          <bgColor theme="6"/>
        </patternFill>
      </fill>
    </dxf>
    <dxf>
      <fill>
        <patternFill patternType="solid">
          <bgColor theme="9" tint="-0.249977111117893"/>
        </patternFill>
      </fill>
    </dxf>
    <dxf>
      <fill>
        <patternFill patternType="solid">
          <bgColor theme="4"/>
        </patternFill>
      </fill>
    </dxf>
    <dxf>
      <numFmt numFmtId="164" formatCode="&quot;Ksh&quot;#,##0.00"/>
    </dxf>
    <dxf>
      <numFmt numFmtId="164" formatCode="&quot;Ksh&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Brief.xlsx]Service Level Proxy!PivotTable9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orders that met 7 day target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'Service Level Proxy'!$B$4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'Service Level Proxy'!$A$5:$A$7</c:f>
              <c:strCache>
                <c:ptCount val="2"/>
                <c:pt idx="0">
                  <c:v>No</c:v>
                </c:pt>
                <c:pt idx="1">
                  <c:v>Yes</c:v>
                </c:pt>
              </c:strCache>
            </c:strRef>
          </c:cat>
          <c:val>
            <c:numRef>
              <c:f>'Service Level Proxy'!$B$5:$B$7</c:f>
              <c:numCache>
                <c:formatCode>0.00%</c:formatCode>
                <c:ptCount val="2"/>
                <c:pt idx="0">
                  <c:v>0.72784810126582278</c:v>
                </c:pt>
                <c:pt idx="1">
                  <c:v>0.27215189873417722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Brief.xlsx]Price Compliance!PivotTable10</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r>
              <a:rPr lang="en-US" sz="1100" b="0" i="0" baseline="0">
                <a:solidFill>
                  <a:schemeClr val="accent6"/>
                </a:solidFill>
                <a:effectLst/>
              </a:rPr>
              <a:t>Share of orders with Discount &gt; 20%</a:t>
            </a:r>
            <a:endParaRPr lang="en-US" sz="1000">
              <a:solidFill>
                <a:schemeClr val="accent6"/>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'Price Compliance'!$B$3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'Price Compliance'!$A$4:$A$6</c:f>
              <c:strCache>
                <c:ptCount val="2"/>
                <c:pt idx="0">
                  <c:v>No</c:v>
                </c:pt>
                <c:pt idx="1">
                  <c:v>Yes</c:v>
                </c:pt>
              </c:strCache>
            </c:strRef>
          </c:cat>
          <c:val>
            <c:numRef>
              <c:f>'Price Compliance'!$B$4:$B$6</c:f>
              <c:numCache>
                <c:formatCode>0.00%</c:formatCode>
                <c:ptCount val="2"/>
                <c:pt idx="0">
                  <c:v>0.90909090909090906</c:v>
                </c:pt>
                <c:pt idx="1">
                  <c:v>9.0909090909090912E-2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Brief.xlsx]Revenue By Month!PivotTable3</c:name>
    <c:fmtId val="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Revenue</a:t>
            </a:r>
            <a:r>
              <a:rPr lang="en-US" baseline="0">
                <a:solidFill>
                  <a:schemeClr val="accent6">
                    <a:lumMod val="75000"/>
                  </a:schemeClr>
                </a:solidFill>
              </a:rPr>
              <a:t> By Month</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1</c:v>
                </c:pt>
                <c:pt idx="1">
                  <c:v>2</c:v>
                </c:pt>
                <c:pt idx="2">
                  <c:v>4</c:v>
                </c:pt>
                <c:pt idx="3">
                  <c:v>5</c:v>
                </c:pt>
                <c:pt idx="4">
                  <c:v>6</c:v>
                </c:pt>
                <c:pt idx="5">
                  <c:v>8</c:v>
                </c:pt>
                <c:pt idx="6">
                  <c:v>12</c:v>
                </c:pt>
              </c:strCache>
            </c:strRef>
          </c:cat>
          <c:val>
            <c:numRef>
              <c:f>'Revenue By Month'!$B$4:$B$11</c:f>
              <c:numCache>
                <c:formatCode>General</c:formatCode>
                <c:ptCount val="7"/>
                <c:pt idx="0">
                  <c:v>33042.254140000005</c:v>
                </c:pt>
                <c:pt idx="1">
                  <c:v>57375.806730000004</c:v>
                </c:pt>
                <c:pt idx="2">
                  <c:v>18675.931700000001</c:v>
                </c:pt>
                <c:pt idx="3">
                  <c:v>6899.8804600000003</c:v>
                </c:pt>
                <c:pt idx="4">
                  <c:v>4804.4682400000002</c:v>
                </c:pt>
                <c:pt idx="5">
                  <c:v>41106.800970000004</c:v>
                </c:pt>
                <c:pt idx="6">
                  <c:v>30519.801539999993</c:v>
                </c:pt>
              </c:numCache>
            </c:numRef>
          </c:val>
          <c:smooth val="0"/>
        </c:ser>
        <c:dLbls>
          <c:showLegendKey val="0"/>
          <c:showVal val="0"/>
          <c:showCatName val="0"/>
          <c:showSerName val="0"/>
          <c:showPercent val="0"/>
          <c:showBubbleSize val="0"/>
        </c:dLbls>
        <c:smooth val="0"/>
        <c:axId val="-329243296"/>
        <c:axId val="-329240576"/>
      </c:lineChart>
      <c:catAx>
        <c:axId val="-32924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40576"/>
        <c:crosses val="autoZero"/>
        <c:auto val="1"/>
        <c:lblAlgn val="ctr"/>
        <c:lblOffset val="100"/>
        <c:noMultiLvlLbl val="0"/>
      </c:catAx>
      <c:valAx>
        <c:axId val="-32924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43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 by R and C!PivotTable4</c:name>
    <c:fmtId val="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Gross</a:t>
            </a:r>
            <a:r>
              <a:rPr lang="en-US" baseline="0">
                <a:solidFill>
                  <a:schemeClr val="accent6">
                    <a:lumMod val="75000"/>
                  </a:schemeClr>
                </a:solidFill>
              </a:rPr>
              <a:t> profit by region and channel</a:t>
            </a:r>
            <a:endParaRPr lang="en-US">
              <a:solidFill>
                <a:schemeClr val="accent6">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R and C'!$B$3:$B$4</c:f>
              <c:strCache>
                <c:ptCount val="1"/>
                <c:pt idx="0">
                  <c:v>Direct</c:v>
                </c:pt>
              </c:strCache>
            </c:strRef>
          </c:tx>
          <c:spPr>
            <a:solidFill>
              <a:schemeClr val="accent1"/>
            </a:solidFill>
            <a:ln>
              <a:noFill/>
            </a:ln>
            <a:effectLst/>
          </c:spPr>
          <c:invertIfNegative val="0"/>
          <c:cat>
            <c:strRef>
              <c:f>'Profit by R and C'!$A$5:$A$6</c:f>
              <c:strCache>
                <c:ptCount val="1"/>
                <c:pt idx="0">
                  <c:v>Europe</c:v>
                </c:pt>
              </c:strCache>
            </c:strRef>
          </c:cat>
          <c:val>
            <c:numRef>
              <c:f>'Profit by R and C'!$B$5:$B$6</c:f>
              <c:numCache>
                <c:formatCode>General</c:formatCode>
                <c:ptCount val="1"/>
                <c:pt idx="0">
                  <c:v>17682.526830000003</c:v>
                </c:pt>
              </c:numCache>
            </c:numRef>
          </c:val>
        </c:ser>
        <c:ser>
          <c:idx val="1"/>
          <c:order val="1"/>
          <c:tx>
            <c:strRef>
              <c:f>'Profit by R and C'!$C$3:$C$4</c:f>
              <c:strCache>
                <c:ptCount val="1"/>
                <c:pt idx="0">
                  <c:v>Distributor</c:v>
                </c:pt>
              </c:strCache>
            </c:strRef>
          </c:tx>
          <c:spPr>
            <a:solidFill>
              <a:schemeClr val="accent2"/>
            </a:solidFill>
            <a:ln>
              <a:noFill/>
            </a:ln>
            <a:effectLst/>
          </c:spPr>
          <c:invertIfNegative val="0"/>
          <c:cat>
            <c:strRef>
              <c:f>'Profit by R and C'!$A$5:$A$6</c:f>
              <c:strCache>
                <c:ptCount val="1"/>
                <c:pt idx="0">
                  <c:v>Europe</c:v>
                </c:pt>
              </c:strCache>
            </c:strRef>
          </c:cat>
          <c:val>
            <c:numRef>
              <c:f>'Profit by R and C'!$C$5:$C$6</c:f>
              <c:numCache>
                <c:formatCode>General</c:formatCode>
                <c:ptCount val="1"/>
                <c:pt idx="0">
                  <c:v>9388.5682799999995</c:v>
                </c:pt>
              </c:numCache>
            </c:numRef>
          </c:val>
        </c:ser>
        <c:ser>
          <c:idx val="2"/>
          <c:order val="2"/>
          <c:tx>
            <c:strRef>
              <c:f>'Profit by R and C'!$D$3:$D$4</c:f>
              <c:strCache>
                <c:ptCount val="1"/>
                <c:pt idx="0">
                  <c:v>Marketplace</c:v>
                </c:pt>
              </c:strCache>
            </c:strRef>
          </c:tx>
          <c:spPr>
            <a:solidFill>
              <a:schemeClr val="accent3"/>
            </a:solidFill>
            <a:ln>
              <a:noFill/>
            </a:ln>
            <a:effectLst/>
          </c:spPr>
          <c:invertIfNegative val="0"/>
          <c:cat>
            <c:strRef>
              <c:f>'Profit by R and C'!$A$5:$A$6</c:f>
              <c:strCache>
                <c:ptCount val="1"/>
                <c:pt idx="0">
                  <c:v>Europe</c:v>
                </c:pt>
              </c:strCache>
            </c:strRef>
          </c:cat>
          <c:val>
            <c:numRef>
              <c:f>'Profit by R and C'!$D$5:$D$6</c:f>
              <c:numCache>
                <c:formatCode>General</c:formatCode>
                <c:ptCount val="1"/>
                <c:pt idx="0">
                  <c:v>16954.685430000005</c:v>
                </c:pt>
              </c:numCache>
            </c:numRef>
          </c:val>
        </c:ser>
        <c:ser>
          <c:idx val="3"/>
          <c:order val="3"/>
          <c:tx>
            <c:strRef>
              <c:f>'Profit by R and C'!$E$3:$E$4</c:f>
              <c:strCache>
                <c:ptCount val="1"/>
                <c:pt idx="0">
                  <c:v>Online</c:v>
                </c:pt>
              </c:strCache>
            </c:strRef>
          </c:tx>
          <c:spPr>
            <a:solidFill>
              <a:schemeClr val="accent4"/>
            </a:solidFill>
            <a:ln>
              <a:noFill/>
            </a:ln>
            <a:effectLst/>
          </c:spPr>
          <c:invertIfNegative val="0"/>
          <c:cat>
            <c:strRef>
              <c:f>'Profit by R and C'!$A$5:$A$6</c:f>
              <c:strCache>
                <c:ptCount val="1"/>
                <c:pt idx="0">
                  <c:v>Europe</c:v>
                </c:pt>
              </c:strCache>
            </c:strRef>
          </c:cat>
          <c:val>
            <c:numRef>
              <c:f>'Profit by R and C'!$E$5:$E$6</c:f>
              <c:numCache>
                <c:formatCode>General</c:formatCode>
                <c:ptCount val="1"/>
                <c:pt idx="0">
                  <c:v>14144.854499999992</c:v>
                </c:pt>
              </c:numCache>
            </c:numRef>
          </c:val>
        </c:ser>
        <c:ser>
          <c:idx val="4"/>
          <c:order val="4"/>
          <c:tx>
            <c:strRef>
              <c:f>'Profit by R and C'!$F$3:$F$4</c:f>
              <c:strCache>
                <c:ptCount val="1"/>
                <c:pt idx="0">
                  <c:v>Retail</c:v>
                </c:pt>
              </c:strCache>
            </c:strRef>
          </c:tx>
          <c:spPr>
            <a:solidFill>
              <a:schemeClr val="accent5"/>
            </a:solidFill>
            <a:ln>
              <a:noFill/>
            </a:ln>
            <a:effectLst/>
          </c:spPr>
          <c:invertIfNegative val="0"/>
          <c:cat>
            <c:strRef>
              <c:f>'Profit by R and C'!$A$5:$A$6</c:f>
              <c:strCache>
                <c:ptCount val="1"/>
                <c:pt idx="0">
                  <c:v>Europe</c:v>
                </c:pt>
              </c:strCache>
            </c:strRef>
          </c:cat>
          <c:val>
            <c:numRef>
              <c:f>'Profit by R and C'!$F$5:$F$6</c:f>
              <c:numCache>
                <c:formatCode>General</c:formatCode>
                <c:ptCount val="1"/>
                <c:pt idx="0">
                  <c:v>-16776.201260000002</c:v>
                </c:pt>
              </c:numCache>
            </c:numRef>
          </c:val>
        </c:ser>
        <c:ser>
          <c:idx val="5"/>
          <c:order val="5"/>
          <c:tx>
            <c:strRef>
              <c:f>'Profit by R and C'!$G$3:$G$4</c:f>
              <c:strCache>
                <c:ptCount val="1"/>
                <c:pt idx="0">
                  <c:v>Unknown Channel</c:v>
                </c:pt>
              </c:strCache>
            </c:strRef>
          </c:tx>
          <c:spPr>
            <a:solidFill>
              <a:schemeClr val="accent6"/>
            </a:solidFill>
            <a:ln>
              <a:noFill/>
            </a:ln>
            <a:effectLst/>
          </c:spPr>
          <c:invertIfNegative val="0"/>
          <c:cat>
            <c:strRef>
              <c:f>'Profit by R and C'!$A$5:$A$6</c:f>
              <c:strCache>
                <c:ptCount val="1"/>
                <c:pt idx="0">
                  <c:v>Europe</c:v>
                </c:pt>
              </c:strCache>
            </c:strRef>
          </c:cat>
          <c:val>
            <c:numRef>
              <c:f>'Profit by R and C'!$G$5:$G$6</c:f>
              <c:numCache>
                <c:formatCode>General</c:formatCode>
                <c:ptCount val="1"/>
                <c:pt idx="0">
                  <c:v>6765.2</c:v>
                </c:pt>
              </c:numCache>
            </c:numRef>
          </c:val>
        </c:ser>
        <c:dLbls>
          <c:showLegendKey val="0"/>
          <c:showVal val="0"/>
          <c:showCatName val="0"/>
          <c:showSerName val="0"/>
          <c:showPercent val="0"/>
          <c:showBubbleSize val="0"/>
        </c:dLbls>
        <c:gapWidth val="150"/>
        <c:overlap val="100"/>
        <c:axId val="-329234048"/>
        <c:axId val="-329237856"/>
      </c:barChart>
      <c:catAx>
        <c:axId val="-32923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7856"/>
        <c:crosses val="autoZero"/>
        <c:auto val="1"/>
        <c:lblAlgn val="ctr"/>
        <c:lblOffset val="100"/>
        <c:noMultiLvlLbl val="0"/>
      </c:catAx>
      <c:valAx>
        <c:axId val="-32923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4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Brief.xlsx]Top 10 SKUs!PivotTable5</c:name>
    <c:fmtId val="0"/>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10 SKUs By Gross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10 SKUs'!$B$3</c:f>
              <c:strCache>
                <c:ptCount val="1"/>
                <c:pt idx="0">
                  <c:v>Total</c:v>
                </c:pt>
              </c:strCache>
            </c:strRef>
          </c:tx>
          <c:spPr>
            <a:solidFill>
              <a:schemeClr val="accent1"/>
            </a:solidFill>
            <a:ln>
              <a:noFill/>
            </a:ln>
            <a:effectLst/>
          </c:spPr>
          <c:invertIfNegative val="0"/>
          <c:cat>
            <c:strRef>
              <c:f>'Top 10 SKUs'!$A$4:$A$14</c:f>
              <c:strCache>
                <c:ptCount val="10"/>
                <c:pt idx="0">
                  <c:v>MON-9967</c:v>
                </c:pt>
                <c:pt idx="1">
                  <c:v>PRN-9624</c:v>
                </c:pt>
                <c:pt idx="2">
                  <c:v>NET-4491</c:v>
                </c:pt>
                <c:pt idx="3">
                  <c:v>MON-4959</c:v>
                </c:pt>
                <c:pt idx="4">
                  <c:v>ACC-3103</c:v>
                </c:pt>
                <c:pt idx="5">
                  <c:v>LAP-9932</c:v>
                </c:pt>
                <c:pt idx="6">
                  <c:v>LAP-4551</c:v>
                </c:pt>
                <c:pt idx="7">
                  <c:v>PRN-1725</c:v>
                </c:pt>
                <c:pt idx="8">
                  <c:v>PRN-5067</c:v>
                </c:pt>
                <c:pt idx="9">
                  <c:v>PHN-5383</c:v>
                </c:pt>
              </c:strCache>
            </c:strRef>
          </c:cat>
          <c:val>
            <c:numRef>
              <c:f>'Top 10 SKUs'!$B$4:$B$14</c:f>
              <c:numCache>
                <c:formatCode>General</c:formatCode>
                <c:ptCount val="10"/>
                <c:pt idx="0">
                  <c:v>41106.800970000004</c:v>
                </c:pt>
                <c:pt idx="1">
                  <c:v>31822.023930000003</c:v>
                </c:pt>
                <c:pt idx="2">
                  <c:v>29673.454499999993</c:v>
                </c:pt>
                <c:pt idx="3">
                  <c:v>25553.782800000001</c:v>
                </c:pt>
                <c:pt idx="4">
                  <c:v>23195.01828</c:v>
                </c:pt>
                <c:pt idx="5">
                  <c:v>13218.5</c:v>
                </c:pt>
                <c:pt idx="6">
                  <c:v>9847.2358600000007</c:v>
                </c:pt>
                <c:pt idx="7">
                  <c:v>6899.8804600000003</c:v>
                </c:pt>
                <c:pt idx="8">
                  <c:v>5457.4317000000001</c:v>
                </c:pt>
                <c:pt idx="9">
                  <c:v>4804.4682400000002</c:v>
                </c:pt>
              </c:numCache>
            </c:numRef>
          </c:val>
        </c:ser>
        <c:dLbls>
          <c:showLegendKey val="0"/>
          <c:showVal val="0"/>
          <c:showCatName val="0"/>
          <c:showSerName val="0"/>
          <c:showPercent val="0"/>
          <c:showBubbleSize val="0"/>
        </c:dLbls>
        <c:gapWidth val="182"/>
        <c:axId val="-329246016"/>
        <c:axId val="-329239488"/>
      </c:barChart>
      <c:catAx>
        <c:axId val="-329246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9488"/>
        <c:crosses val="autoZero"/>
        <c:auto val="1"/>
        <c:lblAlgn val="ctr"/>
        <c:lblOffset val="100"/>
        <c:noMultiLvlLbl val="0"/>
      </c:catAx>
      <c:valAx>
        <c:axId val="-329239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4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Brief.xlsx]Revenue Share!PivotTable6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'Revenue Share'!$B$3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'Revenue Share'!$A$4:$A$10</c:f>
              <c:multiLvlStrCache>
                <c:ptCount val="5"/>
                <c:lvl>
                  <c:pt idx="0">
                    <c:v>Direct</c:v>
                  </c:pt>
                  <c:pt idx="1">
                    <c:v>Distributor</c:v>
                  </c:pt>
                  <c:pt idx="2">
                    <c:v>Marketplace</c:v>
                  </c:pt>
                  <c:pt idx="3">
                    <c:v>Online</c:v>
                  </c:pt>
                  <c:pt idx="4">
                    <c:v>Retail</c:v>
                  </c:pt>
                </c:lvl>
                <c:lvl>
                  <c:pt idx="0">
                    <c:v>Europe</c:v>
                  </c:pt>
                </c:lvl>
              </c:multiLvlStrCache>
            </c:multiLvlStrRef>
          </c:cat>
          <c:val>
            <c:numRef>
              <c:f>'Revenue Share'!$B$4:$B$10</c:f>
              <c:numCache>
                <c:formatCode>General</c:formatCode>
                <c:ptCount val="5"/>
                <c:pt idx="0">
                  <c:v>440549.30887000001</c:v>
                </c:pt>
                <c:pt idx="1">
                  <c:v>89682.392490000013</c:v>
                </c:pt>
                <c:pt idx="2">
                  <c:v>141258.16537</c:v>
                </c:pt>
                <c:pt idx="3">
                  <c:v>188656.70182000002</c:v>
                </c:pt>
                <c:pt idx="4">
                  <c:v>69278.319669999997</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Brief.xlsx]Revenue By Month!PivotTable3</c:name>
    <c:fmtId val="4"/>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Revenue</a:t>
            </a:r>
            <a:r>
              <a:rPr lang="en-US" baseline="0">
                <a:solidFill>
                  <a:schemeClr val="accent6">
                    <a:lumMod val="75000"/>
                  </a:schemeClr>
                </a:solidFill>
              </a:rPr>
              <a:t> By Month</a:t>
            </a:r>
            <a:endParaRPr lang="en-US">
              <a:solidFill>
                <a:schemeClr val="accent6">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Month'!$A$4:$A$11</c:f>
              <c:strCache>
                <c:ptCount val="7"/>
                <c:pt idx="0">
                  <c:v>1</c:v>
                </c:pt>
                <c:pt idx="1">
                  <c:v>2</c:v>
                </c:pt>
                <c:pt idx="2">
                  <c:v>4</c:v>
                </c:pt>
                <c:pt idx="3">
                  <c:v>5</c:v>
                </c:pt>
                <c:pt idx="4">
                  <c:v>6</c:v>
                </c:pt>
                <c:pt idx="5">
                  <c:v>8</c:v>
                </c:pt>
                <c:pt idx="6">
                  <c:v>12</c:v>
                </c:pt>
              </c:strCache>
            </c:strRef>
          </c:cat>
          <c:val>
            <c:numRef>
              <c:f>'Revenue By Month'!$B$4:$B$11</c:f>
              <c:numCache>
                <c:formatCode>General</c:formatCode>
                <c:ptCount val="7"/>
                <c:pt idx="0">
                  <c:v>33042.254140000005</c:v>
                </c:pt>
                <c:pt idx="1">
                  <c:v>57375.806730000004</c:v>
                </c:pt>
                <c:pt idx="2">
                  <c:v>18675.931700000001</c:v>
                </c:pt>
                <c:pt idx="3">
                  <c:v>6899.8804600000003</c:v>
                </c:pt>
                <c:pt idx="4">
                  <c:v>4804.4682400000002</c:v>
                </c:pt>
                <c:pt idx="5">
                  <c:v>41106.800970000004</c:v>
                </c:pt>
                <c:pt idx="6">
                  <c:v>30519.801539999993</c:v>
                </c:pt>
              </c:numCache>
            </c:numRef>
          </c:val>
          <c:smooth val="0"/>
        </c:ser>
        <c:dLbls>
          <c:showLegendKey val="0"/>
          <c:showVal val="0"/>
          <c:showCatName val="0"/>
          <c:showSerName val="0"/>
          <c:showPercent val="0"/>
          <c:showBubbleSize val="0"/>
        </c:dLbls>
        <c:smooth val="0"/>
        <c:axId val="-329232960"/>
        <c:axId val="-329238400"/>
      </c:lineChart>
      <c:catAx>
        <c:axId val="-32923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8400"/>
        <c:crosses val="autoZero"/>
        <c:auto val="1"/>
        <c:lblAlgn val="ctr"/>
        <c:lblOffset val="100"/>
        <c:noMultiLvlLbl val="0"/>
      </c:catAx>
      <c:valAx>
        <c:axId val="-32923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Brief.xlsx]Profit by R and C!PivotTable4</c:name>
    <c:fmtId val="5"/>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Gross</a:t>
            </a:r>
            <a:r>
              <a:rPr lang="en-US" baseline="0">
                <a:solidFill>
                  <a:schemeClr val="accent6">
                    <a:lumMod val="75000"/>
                  </a:schemeClr>
                </a:solidFill>
              </a:rPr>
              <a:t> profit by region and channel</a:t>
            </a:r>
            <a:endParaRPr lang="en-US">
              <a:solidFill>
                <a:schemeClr val="accent6">
                  <a:lumMod val="75000"/>
                </a:schemeClr>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'Profit by R and C'!$B$3:$B$4</c:f>
              <c:strCache>
                <c:ptCount val="1"/>
                <c:pt idx="0">
                  <c:v>Direct</c:v>
                </c:pt>
              </c:strCache>
            </c:strRef>
          </c:tx>
          <c:spPr>
            <a:solidFill>
              <a:schemeClr val="accent1"/>
            </a:solidFill>
            <a:ln>
              <a:noFill/>
            </a:ln>
            <a:effectLst/>
          </c:spPr>
          <c:invertIfNegative val="0"/>
          <c:cat>
            <c:strRef>
              <c:f>'Profit by R and C'!$A$5:$A$6</c:f>
              <c:strCache>
                <c:ptCount val="1"/>
                <c:pt idx="0">
                  <c:v>Europe</c:v>
                </c:pt>
              </c:strCache>
            </c:strRef>
          </c:cat>
          <c:val>
            <c:numRef>
              <c:f>'Profit by R and C'!$B$5:$B$6</c:f>
              <c:numCache>
                <c:formatCode>General</c:formatCode>
                <c:ptCount val="1"/>
                <c:pt idx="0">
                  <c:v>17682.526830000003</c:v>
                </c:pt>
              </c:numCache>
            </c:numRef>
          </c:val>
        </c:ser>
        <c:ser>
          <c:idx val="1"/>
          <c:order val="1"/>
          <c:tx>
            <c:strRef>
              <c:f>'Profit by R and C'!$C$3:$C$4</c:f>
              <c:strCache>
                <c:ptCount val="1"/>
                <c:pt idx="0">
                  <c:v>Distributor</c:v>
                </c:pt>
              </c:strCache>
            </c:strRef>
          </c:tx>
          <c:spPr>
            <a:solidFill>
              <a:schemeClr val="accent2"/>
            </a:solidFill>
            <a:ln>
              <a:noFill/>
            </a:ln>
            <a:effectLst/>
          </c:spPr>
          <c:invertIfNegative val="0"/>
          <c:cat>
            <c:strRef>
              <c:f>'Profit by R and C'!$A$5:$A$6</c:f>
              <c:strCache>
                <c:ptCount val="1"/>
                <c:pt idx="0">
                  <c:v>Europe</c:v>
                </c:pt>
              </c:strCache>
            </c:strRef>
          </c:cat>
          <c:val>
            <c:numRef>
              <c:f>'Profit by R and C'!$C$5:$C$6</c:f>
              <c:numCache>
                <c:formatCode>General</c:formatCode>
                <c:ptCount val="1"/>
                <c:pt idx="0">
                  <c:v>9388.5682799999995</c:v>
                </c:pt>
              </c:numCache>
            </c:numRef>
          </c:val>
        </c:ser>
        <c:ser>
          <c:idx val="2"/>
          <c:order val="2"/>
          <c:tx>
            <c:strRef>
              <c:f>'Profit by R and C'!$D$3:$D$4</c:f>
              <c:strCache>
                <c:ptCount val="1"/>
                <c:pt idx="0">
                  <c:v>Marketplace</c:v>
                </c:pt>
              </c:strCache>
            </c:strRef>
          </c:tx>
          <c:spPr>
            <a:solidFill>
              <a:schemeClr val="accent3"/>
            </a:solidFill>
            <a:ln>
              <a:noFill/>
            </a:ln>
            <a:effectLst/>
          </c:spPr>
          <c:invertIfNegative val="0"/>
          <c:cat>
            <c:strRef>
              <c:f>'Profit by R and C'!$A$5:$A$6</c:f>
              <c:strCache>
                <c:ptCount val="1"/>
                <c:pt idx="0">
                  <c:v>Europe</c:v>
                </c:pt>
              </c:strCache>
            </c:strRef>
          </c:cat>
          <c:val>
            <c:numRef>
              <c:f>'Profit by R and C'!$D$5:$D$6</c:f>
              <c:numCache>
                <c:formatCode>General</c:formatCode>
                <c:ptCount val="1"/>
                <c:pt idx="0">
                  <c:v>16954.685430000005</c:v>
                </c:pt>
              </c:numCache>
            </c:numRef>
          </c:val>
        </c:ser>
        <c:ser>
          <c:idx val="3"/>
          <c:order val="3"/>
          <c:tx>
            <c:strRef>
              <c:f>'Profit by R and C'!$E$3:$E$4</c:f>
              <c:strCache>
                <c:ptCount val="1"/>
                <c:pt idx="0">
                  <c:v>Online</c:v>
                </c:pt>
              </c:strCache>
            </c:strRef>
          </c:tx>
          <c:spPr>
            <a:solidFill>
              <a:schemeClr val="accent4"/>
            </a:solidFill>
            <a:ln>
              <a:noFill/>
            </a:ln>
            <a:effectLst/>
          </c:spPr>
          <c:invertIfNegative val="0"/>
          <c:cat>
            <c:strRef>
              <c:f>'Profit by R and C'!$A$5:$A$6</c:f>
              <c:strCache>
                <c:ptCount val="1"/>
                <c:pt idx="0">
                  <c:v>Europe</c:v>
                </c:pt>
              </c:strCache>
            </c:strRef>
          </c:cat>
          <c:val>
            <c:numRef>
              <c:f>'Profit by R and C'!$E$5:$E$6</c:f>
              <c:numCache>
                <c:formatCode>General</c:formatCode>
                <c:ptCount val="1"/>
                <c:pt idx="0">
                  <c:v>14144.854499999992</c:v>
                </c:pt>
              </c:numCache>
            </c:numRef>
          </c:val>
        </c:ser>
        <c:ser>
          <c:idx val="4"/>
          <c:order val="4"/>
          <c:tx>
            <c:strRef>
              <c:f>'Profit by R and C'!$F$3:$F$4</c:f>
              <c:strCache>
                <c:ptCount val="1"/>
                <c:pt idx="0">
                  <c:v>Retail</c:v>
                </c:pt>
              </c:strCache>
            </c:strRef>
          </c:tx>
          <c:spPr>
            <a:solidFill>
              <a:schemeClr val="accent5"/>
            </a:solidFill>
            <a:ln>
              <a:noFill/>
            </a:ln>
            <a:effectLst/>
          </c:spPr>
          <c:invertIfNegative val="0"/>
          <c:cat>
            <c:strRef>
              <c:f>'Profit by R and C'!$A$5:$A$6</c:f>
              <c:strCache>
                <c:ptCount val="1"/>
                <c:pt idx="0">
                  <c:v>Europe</c:v>
                </c:pt>
              </c:strCache>
            </c:strRef>
          </c:cat>
          <c:val>
            <c:numRef>
              <c:f>'Profit by R and C'!$F$5:$F$6</c:f>
              <c:numCache>
                <c:formatCode>General</c:formatCode>
                <c:ptCount val="1"/>
                <c:pt idx="0">
                  <c:v>-16776.201260000002</c:v>
                </c:pt>
              </c:numCache>
            </c:numRef>
          </c:val>
        </c:ser>
        <c:ser>
          <c:idx val="5"/>
          <c:order val="5"/>
          <c:tx>
            <c:strRef>
              <c:f>'Profit by R and C'!$G$3:$G$4</c:f>
              <c:strCache>
                <c:ptCount val="1"/>
                <c:pt idx="0">
                  <c:v>Unknown Channel</c:v>
                </c:pt>
              </c:strCache>
            </c:strRef>
          </c:tx>
          <c:spPr>
            <a:solidFill>
              <a:schemeClr val="accent6"/>
            </a:solidFill>
            <a:ln>
              <a:noFill/>
            </a:ln>
            <a:effectLst/>
          </c:spPr>
          <c:invertIfNegative val="0"/>
          <c:cat>
            <c:strRef>
              <c:f>'Profit by R and C'!$A$5:$A$6</c:f>
              <c:strCache>
                <c:ptCount val="1"/>
                <c:pt idx="0">
                  <c:v>Europe</c:v>
                </c:pt>
              </c:strCache>
            </c:strRef>
          </c:cat>
          <c:val>
            <c:numRef>
              <c:f>'Profit by R and C'!$G$5:$G$6</c:f>
              <c:numCache>
                <c:formatCode>General</c:formatCode>
                <c:ptCount val="1"/>
                <c:pt idx="0">
                  <c:v>6765.2</c:v>
                </c:pt>
              </c:numCache>
            </c:numRef>
          </c:val>
        </c:ser>
        <c:dLbls>
          <c:showLegendKey val="0"/>
          <c:showVal val="0"/>
          <c:showCatName val="0"/>
          <c:showSerName val="0"/>
          <c:showPercent val="0"/>
          <c:showBubbleSize val="0"/>
        </c:dLbls>
        <c:gapWidth val="150"/>
        <c:overlap val="100"/>
        <c:axId val="-329236224"/>
        <c:axId val="-329231872"/>
      </c:barChart>
      <c:catAx>
        <c:axId val="-32923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1872"/>
        <c:crosses val="autoZero"/>
        <c:auto val="1"/>
        <c:lblAlgn val="ctr"/>
        <c:lblOffset val="100"/>
        <c:noMultiLvlLbl val="0"/>
      </c:catAx>
      <c:valAx>
        <c:axId val="-32923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6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 and Brief.xlsx]Top 10 SKUs!PivotTable5</c:name>
    <c:fmtId val="3"/>
  </c:pivotSource>
  <c:chart>
    <c:title>
      <c:tx>
        <c:rich>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r>
              <a:rPr lang="en-US">
                <a:solidFill>
                  <a:schemeClr val="accent6">
                    <a:lumMod val="75000"/>
                  </a:schemeClr>
                </a:solidFill>
              </a:rPr>
              <a:t>Top</a:t>
            </a:r>
            <a:r>
              <a:rPr lang="en-US" baseline="0">
                <a:solidFill>
                  <a:schemeClr val="accent6">
                    <a:lumMod val="75000"/>
                  </a:schemeClr>
                </a:solidFill>
              </a:rPr>
              <a:t> 10 SKUs By Gross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10 SKUs'!$B$3</c:f>
              <c:strCache>
                <c:ptCount val="1"/>
                <c:pt idx="0">
                  <c:v>Total</c:v>
                </c:pt>
              </c:strCache>
            </c:strRef>
          </c:tx>
          <c:spPr>
            <a:solidFill>
              <a:schemeClr val="accent1"/>
            </a:solidFill>
            <a:ln>
              <a:noFill/>
            </a:ln>
            <a:effectLst/>
          </c:spPr>
          <c:invertIfNegative val="0"/>
          <c:cat>
            <c:strRef>
              <c:f>'Top 10 SKUs'!$A$4:$A$14</c:f>
              <c:strCache>
                <c:ptCount val="10"/>
                <c:pt idx="0">
                  <c:v>MON-9967</c:v>
                </c:pt>
                <c:pt idx="1">
                  <c:v>PRN-9624</c:v>
                </c:pt>
                <c:pt idx="2">
                  <c:v>NET-4491</c:v>
                </c:pt>
                <c:pt idx="3">
                  <c:v>MON-4959</c:v>
                </c:pt>
                <c:pt idx="4">
                  <c:v>ACC-3103</c:v>
                </c:pt>
                <c:pt idx="5">
                  <c:v>LAP-9932</c:v>
                </c:pt>
                <c:pt idx="6">
                  <c:v>LAP-4551</c:v>
                </c:pt>
                <c:pt idx="7">
                  <c:v>PRN-1725</c:v>
                </c:pt>
                <c:pt idx="8">
                  <c:v>PRN-5067</c:v>
                </c:pt>
                <c:pt idx="9">
                  <c:v>PHN-5383</c:v>
                </c:pt>
              </c:strCache>
            </c:strRef>
          </c:cat>
          <c:val>
            <c:numRef>
              <c:f>'Top 10 SKUs'!$B$4:$B$14</c:f>
              <c:numCache>
                <c:formatCode>General</c:formatCode>
                <c:ptCount val="10"/>
                <c:pt idx="0">
                  <c:v>41106.800970000004</c:v>
                </c:pt>
                <c:pt idx="1">
                  <c:v>31822.023930000003</c:v>
                </c:pt>
                <c:pt idx="2">
                  <c:v>29673.454499999993</c:v>
                </c:pt>
                <c:pt idx="3">
                  <c:v>25553.782800000001</c:v>
                </c:pt>
                <c:pt idx="4">
                  <c:v>23195.01828</c:v>
                </c:pt>
                <c:pt idx="5">
                  <c:v>13218.5</c:v>
                </c:pt>
                <c:pt idx="6">
                  <c:v>9847.2358600000007</c:v>
                </c:pt>
                <c:pt idx="7">
                  <c:v>6899.8804600000003</c:v>
                </c:pt>
                <c:pt idx="8">
                  <c:v>5457.4317000000001</c:v>
                </c:pt>
                <c:pt idx="9">
                  <c:v>4804.4682400000002</c:v>
                </c:pt>
              </c:numCache>
            </c:numRef>
          </c:val>
        </c:ser>
        <c:dLbls>
          <c:showLegendKey val="0"/>
          <c:showVal val="0"/>
          <c:showCatName val="0"/>
          <c:showSerName val="0"/>
          <c:showPercent val="0"/>
          <c:showBubbleSize val="0"/>
        </c:dLbls>
        <c:gapWidth val="182"/>
        <c:axId val="-329237312"/>
        <c:axId val="-329235680"/>
      </c:barChart>
      <c:catAx>
        <c:axId val="-32923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5680"/>
        <c:crosses val="autoZero"/>
        <c:auto val="1"/>
        <c:lblAlgn val="ctr"/>
        <c:lblOffset val="100"/>
        <c:noMultiLvlLbl val="0"/>
      </c:catAx>
      <c:valAx>
        <c:axId val="-32923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37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166687</xdr:rowOff>
    </xdr:from>
    <xdr:to>
      <xdr:col>7</xdr:col>
      <xdr:colOff>542925</xdr:colOff>
      <xdr:row>16</xdr:row>
      <xdr:rowOff>157162</xdr:rowOff>
    </xdr:to>
    <mc:AlternateContent xmlns:mc="http://schemas.openxmlformats.org/markup-compatibility/2006" xmlns:a14="http://schemas.microsoft.com/office/drawing/2010/main">
      <mc:Choice Requires="a14">
        <xdr:graphicFrame macro="">
          <xdr:nvGraphicFramePr>
            <xdr:cNvPr id="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053013" y="5286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576263</xdr:colOff>
      <xdr:row>0</xdr:row>
      <xdr:rowOff>166687</xdr:rowOff>
    </xdr:from>
    <xdr:to>
      <xdr:col>13</xdr:col>
      <xdr:colOff>78581</xdr:colOff>
      <xdr:row>16</xdr:row>
      <xdr:rowOff>14287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559594</xdr:colOff>
      <xdr:row>1</xdr:row>
      <xdr:rowOff>64293</xdr:rowOff>
    </xdr:from>
    <xdr:to>
      <xdr:col>11</xdr:col>
      <xdr:colOff>4762</xdr:colOff>
      <xdr:row>16</xdr:row>
      <xdr:rowOff>61913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7144</xdr:colOff>
      <xdr:row>1</xdr:row>
      <xdr:rowOff>116681</xdr:rowOff>
    </xdr:from>
    <xdr:to>
      <xdr:col>9</xdr:col>
      <xdr:colOff>45244</xdr:colOff>
      <xdr:row>16</xdr:row>
      <xdr:rowOff>145256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52388</xdr:colOff>
      <xdr:row>1</xdr:row>
      <xdr:rowOff>114299</xdr:rowOff>
    </xdr:from>
    <xdr:to>
      <xdr:col>11</xdr:col>
      <xdr:colOff>585788</xdr:colOff>
      <xdr:row>16</xdr:row>
      <xdr:rowOff>138111</xdr:rowOff>
    </xdr:to>
    <mc:AlternateContent xmlns:mc="http://schemas.openxmlformats.org/markup-compatibility/2006" xmlns:a14="http://schemas.microsoft.com/office/drawing/2010/main">
      <mc:Choice Requires="a14">
        <xdr:graphicFrame macro="">
          <xdr:nvGraphicFramePr>
            <xdr:cNvPr id="3" name="Order Month"/>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6786563" y="295274"/>
              <a:ext cx="1828800" cy="2738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139434</xdr:colOff>
      <xdr:row>9</xdr:row>
      <xdr:rowOff>43656</xdr:rowOff>
    </xdr:from>
    <xdr:to>
      <xdr:col>8</xdr:col>
      <xdr:colOff>229922</xdr:colOff>
      <xdr:row>24</xdr:row>
      <xdr:rowOff>72231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182033</xdr:colOff>
      <xdr:row>6</xdr:row>
      <xdr:rowOff>49212</xdr:rowOff>
    </xdr:from>
    <xdr:to>
      <xdr:col>11</xdr:col>
      <xdr:colOff>74083</xdr:colOff>
      <xdr:row>20</xdr:row>
      <xdr:rowOff>54504</xdr:rowOff>
    </xdr:to>
    <mc:AlternateContent xmlns:mc="http://schemas.openxmlformats.org/markup-compatibility/2006" xmlns:a14="http://schemas.microsoft.com/office/drawing/2010/main">
      <mc:Choice Requires="a14">
        <xdr:graphicFrame macro="">
          <xdr:nvGraphicFramePr>
            <xdr:cNvPr id="4"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743825" y="11287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134408</xdr:colOff>
      <xdr:row>6</xdr:row>
      <xdr:rowOff>70378</xdr:rowOff>
    </xdr:from>
    <xdr:to>
      <xdr:col>14</xdr:col>
      <xdr:colOff>26458</xdr:colOff>
      <xdr:row>20</xdr:row>
      <xdr:rowOff>75670</xdr:rowOff>
    </xdr:to>
    <mc:AlternateContent xmlns:mc="http://schemas.openxmlformats.org/markup-compatibility/2006" xmlns:a14="http://schemas.microsoft.com/office/drawing/2010/main">
      <mc:Choice Requires="a14">
        <xdr:graphicFrame macro="">
          <xdr:nvGraphicFramePr>
            <xdr:cNvPr id="5" name="ProductCategory"/>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9632950" y="114987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182033</xdr:colOff>
      <xdr:row>6</xdr:row>
      <xdr:rowOff>49212</xdr:rowOff>
    </xdr:from>
    <xdr:to>
      <xdr:col>11</xdr:col>
      <xdr:colOff>74083</xdr:colOff>
      <xdr:row>20</xdr:row>
      <xdr:rowOff>54504</xdr:rowOff>
    </xdr:to>
    <mc:AlternateContent xmlns:mc="http://schemas.openxmlformats.org/markup-compatibility/2006" xmlns:a14="http://schemas.microsoft.com/office/drawing/2010/main">
      <mc:Choice Requires="a14">
        <xdr:graphicFrame macro="">
          <xdr:nvGraphicFramePr>
            <xdr:cNvPr id="6"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743825" y="11287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321468</xdr:colOff>
      <xdr:row>1</xdr:row>
      <xdr:rowOff>16669</xdr:rowOff>
    </xdr:from>
    <xdr:to>
      <xdr:col>9</xdr:col>
      <xdr:colOff>364330</xdr:colOff>
      <xdr:row>16</xdr:row>
      <xdr:rowOff>45244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354806</xdr:colOff>
      <xdr:row>1</xdr:row>
      <xdr:rowOff>145256</xdr:rowOff>
    </xdr:from>
    <xdr:to>
      <xdr:col>9</xdr:col>
      <xdr:colOff>392906</xdr:colOff>
      <xdr:row>16</xdr:row>
      <xdr:rowOff>173831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238124</xdr:colOff>
      <xdr:row>1</xdr:row>
      <xdr:rowOff>100012</xdr:rowOff>
    </xdr:from>
    <xdr:to>
      <xdr:col>12</xdr:col>
      <xdr:colOff>123824</xdr:colOff>
      <xdr:row>15</xdr:row>
      <xdr:rowOff>90487</xdr:rowOff>
    </xdr:to>
    <mc:AlternateContent xmlns:mc="http://schemas.openxmlformats.org/markup-compatibility/2006" xmlns:a14="http://schemas.microsoft.com/office/drawing/2010/main">
      <mc:Choice Requires="a14">
        <xdr:graphicFrame macro="">
          <xdr:nvGraphicFramePr>
            <xdr:cNvPr id="2" name="Channel"/>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497012" y="283186"/>
              <a:ext cx="1832568" cy="2554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638175</xdr:colOff>
      <xdr:row>2</xdr:row>
      <xdr:rowOff>9525</xdr:rowOff>
    </xdr:from>
    <xdr:to>
      <xdr:col>17</xdr:col>
      <xdr:colOff>523875</xdr:colOff>
      <xdr:row>16</xdr:row>
      <xdr:rowOff>0</xdr:rowOff>
    </xdr:to>
    <mc:AlternateContent xmlns:mc="http://schemas.openxmlformats.org/markup-compatibility/2006" xmlns:a14="http://schemas.microsoft.com/office/drawing/2010/main">
      <mc:Choice Requires="a14">
        <xdr:graphicFrame macro="">
          <xdr:nvGraphicFramePr>
            <xdr:cNvPr id="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141843" y="375871"/>
              <a:ext cx="1832568" cy="2554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138112</xdr:colOff>
      <xdr:row>1</xdr:row>
      <xdr:rowOff>104775</xdr:rowOff>
    </xdr:from>
    <xdr:to>
      <xdr:col>15</xdr:col>
      <xdr:colOff>23812</xdr:colOff>
      <xdr:row>15</xdr:row>
      <xdr:rowOff>95250</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43868" y="287949"/>
              <a:ext cx="1832568" cy="2554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8</xdr:col>
      <xdr:colOff>573694</xdr:colOff>
      <xdr:row>14</xdr:row>
      <xdr:rowOff>97944</xdr:rowOff>
    </xdr:from>
    <xdr:to>
      <xdr:col>13</xdr:col>
      <xdr:colOff>471117</xdr:colOff>
      <xdr:row>32</xdr:row>
      <xdr:rowOff>64388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675870</xdr:colOff>
      <xdr:row>14</xdr:row>
      <xdr:rowOff>107512</xdr:rowOff>
    </xdr:from>
    <xdr:to>
      <xdr:col>17</xdr:col>
      <xdr:colOff>82111</xdr:colOff>
      <xdr:row>32</xdr:row>
      <xdr:rowOff>73956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593630</xdr:colOff>
      <xdr:row>32</xdr:row>
      <xdr:rowOff>136968</xdr:rowOff>
    </xdr:from>
    <xdr:to>
      <xdr:col>13</xdr:col>
      <xdr:colOff>483726</xdr:colOff>
      <xdr:row>52</xdr:row>
      <xdr:rowOff>77229</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437369</xdr:colOff>
      <xdr:row>1</xdr:row>
      <xdr:rowOff>19438</xdr:rowOff>
    </xdr:from>
    <xdr:to>
      <xdr:col>17</xdr:col>
      <xdr:colOff>344869</xdr:colOff>
      <xdr:row>7</xdr:row>
      <xdr:rowOff>87473</xdr:rowOff>
    </xdr:to>
    <xdr:sp macro="" textlink="">
      <xdr:nvSpPr>
        <xdr:cNvPr id="14" name="Rounded Rectangle 13"/>
        <xdr:cNvSpPr/>
      </xdr:nvSpPr>
      <xdr:spPr>
        <a:xfrm>
          <a:off x="6201638" y="200086"/>
          <a:ext cx="21388017" cy="115191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800" b="1">
              <a:solidFill>
                <a:srgbClr val="FFC000"/>
              </a:solidFill>
            </a:rPr>
            <a:t>DASHBOARD</a:t>
          </a:r>
        </a:p>
      </xdr:txBody>
    </xdr:sp>
    <xdr:clientData/>
  </xdr:twoCellAnchor>
  <xdr:twoCellAnchor>
    <xdr:from>
      <xdr:col>13</xdr:col>
      <xdr:colOff>689740</xdr:colOff>
      <xdr:row>34</xdr:row>
      <xdr:rowOff>28576</xdr:rowOff>
    </xdr:from>
    <xdr:to>
      <xdr:col>17</xdr:col>
      <xdr:colOff>262757</xdr:colOff>
      <xdr:row>40</xdr:row>
      <xdr:rowOff>96941</xdr:rowOff>
    </xdr:to>
    <xdr:sp macro="" textlink="">
      <xdr:nvSpPr>
        <xdr:cNvPr id="21" name="Rounded Rectangle 20"/>
        <xdr:cNvSpPr/>
      </xdr:nvSpPr>
      <xdr:spPr>
        <a:xfrm>
          <a:off x="14730906" y="6712500"/>
          <a:ext cx="12776637" cy="115224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800" b="1">
              <a:solidFill>
                <a:srgbClr val="FFC000"/>
              </a:solidFill>
            </a:rPr>
            <a:t>SCENARIO</a:t>
          </a:r>
          <a:r>
            <a:rPr lang="en-US" sz="8800" b="1" baseline="0">
              <a:solidFill>
                <a:srgbClr val="FFC000"/>
              </a:solidFill>
            </a:rPr>
            <a:t> KPIs</a:t>
          </a:r>
          <a:endParaRPr lang="en-US" sz="8800" b="1">
            <a:solidFill>
              <a:srgbClr val="FFC000"/>
            </a:solidFill>
          </a:endParaRPr>
        </a:p>
      </xdr:txBody>
    </xdr:sp>
    <xdr:clientData/>
  </xdr:twoCellAnchor>
  <xdr:twoCellAnchor editAs="oneCell">
    <xdr:from>
      <xdr:col>2</xdr:col>
      <xdr:colOff>613434</xdr:colOff>
      <xdr:row>16</xdr:row>
      <xdr:rowOff>25065</xdr:rowOff>
    </xdr:from>
    <xdr:to>
      <xdr:col>5</xdr:col>
      <xdr:colOff>487102</xdr:colOff>
      <xdr:row>31</xdr:row>
      <xdr:rowOff>77230</xdr:rowOff>
    </xdr:to>
    <mc:AlternateContent xmlns:mc="http://schemas.openxmlformats.org/markup-compatibility/2006" xmlns:a14="http://schemas.microsoft.com/office/drawing/2010/main">
      <mc:Choice Requires="a14">
        <xdr:graphicFrame macro="">
          <xdr:nvGraphicFramePr>
            <xdr:cNvPr id="7" name="Channel 1"/>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894382" y="3457351"/>
              <a:ext cx="1795092" cy="2761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2</xdr:col>
      <xdr:colOff>525379</xdr:colOff>
      <xdr:row>31</xdr:row>
      <xdr:rowOff>68932</xdr:rowOff>
    </xdr:to>
    <mc:AlternateContent xmlns:mc="http://schemas.openxmlformats.org/markup-compatibility/2006" xmlns:a14="http://schemas.microsoft.com/office/drawing/2010/main">
      <mc:Choice Requires="a14">
        <xdr:graphicFrame macro="">
          <xdr:nvGraphicFramePr>
            <xdr:cNvPr id="9" name="Order Month 1"/>
            <xdr:cNvGraphicFramePr/>
          </xdr:nvGraphicFramePr>
          <xdr:xfrm>
            <a:off x="0" y="0"/>
            <a:ext cx="0" cy="0"/>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0" y="3432286"/>
              <a:ext cx="1806327" cy="2778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589046</xdr:colOff>
      <xdr:row>16</xdr:row>
      <xdr:rowOff>37599</xdr:rowOff>
    </xdr:from>
    <xdr:to>
      <xdr:col>8</xdr:col>
      <xdr:colOff>462715</xdr:colOff>
      <xdr:row>31</xdr:row>
      <xdr:rowOff>77230</xdr:rowOff>
    </xdr:to>
    <mc:AlternateContent xmlns:mc="http://schemas.openxmlformats.org/markup-compatibility/2006" xmlns:a14="http://schemas.microsoft.com/office/drawing/2010/main">
      <mc:Choice Requires="a14">
        <xdr:graphicFrame macro="">
          <xdr:nvGraphicFramePr>
            <xdr:cNvPr id="13"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791418" y="3469885"/>
              <a:ext cx="1795090" cy="2749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0</xdr:rowOff>
    </xdr:from>
    <xdr:to>
      <xdr:col>2</xdr:col>
      <xdr:colOff>541638</xdr:colOff>
      <xdr:row>44</xdr:row>
      <xdr:rowOff>1287</xdr:rowOff>
    </xdr:to>
    <mc:AlternateContent xmlns:mc="http://schemas.openxmlformats.org/markup-compatibility/2006" xmlns:a14="http://schemas.microsoft.com/office/drawing/2010/main">
      <mc:Choice Requires="a14">
        <xdr:graphicFrame macro="">
          <xdr:nvGraphicFramePr>
            <xdr:cNvPr id="16"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6322631"/>
              <a:ext cx="1822586" cy="2530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630709</xdr:colOff>
      <xdr:row>31</xdr:row>
      <xdr:rowOff>167331</xdr:rowOff>
    </xdr:from>
    <xdr:to>
      <xdr:col>5</xdr:col>
      <xdr:colOff>528766</xdr:colOff>
      <xdr:row>43</xdr:row>
      <xdr:rowOff>168619</xdr:rowOff>
    </xdr:to>
    <mc:AlternateContent xmlns:mc="http://schemas.openxmlformats.org/markup-compatibility/2006" xmlns:a14="http://schemas.microsoft.com/office/drawing/2010/main">
      <mc:Choice Requires="a14">
        <xdr:graphicFrame macro="">
          <xdr:nvGraphicFramePr>
            <xdr:cNvPr id="17" name="ProductCategory 1"/>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911657" y="6309314"/>
              <a:ext cx="1819481" cy="2530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579224</xdr:colOff>
      <xdr:row>31</xdr:row>
      <xdr:rowOff>141588</xdr:rowOff>
    </xdr:from>
    <xdr:to>
      <xdr:col>8</xdr:col>
      <xdr:colOff>477280</xdr:colOff>
      <xdr:row>43</xdr:row>
      <xdr:rowOff>142876</xdr:rowOff>
    </xdr:to>
    <mc:AlternateContent xmlns:mc="http://schemas.openxmlformats.org/markup-compatibility/2006" xmlns:a14="http://schemas.microsoft.com/office/drawing/2010/main">
      <mc:Choice Requires="a14">
        <xdr:graphicFrame macro="">
          <xdr:nvGraphicFramePr>
            <xdr:cNvPr id="18" name="Salesperson 2"/>
            <xdr:cNvGraphicFramePr/>
          </xdr:nvGraphicFramePr>
          <xdr:xfrm>
            <a:off x="0" y="0"/>
            <a:ext cx="0" cy="0"/>
          </xdr:xfrm>
          <a:graphic>
            <a:graphicData uri="http://schemas.microsoft.com/office/drawing/2010/slicer">
              <sle:slicer xmlns:sle="http://schemas.microsoft.com/office/drawing/2010/slicer" name="Salesperson 2"/>
            </a:graphicData>
          </a:graphic>
        </xdr:graphicFrame>
      </mc:Choice>
      <mc:Fallback xmlns="">
        <xdr:sp macro="" textlink="">
          <xdr:nvSpPr>
            <xdr:cNvPr id="0" name=""/>
            <xdr:cNvSpPr>
              <a:spLocks noTextEdit="1"/>
            </xdr:cNvSpPr>
          </xdr:nvSpPr>
          <xdr:spPr>
            <a:xfrm>
              <a:off x="3781596" y="6283571"/>
              <a:ext cx="1819477" cy="2530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Doris" refreshedDate="46054.779894097221" createdVersion="5" refreshedVersion="5" minRefreshableVersion="3" recordCount="632">
  <cacheSource type="worksheet">
    <worksheetSource ref="A1:AD633" sheet="Staging Data"/>
  </cacheSource>
  <cacheFields count="30">
    <cacheField name="OrderID" numFmtId="49">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rder Date" numFmtId="14">
      <sharedItems containsSemiMixedTypes="0" containsNonDate="0" containsDate="1" containsString="0" minDate="2023-01-02T00:00:00" maxDate="2025-09-16T00:00:00"/>
    </cacheField>
    <cacheField name="New Required 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MM-YYY" numFmtId="165">
      <sharedItems/>
    </cacheField>
    <cacheField name="Region" numFmtId="49">
      <sharedItems count="4">
        <s v="Africa"/>
        <s v="Asia"/>
        <s v="Americas"/>
        <s v="Europe"/>
      </sharedItems>
    </cacheField>
    <cacheField name="Country" numFmtId="49">
      <sharedItems/>
    </cacheField>
    <cacheField name="City" numFmtId="49">
      <sharedItems/>
    </cacheField>
    <cacheField name="CustomerSegment" numFmtId="49">
      <sharedItems/>
    </cacheField>
    <cacheField name="Channel" numFmtId="49">
      <sharedItems count="6">
        <s v="Retail"/>
        <s v="Online"/>
        <s v="Marketplace"/>
        <s v="Distributor"/>
        <s v="Direct"/>
        <s v="Unknown Channel"/>
      </sharedItems>
    </cacheField>
    <cacheField name="Salesperson" numFmtId="49">
      <sharedItems count="16">
        <s v="C. Otieno"/>
        <s v="J. Njeri"/>
        <s v="I. Johnson"/>
        <s v="G. Dubois"/>
        <s v="L. Okafor"/>
        <s v="B. Chen"/>
        <s v="E. Garcia"/>
        <s v="O. Wang"/>
        <s v="D. Smith"/>
        <s v="F. Müller"/>
        <s v="N. Brown"/>
        <s v="H. Kim"/>
        <s v="K. Singh"/>
        <s v="M. Rossi"/>
        <s v="A. Patel"/>
        <s v="Unknown Salesperson"/>
      </sharedItems>
    </cacheField>
    <cacheField name="Product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MON-7207"/>
        <s v="ACC-6626"/>
        <s v="PHN-7019"/>
        <s v="CMP-2693"/>
        <s v="PRN-8392"/>
        <s v="MON-2828"/>
        <s v="LAP-1698"/>
        <s v="PRN-6791"/>
        <s v="PHN-1197"/>
        <s v="PHN-7132"/>
        <s v="LAP-3385"/>
        <s v="LAP-9815"/>
        <s v="NET-3255"/>
        <s v="ACC-2988"/>
        <s v="LAP-4987"/>
        <s v="PRN-1271"/>
        <s v="CMP-1223"/>
        <s v="PRN-4170"/>
        <s v="PHN-6854"/>
        <s v="PHN-1784"/>
        <s v="NET-9716"/>
        <s v="CMP-6919"/>
        <s v="PHN-4854"/>
        <s v="NET-7966"/>
        <s v="LAP-9932"/>
        <s v="CMP-1559"/>
        <s v="PRN-4506"/>
        <s v="CMP-7617"/>
        <s v="CMP-8390"/>
        <s v="PRN-7303"/>
        <s v="PRN-6536"/>
        <s v="MON-9967"/>
        <s v="NET-1412"/>
        <s v="PRN-3143"/>
        <s v="PRN-9787"/>
        <s v="CMP-5946"/>
        <s v="NET-2062"/>
        <s v="PRN-2542"/>
        <s v="NET-2365"/>
        <s v="NET-5268"/>
        <s v="PRN-1504"/>
        <s v="ACC-9283"/>
        <s v="MON-4330"/>
        <s v="LAP-7819"/>
        <s v="LAP-3779"/>
        <s v="NET-9989"/>
        <s v="NET-1228"/>
        <s v="PRN-6490"/>
        <s v="ACC-9533"/>
        <s v="ACC-8098"/>
        <s v="ACC-4490"/>
        <s v="CMP-8002"/>
        <s v="CMP-6971"/>
        <s v="PHN-8350"/>
        <s v="MON-5188"/>
        <s v="LAP-3393"/>
        <s v="NET-2394"/>
        <s v="ACC-7838"/>
        <s v="MON-6870"/>
        <s v="MON-2296"/>
        <s v="CMP-7371"/>
        <s v="ACC-1238"/>
        <s v="NET-1699"/>
        <s v="LAP-8489"/>
        <s v="NET-1846"/>
        <s v="CMP-5208"/>
        <s v="CMP-1009"/>
        <s v="MON-7869"/>
        <s v="ACC-5177"/>
        <s v="CMP-5820"/>
        <s v="MON-7943"/>
        <s v="NET-5018"/>
        <s v="PRN-9669"/>
        <s v="CMP-2865"/>
        <s v="MON-3371"/>
        <s v="NET-7166"/>
        <s v="CMP-4531"/>
        <s v="CMP-8196"/>
        <s v="CMP-2854"/>
        <s v="MON-8973"/>
        <s v="MON-2990"/>
        <s v="NET-1966"/>
        <s v="PHN-3482"/>
        <s v="NET-9125"/>
        <s v="ACC-9162"/>
        <s v="PHN-6954"/>
        <s v="PRN-8970"/>
        <s v="MON-1822"/>
        <s v="ACC-7078"/>
        <s v="NET-1804"/>
        <s v="LAP-3679"/>
        <s v="PHN-8368"/>
        <s v="CMP-8141"/>
        <s v="LAP-7136"/>
        <s v="ACC-1375"/>
        <s v="LAP-5150"/>
        <s v="CMP-8101"/>
        <s v="PHN-8970"/>
        <s v="PHN-2341"/>
        <s v="NET-6387"/>
        <s v="ACC-1659"/>
        <s v="CMP-6392"/>
        <s v="LAP-9230"/>
        <s v="NET-4241"/>
        <s v="ACC-6223"/>
        <s v="NET-3033"/>
        <s v="NET-2894"/>
        <s v="PRN-6429"/>
        <s v="LAP-8214"/>
        <s v="MON-9194"/>
        <s v="LAP-2218"/>
        <s v="NET-6370"/>
        <s v="MON-3745"/>
        <s v="PHN-7924"/>
        <s v="LAP-4932"/>
        <s v="CMP-2136"/>
        <s v="CMP-6352"/>
        <s v="CMP-2040"/>
        <s v="CMP-6346"/>
        <s v="PHN-4356"/>
        <s v="NET-4155"/>
        <s v="ACC-4631"/>
        <s v="ACC-5334"/>
        <s v="LAP-9782"/>
        <s v="PHN-2875"/>
        <s v="PRN-4788"/>
        <s v="MON-3043"/>
        <s v="CMP-3720"/>
        <s v="PHN-8014"/>
        <s v="PRN-4911"/>
        <s v="ACC-6594"/>
        <s v="MON-2266"/>
        <s v="PHN-8057"/>
        <s v="ACC-9644"/>
        <s v="PRN-4453"/>
        <s v="ACC-8557"/>
        <s v="LAP-1525"/>
        <s v="LAP-3278"/>
        <s v="ACC-3103"/>
        <s v="PRN-4432"/>
        <s v="PHN-4568"/>
        <s v="PRN-6178"/>
        <s v="LAP-6342"/>
        <s v="PRN-8175"/>
        <s v="PRN-7089"/>
        <s v="ACC-1731"/>
        <s v="NET-7924"/>
        <s v="NET-8761"/>
        <s v="CMP-3875"/>
        <s v="ACC-3721"/>
        <s v="PHN-9234"/>
        <s v="MON-9906"/>
        <s v="CMP-4610"/>
        <s v="ACC-9445"/>
        <s v="MON-9227"/>
        <s v="PRN-4097"/>
        <s v="MON-6699"/>
        <s v="LAP-1482"/>
        <s v="MON-2100"/>
        <s v="MON-7602"/>
        <s v="CMP-1072"/>
        <s v="ACC-5150"/>
        <s v="CMP-5211"/>
        <s v="CMP-1632"/>
        <s v="LAP-7099"/>
        <s v="PRN-3785"/>
        <s v="MON-6962"/>
        <s v="PRN-5107"/>
        <s v="CMP-9264"/>
        <s v="MON-5259"/>
        <s v="PRN-8137"/>
        <s v="NET-4104"/>
        <s v="PHN-7488"/>
        <s v="ACC-9038"/>
        <s v="MON-5517"/>
        <s v="MON-8758"/>
        <s v="ACC-3645"/>
        <s v="MON-1593"/>
        <s v="ACC-4483"/>
        <s v="PHN-4644"/>
        <s v="PHN-6506"/>
        <s v="LAP-5531"/>
        <s v="MON-7511"/>
        <s v="LAP-7979"/>
        <s v="PRN-4983"/>
        <s v="NET-5941"/>
        <s v="PHN-7274"/>
        <s v="PHN-9789"/>
        <s v="PHN-5082"/>
        <s v="NET-3460"/>
        <s v="PRN-7019"/>
        <s v="PHN-3159"/>
        <s v="PRN-8604"/>
        <s v="PHN-2013"/>
        <s v="NET-6036"/>
        <s v="MON-4959"/>
        <s v="MON-1663"/>
        <s v="CMP-7256"/>
        <s v="ACC-1882"/>
        <s v="PRN-6068"/>
        <s v="ACC-8999"/>
        <s v="CMP-3978"/>
        <s v="MON-7868"/>
        <s v="PRN-3014"/>
        <s v="PHN-1671"/>
        <s v="PHN-3014"/>
        <s v="NET-7588"/>
        <s v="MON-1572"/>
        <s v="MON-2537"/>
        <s v="PRN-5666"/>
        <s v="LAP-7056"/>
        <s v="CMP-4970"/>
        <s v="ACC-9150"/>
        <s v="CMP-7063"/>
        <s v="NET-1612"/>
        <s v="LAP-9766"/>
        <s v="CMP-9801"/>
        <s v="NET-1645"/>
        <s v="ACC-7938"/>
        <s v="PRN-2098"/>
        <s v="PRN-7049"/>
        <s v="CMP-6925"/>
        <s v="PRN-5384"/>
        <s v="PRN-1141"/>
        <s v="MON-5249"/>
        <s v="CMP-8230"/>
        <s v="PRN-7816"/>
        <s v="PHN-8804"/>
        <s v="CMP-8851"/>
        <s v="PHN-2447"/>
        <s v="LAP-2846"/>
        <s v="PRN-5005"/>
        <s v="PHN-3800"/>
        <s v="LAP-4828"/>
        <s v="PRN-5492"/>
        <s v="PHN-7852"/>
        <s v="PHN-4741"/>
        <s v="LAP-2774"/>
        <s v="MON-2842"/>
        <s v="NET-2628"/>
        <s v="MON-2998"/>
        <s v="CMP-7563"/>
        <s v="LAP-6160"/>
        <s v="MON-4361"/>
        <s v="PRN-2829"/>
        <s v="MON-8939"/>
        <s v="LAP-5009"/>
        <s v="CMP-4807"/>
        <s v="NET-2439"/>
        <s v="MON-7626"/>
        <s v="PHN-5445"/>
        <s v="CMP-4630"/>
        <s v="ACC-5144"/>
        <s v="NET-3850"/>
        <s v="PHN-3819"/>
        <s v="LAP-3490"/>
        <s v="PRN-1276"/>
        <s v="MON-9733"/>
        <s v="CMP-9392"/>
        <s v="MON-4271"/>
        <s v="PRN-6776"/>
        <s v="NET-1166"/>
        <s v="MON-1436"/>
        <s v="MON-8651"/>
        <s v="MON-3307"/>
        <s v="PRN-8758"/>
        <s v="ACC-3415"/>
        <s v="NET-5523"/>
        <s v="ACC-6348"/>
        <s v="PHN-6832"/>
        <s v="LAP-2378"/>
        <s v="MON-5424"/>
        <s v="NET-8430"/>
        <s v="PHN-1234"/>
        <s v="LAP-9016"/>
        <s v="LAP-9931"/>
        <s v="PHN-6818"/>
        <s v="PHN-3803"/>
        <s v="NET-9835"/>
        <s v="ACC-8620"/>
        <s v="CMP-8659"/>
        <s v="ACC-2735"/>
        <s v="ACC-1249"/>
        <s v="ACC-7713"/>
        <s v="ACC-6543"/>
        <s v="CMP-3743"/>
        <s v="LAP-1619"/>
        <s v="PRN-7976"/>
        <s v="MON-4326"/>
        <s v="MON-5444"/>
        <s v="ACC-7354"/>
        <s v="CMP-9307"/>
        <s v="PRN-6520"/>
        <s v="MON-6287"/>
        <s v="PHN-5316"/>
        <s v="LAP-4607"/>
        <s v="MON-5276"/>
        <s v="ACC-5422"/>
        <s v="NET-3749"/>
        <s v="PRN-2991"/>
        <s v="LAP-4551"/>
        <s v="MON-6310"/>
        <s v="MON-2849"/>
        <s v="ACC-1604"/>
        <s v="PRN-2293"/>
        <s v="MON-1389"/>
        <s v="CMP-4093"/>
        <s v="PHN-6131"/>
        <s v="ACC-7240"/>
        <s v="MON-9319"/>
        <s v="ACC-2903"/>
        <s v="PHN-9399"/>
        <s v="NET-4554"/>
        <s v="NET-5195"/>
        <s v="CMP-3093"/>
        <s v="PRN-2749"/>
        <s v="ACC-4124"/>
        <s v="CMP-5138"/>
        <s v="PHN-2337"/>
        <s v="MON-6341"/>
        <s v="LAP-9024"/>
        <s v="PHN-6307"/>
        <s v="NET-9003"/>
        <s v="ACC-3961"/>
        <s v="ACC-1075"/>
        <s v="PHN-3854"/>
        <s v="PRN-1086"/>
        <s v="PHN-7815"/>
        <s v="NET-8561"/>
        <s v="ACC-1028"/>
        <s v="MON-1018"/>
        <s v="ACC-2761"/>
        <s v="NET-1816"/>
        <s v="PRN-4893"/>
        <s v="PHN-1717"/>
        <s v="NET-9575"/>
        <s v="LAP-3604"/>
        <s v="ACC-3385"/>
        <s v="PHN-1670"/>
        <s v="CMP-4792"/>
        <s v="LAP-1990"/>
        <s v="PRN-7410"/>
        <s v="MON-4278"/>
        <s v="ACC-3989"/>
        <s v="NET-8957"/>
        <s v="PRN-9960"/>
        <s v="ACC-2364"/>
        <s v="LAP-7353"/>
        <s v="CMP-8658"/>
        <s v="ACC-4815"/>
        <s v="PRN-6660"/>
        <s v="ACC-2867"/>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8683"/>
        <s v="MON-9662"/>
        <s v="LAP-8347"/>
        <s v="CMP-6898"/>
        <s v="MON-3504"/>
        <s v="NET-3432"/>
        <s v="PRN-5591"/>
        <s v="CMP-2015"/>
        <s v="LAP-9901"/>
        <s v="LAP-6989"/>
        <s v="MON-2073"/>
        <s v="PRN-9378"/>
        <s v="PHN-5887"/>
        <s v="LAP-8119"/>
        <s v="ACC-7906"/>
        <s v="LAP-7009"/>
        <s v="PRN-1725"/>
        <s v="PHN-8483"/>
        <s v="PHN-3971"/>
        <s v="NET-6578"/>
        <s v="PRN-9975"/>
        <s v="ACC-2902"/>
        <s v="ACC-5260"/>
        <s v="PRN-5815"/>
        <s v="MON-4195"/>
        <s v="PHN-8478"/>
        <s v="PHN-1044"/>
        <s v="LAP-8910"/>
        <s v="PHN-2859"/>
        <s v="PRN-6308"/>
        <s v="LAP-8469"/>
        <s v="LAP-7553"/>
        <s v="PHN-3077"/>
        <s v="MON-3350"/>
        <s v="PHN-5683"/>
        <s v="PRN-2409"/>
        <s v="LAP-8825"/>
        <s v="MON-8697"/>
        <s v="MON-4789"/>
        <s v="NET-7998"/>
        <s v="PHN-8891"/>
        <s v="NET-9832"/>
        <s v="CMP-8604"/>
        <s v="ACC-9591"/>
        <s v="NET-2499"/>
        <s v="PRN-1923"/>
        <s v="PHN-4346"/>
        <s v="ACC-1663"/>
        <s v="PRN-4892"/>
        <s v="PRN-9557"/>
        <s v="PRN-8008"/>
        <s v="LAP-1946"/>
        <s v="MON-7106"/>
        <s v="MON-5386"/>
        <s v="PHN-2436"/>
        <s v="PRN-2301"/>
        <s v="ACC-3567"/>
        <s v="CMP-6811"/>
        <s v="PHN-5675"/>
        <s v="MON-6882"/>
        <s v="ACC-1596"/>
        <s v="MON-5179"/>
        <s v="MON-5086"/>
        <s v="LAP-4899"/>
        <s v="CMP-3313"/>
        <s v="CMP-6649"/>
        <s v="ACC-1492"/>
        <s v="PRN-6911"/>
        <s v="NET-5270"/>
        <s v="CMP-5658"/>
        <s v="CMP-3938"/>
        <s v="ACC-3951"/>
        <s v="NET-6014"/>
        <s v="CMP-4159"/>
        <s v="PRN-3159"/>
        <s v="PRN-9488"/>
        <s v="PRN-7079"/>
        <s v="CMP-1220"/>
        <s v="MON-2462"/>
        <s v="PHN-9465"/>
        <s v="CMP-3693"/>
        <s v="LAP-1066"/>
        <s v="CMP-8675"/>
        <s v="LAP-1178"/>
        <s v="ACC-3068"/>
        <s v="NET-1893"/>
        <s v="PRN-3917"/>
        <s v="LAP-3220"/>
        <s v="PHN-2462"/>
        <s v="NET-6269"/>
        <s v="CMP-2335"/>
        <s v="PHN-5938"/>
        <s v="PRN-1371"/>
        <s v="PRN-5813"/>
        <s v="PHN-6480"/>
        <s v="ACC-3833"/>
        <s v="CMP-5435"/>
        <s v="ACC-8094"/>
        <s v="PRN-8763"/>
        <s v="ACC-2386"/>
        <s v="MON-8867"/>
        <s v="MON-4925"/>
        <s v="NET-1145"/>
        <s v="LAP-4517"/>
        <s v="PHN-4566"/>
        <s v="MON-4830"/>
        <s v="PHN-9107"/>
        <s v="PRN-1060"/>
        <s v="NET-8329"/>
        <s v="NET-8610"/>
        <s v="CMP-6529"/>
        <s v="PHN-8776"/>
        <s v="NET-3728"/>
        <s v="LAP-3565"/>
        <s v="LAP-5078"/>
        <s v="MON-2465"/>
        <s v="CMP-3223"/>
        <s v="CMP-8127"/>
        <s v="PHN-1924"/>
        <s v="CMP-1156"/>
        <s v="LAP-3905"/>
        <s v="PRN-1786"/>
        <s v="ACC-1060"/>
        <s v="NET-4228"/>
        <s v="CMP-5633"/>
        <s v="CMP-5825"/>
        <s v="LAP-6499"/>
        <s v="ACC-5079"/>
        <s v="MON-6190"/>
        <s v="CMP-2410"/>
        <s v="PRN-2641"/>
        <s v="PRN-1882"/>
        <s v="PRN-1641"/>
        <s v="LAP-1739"/>
        <s v="PRN-4732"/>
        <s v="NET-9569"/>
        <s v="PHN-3007"/>
        <s v="MON-9216"/>
        <s v="PHN-8072"/>
        <s v="LAP-1308"/>
        <s v="PHN-2787"/>
        <s v="NET-6533"/>
        <s v="ACC-5780"/>
        <s v="PRN-1654"/>
        <s v="NET-8787"/>
        <s v="LAP-1989"/>
        <s v="MON-8688"/>
        <s v="ACC-8242"/>
        <s v="LAP-4666"/>
        <s v="NET-5196"/>
        <s v="MON-8422"/>
        <s v="ACC-4587"/>
        <s v="PRN-9624"/>
        <s v="MON-2993"/>
        <s v="NET-4491"/>
        <s v="CMP-3731"/>
        <s v="NET-7349"/>
        <s v="ACC-2252"/>
        <s v="ACC-4056"/>
        <s v="PHN-6111"/>
        <s v="ACC-7047"/>
        <s v="PRN-2407"/>
        <s v="MON-7099"/>
        <s v="ACC-8178"/>
        <s v="PRN-6585"/>
        <s v="CMP-9498"/>
        <s v="PHN-1919"/>
        <s v="MON-6053"/>
        <s v="NET-2502"/>
        <s v="LAP-5689"/>
        <s v="CMP-5911"/>
        <s v="LAP-7523"/>
        <s v="MON-1118"/>
        <s v="NET-9177"/>
        <s v="CMP-6495"/>
        <s v="ACC-7671"/>
        <s v="PHN-4395"/>
        <s v="LAP-3581"/>
        <s v="MON-6065"/>
        <s v="CMP-4945"/>
        <s v="NET-3785"/>
        <s v="NET-3689"/>
        <s v="ACC-4511"/>
        <s v="NET-2932"/>
        <s v="PHN-7636"/>
        <s v="ACC-2990"/>
        <s v="MON-4317"/>
        <s v="LAP-4483"/>
        <s v="LAP-1969"/>
        <s v="PRN-9490"/>
        <s v="PHN-5366"/>
        <s v="CMP-9001"/>
        <s v="PHN-9677"/>
        <s v="ACC-1021"/>
        <s v="ACC-4766"/>
        <s v="CMP-5311"/>
        <s v="NET-1282"/>
        <s v="MON-1564"/>
        <s v="ACC-3349"/>
        <s v="LAP-6577"/>
        <s v="CMP-5065"/>
        <s v="PRN-4787"/>
        <s v="PRN-9867"/>
        <s v="ACC-5206"/>
        <s v="LAP-8633"/>
        <s v="PRN-9793"/>
        <s v="NET-6218"/>
        <s v="PRN-6131"/>
        <s v="PRN-5067"/>
        <s v="MON-9274"/>
        <s v="ACC-3551"/>
        <s v="PHN-7379"/>
        <s v="PRN-5569"/>
        <s v="CMP-1470"/>
        <s v="PRN-9249"/>
        <s v="PRN-4906"/>
        <s v="MON-8129"/>
        <s v="NET-5987"/>
        <s v="NET-5423"/>
        <s v="PRN-5264"/>
        <s v="NET-8856"/>
        <s v="MON-4215"/>
        <s v="PRN-5753"/>
        <s v="CMP-5006"/>
        <s v="ACC-9820"/>
        <s v="ACC-1770"/>
        <s v="NET-4675"/>
        <s v="ACC-6777"/>
        <s v="NET-4735"/>
        <s v="NET-2460"/>
        <s v="CMP-1555"/>
        <s v="MON-3773"/>
        <s v="PHN-4677"/>
        <s v="CMP-1940"/>
        <s v="PHN-9184"/>
        <s v="LAP-3017"/>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sharedItems/>
    </cacheField>
    <cacheField name="HIERARCY" numFmtId="0">
      <sharedItems/>
    </cacheField>
    <cacheField name="Price Band" numFmtId="0">
      <sharedItems/>
    </cacheField>
    <cacheField name="Order Year" numFmtId="0">
      <sharedItems containsSemiMixedTypes="0" containsString="0" containsNumber="1" containsInteger="1" minValue="2023" maxValue="2025"/>
    </cacheField>
    <cacheField name="Order Month" numFmtId="0">
      <sharedItems containsSemiMixedTypes="0" containsString="0" containsNumber="1" containsInteger="1" minValue="1" maxValue="12" count="12">
        <n v="3"/>
        <n v="10"/>
        <n v="2"/>
        <n v="12"/>
        <n v="1"/>
        <n v="5"/>
        <n v="7"/>
        <n v="4"/>
        <n v="9"/>
        <n v="6"/>
        <n v="11"/>
        <n v="8"/>
      </sharedItems>
    </cacheField>
    <cacheField name="7 Day Lead Time" numFmtId="0">
      <sharedItems/>
    </cacheField>
    <cacheField name="Disct%&gt;20" numFmtId="0">
      <sharedItems count="2">
        <s v="No"/>
        <s v="Yes"/>
      </sharedItems>
    </cacheField>
  </cacheFields>
  <extLst>
    <ext xmlns:x14="http://schemas.microsoft.com/office/spreadsheetml/2009/9/main" uri="{725AE2AE-9491-48be-B2B4-4EB974FC3084}">
      <x14:pivotCacheDefinition pivotCacheId="4"/>
    </ext>
  </extLst>
</pivotCacheDefinition>
</file>

<file path=xl/pivotCache/pivotCacheDefinition2.xml><?xml version="1.0" encoding="utf-8"?>
<pivotCacheDefinition xmlns="http://schemas.openxmlformats.org/spreadsheetml/2006/main" xmlns:r="http://schemas.openxmlformats.org/officeDocument/2006/relationships" r:id="rId1" refreshedBy="Doris" refreshedDate="46054.779895023152" createdVersion="5" refreshedVersion="5" minRefreshableVersion="3" recordCount="632">
  <cacheSource type="worksheet">
    <worksheetSource ref="A1:AJ633" sheet="Staging Data"/>
  </cacheSource>
  <cacheFields count="36">
    <cacheField name="OrderID" numFmtId="49">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rder Date" numFmtId="14">
      <sharedItems containsSemiMixedTypes="0" containsNonDate="0" containsDate="1" containsString="0" minDate="2023-01-02T00:00:00" maxDate="2025-09-16T00:00:00"/>
    </cacheField>
    <cacheField name="New Required 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MM-YYY" numFmtId="165">
      <sharedItems/>
    </cacheField>
    <cacheField name="Region" numFmtId="49">
      <sharedItems count="4">
        <s v="Africa"/>
        <s v="Asia"/>
        <s v="Americas"/>
        <s v="Europe"/>
      </sharedItems>
    </cacheField>
    <cacheField name="Country" numFmtId="49">
      <sharedItems count="12">
        <s v="Kenya"/>
        <s v="Nigeria"/>
        <s v="Japan"/>
        <s v="Canada"/>
        <s v="India"/>
        <s v="Brazil"/>
        <s v="France"/>
        <s v="United Kingdom"/>
        <s v="China"/>
        <s v="USA"/>
        <s v="South Africa"/>
        <s v="Germany"/>
      </sharedItems>
    </cacheField>
    <cacheField name="City" numFmtId="49">
      <sharedItems/>
    </cacheField>
    <cacheField name="CustomerSegment" numFmtId="49">
      <sharedItems/>
    </cacheField>
    <cacheField name="Channel" numFmtId="49">
      <sharedItems count="6">
        <s v="Retail"/>
        <s v="Online"/>
        <s v="Marketplace"/>
        <s v="Distributor"/>
        <s v="Direct"/>
        <s v="Unknown Channel"/>
      </sharedItems>
    </cacheField>
    <cacheField name="Salesperson" numFmtId="49">
      <sharedItems/>
    </cacheField>
    <cacheField name="ProductCategory" numFmtId="49">
      <sharedItems/>
    </cacheField>
    <cacheField name="SKU" numFmtId="49">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sharedItems/>
    </cacheField>
    <cacheField name="HIERARCY" numFmtId="0">
      <sharedItems/>
    </cacheField>
    <cacheField name="Price Band" numFmtId="0">
      <sharedItems/>
    </cacheField>
    <cacheField name="Order Year" numFmtId="0">
      <sharedItems containsSemiMixedTypes="0" containsString="0" containsNumber="1" containsInteger="1" minValue="2023" maxValue="2025"/>
    </cacheField>
    <cacheField name="Order Month" numFmtId="0">
      <sharedItems containsSemiMixedTypes="0" containsString="0" containsNumber="1" containsInteger="1" minValue="1" maxValue="12"/>
    </cacheField>
    <cacheField name="7 Day Lead Time" numFmtId="0">
      <sharedItems/>
    </cacheField>
    <cacheField name="Disct%&gt;20" numFmtId="0">
      <sharedItems/>
    </cacheField>
    <cacheField name="ScenarioDiscount" numFmtId="10">
      <sharedItems containsSemiMixedTypes="0" containsString="0" containsNumber="1" minValue="0" maxValue="0.1"/>
    </cacheField>
    <cacheField name="ScenarioUnitCost" numFmtId="0">
      <sharedItems containsSemiMixedTypes="0" containsString="0" containsNumber="1" minValue="5.6070000000000002" maxValue="1570.5795000000001"/>
    </cacheField>
    <cacheField name="ScenarioQuantity" numFmtId="0">
      <sharedItems containsSemiMixedTypes="0" containsString="0" containsNumber="1" minValue="2.08" maxValue="63.440000000000005"/>
    </cacheField>
    <cacheField name="ScenarioGrossRevenue" numFmtId="164">
      <sharedItems containsSemiMixedTypes="0" containsString="0" containsNumber="1" minValue="22.164480000000001" maxValue="157444.50383999999"/>
    </cacheField>
    <cacheField name="ScenarioCostOfGoods" numFmtId="164">
      <sharedItems containsSemiMixedTypes="0" containsString="0" containsNumber="1" minValue="24.024000000000001" maxValue="90918.052680000008"/>
    </cacheField>
    <cacheField name="ScenarioGrossProfit" numFmtId="164">
      <sharedItems containsSemiMixedTypes="0" containsString="0" containsNumber="1" minValue="-74657.87056000001" maxValue="66526.451159999982"/>
    </cacheField>
  </cacheFields>
  <extLst>
    <ext xmlns:x14="http://schemas.microsoft.com/office/spreadsheetml/2009/9/main" uri="{725AE2AE-9491-48be-B2B4-4EB974FC3084}">
      <x14:pivotCacheDefinition pivotCacheId="5"/>
    </ext>
  </extLst>
</pivotCacheDefinition>
</file>

<file path=xl/pivotCache/pivotCacheDefinition3.xml><?xml version="1.0" encoding="utf-8"?>
<pivotCacheDefinition xmlns="http://schemas.openxmlformats.org/spreadsheetml/2006/main" xmlns:r="http://schemas.openxmlformats.org/officeDocument/2006/relationships" r:id="rId1" refreshedBy="Doris" refreshedDate="46054.779895717591" createdVersion="5" refreshedVersion="5" minRefreshableVersion="3" recordCount="632">
  <cacheSource type="worksheet">
    <worksheetSource ref="A1:AC633" sheet="Staging Data"/>
  </cacheSource>
  <cacheFields count="29">
    <cacheField name="OrderID" numFmtId="49">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rder Date" numFmtId="14">
      <sharedItems containsSemiMixedTypes="0" containsNonDate="0" containsDate="1" containsString="0" minDate="2023-01-02T00:00:00" maxDate="2025-09-16T00:00:00"/>
    </cacheField>
    <cacheField name="New Required 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MM-YYY" numFmtId="165">
      <sharedItems/>
    </cacheField>
    <cacheField name="Region" numFmtId="49">
      <sharedItems/>
    </cacheField>
    <cacheField name="Country" numFmtId="49">
      <sharedItems/>
    </cacheField>
    <cacheField name="City" numFmtId="49">
      <sharedItems/>
    </cacheField>
    <cacheField name="CustomerSegment" numFmtId="49">
      <sharedItems/>
    </cacheField>
    <cacheField name="Channel" numFmtId="49">
      <sharedItems/>
    </cacheField>
    <cacheField name="Salesperson" numFmtId="49">
      <sharedItems/>
    </cacheField>
    <cacheField name="ProductCategory" numFmtId="49">
      <sharedItems/>
    </cacheField>
    <cacheField name="SKU" numFmtId="49">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sharedItems/>
    </cacheField>
    <cacheField name="HIERARCY" numFmtId="0">
      <sharedItems/>
    </cacheField>
    <cacheField name="Price Band" numFmtId="0">
      <sharedItems/>
    </cacheField>
    <cacheField name="Order Year" numFmtId="0">
      <sharedItems containsSemiMixedTypes="0" containsString="0" containsNumber="1" containsInteger="1" minValue="2023" maxValue="2025"/>
    </cacheField>
    <cacheField name="Order Month" numFmtId="0">
      <sharedItems containsSemiMixedTypes="0" containsString="0" containsNumber="1" containsInteger="1" minValue="1" maxValue="12"/>
    </cacheField>
    <cacheField name="7 Day Lead Time" numFmtId="0">
      <sharedItems count="2">
        <s v="No"/>
        <s v="Yes"/>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r:id="rId1" refreshedBy="Doris" refreshedDate="46054.779895949076" createdVersion="5" refreshedVersion="5" minRefreshableVersion="3" recordCount="632">
  <cacheSource type="worksheet">
    <worksheetSource ref="A1:AB633" sheet="Staging Data"/>
  </cacheSource>
  <cacheFields count="28">
    <cacheField name="OrderID" numFmtId="49">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rder Date" numFmtId="14">
      <sharedItems containsSemiMixedTypes="0" containsNonDate="0" containsDate="1" containsString="0" minDate="2023-01-02T00:00:00" maxDate="2025-09-16T00:00:00"/>
    </cacheField>
    <cacheField name="New Required 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MM-YYY" numFmtId="165">
      <sharedItems/>
    </cacheField>
    <cacheField name="Region" numFmtId="49">
      <sharedItems/>
    </cacheField>
    <cacheField name="Country" numFmtId="49">
      <sharedItems count="12">
        <s v="Kenya"/>
        <s v="Nigeria"/>
        <s v="Japan"/>
        <s v="Canada"/>
        <s v="India"/>
        <s v="Brazil"/>
        <s v="France"/>
        <s v="United Kingdom"/>
        <s v="China"/>
        <s v="USA"/>
        <s v="South Africa"/>
        <s v="Germany"/>
      </sharedItems>
    </cacheField>
    <cacheField name="City" numFmtId="49">
      <sharedItems/>
    </cacheField>
    <cacheField name="CustomerSegment" numFmtId="49">
      <sharedItems/>
    </cacheField>
    <cacheField name="Channel" numFmtId="49">
      <sharedItems count="6">
        <s v="Retail"/>
        <s v="Online"/>
        <s v="Marketplace"/>
        <s v="Distributor"/>
        <s v="Direct"/>
        <s v="Unknown Channel"/>
      </sharedItems>
    </cacheField>
    <cacheField name="Salesperson" numFmtId="49">
      <sharedItems count="17">
        <s v="C. Otieno"/>
        <s v="J. Njeri"/>
        <s v="I. Johnson"/>
        <s v="G. Dubois"/>
        <s v="L. Okafor"/>
        <s v="B. Chen"/>
        <s v="E. Garcia"/>
        <s v="O. Wang"/>
        <s v="D. Smith"/>
        <s v="F. Müller"/>
        <s v="N. Brown"/>
        <s v="H. Kim"/>
        <s v="K. Singh"/>
        <s v="M. Rossi"/>
        <s v="A. Patel"/>
        <s v="Unknown Salesperson"/>
        <s v="Formula1" f="1"/>
      </sharedItems>
    </cacheField>
    <cacheField name="ProductCategory" numFmtId="49">
      <sharedItems/>
    </cacheField>
    <cacheField name="SKU" numFmtId="49">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sharedItems/>
    </cacheField>
    <cacheField name="HIERARCY" numFmtId="0">
      <sharedItems/>
    </cacheField>
    <cacheField name="Price Band" numFmtId="0">
      <sharedItems/>
    </cacheField>
    <cacheField name="Order Year" numFmtId="0">
      <sharedItems containsSemiMixedTypes="0" containsString="0" containsNumber="1" containsInteger="1" minValue="2023" maxValue="2025" count="3">
        <n v="2024"/>
        <n v="2023"/>
        <n v="2025"/>
      </sharedItems>
    </cacheField>
    <cacheField name="Order Month" numFmtId="0">
      <sharedItems containsSemiMixedTypes="0" containsString="0" containsNumber="1" containsInteger="1" minValue="1" maxValue="12" count="12">
        <n v="3"/>
        <n v="10"/>
        <n v="2"/>
        <n v="12"/>
        <n v="1"/>
        <n v="5"/>
        <n v="7"/>
        <n v="4"/>
        <n v="9"/>
        <n v="6"/>
        <n v="11"/>
        <n v="8"/>
      </sharedItems>
    </cacheField>
  </cacheFields>
  <calculatedItems count="2">
    <calculatedItem>
      <pivotArea cacheIndex="1" outline="0" fieldPosition="0">
        <references count="1">
          <reference field="12" count="1">
            <x v="16"/>
          </reference>
        </references>
      </pivotArea>
    </calculatedItem>
    <calculatedItem>
      <pivotArea cacheIndex="1" fieldPosition="0">
        <references count="1">
          <reference field="12" count="1">
            <x v="16"/>
          </reference>
        </references>
      </pivotArea>
    </calculatedItem>
  </calculatedItem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r:id="rId1" refreshedBy="Doris" refreshedDate="46054.779896296299" createdVersion="5" refreshedVersion="5" minRefreshableVersion="3" recordCount="632">
  <cacheSource type="worksheet">
    <worksheetSource ref="A1:Z633" sheet="Staging Data"/>
  </cacheSource>
  <cacheFields count="26">
    <cacheField name="OrderID" numFmtId="49">
      <sharedItems/>
    </cacheField>
    <cacheField name="OrderDate" numFmtId="14">
      <sharedItems containsSemiMixedTypes="0" containsNonDate="0" containsDate="1" containsString="0" minDate="2023-01-02T00:00:00" maxDate="2025-09-16T00:00:00"/>
    </cacheField>
    <cacheField name="RequiredDate" numFmtId="14">
      <sharedItems containsSemiMixedTypes="0" containsNonDate="0" containsDate="1" containsString="0" minDate="2023-01-05T00:00:00" maxDate="2025-10-06T00:00:00"/>
    </cacheField>
    <cacheField name="New Order Date" numFmtId="14">
      <sharedItems containsSemiMixedTypes="0" containsNonDate="0" containsDate="1" containsString="0" minDate="2023-01-02T00:00:00" maxDate="2025-09-16T00:00:00"/>
    </cacheField>
    <cacheField name="New Required 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MMM-YYY" numFmtId="165">
      <sharedItems count="33">
        <s v="3-2024"/>
        <s v="10-2024"/>
        <s v="2-2023"/>
        <s v="3-2025"/>
        <s v="12-2023"/>
        <s v="1-2023"/>
        <s v="12-2024"/>
        <s v="5-2024"/>
        <s v="7-2024"/>
        <s v="1-2025"/>
        <s v="1-2024"/>
        <s v="3-2023"/>
        <s v="4-2023"/>
        <s v="9-2025"/>
        <s v="5-2025"/>
        <s v="5-2023"/>
        <s v="6-2023"/>
        <s v="11-2024"/>
        <s v="4-2025"/>
        <s v="7-2025"/>
        <s v="4-2024"/>
        <s v="8-2024"/>
        <s v="6-2025"/>
        <s v="7-2023"/>
        <s v="8-2023"/>
        <s v="6-2024"/>
        <s v="9-2023"/>
        <s v="8-2025"/>
        <s v="9-2024"/>
        <s v="11-2023"/>
        <s v="10-2023"/>
        <s v="2-2024"/>
        <s v="2-2025"/>
      </sharedItems>
    </cacheField>
    <cacheField name="Region" numFmtId="49">
      <sharedItems/>
    </cacheField>
    <cacheField name="Country" numFmtId="49">
      <sharedItems count="12">
        <s v="Kenya"/>
        <s v="Nigeria"/>
        <s v="Japan"/>
        <s v="Canada"/>
        <s v="India"/>
        <s v="Brazil"/>
        <s v="France"/>
        <s v="United Kingdom"/>
        <s v="China"/>
        <s v="USA"/>
        <s v="South Africa"/>
        <s v="Germany"/>
      </sharedItems>
    </cacheField>
    <cacheField name="City" numFmtId="49">
      <sharedItems/>
    </cacheField>
    <cacheField name="CustomerSegment" numFmtId="49">
      <sharedItems/>
    </cacheField>
    <cacheField name="Channel" numFmtId="49">
      <sharedItems/>
    </cacheField>
    <cacheField name="Salesperson" numFmtId="49">
      <sharedItems/>
    </cacheField>
    <cacheField name="ProductCategory" numFmtId="49">
      <sharedItems count="7">
        <s v="Components"/>
        <s v="Printers"/>
        <s v="Networking"/>
        <s v="Phones"/>
        <s v="Laptops"/>
        <s v="Monitors"/>
        <s v="Accessories"/>
      </sharedItems>
    </cacheField>
    <cacheField name="SKU" numFmtId="49">
      <sharedItems count="630">
        <s v="CMP-8270"/>
        <s v="PRN-9322"/>
        <s v="NET-9666"/>
        <s v="PHN-4556"/>
        <s v="PRN-8041"/>
        <s v="LAP-8555"/>
        <s v="MON-8629"/>
        <s v="PRN-6276"/>
        <s v="MON-6892"/>
        <s v="MON-7207"/>
        <s v="ACC-6626"/>
        <s v="PHN-7019"/>
        <s v="CMP-2693"/>
        <s v="PRN-8392"/>
        <s v="MON-2828"/>
        <s v="LAP-1698"/>
        <s v="PRN-6791"/>
        <s v="PHN-1197"/>
        <s v="PHN-7132"/>
        <s v="LAP-3385"/>
        <s v="LAP-9815"/>
        <s v="NET-3255"/>
        <s v="ACC-2988"/>
        <s v="LAP-4987"/>
        <s v="PRN-1271"/>
        <s v="CMP-1223"/>
        <s v="PRN-4170"/>
        <s v="PHN-6854"/>
        <s v="PHN-1784"/>
        <s v="NET-9716"/>
        <s v="CMP-6919"/>
        <s v="PHN-4854"/>
        <s v="NET-7966"/>
        <s v="LAP-9932"/>
        <s v="CMP-1559"/>
        <s v="PRN-4506"/>
        <s v="CMP-7617"/>
        <s v="CMP-8390"/>
        <s v="PRN-7303"/>
        <s v="PRN-6536"/>
        <s v="MON-9967"/>
        <s v="NET-1412"/>
        <s v="PRN-3143"/>
        <s v="PRN-9787"/>
        <s v="CMP-5946"/>
        <s v="NET-2062"/>
        <s v="PRN-2542"/>
        <s v="NET-2365"/>
        <s v="NET-5268"/>
        <s v="PRN-1504"/>
        <s v="ACC-9283"/>
        <s v="MON-4330"/>
        <s v="LAP-7819"/>
        <s v="LAP-3779"/>
        <s v="NET-9989"/>
        <s v="NET-1228"/>
        <s v="PRN-6490"/>
        <s v="ACC-9533"/>
        <s v="ACC-8098"/>
        <s v="ACC-4490"/>
        <s v="CMP-8002"/>
        <s v="CMP-6971"/>
        <s v="PHN-8350"/>
        <s v="MON-5188"/>
        <s v="LAP-3393"/>
        <s v="NET-2394"/>
        <s v="ACC-7838"/>
        <s v="MON-6870"/>
        <s v="MON-2296"/>
        <s v="CMP-7371"/>
        <s v="ACC-1238"/>
        <s v="NET-1699"/>
        <s v="LAP-8489"/>
        <s v="NET-1846"/>
        <s v="CMP-5208"/>
        <s v="CMP-1009"/>
        <s v="MON-7869"/>
        <s v="ACC-5177"/>
        <s v="CMP-5820"/>
        <s v="MON-7943"/>
        <s v="NET-5018"/>
        <s v="PRN-9669"/>
        <s v="CMP-2865"/>
        <s v="MON-3371"/>
        <s v="NET-7166"/>
        <s v="CMP-4531"/>
        <s v="CMP-8196"/>
        <s v="CMP-2854"/>
        <s v="MON-8973"/>
        <s v="MON-2990"/>
        <s v="NET-1966"/>
        <s v="PHN-3482"/>
        <s v="NET-9125"/>
        <s v="ACC-9162"/>
        <s v="PHN-6954"/>
        <s v="PRN-8970"/>
        <s v="MON-1822"/>
        <s v="ACC-7078"/>
        <s v="NET-1804"/>
        <s v="LAP-3679"/>
        <s v="PHN-8368"/>
        <s v="CMP-8141"/>
        <s v="LAP-7136"/>
        <s v="ACC-1375"/>
        <s v="LAP-5150"/>
        <s v="CMP-8101"/>
        <s v="PHN-8970"/>
        <s v="PHN-2341"/>
        <s v="NET-6387"/>
        <s v="ACC-1659"/>
        <s v="CMP-6392"/>
        <s v="LAP-9230"/>
        <s v="NET-4241"/>
        <s v="ACC-6223"/>
        <s v="NET-3033"/>
        <s v="NET-2894"/>
        <s v="PRN-6429"/>
        <s v="LAP-8214"/>
        <s v="MON-9194"/>
        <s v="LAP-2218"/>
        <s v="NET-6370"/>
        <s v="MON-3745"/>
        <s v="PHN-7924"/>
        <s v="LAP-4932"/>
        <s v="CMP-2136"/>
        <s v="CMP-6352"/>
        <s v="CMP-2040"/>
        <s v="CMP-6346"/>
        <s v="PHN-4356"/>
        <s v="NET-4155"/>
        <s v="ACC-4631"/>
        <s v="ACC-5334"/>
        <s v="LAP-9782"/>
        <s v="PHN-2875"/>
        <s v="PRN-4788"/>
        <s v="MON-3043"/>
        <s v="CMP-3720"/>
        <s v="PHN-8014"/>
        <s v="PRN-4911"/>
        <s v="ACC-6594"/>
        <s v="MON-2266"/>
        <s v="PHN-8057"/>
        <s v="ACC-9644"/>
        <s v="PRN-4453"/>
        <s v="ACC-8557"/>
        <s v="LAP-1525"/>
        <s v="LAP-3278"/>
        <s v="ACC-3103"/>
        <s v="PRN-4432"/>
        <s v="PHN-4568"/>
        <s v="PRN-6178"/>
        <s v="LAP-6342"/>
        <s v="PRN-8175"/>
        <s v="PRN-7089"/>
        <s v="ACC-1731"/>
        <s v="NET-7924"/>
        <s v="NET-8761"/>
        <s v="CMP-3875"/>
        <s v="ACC-3721"/>
        <s v="PHN-9234"/>
        <s v="MON-9906"/>
        <s v="CMP-4610"/>
        <s v="ACC-9445"/>
        <s v="MON-9227"/>
        <s v="PRN-4097"/>
        <s v="MON-6699"/>
        <s v="LAP-1482"/>
        <s v="MON-2100"/>
        <s v="MON-7602"/>
        <s v="CMP-1072"/>
        <s v="ACC-5150"/>
        <s v="CMP-5211"/>
        <s v="CMP-1632"/>
        <s v="LAP-7099"/>
        <s v="PRN-3785"/>
        <s v="MON-6962"/>
        <s v="PRN-5107"/>
        <s v="CMP-9264"/>
        <s v="MON-5259"/>
        <s v="PRN-8137"/>
        <s v="NET-4104"/>
        <s v="PHN-7488"/>
        <s v="ACC-9038"/>
        <s v="MON-5517"/>
        <s v="MON-8758"/>
        <s v="ACC-3645"/>
        <s v="MON-1593"/>
        <s v="ACC-4483"/>
        <s v="PHN-4644"/>
        <s v="PHN-6506"/>
        <s v="LAP-5531"/>
        <s v="MON-7511"/>
        <s v="LAP-7979"/>
        <s v="PRN-4983"/>
        <s v="NET-5941"/>
        <s v="PHN-7274"/>
        <s v="PHN-9789"/>
        <s v="PHN-5082"/>
        <s v="NET-3460"/>
        <s v="PRN-7019"/>
        <s v="PHN-3159"/>
        <s v="PRN-8604"/>
        <s v="PHN-2013"/>
        <s v="NET-6036"/>
        <s v="MON-4959"/>
        <s v="MON-1663"/>
        <s v="CMP-7256"/>
        <s v="ACC-1882"/>
        <s v="PRN-6068"/>
        <s v="ACC-8999"/>
        <s v="CMP-3978"/>
        <s v="MON-7868"/>
        <s v="PRN-3014"/>
        <s v="PHN-1671"/>
        <s v="PHN-3014"/>
        <s v="NET-7588"/>
        <s v="MON-1572"/>
        <s v="MON-2537"/>
        <s v="PRN-5666"/>
        <s v="LAP-7056"/>
        <s v="CMP-4970"/>
        <s v="ACC-9150"/>
        <s v="CMP-7063"/>
        <s v="NET-1612"/>
        <s v="LAP-9766"/>
        <s v="CMP-9801"/>
        <s v="NET-1645"/>
        <s v="ACC-7938"/>
        <s v="PRN-2098"/>
        <s v="PRN-7049"/>
        <s v="CMP-6925"/>
        <s v="PRN-5384"/>
        <s v="PRN-1141"/>
        <s v="MON-5249"/>
        <s v="CMP-8230"/>
        <s v="PRN-7816"/>
        <s v="PHN-8804"/>
        <s v="CMP-8851"/>
        <s v="PHN-2447"/>
        <s v="LAP-2846"/>
        <s v="PRN-5005"/>
        <s v="PHN-3800"/>
        <s v="LAP-4828"/>
        <s v="PRN-5492"/>
        <s v="PHN-7852"/>
        <s v="PHN-4741"/>
        <s v="LAP-2774"/>
        <s v="MON-2842"/>
        <s v="NET-2628"/>
        <s v="MON-2998"/>
        <s v="CMP-7563"/>
        <s v="LAP-6160"/>
        <s v="MON-4361"/>
        <s v="PRN-2829"/>
        <s v="MON-8939"/>
        <s v="LAP-5009"/>
        <s v="CMP-4807"/>
        <s v="NET-2439"/>
        <s v="MON-7626"/>
        <s v="PHN-5445"/>
        <s v="CMP-4630"/>
        <s v="ACC-5144"/>
        <s v="NET-3850"/>
        <s v="PHN-3819"/>
        <s v="LAP-3490"/>
        <s v="PRN-1276"/>
        <s v="MON-9733"/>
        <s v="CMP-9392"/>
        <s v="MON-4271"/>
        <s v="PRN-6776"/>
        <s v="NET-1166"/>
        <s v="MON-1436"/>
        <s v="MON-8651"/>
        <s v="MON-3307"/>
        <s v="PRN-8758"/>
        <s v="ACC-3415"/>
        <s v="NET-5523"/>
        <s v="ACC-6348"/>
        <s v="PHN-6832"/>
        <s v="LAP-2378"/>
        <s v="MON-5424"/>
        <s v="NET-8430"/>
        <s v="PHN-1234"/>
        <s v="LAP-9016"/>
        <s v="LAP-9931"/>
        <s v="PHN-6818"/>
        <s v="PHN-3803"/>
        <s v="NET-9835"/>
        <s v="ACC-8620"/>
        <s v="CMP-8659"/>
        <s v="ACC-2735"/>
        <s v="ACC-1249"/>
        <s v="ACC-7713"/>
        <s v="ACC-6543"/>
        <s v="CMP-3743"/>
        <s v="LAP-1619"/>
        <s v="PRN-7976"/>
        <s v="MON-4326"/>
        <s v="MON-5444"/>
        <s v="ACC-7354"/>
        <s v="CMP-9307"/>
        <s v="PRN-6520"/>
        <s v="MON-6287"/>
        <s v="PHN-5316"/>
        <s v="LAP-4607"/>
        <s v="MON-5276"/>
        <s v="ACC-5422"/>
        <s v="NET-3749"/>
        <s v="PRN-2991"/>
        <s v="LAP-4551"/>
        <s v="MON-6310"/>
        <s v="MON-2849"/>
        <s v="ACC-1604"/>
        <s v="PRN-2293"/>
        <s v="MON-1389"/>
        <s v="CMP-4093"/>
        <s v="PHN-6131"/>
        <s v="ACC-7240"/>
        <s v="MON-9319"/>
        <s v="ACC-2903"/>
        <s v="PHN-9399"/>
        <s v="NET-4554"/>
        <s v="NET-5195"/>
        <s v="CMP-3093"/>
        <s v="PRN-2749"/>
        <s v="ACC-4124"/>
        <s v="CMP-5138"/>
        <s v="PHN-2337"/>
        <s v="MON-6341"/>
        <s v="LAP-9024"/>
        <s v="PHN-6307"/>
        <s v="NET-9003"/>
        <s v="ACC-3961"/>
        <s v="ACC-1075"/>
        <s v="PHN-3854"/>
        <s v="PRN-1086"/>
        <s v="PHN-7815"/>
        <s v="NET-8561"/>
        <s v="ACC-1028"/>
        <s v="MON-1018"/>
        <s v="ACC-2761"/>
        <s v="NET-1816"/>
        <s v="PRN-4893"/>
        <s v="PHN-1717"/>
        <s v="NET-9575"/>
        <s v="LAP-3604"/>
        <s v="ACC-3385"/>
        <s v="PHN-1670"/>
        <s v="CMP-4792"/>
        <s v="LAP-1990"/>
        <s v="PRN-7410"/>
        <s v="MON-4278"/>
        <s v="ACC-3989"/>
        <s v="NET-8957"/>
        <s v="PRN-9960"/>
        <s v="ACC-2364"/>
        <s v="LAP-7353"/>
        <s v="CMP-8658"/>
        <s v="ACC-4815"/>
        <s v="PRN-6660"/>
        <s v="ACC-2867"/>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8683"/>
        <s v="MON-9662"/>
        <s v="LAP-8347"/>
        <s v="CMP-6898"/>
        <s v="MON-3504"/>
        <s v="NET-3432"/>
        <s v="PRN-5591"/>
        <s v="CMP-2015"/>
        <s v="LAP-9901"/>
        <s v="LAP-6989"/>
        <s v="MON-2073"/>
        <s v="PRN-9378"/>
        <s v="PHN-5887"/>
        <s v="LAP-8119"/>
        <s v="ACC-7906"/>
        <s v="LAP-7009"/>
        <s v="PRN-1725"/>
        <s v="PHN-8483"/>
        <s v="PHN-3971"/>
        <s v="NET-6578"/>
        <s v="PRN-9975"/>
        <s v="ACC-2902"/>
        <s v="ACC-5260"/>
        <s v="PRN-5815"/>
        <s v="MON-4195"/>
        <s v="PHN-8478"/>
        <s v="PHN-1044"/>
        <s v="LAP-8910"/>
        <s v="PHN-2859"/>
        <s v="PRN-6308"/>
        <s v="LAP-8469"/>
        <s v="LAP-7553"/>
        <s v="PHN-3077"/>
        <s v="MON-3350"/>
        <s v="PHN-5683"/>
        <s v="PRN-2409"/>
        <s v="LAP-8825"/>
        <s v="MON-8697"/>
        <s v="MON-4789"/>
        <s v="NET-7998"/>
        <s v="PHN-8891"/>
        <s v="NET-9832"/>
        <s v="CMP-8604"/>
        <s v="ACC-9591"/>
        <s v="NET-2499"/>
        <s v="PRN-1923"/>
        <s v="PHN-4346"/>
        <s v="ACC-1663"/>
        <s v="PRN-4892"/>
        <s v="PRN-9557"/>
        <s v="PRN-8008"/>
        <s v="LAP-1946"/>
        <s v="MON-7106"/>
        <s v="MON-5386"/>
        <s v="PHN-2436"/>
        <s v="PRN-2301"/>
        <s v="ACC-3567"/>
        <s v="CMP-6811"/>
        <s v="PHN-5675"/>
        <s v="MON-6882"/>
        <s v="ACC-1596"/>
        <s v="MON-5179"/>
        <s v="MON-5086"/>
        <s v="LAP-4899"/>
        <s v="CMP-3313"/>
        <s v="CMP-6649"/>
        <s v="ACC-1492"/>
        <s v="PRN-6911"/>
        <s v="NET-5270"/>
        <s v="CMP-5658"/>
        <s v="CMP-3938"/>
        <s v="ACC-3951"/>
        <s v="NET-6014"/>
        <s v="CMP-4159"/>
        <s v="PRN-3159"/>
        <s v="PRN-9488"/>
        <s v="PRN-7079"/>
        <s v="CMP-1220"/>
        <s v="MON-2462"/>
        <s v="PHN-9465"/>
        <s v="CMP-3693"/>
        <s v="LAP-1066"/>
        <s v="CMP-8675"/>
        <s v="LAP-1178"/>
        <s v="ACC-3068"/>
        <s v="NET-1893"/>
        <s v="PRN-3917"/>
        <s v="LAP-3220"/>
        <s v="PHN-2462"/>
        <s v="NET-6269"/>
        <s v="CMP-2335"/>
        <s v="PHN-5938"/>
        <s v="PRN-1371"/>
        <s v="PRN-5813"/>
        <s v="PHN-6480"/>
        <s v="ACC-3833"/>
        <s v="CMP-5435"/>
        <s v="ACC-8094"/>
        <s v="PRN-8763"/>
        <s v="ACC-2386"/>
        <s v="MON-8867"/>
        <s v="MON-4925"/>
        <s v="NET-1145"/>
        <s v="LAP-4517"/>
        <s v="PHN-4566"/>
        <s v="MON-4830"/>
        <s v="PHN-9107"/>
        <s v="PRN-1060"/>
        <s v="NET-8329"/>
        <s v="NET-8610"/>
        <s v="CMP-6529"/>
        <s v="PHN-8776"/>
        <s v="NET-3728"/>
        <s v="LAP-3565"/>
        <s v="LAP-5078"/>
        <s v="MON-2465"/>
        <s v="CMP-3223"/>
        <s v="CMP-8127"/>
        <s v="PHN-1924"/>
        <s v="CMP-1156"/>
        <s v="LAP-3905"/>
        <s v="PRN-1786"/>
        <s v="ACC-1060"/>
        <s v="NET-4228"/>
        <s v="CMP-5633"/>
        <s v="CMP-5825"/>
        <s v="LAP-6499"/>
        <s v="ACC-5079"/>
        <s v="MON-6190"/>
        <s v="CMP-2410"/>
        <s v="PRN-2641"/>
        <s v="PRN-1882"/>
        <s v="PRN-1641"/>
        <s v="LAP-1739"/>
        <s v="PRN-4732"/>
        <s v="NET-9569"/>
        <s v="PHN-3007"/>
        <s v="MON-9216"/>
        <s v="PHN-8072"/>
        <s v="LAP-1308"/>
        <s v="PHN-2787"/>
        <s v="NET-6533"/>
        <s v="ACC-5780"/>
        <s v="PRN-1654"/>
        <s v="NET-8787"/>
        <s v="LAP-1989"/>
        <s v="MON-8688"/>
        <s v="ACC-8242"/>
        <s v="LAP-4666"/>
        <s v="NET-5196"/>
        <s v="MON-8422"/>
        <s v="ACC-4587"/>
        <s v="PRN-9624"/>
        <s v="MON-2993"/>
        <s v="NET-4491"/>
        <s v="CMP-3731"/>
        <s v="NET-7349"/>
        <s v="ACC-2252"/>
        <s v="ACC-4056"/>
        <s v="PHN-6111"/>
        <s v="ACC-7047"/>
        <s v="PRN-2407"/>
        <s v="MON-7099"/>
        <s v="ACC-8178"/>
        <s v="PRN-6585"/>
        <s v="CMP-9498"/>
        <s v="PHN-1919"/>
        <s v="MON-6053"/>
        <s v="NET-2502"/>
        <s v="LAP-5689"/>
        <s v="CMP-5911"/>
        <s v="LAP-7523"/>
        <s v="MON-1118"/>
        <s v="NET-9177"/>
        <s v="CMP-6495"/>
        <s v="ACC-7671"/>
        <s v="PHN-4395"/>
        <s v="LAP-3581"/>
        <s v="MON-6065"/>
        <s v="CMP-4945"/>
        <s v="NET-3785"/>
        <s v="NET-3689"/>
        <s v="ACC-4511"/>
        <s v="NET-2932"/>
        <s v="PHN-7636"/>
        <s v="ACC-2990"/>
        <s v="MON-4317"/>
        <s v="LAP-4483"/>
        <s v="LAP-1969"/>
        <s v="PRN-9490"/>
        <s v="PHN-5366"/>
        <s v="CMP-9001"/>
        <s v="PHN-9677"/>
        <s v="ACC-1021"/>
        <s v="ACC-4766"/>
        <s v="CMP-5311"/>
        <s v="NET-1282"/>
        <s v="MON-1564"/>
        <s v="ACC-3349"/>
        <s v="LAP-6577"/>
        <s v="CMP-5065"/>
        <s v="PRN-4787"/>
        <s v="PRN-9867"/>
        <s v="ACC-5206"/>
        <s v="LAP-8633"/>
        <s v="PRN-9793"/>
        <s v="NET-6218"/>
        <s v="PRN-6131"/>
        <s v="PRN-5067"/>
        <s v="MON-9274"/>
        <s v="ACC-3551"/>
        <s v="PHN-7379"/>
        <s v="PRN-5569"/>
        <s v="CMP-1470"/>
        <s v="PRN-9249"/>
        <s v="PRN-4906"/>
        <s v="MON-8129"/>
        <s v="NET-5987"/>
        <s v="NET-5423"/>
        <s v="PRN-5264"/>
        <s v="NET-8856"/>
        <s v="MON-4215"/>
        <s v="PRN-5753"/>
        <s v="CMP-5006"/>
        <s v="ACC-9820"/>
        <s v="ACC-1770"/>
        <s v="NET-4675"/>
        <s v="ACC-6777"/>
        <s v="NET-4735"/>
        <s v="NET-2460"/>
        <s v="CMP-1555"/>
        <s v="MON-3773"/>
        <s v="PHN-4677"/>
        <s v="CMP-1940"/>
        <s v="PHN-9184"/>
        <s v="LAP-3017"/>
      </sharedItems>
    </cacheField>
    <cacheField name="UnitCost" numFmtId="164">
      <sharedItems containsSemiMixedTypes="0" containsString="0" containsNumber="1" minValue="5.34" maxValue="1495.79"/>
    </cacheField>
    <cacheField name="UnitPrice" numFmtId="164">
      <sharedItems containsSemiMixedTypes="0" containsString="0" containsNumber="1" minValue="4.22" maxValue="3661.07"/>
    </cacheField>
    <cacheField name="DiscountPct" numFmtId="10">
      <sharedItems containsSemiMixedTypes="0" containsString="0" containsNumber="1" minValue="0" maxValue="0.29899999999999999"/>
    </cacheField>
    <cacheField name="Quantity" numFmtId="1">
      <sharedItems containsSemiMixedTypes="0" containsString="0" containsNumber="1" containsInteger="1" minValue="2" maxValue="61"/>
    </cacheField>
    <cacheField name="GrossRevenue" numFmtId="164">
      <sharedItems containsSemiMixedTypes="0" containsString="0" containsNumber="1" minValue="18.659839999999999" maxValue="139277.83032000001"/>
    </cacheField>
    <cacheField name="CostOfGoods" numFmtId="164">
      <sharedItems containsSemiMixedTypes="0" containsString="0" containsNumber="1" minValue="22" maxValue="83258.290000000008"/>
    </cacheField>
    <cacheField name="GrossProfit" numFmtId="164">
      <sharedItems containsSemiMixedTypes="0" containsString="0" containsNumber="1" minValue="-68355.013999999996" maxValue="65188.659999999996"/>
    </cacheField>
    <cacheField name="MarginPct" numFmtId="10">
      <sharedItems containsSemiMixedTypes="0" containsString="0" containsNumber="1" minValue="-250.39750756449047" maxValue="0.59672531214528945"/>
    </cacheField>
    <cacheField name="QUARTERS" numFmtId="0">
      <sharedItems/>
    </cacheField>
    <cacheField name="HIERARCY" numFmtId="0">
      <sharedItems/>
    </cacheField>
    <cacheField name="Price Band"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2">
  <r>
    <s v="ORD-2024-275203"/>
    <d v="2024-03-11T00:00:00"/>
    <d v="2024-04-06T00:00:00"/>
    <d v="2024-03-11T00:00:00"/>
    <d v="2024-04-06T00:00:00"/>
    <n v="26"/>
    <s v="3-2024"/>
    <x v="0"/>
    <s v="Kenya"/>
    <s v="Kisumu"/>
    <s v="Corporate"/>
    <x v="0"/>
    <x v="0"/>
    <x v="0"/>
    <x v="0"/>
    <n v="279.24"/>
    <n v="608.9"/>
    <n v="0.112"/>
    <n v="9"/>
    <n v="4866.3287999999993"/>
    <n v="2513.16"/>
    <n v="2353.1687999999995"/>
    <n v="0.48356140670149533"/>
    <s v="Q1-2024"/>
    <s v="Africa → Kenya → Kisumu"/>
    <s v="Low"/>
    <n v="2024"/>
    <x v="0"/>
    <s v="No"/>
    <x v="0"/>
  </r>
  <r>
    <s v="ORD-2024-358795"/>
    <d v="2024-10-23T00:00:00"/>
    <d v="2024-10-22T00:00:00"/>
    <d v="2024-10-22T00:00:00"/>
    <d v="2024-10-23T00:00:00"/>
    <n v="1"/>
    <s v="10-2024"/>
    <x v="0"/>
    <s v="Nigeria"/>
    <s v="Port Harcourt"/>
    <s v="Education"/>
    <x v="1"/>
    <x v="1"/>
    <x v="1"/>
    <x v="1"/>
    <n v="1084.3900000000001"/>
    <n v="759.33"/>
    <n v="0.23699999999999999"/>
    <n v="31"/>
    <n v="17960.432489999999"/>
    <n v="33616.090000000004"/>
    <n v="-15655.657510000005"/>
    <n v="-0.87167486187856302"/>
    <s v="Q4-2024"/>
    <s v="Africa → Nigeria → Port Harcourt"/>
    <s v="Low"/>
    <n v="2024"/>
    <x v="1"/>
    <s v="Yes"/>
    <x v="1"/>
  </r>
  <r>
    <s v="ORD-2023-373538"/>
    <d v="2023-02-28T00:00:00"/>
    <d v="2023-03-25T00:00:00"/>
    <d v="2023-02-28T00:00:00"/>
    <d v="2023-03-25T00:00:00"/>
    <n v="25"/>
    <s v="2-2023"/>
    <x v="0"/>
    <s v="Kenya"/>
    <s v="Nairobi"/>
    <s v="Corporate"/>
    <x v="0"/>
    <x v="2"/>
    <x v="2"/>
    <x v="2"/>
    <n v="1460.76"/>
    <n v="30.66"/>
    <n v="0.13100000000000001"/>
    <n v="12"/>
    <n v="319.72248000000002"/>
    <n v="17529.12"/>
    <n v="-17209.397519999999"/>
    <n v="-53.826047890032626"/>
    <s v="Q1-2023"/>
    <s v="Africa → Kenya → Nairobi"/>
    <s v="Low"/>
    <n v="2023"/>
    <x v="2"/>
    <s v="No"/>
    <x v="0"/>
  </r>
  <r>
    <s v="ORD-2025-168148"/>
    <d v="2025-03-29T00:00:00"/>
    <d v="2025-04-02T00:00:00"/>
    <d v="2025-03-29T00:00:00"/>
    <d v="2025-04-02T00:00:00"/>
    <n v="4"/>
    <s v="3-2025"/>
    <x v="0"/>
    <s v="Nigeria"/>
    <s v="Lagos"/>
    <s v="Non-Profit"/>
    <x v="2"/>
    <x v="3"/>
    <x v="3"/>
    <x v="3"/>
    <n v="259.93"/>
    <n v="255.94"/>
    <n v="7.1999999999999995E-2"/>
    <n v="22"/>
    <n v="5225.2710400000005"/>
    <n v="5718.46"/>
    <n v="-493.1889599999995"/>
    <n v="-9.4385335463861311E-2"/>
    <s v="Q1-2025"/>
    <s v="Africa → Nigeria → Lagos"/>
    <s v="Low"/>
    <n v="2025"/>
    <x v="0"/>
    <s v="Yes"/>
    <x v="0"/>
  </r>
  <r>
    <s v="ORD-2023-824839"/>
    <d v="2023-12-06T00:00:00"/>
    <d v="2023-12-31T00:00:00"/>
    <d v="2023-12-06T00:00:00"/>
    <d v="2023-12-31T00:00:00"/>
    <n v="25"/>
    <s v="12-2023"/>
    <x v="1"/>
    <s v="Japan"/>
    <s v="Osaka"/>
    <s v="Consumer"/>
    <x v="0"/>
    <x v="4"/>
    <x v="1"/>
    <x v="4"/>
    <n v="663.03"/>
    <n v="813.51"/>
    <n v="0.10199999999999999"/>
    <n v="15"/>
    <n v="10957.9797"/>
    <n v="9945.4499999999989"/>
    <n v="1012.529700000001"/>
    <n v="9.2401129379715952E-2"/>
    <s v="Q4-2023"/>
    <s v="Asia → Japan → Osaka"/>
    <s v="Low"/>
    <n v="2023"/>
    <x v="3"/>
    <s v="No"/>
    <x v="0"/>
  </r>
  <r>
    <s v="ORD-2023-723587"/>
    <d v="2023-01-02T00:00:00"/>
    <d v="2023-01-05T00:00:00"/>
    <d v="2023-01-02T00:00:00"/>
    <d v="2023-01-05T00:00:00"/>
    <n v="3"/>
    <s v="1-2023"/>
    <x v="2"/>
    <s v="Canada"/>
    <s v="Toronto"/>
    <s v="Corporate"/>
    <x v="3"/>
    <x v="5"/>
    <x v="4"/>
    <x v="5"/>
    <n v="315.87"/>
    <n v="591.67999999999995"/>
    <n v="0"/>
    <n v="7"/>
    <n v="4141.7599999999993"/>
    <n v="2211.09"/>
    <n v="1930.6699999999992"/>
    <n v="0.46614724175229844"/>
    <s v="Q1-2023"/>
    <s v="Americas → Canada → Toronto"/>
    <s v="Low"/>
    <n v="2023"/>
    <x v="4"/>
    <s v="Yes"/>
    <x v="0"/>
  </r>
  <r>
    <s v="ORD-2024-336584"/>
    <d v="2024-12-27T00:00:00"/>
    <d v="2025-01-14T00:00:00"/>
    <d v="2024-12-27T00:00:00"/>
    <d v="2025-01-14T00:00:00"/>
    <n v="18"/>
    <s v="12-2024"/>
    <x v="1"/>
    <s v="India"/>
    <s v="Bengaluru"/>
    <s v="Small Business"/>
    <x v="2"/>
    <x v="6"/>
    <x v="5"/>
    <x v="6"/>
    <n v="586.07000000000005"/>
    <n v="845.97"/>
    <n v="0.14699999999999999"/>
    <n v="4"/>
    <n v="2886.4496399999998"/>
    <n v="2344.2800000000002"/>
    <n v="542.16963999999962"/>
    <n v="0.18783270370862928"/>
    <s v="Q4-2024"/>
    <s v="Asia → India → Bengaluru"/>
    <s v="Low"/>
    <n v="2024"/>
    <x v="3"/>
    <s v="No"/>
    <x v="0"/>
  </r>
  <r>
    <s v="ORD-2023-112666"/>
    <d v="2023-01-15T00:00:00"/>
    <d v="2023-01-13T00:00:00"/>
    <d v="2023-01-13T00:00:00"/>
    <d v="2023-01-15T00:00:00"/>
    <n v="2"/>
    <s v="1-2023"/>
    <x v="0"/>
    <s v="Nigeria"/>
    <s v="Abuja"/>
    <s v="Education"/>
    <x v="1"/>
    <x v="7"/>
    <x v="1"/>
    <x v="7"/>
    <n v="28.38"/>
    <n v="47.22"/>
    <n v="0.19400000000000001"/>
    <n v="18"/>
    <n v="685.06776000000002"/>
    <n v="510.84"/>
    <n v="174.22776000000005"/>
    <n v="0.25432193743871417"/>
    <s v="Q1-2023"/>
    <s v="Africa → Nigeria → Abuja"/>
    <s v="Low"/>
    <n v="2023"/>
    <x v="4"/>
    <s v="Yes"/>
    <x v="0"/>
  </r>
  <r>
    <s v="ORD-2024-589570"/>
    <d v="2024-05-04T00:00:00"/>
    <d v="2024-05-29T00:00:00"/>
    <d v="2024-05-04T00:00:00"/>
    <d v="2024-05-29T00:00:00"/>
    <n v="25"/>
    <s v="5-2024"/>
    <x v="0"/>
    <s v="Nigeria"/>
    <s v="Abuja"/>
    <s v="Non-Profit"/>
    <x v="2"/>
    <x v="7"/>
    <x v="5"/>
    <x v="8"/>
    <n v="1295.3399999999999"/>
    <n v="2530.81"/>
    <n v="3.1E-2"/>
    <n v="6"/>
    <n v="14714.12934"/>
    <n v="7772.0399999999991"/>
    <n v="6942.0893400000004"/>
    <n v="0.4717974933880798"/>
    <s v="Q2-2024"/>
    <s v="Africa → Nigeria → Abuja"/>
    <s v="High"/>
    <n v="2024"/>
    <x v="5"/>
    <s v="No"/>
    <x v="0"/>
  </r>
  <r>
    <s v="ORD-2023-856322"/>
    <d v="2023-01-29T00:00:00"/>
    <d v="2023-02-06T00:00:00"/>
    <d v="2023-01-29T00:00:00"/>
    <d v="2023-02-06T00:00:00"/>
    <n v="8"/>
    <s v="1-2023"/>
    <x v="2"/>
    <s v="Brazil"/>
    <s v="Brasília"/>
    <s v="Corporate"/>
    <x v="2"/>
    <x v="8"/>
    <x v="5"/>
    <x v="9"/>
    <n v="41.84"/>
    <n v="86.2"/>
    <n v="0.22600000000000001"/>
    <n v="27"/>
    <n v="1801.4076000000002"/>
    <n v="1129.68"/>
    <n v="671.72760000000017"/>
    <n v="0.37289039970742882"/>
    <s v="Q1-2023"/>
    <s v="Americas → Brazil → Brasília"/>
    <s v="Low"/>
    <n v="2023"/>
    <x v="4"/>
    <s v="No"/>
    <x v="1"/>
  </r>
  <r>
    <s v="ORD-2024-901115"/>
    <d v="2024-07-25T00:00:00"/>
    <d v="2024-08-02T00:00:00"/>
    <d v="2024-07-25T00:00:00"/>
    <d v="2024-08-02T00:00:00"/>
    <n v="8"/>
    <s v="7-2024"/>
    <x v="2"/>
    <s v="Canada"/>
    <s v="Montreal"/>
    <s v="Consumer"/>
    <x v="4"/>
    <x v="1"/>
    <x v="6"/>
    <x v="10"/>
    <n v="986.81"/>
    <n v="2050.31"/>
    <n v="0.10299999999999999"/>
    <n v="43"/>
    <n v="79082.507010000001"/>
    <n v="42432.829999999994"/>
    <n v="36649.677010000007"/>
    <n v="0.46343595310358138"/>
    <s v="Q3-2024"/>
    <s v="Americas → Canada → Montreal"/>
    <s v="High"/>
    <n v="2024"/>
    <x v="6"/>
    <s v="No"/>
    <x v="0"/>
  </r>
  <r>
    <s v="ORD-2025-515515"/>
    <d v="2025-01-03T00:00:00"/>
    <d v="2025-01-23T00:00:00"/>
    <d v="2025-01-03T00:00:00"/>
    <d v="2025-01-23T00:00:00"/>
    <n v="20"/>
    <s v="1-2025"/>
    <x v="1"/>
    <s v="Japan"/>
    <s v="Osaka"/>
    <s v="Corporate"/>
    <x v="3"/>
    <x v="9"/>
    <x v="3"/>
    <x v="11"/>
    <n v="908.6"/>
    <n v="691.37"/>
    <n v="0.25"/>
    <n v="20"/>
    <n v="10370.549999999999"/>
    <n v="18172"/>
    <n v="-7801.4500000000007"/>
    <n v="-0.75226964818645115"/>
    <s v="Q1-2025"/>
    <s v="Asia → Japan → Osaka"/>
    <s v="Low"/>
    <n v="2025"/>
    <x v="4"/>
    <s v="No"/>
    <x v="1"/>
  </r>
  <r>
    <s v="ORD-2023-271836"/>
    <d v="2023-02-07T00:00:00"/>
    <d v="2023-02-12T00:00:00"/>
    <d v="2023-02-07T00:00:00"/>
    <d v="2023-02-12T00:00:00"/>
    <n v="5"/>
    <s v="2-2023"/>
    <x v="2"/>
    <s v="Brazil"/>
    <s v="São Paulo"/>
    <s v="Education"/>
    <x v="1"/>
    <x v="10"/>
    <x v="0"/>
    <x v="12"/>
    <n v="948.55"/>
    <n v="2089.16"/>
    <n v="7.0000000000000001E-3"/>
    <n v="12"/>
    <n v="24894.430559999997"/>
    <n v="11382.599999999999"/>
    <n v="13511.830559999999"/>
    <n v="0.54276519912492427"/>
    <s v="Q1-2023"/>
    <s v="Americas → Brazil → São Paulo"/>
    <s v="High"/>
    <n v="2023"/>
    <x v="2"/>
    <s v="Yes"/>
    <x v="0"/>
  </r>
  <r>
    <s v="ORD-2024-890180"/>
    <d v="2024-01-20T00:00:00"/>
    <d v="2024-02-13T00:00:00"/>
    <d v="2024-01-20T00:00:00"/>
    <d v="2024-02-13T00:00:00"/>
    <n v="24"/>
    <s v="1-2024"/>
    <x v="3"/>
    <s v="France"/>
    <s v="Marseille"/>
    <s v="Corporate"/>
    <x v="0"/>
    <x v="11"/>
    <x v="1"/>
    <x v="13"/>
    <n v="643.53"/>
    <n v="1439.01"/>
    <n v="0"/>
    <n v="15"/>
    <n v="21585.15"/>
    <n v="9652.9499999999989"/>
    <n v="11932.200000000003"/>
    <n v="0.55279671440782208"/>
    <s v="Q1-2024"/>
    <s v="Europe → France → Marseille"/>
    <s v="Medium"/>
    <n v="2024"/>
    <x v="4"/>
    <s v="No"/>
    <x v="0"/>
  </r>
  <r>
    <s v="ORD-2023-869884"/>
    <d v="2023-03-02T00:00:00"/>
    <d v="2023-03-05T00:00:00"/>
    <d v="2023-03-02T00:00:00"/>
    <d v="2023-03-05T00:00:00"/>
    <n v="3"/>
    <s v="3-2023"/>
    <x v="2"/>
    <s v="Brazil"/>
    <s v="Brasília"/>
    <s v="Enterprise"/>
    <x v="4"/>
    <x v="3"/>
    <x v="5"/>
    <x v="14"/>
    <n v="1473.58"/>
    <n v="3436.52"/>
    <n v="0.108"/>
    <n v="8"/>
    <n v="24523.006720000001"/>
    <n v="11788.64"/>
    <n v="12734.366720000002"/>
    <n v="0.51928243813652564"/>
    <s v="Q1-2023"/>
    <s v="Americas → Brazil → Brasília"/>
    <s v="High"/>
    <n v="2023"/>
    <x v="0"/>
    <s v="Yes"/>
    <x v="0"/>
  </r>
  <r>
    <s v="ORD-2023-937291"/>
    <d v="2023-04-23T00:00:00"/>
    <d v="2023-04-22T00:00:00"/>
    <d v="2023-04-22T00:00:00"/>
    <d v="2023-04-23T00:00:00"/>
    <n v="1"/>
    <s v="4-2023"/>
    <x v="0"/>
    <s v="Kenya"/>
    <s v="Nairobi"/>
    <s v="Small Business"/>
    <x v="4"/>
    <x v="6"/>
    <x v="4"/>
    <x v="15"/>
    <n v="756.51"/>
    <n v="850.8"/>
    <n v="7.3999999999999996E-2"/>
    <n v="9"/>
    <n v="7090.5672000000004"/>
    <n v="6808.59"/>
    <n v="281.97720000000027"/>
    <n v="3.9767932810791252E-2"/>
    <s v="Q2-2023"/>
    <s v="Africa → Kenya → Nairobi"/>
    <s v="Low"/>
    <n v="2023"/>
    <x v="7"/>
    <s v="Yes"/>
    <x v="0"/>
  </r>
  <r>
    <s v="ORD-2024-206081"/>
    <d v="2024-12-10T00:00:00"/>
    <d v="2025-01-08T00:00:00"/>
    <d v="2024-12-10T00:00:00"/>
    <d v="2025-01-08T00:00:00"/>
    <n v="29"/>
    <s v="12-2024"/>
    <x v="3"/>
    <s v="France"/>
    <s v="Marseille"/>
    <s v="Small Business"/>
    <x v="0"/>
    <x v="12"/>
    <x v="1"/>
    <x v="16"/>
    <n v="891.08"/>
    <n v="1040.0999999999999"/>
    <n v="0.109"/>
    <n v="28"/>
    <n v="25948.414799999995"/>
    <n v="24950.240000000002"/>
    <n v="998.17479999999341"/>
    <n v="3.8467660074556598E-2"/>
    <s v="Q4-2024"/>
    <s v="Europe → France → Marseille"/>
    <s v="Low"/>
    <n v="2024"/>
    <x v="3"/>
    <s v="No"/>
    <x v="0"/>
  </r>
  <r>
    <s v="ORD-2025-233883"/>
    <d v="2025-09-08T00:00:00"/>
    <d v="2025-09-16T00:00:00"/>
    <d v="2025-09-08T00:00:00"/>
    <d v="2025-09-16T00:00:00"/>
    <n v="8"/>
    <s v="9-2025"/>
    <x v="1"/>
    <s v="Japan"/>
    <s v="Osaka"/>
    <s v="Corporate"/>
    <x v="3"/>
    <x v="0"/>
    <x v="3"/>
    <x v="17"/>
    <n v="1225.57"/>
    <n v="2705.57"/>
    <n v="0.183"/>
    <n v="16"/>
    <n v="35367.211040000002"/>
    <n v="19609.12"/>
    <n v="15758.091040000003"/>
    <n v="0.44555650775453404"/>
    <s v="Q3-2025"/>
    <s v="Asia → Japan → Osaka"/>
    <s v="High"/>
    <n v="2025"/>
    <x v="8"/>
    <s v="No"/>
    <x v="0"/>
  </r>
  <r>
    <s v="ORD-2023-747341"/>
    <d v="2023-04-19T00:00:00"/>
    <d v="2023-04-28T00:00:00"/>
    <d v="2023-04-19T00:00:00"/>
    <d v="2023-04-28T00:00:00"/>
    <n v="9"/>
    <s v="4-2023"/>
    <x v="2"/>
    <s v="Brazil"/>
    <s v="Rio de Janeiro"/>
    <s v="Corporate"/>
    <x v="3"/>
    <x v="13"/>
    <x v="3"/>
    <x v="18"/>
    <n v="1013.54"/>
    <n v="927.93"/>
    <n v="0.17499999999999999"/>
    <n v="16"/>
    <n v="12248.675999999999"/>
    <n v="16216.64"/>
    <n v="-3967.9639999999999"/>
    <n v="-0.32395044166406234"/>
    <s v="Q2-2023"/>
    <s v="Americas → Brazil → Rio de Janeiro"/>
    <s v="Low"/>
    <n v="2023"/>
    <x v="7"/>
    <s v="No"/>
    <x v="0"/>
  </r>
  <r>
    <s v="ORD-2025-745263"/>
    <d v="2025-05-21T00:00:00"/>
    <d v="2025-05-19T00:00:00"/>
    <d v="2025-05-19T00:00:00"/>
    <d v="2025-05-21T00:00:00"/>
    <n v="2"/>
    <s v="5-2025"/>
    <x v="3"/>
    <s v="United Kingdom"/>
    <s v="Birmingham"/>
    <s v="Enterprise"/>
    <x v="1"/>
    <x v="13"/>
    <x v="4"/>
    <x v="19"/>
    <n v="1015.16"/>
    <n v="2148.14"/>
    <n v="3.7999999999999999E-2"/>
    <n v="19"/>
    <n v="39263.702919999996"/>
    <n v="19288.04"/>
    <n v="19975.662919999995"/>
    <n v="0.50875647059322227"/>
    <s v="Q2-2025"/>
    <s v="Europe → United Kingdom → Birmingham"/>
    <s v="High"/>
    <n v="2025"/>
    <x v="5"/>
    <s v="Yes"/>
    <x v="0"/>
  </r>
  <r>
    <s v="ORD-2024-798002"/>
    <d v="2024-07-25T00:00:00"/>
    <d v="2024-07-24T00:00:00"/>
    <d v="2024-07-24T00:00:00"/>
    <d v="2024-07-25T00:00:00"/>
    <n v="1"/>
    <s v="7-2024"/>
    <x v="0"/>
    <s v="Kenya"/>
    <s v="Mombasa"/>
    <s v="Non-Profit"/>
    <x v="4"/>
    <x v="1"/>
    <x v="4"/>
    <x v="20"/>
    <n v="1494.4"/>
    <n v="3661.07"/>
    <n v="7.1999999999999995E-2"/>
    <n v="7"/>
    <n v="23782.310720000001"/>
    <n v="10460.800000000001"/>
    <n v="13321.51072"/>
    <n v="0.56014366630897339"/>
    <s v="Q3-2024"/>
    <s v="Africa → Kenya → Mombasa"/>
    <s v="High"/>
    <n v="2024"/>
    <x v="6"/>
    <s v="Yes"/>
    <x v="0"/>
  </r>
  <r>
    <s v="ORD-2023-867836"/>
    <d v="2023-05-11T00:00:00"/>
    <d v="2023-05-28T00:00:00"/>
    <d v="2023-05-11T00:00:00"/>
    <d v="2023-05-28T00:00:00"/>
    <n v="17"/>
    <s v="5-2023"/>
    <x v="1"/>
    <s v="China"/>
    <s v="Shenzhen"/>
    <s v="Enterprise"/>
    <x v="2"/>
    <x v="6"/>
    <x v="2"/>
    <x v="21"/>
    <n v="1331.19"/>
    <n v="2903.09"/>
    <n v="0.14299999999999999"/>
    <n v="8"/>
    <n v="19903.585040000002"/>
    <n v="10649.52"/>
    <n v="9254.0650400000013"/>
    <n v="0.46494463290920784"/>
    <s v="Q2-2023"/>
    <s v="Asia → China → Shenzhen"/>
    <s v="High"/>
    <n v="2023"/>
    <x v="5"/>
    <s v="No"/>
    <x v="0"/>
  </r>
  <r>
    <s v="ORD-2023-835010"/>
    <d v="2023-03-23T00:00:00"/>
    <d v="2023-04-15T00:00:00"/>
    <d v="2023-03-23T00:00:00"/>
    <d v="2023-04-15T00:00:00"/>
    <n v="23"/>
    <s v="3-2023"/>
    <x v="0"/>
    <s v="Kenya"/>
    <s v="Mombasa"/>
    <s v="Small Business"/>
    <x v="0"/>
    <x v="0"/>
    <x v="6"/>
    <x v="22"/>
    <n v="875.36"/>
    <n v="1178.6199999999999"/>
    <n v="0.151"/>
    <n v="53"/>
    <n v="53034.364139999991"/>
    <n v="46394.080000000002"/>
    <n v="6640.2841399999888"/>
    <n v="0.12520719815685888"/>
    <s v="Q1-2023"/>
    <s v="Africa → Kenya → Mombasa"/>
    <s v="Low"/>
    <n v="2023"/>
    <x v="0"/>
    <s v="No"/>
    <x v="0"/>
  </r>
  <r>
    <s v="ORD-2024-500109"/>
    <d v="2024-05-18T00:00:00"/>
    <d v="2024-05-23T00:00:00"/>
    <d v="2024-05-18T00:00:00"/>
    <d v="2024-05-23T00:00:00"/>
    <n v="5"/>
    <s v="5-2024"/>
    <x v="2"/>
    <s v="USA"/>
    <s v="Chicago"/>
    <s v="Enterprise"/>
    <x v="0"/>
    <x v="11"/>
    <x v="4"/>
    <x v="23"/>
    <n v="1274.5899999999999"/>
    <n v="2553.69"/>
    <n v="0.01"/>
    <n v="8"/>
    <n v="20225.2248"/>
    <n v="10196.719999999999"/>
    <n v="10028.504800000001"/>
    <n v="0.49584145042481803"/>
    <s v="Q2-2024"/>
    <s v="Americas → USA → Chicago"/>
    <s v="High"/>
    <n v="2024"/>
    <x v="5"/>
    <s v="Yes"/>
    <x v="0"/>
  </r>
  <r>
    <s v="ORD-2023-588455"/>
    <d v="2023-05-23T00:00:00"/>
    <d v="2023-05-25T00:00:00"/>
    <d v="2023-05-23T00:00:00"/>
    <d v="2023-05-25T00:00:00"/>
    <n v="2"/>
    <s v="5-2023"/>
    <x v="2"/>
    <s v="Brazil"/>
    <s v="Rio de Janeiro"/>
    <s v="Enterprise"/>
    <x v="0"/>
    <x v="13"/>
    <x v="1"/>
    <x v="24"/>
    <n v="690.49"/>
    <n v="1290.29"/>
    <n v="4.2000000000000003E-2"/>
    <n v="22"/>
    <n v="27194.152039999997"/>
    <n v="15190.78"/>
    <n v="12003.372039999997"/>
    <n v="0.44139534199647718"/>
    <s v="Q2-2023"/>
    <s v="Americas → Brazil → Rio de Janeiro"/>
    <s v="Medium"/>
    <n v="2023"/>
    <x v="5"/>
    <s v="Yes"/>
    <x v="0"/>
  </r>
  <r>
    <s v="ORD-2023-244375"/>
    <d v="2023-06-03T00:00:00"/>
    <d v="2023-07-01T00:00:00"/>
    <d v="2023-06-03T00:00:00"/>
    <d v="2023-07-01T00:00:00"/>
    <n v="28"/>
    <s v="6-2023"/>
    <x v="2"/>
    <s v="Brazil"/>
    <s v="Brasília"/>
    <s v="Small Business"/>
    <x v="2"/>
    <x v="14"/>
    <x v="0"/>
    <x v="25"/>
    <n v="860.4"/>
    <n v="2066.6"/>
    <n v="0.01"/>
    <n v="3"/>
    <n v="6137.8019999999988"/>
    <n v="2581.1999999999998"/>
    <n v="3556.601999999999"/>
    <n v="0.57945857491004105"/>
    <s v="Q2-2023"/>
    <s v="Americas → Brazil → Brasília"/>
    <s v="High"/>
    <n v="2023"/>
    <x v="9"/>
    <s v="No"/>
    <x v="0"/>
  </r>
  <r>
    <s v="ORD-2024-788105"/>
    <d v="2024-11-30T00:00:00"/>
    <d v="2024-12-30T00:00:00"/>
    <d v="2024-11-30T00:00:00"/>
    <d v="2024-12-30T00:00:00"/>
    <n v="30"/>
    <s v="11-2024"/>
    <x v="3"/>
    <s v="France"/>
    <s v="Marseille"/>
    <s v="Consumer"/>
    <x v="2"/>
    <x v="9"/>
    <x v="1"/>
    <x v="26"/>
    <n v="117.64"/>
    <n v="175.67"/>
    <n v="0"/>
    <n v="10"/>
    <n v="1756.6999999999998"/>
    <n v="1176.4000000000001"/>
    <n v="580.29999999999973"/>
    <n v="0.33033528775545046"/>
    <s v="Q4-2024"/>
    <s v="Europe → France → Marseille"/>
    <s v="Low"/>
    <n v="2024"/>
    <x v="10"/>
    <s v="No"/>
    <x v="0"/>
  </r>
  <r>
    <s v="ORD-2024-855073"/>
    <d v="2024-07-19T00:00:00"/>
    <d v="2024-07-19T00:00:00"/>
    <d v="2024-07-19T00:00:00"/>
    <d v="2024-07-19T00:00:00"/>
    <n v="0"/>
    <s v="7-2024"/>
    <x v="0"/>
    <s v="Kenya"/>
    <s v="Kisumu"/>
    <s v="Small Business"/>
    <x v="0"/>
    <x v="14"/>
    <x v="3"/>
    <x v="27"/>
    <n v="857.24"/>
    <n v="758.23"/>
    <n v="0.125"/>
    <n v="6"/>
    <n v="3980.7075"/>
    <n v="5143.4400000000005"/>
    <n v="-1162.7325000000005"/>
    <n v="-0.29209192084572921"/>
    <s v="Q3-2024"/>
    <s v="Africa → Kenya → Kisumu"/>
    <s v="Low"/>
    <n v="2024"/>
    <x v="6"/>
    <s v="Yes"/>
    <x v="0"/>
  </r>
  <r>
    <s v="ORD-2023-897079"/>
    <d v="2023-04-14T00:00:00"/>
    <d v="2023-05-14T00:00:00"/>
    <d v="2023-04-14T00:00:00"/>
    <d v="2023-05-14T00:00:00"/>
    <n v="30"/>
    <s v="4-2023"/>
    <x v="0"/>
    <s v="Kenya"/>
    <s v="Nakuru"/>
    <s v="Consumer"/>
    <x v="2"/>
    <x v="13"/>
    <x v="3"/>
    <x v="28"/>
    <n v="209.25"/>
    <n v="434.8"/>
    <n v="0"/>
    <n v="9"/>
    <n v="3913.2000000000003"/>
    <n v="1883.25"/>
    <n v="2029.9500000000003"/>
    <n v="0.51874425022999082"/>
    <s v="Q2-2023"/>
    <s v="Africa → Kenya → Nakuru"/>
    <s v="Low"/>
    <n v="2023"/>
    <x v="7"/>
    <s v="No"/>
    <x v="0"/>
  </r>
  <r>
    <s v="ORD-2025-548982"/>
    <d v="2025-04-07T00:00:00"/>
    <d v="2025-04-11T00:00:00"/>
    <d v="2025-04-07T00:00:00"/>
    <d v="2025-04-11T00:00:00"/>
    <n v="4"/>
    <s v="4-2025"/>
    <x v="3"/>
    <s v="France"/>
    <s v="Lyon"/>
    <s v="Education"/>
    <x v="0"/>
    <x v="6"/>
    <x v="2"/>
    <x v="29"/>
    <n v="754.77"/>
    <n v="1666.18"/>
    <n v="0.13900000000000001"/>
    <n v="14"/>
    <n v="20084.133720000002"/>
    <n v="10566.779999999999"/>
    <n v="9517.3537200000028"/>
    <n v="0.47387424584424653"/>
    <s v="Q2-2025"/>
    <s v="Europe → France → Lyon"/>
    <s v="Medium"/>
    <n v="2025"/>
    <x v="7"/>
    <s v="Yes"/>
    <x v="0"/>
  </r>
  <r>
    <s v="ORD-2024-170313"/>
    <d v="2024-12-27T00:00:00"/>
    <d v="2025-01-15T00:00:00"/>
    <d v="2024-12-27T00:00:00"/>
    <d v="2025-01-15T00:00:00"/>
    <n v="19"/>
    <s v="12-2024"/>
    <x v="1"/>
    <s v="India"/>
    <s v="Delhi"/>
    <s v="Non-Profit"/>
    <x v="3"/>
    <x v="3"/>
    <x v="0"/>
    <x v="30"/>
    <n v="495.59"/>
    <n v="631.78"/>
    <n v="8.6999999999999994E-2"/>
    <n v="17"/>
    <n v="9805.8573800000013"/>
    <n v="8425.0299999999988"/>
    <n v="1380.8273800000024"/>
    <n v="0.14081658813601899"/>
    <s v="Q4-2024"/>
    <s v="Asia → India → Delhi"/>
    <s v="Low"/>
    <n v="2024"/>
    <x v="3"/>
    <s v="No"/>
    <x v="0"/>
  </r>
  <r>
    <s v="ORD-2023-562894"/>
    <d v="2023-02-23T00:00:00"/>
    <d v="2023-03-25T00:00:00"/>
    <d v="2023-02-23T00:00:00"/>
    <d v="2023-03-25T00:00:00"/>
    <n v="30"/>
    <s v="2-2023"/>
    <x v="2"/>
    <s v="Canada"/>
    <s v="Montreal"/>
    <s v="Enterprise"/>
    <x v="1"/>
    <x v="8"/>
    <x v="3"/>
    <x v="31"/>
    <n v="1242.6600000000001"/>
    <n v="1794.07"/>
    <n v="8.8999999999999996E-2"/>
    <n v="16"/>
    <n v="26150.364320000001"/>
    <n v="19882.560000000001"/>
    <n v="6267.8043199999993"/>
    <n v="0.23968325042440553"/>
    <s v="Q1-2023"/>
    <s v="Americas → Canada → Montreal"/>
    <s v="Medium"/>
    <n v="2023"/>
    <x v="2"/>
    <s v="No"/>
    <x v="0"/>
  </r>
  <r>
    <s v="ORD-2025-474710"/>
    <d v="2025-07-24T00:00:00"/>
    <d v="2025-08-06T00:00:00"/>
    <d v="2025-07-24T00:00:00"/>
    <d v="2025-08-06T00:00:00"/>
    <n v="13"/>
    <s v="7-2025"/>
    <x v="0"/>
    <s v="South Africa"/>
    <s v="Johannesburg"/>
    <s v="Education"/>
    <x v="2"/>
    <x v="8"/>
    <x v="2"/>
    <x v="32"/>
    <n v="1463.9"/>
    <n v="2633.02"/>
    <n v="8.4000000000000005E-2"/>
    <n v="4"/>
    <n v="9647.3852800000004"/>
    <n v="5855.6"/>
    <n v="3791.7852800000001"/>
    <n v="0.39303761277791527"/>
    <s v="Q3-2025"/>
    <s v="Africa → South Africa → Johannesburg"/>
    <s v="High"/>
    <n v="2025"/>
    <x v="6"/>
    <s v="No"/>
    <x v="0"/>
  </r>
  <r>
    <s v="ORD-2024-629525"/>
    <d v="2024-04-18T00:00:00"/>
    <d v="2024-05-08T00:00:00"/>
    <d v="2024-04-18T00:00:00"/>
    <d v="2024-05-08T00:00:00"/>
    <n v="20"/>
    <s v="4-2024"/>
    <x v="3"/>
    <s v="United Kingdom"/>
    <s v="London"/>
    <s v="Non-Profit"/>
    <x v="5"/>
    <x v="8"/>
    <x v="4"/>
    <x v="33"/>
    <n v="645.33000000000004"/>
    <n v="1321.85"/>
    <n v="0"/>
    <n v="10"/>
    <n v="13218.5"/>
    <n v="6453.3"/>
    <n v="6765.2"/>
    <n v="0.51179785906116426"/>
    <s v="Q2-2024"/>
    <s v="Europe → United Kingdom → London"/>
    <s v="Medium"/>
    <n v="2024"/>
    <x v="7"/>
    <s v="No"/>
    <x v="0"/>
  </r>
  <r>
    <s v="ORD-2024-167215"/>
    <d v="2024-08-23T00:00:00"/>
    <d v="2024-08-21T00:00:00"/>
    <d v="2024-08-21T00:00:00"/>
    <d v="2024-08-23T00:00:00"/>
    <n v="2"/>
    <s v="8-2024"/>
    <x v="0"/>
    <s v="South Africa"/>
    <s v="Johannesburg"/>
    <s v="Education"/>
    <x v="0"/>
    <x v="6"/>
    <x v="0"/>
    <x v="34"/>
    <n v="1432.52"/>
    <n v="3036.87"/>
    <n v="0"/>
    <n v="9"/>
    <n v="27331.829999999998"/>
    <n v="12892.68"/>
    <n v="14439.149999999998"/>
    <n v="0.52829064135112791"/>
    <s v="Q3-2024"/>
    <s v="Africa → South Africa → Johannesburg"/>
    <s v="High"/>
    <n v="2024"/>
    <x v="11"/>
    <s v="Yes"/>
    <x v="0"/>
  </r>
  <r>
    <s v="ORD-2023-864121"/>
    <d v="2023-03-27T00:00:00"/>
    <d v="2023-04-22T00:00:00"/>
    <d v="2023-03-27T00:00:00"/>
    <d v="2023-04-22T00:00:00"/>
    <n v="26"/>
    <s v="3-2023"/>
    <x v="1"/>
    <s v="India"/>
    <s v="Delhi"/>
    <s v="Non-Profit"/>
    <x v="2"/>
    <x v="1"/>
    <x v="1"/>
    <x v="35"/>
    <n v="178.53"/>
    <n v="199.37"/>
    <n v="0.10100000000000001"/>
    <n v="37"/>
    <n v="6631.6443100000006"/>
    <n v="6605.61"/>
    <n v="26.034310000000914"/>
    <n v="3.9257699573457538E-3"/>
    <s v="Q1-2023"/>
    <s v="Asia → India → Delhi"/>
    <s v="Low"/>
    <n v="2023"/>
    <x v="0"/>
    <s v="No"/>
    <x v="0"/>
  </r>
  <r>
    <s v="ORD-2024-692673"/>
    <d v="2024-03-07T00:00:00"/>
    <d v="2024-03-25T00:00:00"/>
    <d v="2024-03-07T00:00:00"/>
    <d v="2024-03-25T00:00:00"/>
    <n v="18"/>
    <s v="3-2024"/>
    <x v="3"/>
    <s v="Germany"/>
    <s v="Munich"/>
    <s v="Corporate"/>
    <x v="1"/>
    <x v="5"/>
    <x v="0"/>
    <x v="36"/>
    <n v="712.84"/>
    <n v="927.51"/>
    <n v="0.24299999999999999"/>
    <n v="27"/>
    <n v="18957.37689"/>
    <n v="19246.68"/>
    <n v="-289.30311000000074"/>
    <n v="-1.5260714163076427E-2"/>
    <s v="Q1-2024"/>
    <s v="Europe → Germany → Munich"/>
    <s v="Low"/>
    <n v="2024"/>
    <x v="0"/>
    <s v="No"/>
    <x v="1"/>
  </r>
  <r>
    <s v="ORD-2025-718992"/>
    <d v="2025-06-24T00:00:00"/>
    <d v="2025-07-10T00:00:00"/>
    <d v="2025-06-24T00:00:00"/>
    <d v="2025-07-10T00:00:00"/>
    <n v="16"/>
    <s v="6-2025"/>
    <x v="1"/>
    <s v="China"/>
    <s v="Shanghai"/>
    <s v="Enterprise"/>
    <x v="4"/>
    <x v="10"/>
    <x v="0"/>
    <x v="37"/>
    <n v="757.19"/>
    <n v="1735.41"/>
    <n v="0.13600000000000001"/>
    <n v="8"/>
    <n v="11995.153920000001"/>
    <n v="6057.52"/>
    <n v="5937.6339200000002"/>
    <n v="0.4950027285685718"/>
    <s v="Q2-2025"/>
    <s v="Asia → China → Shanghai"/>
    <s v="Medium"/>
    <n v="2025"/>
    <x v="9"/>
    <s v="No"/>
    <x v="0"/>
  </r>
  <r>
    <s v="ORD-2024-599522"/>
    <d v="2024-04-19T00:00:00"/>
    <d v="2024-05-06T00:00:00"/>
    <d v="2024-04-19T00:00:00"/>
    <d v="2024-05-06T00:00:00"/>
    <n v="17"/>
    <s v="4-2024"/>
    <x v="0"/>
    <s v="Nigeria"/>
    <s v="Port Harcourt"/>
    <s v="Non-Profit"/>
    <x v="1"/>
    <x v="14"/>
    <x v="1"/>
    <x v="38"/>
    <n v="865.33"/>
    <n v="1395.64"/>
    <n v="0.17499999999999999"/>
    <n v="13"/>
    <n v="14968.239"/>
    <n v="11249.29"/>
    <n v="3718.9489999999987"/>
    <n v="0.24845601409758347"/>
    <s v="Q2-2024"/>
    <s v="Africa → Nigeria → Port Harcourt"/>
    <s v="Medium"/>
    <n v="2024"/>
    <x v="7"/>
    <s v="No"/>
    <x v="0"/>
  </r>
  <r>
    <s v="ORD-2023-651638"/>
    <d v="2023-06-17T00:00:00"/>
    <d v="2023-06-24T00:00:00"/>
    <d v="2023-06-17T00:00:00"/>
    <d v="2023-06-24T00:00:00"/>
    <n v="7"/>
    <s v="6-2023"/>
    <x v="2"/>
    <s v="USA"/>
    <s v="San Francisco"/>
    <s v="Corporate"/>
    <x v="0"/>
    <x v="2"/>
    <x v="1"/>
    <x v="39"/>
    <n v="313.99"/>
    <n v="454.42"/>
    <n v="0.129"/>
    <n v="9"/>
    <n v="3562.1983800000003"/>
    <n v="2825.91"/>
    <n v="736.28838000000042"/>
    <n v="0.20669493988147858"/>
    <s v="Q2-2023"/>
    <s v="Americas → USA → San Francisco"/>
    <s v="Low"/>
    <n v="2023"/>
    <x v="9"/>
    <s v="Yes"/>
    <x v="0"/>
  </r>
  <r>
    <s v="ORD-2024-635626"/>
    <d v="2024-08-27T00:00:00"/>
    <d v="2024-09-19T00:00:00"/>
    <d v="2024-08-27T00:00:00"/>
    <d v="2024-09-19T00:00:00"/>
    <n v="23"/>
    <s v="8-2024"/>
    <x v="3"/>
    <s v="Germany"/>
    <s v="Berlin"/>
    <s v="Small Business"/>
    <x v="4"/>
    <x v="8"/>
    <x v="5"/>
    <x v="40"/>
    <n v="1024.01"/>
    <n v="1580.97"/>
    <n v="3.6999999999999998E-2"/>
    <n v="27"/>
    <n v="41106.800970000004"/>
    <n v="27648.27"/>
    <n v="13458.530970000003"/>
    <n v="0.3274039976942531"/>
    <s v="Q3-2024"/>
    <s v="Europe → Germany → Berlin"/>
    <s v="Medium"/>
    <n v="2024"/>
    <x v="11"/>
    <s v="No"/>
    <x v="0"/>
  </r>
  <r>
    <s v="ORD-2024-296582"/>
    <d v="2024-01-11T00:00:00"/>
    <d v="2024-02-02T00:00:00"/>
    <d v="2024-01-11T00:00:00"/>
    <d v="2024-02-02T00:00:00"/>
    <n v="22"/>
    <s v="1-2024"/>
    <x v="0"/>
    <s v="South Africa"/>
    <s v="Durban"/>
    <s v="Consumer"/>
    <x v="1"/>
    <x v="12"/>
    <x v="2"/>
    <x v="41"/>
    <n v="1206.2"/>
    <n v="1759.79"/>
    <n v="0"/>
    <n v="6"/>
    <n v="10558.74"/>
    <n v="7237.2000000000007"/>
    <n v="3321.5399999999991"/>
    <n v="0.31457730751964713"/>
    <s v="Q1-2024"/>
    <s v="Africa → South Africa → Durban"/>
    <s v="Medium"/>
    <n v="2024"/>
    <x v="4"/>
    <s v="No"/>
    <x v="0"/>
  </r>
  <r>
    <s v="ORD-2024-998320"/>
    <d v="2024-10-25T00:00:00"/>
    <d v="2024-11-14T00:00:00"/>
    <d v="2024-10-25T00:00:00"/>
    <d v="2024-11-14T00:00:00"/>
    <n v="20"/>
    <s v="10-2024"/>
    <x v="0"/>
    <s v="Kenya"/>
    <s v="Mombasa"/>
    <s v="Corporate"/>
    <x v="4"/>
    <x v="11"/>
    <x v="1"/>
    <x v="42"/>
    <n v="1396.48"/>
    <n v="3204.5"/>
    <n v="0.1186"/>
    <n v="14"/>
    <n v="39542.248200000002"/>
    <n v="19550.72"/>
    <n v="19991.528200000001"/>
    <n v="0.50557388894240973"/>
    <s v="Q4-2024"/>
    <s v="Africa → Kenya → Mombasa"/>
    <s v="High"/>
    <n v="2024"/>
    <x v="1"/>
    <s v="No"/>
    <x v="0"/>
  </r>
  <r>
    <s v="ORD-2025-820255"/>
    <d v="2025-05-29T00:00:00"/>
    <d v="2025-06-20T00:00:00"/>
    <d v="2025-05-29T00:00:00"/>
    <d v="2025-06-20T00:00:00"/>
    <n v="22"/>
    <s v="5-2025"/>
    <x v="3"/>
    <s v="Germany"/>
    <s v="Berlin"/>
    <s v="Corporate"/>
    <x v="4"/>
    <x v="14"/>
    <x v="1"/>
    <x v="43"/>
    <n v="483.47"/>
    <n v="1135.43"/>
    <n v="0.14599999999999999"/>
    <n v="11"/>
    <n v="10666.229420000001"/>
    <n v="5318.17"/>
    <n v="5348.0594200000014"/>
    <n v="0.50140112399719983"/>
    <s v="Q2-2025"/>
    <s v="Europe → Germany → Berlin"/>
    <s v="Low"/>
    <n v="2025"/>
    <x v="5"/>
    <s v="No"/>
    <x v="0"/>
  </r>
  <r>
    <s v="ORD-2024-389336"/>
    <d v="2024-05-20T00:00:00"/>
    <d v="2024-06-02T00:00:00"/>
    <d v="2024-05-20T00:00:00"/>
    <d v="2024-06-02T00:00:00"/>
    <n v="13"/>
    <s v="5-2024"/>
    <x v="2"/>
    <s v="Canada"/>
    <s v="Vancouver"/>
    <s v="Enterprise"/>
    <x v="2"/>
    <x v="12"/>
    <x v="0"/>
    <x v="44"/>
    <n v="675.43"/>
    <n v="996.36"/>
    <n v="0.182"/>
    <n v="22"/>
    <n v="17930.494560000003"/>
    <n v="14859.46"/>
    <n v="3071.0345600000037"/>
    <n v="0.17127439233332575"/>
    <s v="Q2-2024"/>
    <s v="Americas → Canada → Vancouver"/>
    <s v="Low"/>
    <n v="2024"/>
    <x v="5"/>
    <s v="No"/>
    <x v="0"/>
  </r>
  <r>
    <s v="ORD-2023-308124"/>
    <d v="2023-04-19T00:00:00"/>
    <d v="2023-04-30T00:00:00"/>
    <d v="2023-04-19T00:00:00"/>
    <d v="2023-04-30T00:00:00"/>
    <n v="11"/>
    <s v="4-2023"/>
    <x v="1"/>
    <s v="India"/>
    <s v="Delhi"/>
    <s v="Small Business"/>
    <x v="0"/>
    <x v="14"/>
    <x v="2"/>
    <x v="45"/>
    <n v="826.55"/>
    <n v="1397.05"/>
    <n v="0.16900000000000001"/>
    <n v="28"/>
    <n v="32506.559399999998"/>
    <n v="23143.399999999998"/>
    <n v="9363.1594000000005"/>
    <n v="0.28803907804527601"/>
    <s v="Q2-2023"/>
    <s v="Asia → India → Delhi"/>
    <s v="Medium"/>
    <n v="2023"/>
    <x v="7"/>
    <s v="No"/>
    <x v="0"/>
  </r>
  <r>
    <s v="ORD-2023-128295"/>
    <d v="2023-06-23T00:00:00"/>
    <d v="2023-07-03T00:00:00"/>
    <d v="2023-06-23T00:00:00"/>
    <d v="2023-07-03T00:00:00"/>
    <n v="10"/>
    <s v="6-2023"/>
    <x v="0"/>
    <s v="Nigeria"/>
    <s v="Abuja"/>
    <s v="Consumer"/>
    <x v="1"/>
    <x v="1"/>
    <x v="1"/>
    <x v="46"/>
    <n v="337.75"/>
    <n v="548.89"/>
    <n v="0"/>
    <n v="13"/>
    <n v="7135.57"/>
    <n v="4390.75"/>
    <n v="2744.8199999999997"/>
    <n v="0.38466723751571352"/>
    <s v="Q2-2023"/>
    <s v="Africa → Nigeria → Abuja"/>
    <s v="Low"/>
    <n v="2023"/>
    <x v="9"/>
    <s v="No"/>
    <x v="0"/>
  </r>
  <r>
    <s v="ORD-2024-548345"/>
    <d v="2024-05-14T00:00:00"/>
    <d v="2024-05-28T00:00:00"/>
    <d v="2024-05-14T00:00:00"/>
    <d v="2024-05-28T00:00:00"/>
    <n v="14"/>
    <s v="5-2024"/>
    <x v="3"/>
    <s v="United Kingdom"/>
    <s v="Birmingham"/>
    <s v="Consumer"/>
    <x v="0"/>
    <x v="5"/>
    <x v="2"/>
    <x v="47"/>
    <n v="1421.14"/>
    <n v="3524"/>
    <n v="0"/>
    <n v="31"/>
    <n v="109244"/>
    <n v="44055.340000000004"/>
    <n v="65188.659999999996"/>
    <n v="0.59672531214528945"/>
    <s v="Q2-2024"/>
    <s v="Europe → United Kingdom → Birmingham"/>
    <s v="High"/>
    <n v="2024"/>
    <x v="5"/>
    <s v="No"/>
    <x v="0"/>
  </r>
  <r>
    <s v="ORD-2024-966651"/>
    <d v="2024-10-14T00:00:00"/>
    <d v="2024-11-08T00:00:00"/>
    <d v="2024-10-14T00:00:00"/>
    <d v="2024-11-08T00:00:00"/>
    <n v="25"/>
    <s v="10-2024"/>
    <x v="0"/>
    <s v="Nigeria"/>
    <s v="Lagos"/>
    <s v="Enterprise"/>
    <x v="1"/>
    <x v="7"/>
    <x v="2"/>
    <x v="48"/>
    <n v="859.35"/>
    <n v="1825.61"/>
    <n v="0.187"/>
    <n v="24"/>
    <n v="35621.302319999995"/>
    <n v="20624.400000000001"/>
    <n v="14996.902319999994"/>
    <n v="0.42100937762681989"/>
    <s v="Q4-2024"/>
    <s v="Africa → Nigeria → Lagos"/>
    <s v="Medium"/>
    <n v="2024"/>
    <x v="1"/>
    <s v="No"/>
    <x v="0"/>
  </r>
  <r>
    <s v="ORD-2023-292714"/>
    <d v="2023-07-10T00:00:00"/>
    <d v="2023-08-01T00:00:00"/>
    <d v="2023-07-10T00:00:00"/>
    <d v="2023-08-01T00:00:00"/>
    <n v="22"/>
    <s v="7-2023"/>
    <x v="3"/>
    <s v="France"/>
    <s v="Marseille"/>
    <s v="Consumer"/>
    <x v="2"/>
    <x v="5"/>
    <x v="1"/>
    <x v="49"/>
    <n v="1303.56"/>
    <n v="1791.37"/>
    <n v="0.126"/>
    <n v="22"/>
    <n v="34444.462359999998"/>
    <n v="28678.32"/>
    <n v="5766.142359999998"/>
    <n v="0.16740404596055358"/>
    <s v="Q3-2023"/>
    <s v="Europe → France → Marseille"/>
    <s v="Medium"/>
    <n v="2023"/>
    <x v="6"/>
    <s v="No"/>
    <x v="0"/>
  </r>
  <r>
    <s v="ORD-2023-957692"/>
    <d v="2023-05-07T00:00:00"/>
    <d v="2023-05-20T00:00:00"/>
    <d v="2023-05-07T00:00:00"/>
    <d v="2023-05-20T00:00:00"/>
    <n v="13"/>
    <s v="5-2023"/>
    <x v="1"/>
    <s v="India"/>
    <s v="Mumbai"/>
    <s v="Enterprise"/>
    <x v="0"/>
    <x v="8"/>
    <x v="6"/>
    <x v="50"/>
    <n v="1443.28"/>
    <n v="2580.5700000000002"/>
    <n v="0"/>
    <n v="18"/>
    <n v="46450.26"/>
    <n v="25979.040000000001"/>
    <n v="20471.22"/>
    <n v="0.4407127107577008"/>
    <s v="Q2-2023"/>
    <s v="Asia → India → Mumbai"/>
    <s v="High"/>
    <n v="2023"/>
    <x v="5"/>
    <s v="No"/>
    <x v="0"/>
  </r>
  <r>
    <s v="ORD-2024-260775"/>
    <d v="2024-10-17T00:00:00"/>
    <d v="2024-11-06T00:00:00"/>
    <d v="2024-10-17T00:00:00"/>
    <d v="2024-11-06T00:00:00"/>
    <n v="20"/>
    <s v="10-2024"/>
    <x v="1"/>
    <s v="India"/>
    <s v="Bengaluru"/>
    <s v="Enterprise"/>
    <x v="3"/>
    <x v="7"/>
    <x v="5"/>
    <x v="51"/>
    <n v="72.94"/>
    <n v="106.3"/>
    <n v="0.29499999999999998"/>
    <n v="8"/>
    <n v="599.53200000000004"/>
    <n v="583.52"/>
    <n v="16.012000000000057"/>
    <n v="2.6707498515508857E-2"/>
    <s v="Q4-2024"/>
    <s v="Asia → India → Bengaluru"/>
    <s v="Low"/>
    <n v="2024"/>
    <x v="1"/>
    <s v="No"/>
    <x v="1"/>
  </r>
  <r>
    <s v="ORD-2023-419187"/>
    <d v="2023-03-31T00:00:00"/>
    <d v="2023-04-05T00:00:00"/>
    <d v="2023-03-31T00:00:00"/>
    <d v="2023-04-05T00:00:00"/>
    <n v="5"/>
    <s v="3-2023"/>
    <x v="0"/>
    <s v="Kenya"/>
    <s v="Nakuru"/>
    <s v="Education"/>
    <x v="2"/>
    <x v="5"/>
    <x v="4"/>
    <x v="52"/>
    <n v="533.26"/>
    <n v="385.72"/>
    <n v="0"/>
    <n v="15"/>
    <n v="5785.8"/>
    <n v="7998.9"/>
    <n v="-2213.0999999999995"/>
    <n v="-0.38250544436378708"/>
    <s v="Q1-2023"/>
    <s v="Africa → Kenya → Nakuru"/>
    <s v="Low"/>
    <n v="2023"/>
    <x v="0"/>
    <s v="Yes"/>
    <x v="0"/>
  </r>
  <r>
    <s v="ORD-2025-578007"/>
    <d v="2025-01-21T00:00:00"/>
    <d v="2025-02-16T00:00:00"/>
    <d v="2025-01-21T00:00:00"/>
    <d v="2025-02-16T00:00:00"/>
    <n v="26"/>
    <s v="1-2025"/>
    <x v="3"/>
    <s v="France"/>
    <s v="Lyon"/>
    <s v="Corporate"/>
    <x v="3"/>
    <x v="7"/>
    <x v="4"/>
    <x v="53"/>
    <n v="204.11"/>
    <n v="236.87"/>
    <n v="0.182"/>
    <n v="13"/>
    <n v="2518.8755800000004"/>
    <n v="2653.4300000000003"/>
    <n v="-134.55441999999994"/>
    <n v="-5.3418446337075494E-2"/>
    <s v="Q1-2025"/>
    <s v="Europe → France → Lyon"/>
    <s v="Low"/>
    <n v="2025"/>
    <x v="4"/>
    <s v="No"/>
    <x v="0"/>
  </r>
  <r>
    <s v="ORD-2023-235230"/>
    <d v="2023-08-30T00:00:00"/>
    <d v="2023-09-01T00:00:00"/>
    <d v="2023-08-30T00:00:00"/>
    <d v="2023-09-01T00:00:00"/>
    <n v="2"/>
    <s v="8-2023"/>
    <x v="3"/>
    <s v="Germany"/>
    <s v="Munich"/>
    <s v="Corporate"/>
    <x v="4"/>
    <x v="10"/>
    <x v="2"/>
    <x v="54"/>
    <n v="44.42"/>
    <n v="41.9"/>
    <n v="0.14399999999999999"/>
    <n v="6"/>
    <n v="215.19839999999996"/>
    <n v="266.52"/>
    <n v="-51.321600000000018"/>
    <n v="-0.23848504449847224"/>
    <s v="Q3-2023"/>
    <s v="Europe → Germany → Munich"/>
    <s v="Low"/>
    <n v="2023"/>
    <x v="11"/>
    <s v="Yes"/>
    <x v="0"/>
  </r>
  <r>
    <s v="ORD-2023-434071"/>
    <d v="2023-06-20T00:00:00"/>
    <d v="2023-07-04T00:00:00"/>
    <d v="2023-06-20T00:00:00"/>
    <d v="2023-07-04T00:00:00"/>
    <n v="14"/>
    <s v="6-2023"/>
    <x v="2"/>
    <s v="Brazil"/>
    <s v="Brasília"/>
    <s v="Non-Profit"/>
    <x v="4"/>
    <x v="0"/>
    <x v="2"/>
    <x v="55"/>
    <n v="1292.8599999999999"/>
    <n v="2981.01"/>
    <n v="0.14199999999999999"/>
    <n v="12"/>
    <n v="30692.47896"/>
    <n v="15514.32"/>
    <n v="15178.158960000001"/>
    <n v="0.49452372288927687"/>
    <s v="Q2-2023"/>
    <s v="Americas → Brazil → Brasília"/>
    <s v="High"/>
    <n v="2023"/>
    <x v="9"/>
    <s v="No"/>
    <x v="0"/>
  </r>
  <r>
    <s v="ORD-2023-374486"/>
    <d v="2023-06-24T00:00:00"/>
    <d v="2023-06-23T00:00:00"/>
    <d v="2023-06-23T00:00:00"/>
    <d v="2023-06-24T00:00:00"/>
    <n v="1"/>
    <s v="6-2023"/>
    <x v="2"/>
    <s v="Brazil"/>
    <s v="Rio de Janeiro"/>
    <s v="Non-Profit"/>
    <x v="0"/>
    <x v="6"/>
    <x v="1"/>
    <x v="56"/>
    <n v="804.01"/>
    <n v="1405.07"/>
    <n v="9.6000000000000002E-2"/>
    <n v="8"/>
    <n v="10161.46624"/>
    <n v="6432.08"/>
    <n v="3729.3862399999998"/>
    <n v="0.36701260939287439"/>
    <s v="Q2-2023"/>
    <s v="Americas → Brazil → Rio de Janeiro"/>
    <s v="Medium"/>
    <n v="2023"/>
    <x v="9"/>
    <s v="Yes"/>
    <x v="0"/>
  </r>
  <r>
    <s v="ORD-2025-944081"/>
    <d v="2025-03-25T00:00:00"/>
    <d v="2025-03-26T00:00:00"/>
    <d v="2025-03-25T00:00:00"/>
    <d v="2025-03-26T00:00:00"/>
    <n v="1"/>
    <s v="3-2025"/>
    <x v="0"/>
    <s v="Nigeria"/>
    <s v="Lagos"/>
    <s v="Education"/>
    <x v="3"/>
    <x v="3"/>
    <x v="6"/>
    <x v="57"/>
    <n v="1450.43"/>
    <n v="1994.67"/>
    <n v="0.1"/>
    <n v="24"/>
    <n v="43084.872000000003"/>
    <n v="34810.32"/>
    <n v="8274.5520000000033"/>
    <n v="0.19205237513529116"/>
    <s v="Q1-2025"/>
    <s v="Africa → Nigeria → Lagos"/>
    <s v="High"/>
    <n v="2025"/>
    <x v="0"/>
    <s v="Yes"/>
    <x v="0"/>
  </r>
  <r>
    <s v="ORD-2025-843974"/>
    <d v="2025-07-20T00:00:00"/>
    <d v="2025-08-05T00:00:00"/>
    <d v="2025-07-20T00:00:00"/>
    <d v="2025-08-05T00:00:00"/>
    <n v="16"/>
    <s v="7-2025"/>
    <x v="2"/>
    <s v="Brazil"/>
    <s v="Brasília"/>
    <s v="Enterprise"/>
    <x v="2"/>
    <x v="3"/>
    <x v="6"/>
    <x v="58"/>
    <n v="1068.17"/>
    <n v="2375.37"/>
    <n v="0.109"/>
    <n v="18"/>
    <n v="38096.18406"/>
    <n v="19227.060000000001"/>
    <n v="18869.124059999998"/>
    <n v="0.49530220744108822"/>
    <s v="Q3-2025"/>
    <s v="Americas → Brazil → Brasília"/>
    <s v="High"/>
    <n v="2025"/>
    <x v="6"/>
    <s v="No"/>
    <x v="0"/>
  </r>
  <r>
    <s v="ORD-2024-446699"/>
    <d v="2024-08-28T00:00:00"/>
    <d v="2024-09-25T00:00:00"/>
    <d v="2024-08-28T00:00:00"/>
    <d v="2024-09-25T00:00:00"/>
    <n v="28"/>
    <s v="8-2024"/>
    <x v="2"/>
    <s v="Brazil"/>
    <s v="Rio de Janeiro"/>
    <s v="Non-Profit"/>
    <x v="1"/>
    <x v="15"/>
    <x v="6"/>
    <x v="59"/>
    <n v="1394.65"/>
    <n v="3144.1"/>
    <n v="0.13400000000000001"/>
    <n v="13"/>
    <n v="35396.277799999996"/>
    <n v="18130.45"/>
    <n v="17265.827799999995"/>
    <n v="0.4877865378263021"/>
    <s v="Q3-2024"/>
    <s v="Americas → Brazil → Rio de Janeiro"/>
    <s v="High"/>
    <n v="2024"/>
    <x v="11"/>
    <s v="No"/>
    <x v="0"/>
  </r>
  <r>
    <s v="ORD-2024-906395"/>
    <d v="2024-03-10T00:00:00"/>
    <d v="2024-04-09T00:00:00"/>
    <d v="2024-03-10T00:00:00"/>
    <d v="2024-04-09T00:00:00"/>
    <n v="30"/>
    <s v="3-2024"/>
    <x v="3"/>
    <s v="France"/>
    <s v="Lyon"/>
    <s v="Corporate"/>
    <x v="4"/>
    <x v="2"/>
    <x v="0"/>
    <x v="60"/>
    <n v="1176.56"/>
    <n v="1911.89"/>
    <n v="0.11899999999999999"/>
    <n v="20"/>
    <n v="33687.501800000005"/>
    <n v="23531.199999999997"/>
    <n v="10156.301800000008"/>
    <n v="0.30148575160892477"/>
    <s v="Q1-2024"/>
    <s v="Europe → France → Lyon"/>
    <s v="Medium"/>
    <n v="2024"/>
    <x v="0"/>
    <s v="No"/>
    <x v="0"/>
  </r>
  <r>
    <s v="ORD-2025-779574"/>
    <d v="2025-09-10T00:00:00"/>
    <d v="2025-09-12T00:00:00"/>
    <d v="2025-09-10T00:00:00"/>
    <d v="2025-09-12T00:00:00"/>
    <n v="2"/>
    <s v="9-2025"/>
    <x v="1"/>
    <s v="Japan"/>
    <s v="Tokyo"/>
    <s v="Consumer"/>
    <x v="1"/>
    <x v="7"/>
    <x v="0"/>
    <x v="61"/>
    <n v="1470.15"/>
    <n v="2593.7800000000002"/>
    <n v="0.11"/>
    <n v="12"/>
    <n v="27701.570400000001"/>
    <n v="17641.800000000003"/>
    <n v="10059.770399999998"/>
    <n v="0.36314801849645306"/>
    <s v="Q3-2025"/>
    <s v="Asia → Japan → Tokyo"/>
    <s v="High"/>
    <n v="2025"/>
    <x v="8"/>
    <s v="Yes"/>
    <x v="0"/>
  </r>
  <r>
    <s v="ORD-2025-526650"/>
    <d v="2025-04-27T00:00:00"/>
    <d v="2025-05-25T00:00:00"/>
    <d v="2025-04-27T00:00:00"/>
    <d v="2025-05-25T00:00:00"/>
    <n v="28"/>
    <s v="4-2025"/>
    <x v="3"/>
    <s v="France"/>
    <s v="Paris"/>
    <s v="Small Business"/>
    <x v="2"/>
    <x v="2"/>
    <x v="3"/>
    <x v="62"/>
    <n v="603.45000000000005"/>
    <n v="1244.08"/>
    <n v="0.2"/>
    <n v="11"/>
    <n v="10947.904"/>
    <n v="6637.9500000000007"/>
    <n v="4309.9539999999997"/>
    <n v="0.39367846119220623"/>
    <s v="Q2-2025"/>
    <s v="Europe → France → Paris"/>
    <s v="Medium"/>
    <n v="2025"/>
    <x v="7"/>
    <s v="No"/>
    <x v="0"/>
  </r>
  <r>
    <s v="ORD-2024-247979"/>
    <d v="2024-11-02T00:00:00"/>
    <d v="2024-11-18T00:00:00"/>
    <d v="2024-11-02T00:00:00"/>
    <d v="2024-11-18T00:00:00"/>
    <n v="16"/>
    <s v="11-2024"/>
    <x v="1"/>
    <s v="India"/>
    <s v="Mumbai"/>
    <s v="Small Business"/>
    <x v="3"/>
    <x v="7"/>
    <x v="5"/>
    <x v="63"/>
    <n v="1233.58"/>
    <n v="1912.51"/>
    <n v="0.255"/>
    <n v="51"/>
    <n v="72665.817450000002"/>
    <n v="62912.579999999994"/>
    <n v="9753.2374500000078"/>
    <n v="0.134220432553601"/>
    <s v="Q4-2024"/>
    <s v="Asia → India → Mumbai"/>
    <s v="High"/>
    <n v="2024"/>
    <x v="10"/>
    <s v="No"/>
    <x v="1"/>
  </r>
  <r>
    <s v="ORD-2023-480975"/>
    <d v="2023-02-15T00:00:00"/>
    <d v="2023-02-26T00:00:00"/>
    <d v="2023-02-15T00:00:00"/>
    <d v="2023-02-26T00:00:00"/>
    <n v="11"/>
    <s v="2-2023"/>
    <x v="0"/>
    <s v="South Africa"/>
    <s v="Johannesburg"/>
    <s v="Non-Profit"/>
    <x v="0"/>
    <x v="12"/>
    <x v="4"/>
    <x v="64"/>
    <n v="498.5"/>
    <n v="755.87"/>
    <n v="0.13"/>
    <n v="40"/>
    <n v="26304.275999999998"/>
    <n v="19940"/>
    <n v="6364.275999999998"/>
    <n v="0.24194834330357537"/>
    <s v="Q1-2023"/>
    <s v="Africa → South Africa → Johannesburg"/>
    <s v="Low"/>
    <n v="2023"/>
    <x v="2"/>
    <s v="No"/>
    <x v="0"/>
  </r>
  <r>
    <s v="ORD-2023-309373"/>
    <d v="2023-07-05T00:00:00"/>
    <d v="2023-07-14T00:00:00"/>
    <d v="2023-07-05T00:00:00"/>
    <d v="2023-07-14T00:00:00"/>
    <n v="9"/>
    <s v="7-2023"/>
    <x v="2"/>
    <s v="Brazil"/>
    <s v="Brasília"/>
    <s v="Enterprise"/>
    <x v="4"/>
    <x v="5"/>
    <x v="2"/>
    <x v="65"/>
    <n v="578.85"/>
    <n v="998.76"/>
    <n v="8.2000000000000003E-2"/>
    <n v="28"/>
    <n v="25672.127039999999"/>
    <n v="16207.800000000001"/>
    <n v="9464.3270399999983"/>
    <n v="0.36866158480960831"/>
    <s v="Q3-2023"/>
    <s v="Americas → Brazil → Brasília"/>
    <s v="Low"/>
    <n v="2023"/>
    <x v="6"/>
    <s v="No"/>
    <x v="0"/>
  </r>
  <r>
    <s v="ORD-2024-704056"/>
    <d v="2024-06-23T00:00:00"/>
    <d v="2024-06-25T00:00:00"/>
    <d v="2024-06-23T00:00:00"/>
    <d v="2024-06-25T00:00:00"/>
    <n v="2"/>
    <s v="6-2024"/>
    <x v="3"/>
    <s v="United Kingdom"/>
    <s v="Birmingham"/>
    <s v="Small Business"/>
    <x v="2"/>
    <x v="4"/>
    <x v="6"/>
    <x v="66"/>
    <n v="951.44"/>
    <n v="1646.43"/>
    <n v="0.11"/>
    <n v="24"/>
    <n v="35167.7448"/>
    <n v="22834.560000000001"/>
    <n v="12333.184799999999"/>
    <n v="0.35069592520473475"/>
    <s v="Q2-2024"/>
    <s v="Europe → United Kingdom → Birmingham"/>
    <s v="Medium"/>
    <n v="2024"/>
    <x v="9"/>
    <s v="Yes"/>
    <x v="0"/>
  </r>
  <r>
    <s v="ORD-2024-347736"/>
    <d v="2024-05-22T00:00:00"/>
    <d v="2024-06-06T00:00:00"/>
    <d v="2024-05-22T00:00:00"/>
    <d v="2024-06-06T00:00:00"/>
    <n v="15"/>
    <s v="5-2024"/>
    <x v="1"/>
    <s v="Japan"/>
    <s v="Nagoya"/>
    <s v="Corporate"/>
    <x v="3"/>
    <x v="0"/>
    <x v="5"/>
    <x v="67"/>
    <n v="673.88"/>
    <n v="1228.01"/>
    <n v="0.105"/>
    <n v="13"/>
    <n v="14287.896349999999"/>
    <n v="8760.44"/>
    <n v="5527.4563499999986"/>
    <n v="0.38686285332689996"/>
    <s v="Q2-2024"/>
    <s v="Asia → Japan → Nagoya"/>
    <s v="Medium"/>
    <n v="2024"/>
    <x v="5"/>
    <s v="No"/>
    <x v="0"/>
  </r>
  <r>
    <s v="ORD-2023-749324"/>
    <d v="2023-08-19T00:00:00"/>
    <d v="2023-09-07T00:00:00"/>
    <d v="2023-08-19T00:00:00"/>
    <d v="2023-09-07T00:00:00"/>
    <n v="19"/>
    <s v="8-2023"/>
    <x v="0"/>
    <s v="South Africa"/>
    <s v="Johannesburg"/>
    <s v="Enterprise"/>
    <x v="0"/>
    <x v="8"/>
    <x v="5"/>
    <x v="68"/>
    <n v="494.61"/>
    <n v="605.23"/>
    <n v="0.20399999999999999"/>
    <n v="18"/>
    <n v="8671.7354400000004"/>
    <n v="8902.98"/>
    <n v="-231.24455999999918"/>
    <n v="-2.6666468505639647E-2"/>
    <s v="Q3-2023"/>
    <s v="Africa → South Africa → Johannesburg"/>
    <s v="Low"/>
    <n v="2023"/>
    <x v="11"/>
    <s v="No"/>
    <x v="1"/>
  </r>
  <r>
    <s v="ORD-2023-809913"/>
    <d v="2023-04-21T00:00:00"/>
    <d v="2023-05-10T00:00:00"/>
    <d v="2023-04-21T00:00:00"/>
    <d v="2023-05-10T00:00:00"/>
    <n v="19"/>
    <s v="4-2023"/>
    <x v="1"/>
    <s v="China"/>
    <s v="Shanghai"/>
    <s v="Corporate"/>
    <x v="0"/>
    <x v="14"/>
    <x v="0"/>
    <x v="69"/>
    <n v="882.33"/>
    <n v="1880.15"/>
    <n v="0.05"/>
    <n v="5"/>
    <n v="8930.7124999999996"/>
    <n v="4411.6500000000005"/>
    <n v="4519.0624999999991"/>
    <n v="0.50601365792482955"/>
    <s v="Q2-2023"/>
    <s v="Asia → China → Shanghai"/>
    <s v="Medium"/>
    <n v="2023"/>
    <x v="7"/>
    <s v="No"/>
    <x v="0"/>
  </r>
  <r>
    <s v="ORD-2023-261081"/>
    <d v="2023-07-24T00:00:00"/>
    <d v="2023-08-19T00:00:00"/>
    <d v="2023-07-24T00:00:00"/>
    <d v="2023-08-19T00:00:00"/>
    <n v="26"/>
    <s v="7-2023"/>
    <x v="0"/>
    <s v="Kenya"/>
    <s v="Nairobi"/>
    <s v="Enterprise"/>
    <x v="3"/>
    <x v="13"/>
    <x v="6"/>
    <x v="70"/>
    <n v="661.45"/>
    <n v="1634.86"/>
    <n v="0.1186"/>
    <n v="24"/>
    <n v="34583.174496"/>
    <n v="15874.800000000001"/>
    <n v="18708.374495999997"/>
    <n v="0.54096753027007016"/>
    <s v="Q3-2023"/>
    <s v="Africa → Kenya → Nairobi"/>
    <s v="Medium"/>
    <n v="2023"/>
    <x v="6"/>
    <s v="No"/>
    <x v="0"/>
  </r>
  <r>
    <s v="ORD-2023-594700"/>
    <d v="2023-07-18T00:00:00"/>
    <d v="2023-07-22T00:00:00"/>
    <d v="2023-07-18T00:00:00"/>
    <d v="2023-07-22T00:00:00"/>
    <n v="4"/>
    <s v="7-2023"/>
    <x v="2"/>
    <s v="Brazil"/>
    <s v="São Paulo"/>
    <s v="Consumer"/>
    <x v="4"/>
    <x v="9"/>
    <x v="2"/>
    <x v="71"/>
    <n v="1269.55"/>
    <n v="2071.1"/>
    <n v="0.129"/>
    <n v="22"/>
    <n v="39686.4182"/>
    <n v="27930.1"/>
    <n v="11756.318200000002"/>
    <n v="0.29623026549672354"/>
    <s v="Q3-2023"/>
    <s v="Americas → Brazil → São Paulo"/>
    <s v="High"/>
    <n v="2023"/>
    <x v="6"/>
    <s v="Yes"/>
    <x v="0"/>
  </r>
  <r>
    <s v="ORD-2024-939873"/>
    <d v="2024-04-12T00:00:00"/>
    <d v="2024-05-07T00:00:00"/>
    <d v="2024-04-12T00:00:00"/>
    <d v="2024-05-07T00:00:00"/>
    <n v="25"/>
    <s v="4-2024"/>
    <x v="0"/>
    <s v="South Africa"/>
    <s v="Johannesburg"/>
    <s v="Education"/>
    <x v="3"/>
    <x v="14"/>
    <x v="4"/>
    <x v="72"/>
    <n v="1376.51"/>
    <n v="1455.91"/>
    <n v="0.185"/>
    <n v="17"/>
    <n v="20171.63305"/>
    <n v="23400.67"/>
    <n v="-3229.0369499999979"/>
    <n v="-0.1600781127634085"/>
    <s v="Q2-2024"/>
    <s v="Africa → South Africa → Johannesburg"/>
    <s v="Medium"/>
    <n v="2024"/>
    <x v="7"/>
    <s v="No"/>
    <x v="0"/>
  </r>
  <r>
    <s v="ORD-2024-800947"/>
    <d v="2024-12-15T00:00:00"/>
    <d v="2024-12-20T00:00:00"/>
    <d v="2024-12-15T00:00:00"/>
    <d v="2024-12-20T00:00:00"/>
    <n v="5"/>
    <s v="12-2024"/>
    <x v="1"/>
    <s v="China"/>
    <s v="Shenzhen"/>
    <s v="Small Business"/>
    <x v="4"/>
    <x v="1"/>
    <x v="2"/>
    <x v="73"/>
    <n v="717.55"/>
    <n v="546.42999999999995"/>
    <n v="4.7E-2"/>
    <n v="18"/>
    <n v="9373.460219999999"/>
    <n v="12915.9"/>
    <n v="-3542.4397800000006"/>
    <n v="-0.37792231437026369"/>
    <s v="Q4-2024"/>
    <s v="Asia → China → Shenzhen"/>
    <s v="Low"/>
    <n v="2024"/>
    <x v="3"/>
    <s v="Yes"/>
    <x v="0"/>
  </r>
  <r>
    <s v="ORD-2023-382272"/>
    <d v="2023-05-20T00:00:00"/>
    <d v="2023-05-18T00:00:00"/>
    <d v="2023-05-18T00:00:00"/>
    <d v="2023-05-20T00:00:00"/>
    <n v="2"/>
    <s v="5-2023"/>
    <x v="0"/>
    <s v="South Africa"/>
    <s v="Durban"/>
    <s v="Corporate"/>
    <x v="3"/>
    <x v="14"/>
    <x v="0"/>
    <x v="74"/>
    <n v="917.88"/>
    <n v="1347.92"/>
    <n v="0.1186"/>
    <n v="5"/>
    <n v="5940.2834400000002"/>
    <n v="4589.3999999999996"/>
    <n v="1350.8834400000005"/>
    <n v="0.22741060315465358"/>
    <s v="Q2-2023"/>
    <s v="Africa → South Africa → Durban"/>
    <s v="Medium"/>
    <n v="2023"/>
    <x v="5"/>
    <s v="Yes"/>
    <x v="0"/>
  </r>
  <r>
    <s v="ORD-2023-722117"/>
    <d v="2023-09-18T00:00:00"/>
    <d v="2023-10-08T00:00:00"/>
    <d v="2023-09-18T00:00:00"/>
    <d v="2023-10-08T00:00:00"/>
    <n v="20"/>
    <s v="9-2023"/>
    <x v="1"/>
    <s v="India"/>
    <s v="Delhi"/>
    <s v="Small Business"/>
    <x v="4"/>
    <x v="5"/>
    <x v="0"/>
    <x v="75"/>
    <n v="825.64"/>
    <n v="1108.43"/>
    <n v="0.114"/>
    <n v="7"/>
    <n v="6874.4828600000001"/>
    <n v="5779.48"/>
    <n v="1095.0028600000005"/>
    <n v="0.15928512475773349"/>
    <s v="Q3-2023"/>
    <s v="Asia → India → Delhi"/>
    <s v="Low"/>
    <n v="2023"/>
    <x v="8"/>
    <s v="No"/>
    <x v="0"/>
  </r>
  <r>
    <s v="ORD-2023-825836"/>
    <d v="2023-07-19T00:00:00"/>
    <d v="2023-07-31T00:00:00"/>
    <d v="2023-07-19T00:00:00"/>
    <d v="2023-07-31T00:00:00"/>
    <n v="12"/>
    <s v="7-2023"/>
    <x v="2"/>
    <s v="Brazil"/>
    <s v="Rio de Janeiro"/>
    <s v="Corporate"/>
    <x v="0"/>
    <x v="0"/>
    <x v="5"/>
    <x v="76"/>
    <n v="1334.64"/>
    <n v="2273.42"/>
    <n v="0.11799999999999999"/>
    <n v="14"/>
    <n v="28072.190160000002"/>
    <n v="18684.960000000003"/>
    <n v="9387.2301599999992"/>
    <n v="0.33439607335575267"/>
    <s v="Q3-2023"/>
    <s v="Americas → Brazil → Rio de Janeiro"/>
    <s v="High"/>
    <n v="2023"/>
    <x v="6"/>
    <s v="No"/>
    <x v="0"/>
  </r>
  <r>
    <s v="ORD-2024-638884"/>
    <d v="2024-05-28T00:00:00"/>
    <d v="2024-05-26T00:00:00"/>
    <d v="2024-05-26T00:00:00"/>
    <d v="2024-05-28T00:00:00"/>
    <n v="2"/>
    <s v="5-2024"/>
    <x v="0"/>
    <s v="Nigeria"/>
    <s v="Abuja"/>
    <s v="Enterprise"/>
    <x v="1"/>
    <x v="9"/>
    <x v="6"/>
    <x v="77"/>
    <n v="1227.08"/>
    <n v="1896.62"/>
    <n v="0"/>
    <n v="18"/>
    <n v="34139.159999999996"/>
    <n v="22087.439999999999"/>
    <n v="12051.719999999998"/>
    <n v="0.353017473189147"/>
    <s v="Q2-2024"/>
    <s v="Africa → Nigeria → Abuja"/>
    <s v="Medium"/>
    <n v="2024"/>
    <x v="5"/>
    <s v="Yes"/>
    <x v="0"/>
  </r>
  <r>
    <s v="ORD-2023-290279"/>
    <d v="2023-06-14T00:00:00"/>
    <d v="2023-06-16T00:00:00"/>
    <d v="2023-06-14T00:00:00"/>
    <d v="2023-06-16T00:00:00"/>
    <n v="2"/>
    <s v="6-2023"/>
    <x v="3"/>
    <s v="United Kingdom"/>
    <s v="Manchester"/>
    <s v="Non-Profit"/>
    <x v="4"/>
    <x v="12"/>
    <x v="0"/>
    <x v="78"/>
    <n v="357.36"/>
    <n v="703.62"/>
    <n v="0.25700000000000001"/>
    <n v="20"/>
    <n v="10455.7932"/>
    <n v="7147.2000000000007"/>
    <n v="3308.5931999999993"/>
    <n v="0.31643636563125593"/>
    <s v="Q2-2023"/>
    <s v="Europe → United Kingdom → Manchester"/>
    <s v="Low"/>
    <n v="2023"/>
    <x v="9"/>
    <s v="Yes"/>
    <x v="1"/>
  </r>
  <r>
    <s v="ORD-2024-192263"/>
    <d v="2024-11-21T00:00:00"/>
    <d v="2024-12-21T00:00:00"/>
    <d v="2024-11-21T00:00:00"/>
    <d v="2024-12-21T00:00:00"/>
    <n v="30"/>
    <s v="11-2024"/>
    <x v="3"/>
    <s v="France"/>
    <s v="Marseille"/>
    <s v="Small Business"/>
    <x v="4"/>
    <x v="2"/>
    <x v="5"/>
    <x v="79"/>
    <n v="1122.68"/>
    <n v="1997.19"/>
    <n v="0.186"/>
    <n v="3"/>
    <n v="4877.1379800000004"/>
    <n v="3368.04"/>
    <n v="1509.0979800000005"/>
    <n v="0.30942285951073306"/>
    <s v="Q4-2024"/>
    <s v="Europe → France → Marseille"/>
    <s v="High"/>
    <n v="2024"/>
    <x v="10"/>
    <s v="No"/>
    <x v="0"/>
  </r>
  <r>
    <s v="ORD-2023-159379"/>
    <d v="2023-02-08T00:00:00"/>
    <d v="2023-02-11T00:00:00"/>
    <d v="2023-02-08T00:00:00"/>
    <d v="2023-02-11T00:00:00"/>
    <n v="3"/>
    <s v="2-2023"/>
    <x v="0"/>
    <s v="South Africa"/>
    <s v="Cape Town"/>
    <s v="Corporate"/>
    <x v="4"/>
    <x v="13"/>
    <x v="2"/>
    <x v="80"/>
    <n v="1410.05"/>
    <n v="2763.95"/>
    <n v="0.161"/>
    <n v="26"/>
    <n v="60292.805299999993"/>
    <n v="36661.299999999996"/>
    <n v="23631.505299999997"/>
    <n v="0.39194569206750779"/>
    <s v="Q1-2023"/>
    <s v="Africa → South Africa → Cape Town"/>
    <s v="High"/>
    <n v="2023"/>
    <x v="2"/>
    <s v="Yes"/>
    <x v="0"/>
  </r>
  <r>
    <s v="ORD-2023-343322"/>
    <d v="2023-08-19T00:00:00"/>
    <d v="2023-09-12T00:00:00"/>
    <d v="2023-08-19T00:00:00"/>
    <d v="2023-09-12T00:00:00"/>
    <n v="24"/>
    <s v="8-2023"/>
    <x v="2"/>
    <s v="Canada"/>
    <s v="Vancouver"/>
    <s v="Enterprise"/>
    <x v="0"/>
    <x v="2"/>
    <x v="1"/>
    <x v="81"/>
    <n v="1183.95"/>
    <n v="1503.53"/>
    <n v="0.24099999999999999"/>
    <n v="16"/>
    <n v="18258.868320000001"/>
    <n v="18943.2"/>
    <n v="-684.33167999999932"/>
    <n v="-3.7479413729623705E-2"/>
    <s v="Q3-2023"/>
    <s v="Americas → Canada → Vancouver"/>
    <s v="Medium"/>
    <n v="2023"/>
    <x v="11"/>
    <s v="No"/>
    <x v="1"/>
  </r>
  <r>
    <s v="ORD-2025-114382"/>
    <d v="2025-05-14T00:00:00"/>
    <d v="2025-05-24T00:00:00"/>
    <d v="2025-05-14T00:00:00"/>
    <d v="2025-05-24T00:00:00"/>
    <n v="10"/>
    <s v="5-2025"/>
    <x v="3"/>
    <s v="France"/>
    <s v="Paris"/>
    <s v="Small Business"/>
    <x v="2"/>
    <x v="12"/>
    <x v="0"/>
    <x v="82"/>
    <n v="170.39"/>
    <n v="388.04"/>
    <n v="8.4000000000000005E-2"/>
    <n v="15"/>
    <n v="5331.6696000000002"/>
    <n v="2555.85"/>
    <n v="2775.8196000000003"/>
    <n v="0.52062858508711796"/>
    <s v="Q2-2025"/>
    <s v="Europe → France → Paris"/>
    <s v="Low"/>
    <n v="2025"/>
    <x v="5"/>
    <s v="No"/>
    <x v="0"/>
  </r>
  <r>
    <s v="ORD-2025-488349"/>
    <d v="2025-04-23T00:00:00"/>
    <d v="2025-04-22T00:00:00"/>
    <d v="2025-04-22T00:00:00"/>
    <d v="2025-04-23T00:00:00"/>
    <n v="1"/>
    <s v="4-2025"/>
    <x v="2"/>
    <s v="USA"/>
    <s v="San Francisco"/>
    <s v="Non-Profit"/>
    <x v="3"/>
    <x v="8"/>
    <x v="5"/>
    <x v="83"/>
    <n v="23.24"/>
    <n v="44.57"/>
    <n v="0.215"/>
    <n v="15"/>
    <n v="524.81174999999996"/>
    <n v="348.59999999999997"/>
    <n v="176.21174999999999"/>
    <n v="0.33576182316802167"/>
    <s v="Q2-2025"/>
    <s v="Americas → USA → San Francisco"/>
    <s v="Low"/>
    <n v="2025"/>
    <x v="7"/>
    <s v="Yes"/>
    <x v="1"/>
  </r>
  <r>
    <s v="ORD-2025-330203"/>
    <d v="2025-03-25T00:00:00"/>
    <d v="2025-04-17T00:00:00"/>
    <d v="2025-03-25T00:00:00"/>
    <d v="2025-04-17T00:00:00"/>
    <n v="23"/>
    <s v="3-2025"/>
    <x v="3"/>
    <s v="United Kingdom"/>
    <s v="London"/>
    <s v="Consumer"/>
    <x v="0"/>
    <x v="11"/>
    <x v="2"/>
    <x v="84"/>
    <n v="1421.19"/>
    <n v="1808.26"/>
    <n v="0.104"/>
    <n v="13"/>
    <n v="21062.61248"/>
    <n v="18475.47"/>
    <n v="2587.1424799999986"/>
    <n v="0.12283103449093123"/>
    <s v="Q1-2025"/>
    <s v="Europe → United Kingdom → London"/>
    <s v="Medium"/>
    <n v="2025"/>
    <x v="0"/>
    <s v="No"/>
    <x v="0"/>
  </r>
  <r>
    <s v="ORD-2023-841426"/>
    <d v="2023-12-22T00:00:00"/>
    <d v="2023-12-23T00:00:00"/>
    <d v="2023-12-22T00:00:00"/>
    <d v="2023-12-23T00:00:00"/>
    <n v="1"/>
    <s v="12-2023"/>
    <x v="0"/>
    <s v="South Africa"/>
    <s v="Cape Town"/>
    <s v="Non-Profit"/>
    <x v="2"/>
    <x v="8"/>
    <x v="0"/>
    <x v="85"/>
    <n v="1186.18"/>
    <n v="1285.0899999999999"/>
    <n v="7.0000000000000007E-2"/>
    <n v="11"/>
    <n v="13146.470699999998"/>
    <n v="13047.980000000001"/>
    <n v="98.49069999999665"/>
    <n v="7.4917977796121861E-3"/>
    <s v="Q4-2023"/>
    <s v="Africa → South Africa → Cape Town"/>
    <s v="Medium"/>
    <n v="2023"/>
    <x v="3"/>
    <s v="Yes"/>
    <x v="0"/>
  </r>
  <r>
    <s v="ORD-2024-594592"/>
    <d v="2024-04-06T00:00:00"/>
    <d v="2024-04-25T00:00:00"/>
    <d v="2024-04-06T00:00:00"/>
    <d v="2024-04-25T00:00:00"/>
    <n v="19"/>
    <s v="4-2024"/>
    <x v="1"/>
    <s v="China"/>
    <s v="Shanghai"/>
    <s v="Corporate"/>
    <x v="0"/>
    <x v="12"/>
    <x v="0"/>
    <x v="86"/>
    <n v="1366.48"/>
    <n v="1678.14"/>
    <n v="0.154"/>
    <n v="10"/>
    <n v="14197.064400000001"/>
    <n v="13664.8"/>
    <n v="532.26440000000184"/>
    <n v="3.7491159087790132E-2"/>
    <s v="Q2-2024"/>
    <s v="Asia → China → Shanghai"/>
    <s v="Medium"/>
    <n v="2024"/>
    <x v="7"/>
    <s v="No"/>
    <x v="0"/>
  </r>
  <r>
    <s v="ORD-2025-863978"/>
    <d v="2025-08-07T00:00:00"/>
    <d v="2025-08-19T00:00:00"/>
    <d v="2025-08-07T00:00:00"/>
    <d v="2025-08-19T00:00:00"/>
    <n v="12"/>
    <s v="8-2025"/>
    <x v="0"/>
    <s v="Kenya"/>
    <s v="Nakuru"/>
    <s v="Corporate"/>
    <x v="5"/>
    <x v="13"/>
    <x v="0"/>
    <x v="87"/>
    <n v="601.51"/>
    <n v="679.35"/>
    <n v="0.188"/>
    <n v="3"/>
    <n v="1654.8966000000003"/>
    <n v="1804.53"/>
    <n v="-149.63339999999971"/>
    <n v="-9.0418579626062243E-2"/>
    <s v="Q3-2025"/>
    <s v="Africa → Kenya → Nakuru"/>
    <s v="Low"/>
    <n v="2025"/>
    <x v="11"/>
    <s v="No"/>
    <x v="0"/>
  </r>
  <r>
    <s v="ORD-2024-604471"/>
    <d v="2024-01-21T00:00:00"/>
    <d v="2024-01-25T00:00:00"/>
    <d v="2024-01-21T00:00:00"/>
    <d v="2024-01-25T00:00:00"/>
    <n v="4"/>
    <s v="1-2024"/>
    <x v="1"/>
    <s v="India"/>
    <s v="Delhi"/>
    <s v="Consumer"/>
    <x v="4"/>
    <x v="0"/>
    <x v="5"/>
    <x v="88"/>
    <n v="523.70000000000005"/>
    <n v="1109.92"/>
    <n v="0.03"/>
    <n v="11"/>
    <n v="11842.8464"/>
    <n v="5760.7000000000007"/>
    <n v="6082.1463999999996"/>
    <n v="0.51357133197302973"/>
    <s v="Q1-2024"/>
    <s v="Asia → India → Delhi"/>
    <s v="Low"/>
    <n v="2024"/>
    <x v="4"/>
    <s v="Yes"/>
    <x v="0"/>
  </r>
  <r>
    <s v="ORD-2023-258768"/>
    <d v="2023-06-29T00:00:00"/>
    <d v="2023-07-02T00:00:00"/>
    <d v="2023-06-29T00:00:00"/>
    <d v="2023-07-02T00:00:00"/>
    <n v="3"/>
    <s v="6-2023"/>
    <x v="1"/>
    <s v="Japan"/>
    <s v="Nagoya"/>
    <s v="Education"/>
    <x v="2"/>
    <x v="9"/>
    <x v="5"/>
    <x v="89"/>
    <n v="55.65"/>
    <n v="83.57"/>
    <n v="6.6000000000000003E-2"/>
    <n v="8"/>
    <n v="624.43503999999996"/>
    <n v="445.2"/>
    <n v="179.23503999999997"/>
    <n v="0.2870355257449998"/>
    <s v="Q2-2023"/>
    <s v="Asia → Japan → Nagoya"/>
    <s v="Low"/>
    <n v="2023"/>
    <x v="9"/>
    <s v="Yes"/>
    <x v="0"/>
  </r>
  <r>
    <s v="ORD-2025-626047"/>
    <d v="2025-04-28T00:00:00"/>
    <d v="2025-05-15T00:00:00"/>
    <d v="2025-04-28T00:00:00"/>
    <d v="2025-05-15T00:00:00"/>
    <n v="17"/>
    <s v="4-2025"/>
    <x v="1"/>
    <s v="Japan"/>
    <s v="Nagoya"/>
    <s v="Education"/>
    <x v="4"/>
    <x v="10"/>
    <x v="2"/>
    <x v="90"/>
    <n v="691.19"/>
    <n v="1284.3"/>
    <n v="7.3999999999999996E-2"/>
    <n v="7"/>
    <n v="8324.8326000000015"/>
    <n v="4838.33"/>
    <n v="3486.5026000000016"/>
    <n v="0.41880753253825198"/>
    <s v="Q2-2025"/>
    <s v="Asia → Japan → Nagoya"/>
    <s v="Medium"/>
    <n v="2025"/>
    <x v="7"/>
    <s v="No"/>
    <x v="0"/>
  </r>
  <r>
    <s v="ORD-2025-526752"/>
    <d v="2025-06-09T00:00:00"/>
    <d v="2025-06-25T00:00:00"/>
    <d v="2025-06-09T00:00:00"/>
    <d v="2025-06-25T00:00:00"/>
    <n v="16"/>
    <s v="6-2025"/>
    <x v="1"/>
    <s v="India"/>
    <s v="Hyderabad"/>
    <s v="Enterprise"/>
    <x v="3"/>
    <x v="13"/>
    <x v="3"/>
    <x v="91"/>
    <n v="527.33000000000004"/>
    <n v="911.72"/>
    <n v="0.14399999999999999"/>
    <n v="25"/>
    <n v="19510.808000000001"/>
    <n v="13183.250000000002"/>
    <n v="6327.5579999999991"/>
    <n v="0.32431040272652978"/>
    <s v="Q2-2025"/>
    <s v="Asia → India → Hyderabad"/>
    <s v="Low"/>
    <n v="2025"/>
    <x v="9"/>
    <s v="No"/>
    <x v="0"/>
  </r>
  <r>
    <s v="ORD-2023-630430"/>
    <d v="2023-08-04T00:00:00"/>
    <d v="2023-08-24T00:00:00"/>
    <d v="2023-08-04T00:00:00"/>
    <d v="2023-08-24T00:00:00"/>
    <n v="20"/>
    <s v="8-2023"/>
    <x v="2"/>
    <s v="Brazil"/>
    <s v="Brasília"/>
    <s v="Non-Profit"/>
    <x v="4"/>
    <x v="15"/>
    <x v="2"/>
    <x v="92"/>
    <n v="582.88"/>
    <n v="1044.1400000000001"/>
    <n v="0.216"/>
    <n v="10"/>
    <n v="8186.057600000001"/>
    <n v="5828.8"/>
    <n v="2357.2576000000008"/>
    <n v="0.28796005539956138"/>
    <s v="Q3-2023"/>
    <s v="Americas → Brazil → Brasília"/>
    <s v="Low"/>
    <n v="2023"/>
    <x v="11"/>
    <s v="No"/>
    <x v="1"/>
  </r>
  <r>
    <s v="ORD-2024-451005"/>
    <d v="2024-06-30T00:00:00"/>
    <d v="2024-06-28T00:00:00"/>
    <d v="2024-06-28T00:00:00"/>
    <d v="2024-06-30T00:00:00"/>
    <n v="2"/>
    <s v="6-2024"/>
    <x v="2"/>
    <s v="Brazil"/>
    <s v="Rio de Janeiro"/>
    <s v="Small Business"/>
    <x v="4"/>
    <x v="4"/>
    <x v="6"/>
    <x v="93"/>
    <n v="1112.98"/>
    <n v="2095.73"/>
    <n v="7.1999999999999995E-2"/>
    <n v="17"/>
    <n v="33062.236480000007"/>
    <n v="18920.66"/>
    <n v="14141.576480000007"/>
    <n v="0.42772594916724777"/>
    <s v="Q2-2024"/>
    <s v="Americas → Brazil → Rio de Janeiro"/>
    <s v="High"/>
    <n v="2024"/>
    <x v="9"/>
    <s v="Yes"/>
    <x v="0"/>
  </r>
  <r>
    <s v="ORD-2025-725646"/>
    <d v="2025-09-10T00:00:00"/>
    <d v="2025-09-30T00:00:00"/>
    <d v="2025-09-10T00:00:00"/>
    <d v="2025-09-30T00:00:00"/>
    <n v="20"/>
    <s v="9-2025"/>
    <x v="0"/>
    <s v="Kenya"/>
    <s v="Mombasa"/>
    <s v="Corporate"/>
    <x v="4"/>
    <x v="4"/>
    <x v="3"/>
    <x v="94"/>
    <n v="1009.48"/>
    <n v="1088.81"/>
    <n v="0.16"/>
    <n v="6"/>
    <n v="5487.6023999999998"/>
    <n v="6056.88"/>
    <n v="-569.27760000000035"/>
    <n v="-0.10373885688219693"/>
    <s v="Q3-2025"/>
    <s v="Africa → Kenya → Mombasa"/>
    <s v="Low"/>
    <n v="2025"/>
    <x v="8"/>
    <s v="No"/>
    <x v="0"/>
  </r>
  <r>
    <s v="ORD-2023-868734"/>
    <d v="2023-04-06T00:00:00"/>
    <d v="2023-04-27T00:00:00"/>
    <d v="2023-04-06T00:00:00"/>
    <d v="2023-04-27T00:00:00"/>
    <n v="21"/>
    <s v="4-2023"/>
    <x v="3"/>
    <s v="United Kingdom"/>
    <s v="Manchester"/>
    <s v="Enterprise"/>
    <x v="3"/>
    <x v="2"/>
    <x v="1"/>
    <x v="95"/>
    <n v="1084.79"/>
    <n v="2484.9899999999998"/>
    <n v="3.4000000000000002E-2"/>
    <n v="18"/>
    <n v="43209.006119999991"/>
    <n v="19526.22"/>
    <n v="23682.78611999999"/>
    <n v="0.54809837685755114"/>
    <s v="Q2-2023"/>
    <s v="Europe → United Kingdom → Manchester"/>
    <s v="High"/>
    <n v="2023"/>
    <x v="7"/>
    <s v="No"/>
    <x v="0"/>
  </r>
  <r>
    <s v="ORD-2025-262491"/>
    <d v="2025-08-01T00:00:00"/>
    <d v="2025-08-16T00:00:00"/>
    <d v="2025-08-01T00:00:00"/>
    <d v="2025-08-16T00:00:00"/>
    <n v="15"/>
    <s v="8-2025"/>
    <x v="1"/>
    <s v="India"/>
    <s v="Unknown City"/>
    <s v="Enterprise"/>
    <x v="4"/>
    <x v="7"/>
    <x v="5"/>
    <x v="96"/>
    <n v="24.44"/>
    <n v="28.69"/>
    <n v="0.14599999999999999"/>
    <n v="6"/>
    <n v="147.00756000000001"/>
    <n v="146.64000000000001"/>
    <n v="0.36755999999999744"/>
    <n v="2.5002795774584476E-3"/>
    <s v="Q3-2025"/>
    <s v="Asia → India → Unknown City"/>
    <s v="Low"/>
    <n v="2025"/>
    <x v="11"/>
    <s v="No"/>
    <x v="0"/>
  </r>
  <r>
    <s v="ORD-2023-912395"/>
    <d v="2023-07-26T00:00:00"/>
    <d v="2023-08-25T00:00:00"/>
    <d v="2023-07-26T00:00:00"/>
    <d v="2023-08-25T00:00:00"/>
    <n v="30"/>
    <s v="7-2023"/>
    <x v="2"/>
    <s v="USA"/>
    <s v="New York"/>
    <s v="Consumer"/>
    <x v="0"/>
    <x v="13"/>
    <x v="6"/>
    <x v="97"/>
    <n v="1261.48"/>
    <n v="1643.18"/>
    <n v="0.151"/>
    <n v="23"/>
    <n v="32086.37586"/>
    <n v="29014.04"/>
    <n v="3072.3358599999992"/>
    <n v="9.5752037357079045E-2"/>
    <s v="Q3-2023"/>
    <s v="Americas → USA → New York"/>
    <s v="Medium"/>
    <n v="2023"/>
    <x v="6"/>
    <s v="No"/>
    <x v="0"/>
  </r>
  <r>
    <s v="ORD-2025-541501"/>
    <d v="2025-07-22T00:00:00"/>
    <d v="2025-08-18T00:00:00"/>
    <d v="2025-07-22T00:00:00"/>
    <d v="2025-08-18T00:00:00"/>
    <n v="27"/>
    <s v="7-2025"/>
    <x v="1"/>
    <s v="China"/>
    <s v="Shenzhen"/>
    <s v="Non-Profit"/>
    <x v="2"/>
    <x v="13"/>
    <x v="2"/>
    <x v="98"/>
    <n v="547.32000000000005"/>
    <n v="419.17"/>
    <n v="9.1999999999999998E-2"/>
    <n v="14"/>
    <n v="5328.4890400000004"/>
    <n v="7662.4800000000005"/>
    <n v="-2333.9909600000001"/>
    <n v="-0.43802116181137907"/>
    <s v="Q3-2025"/>
    <s v="Asia → China → Shenzhen"/>
    <s v="Low"/>
    <n v="2025"/>
    <x v="6"/>
    <s v="No"/>
    <x v="0"/>
  </r>
  <r>
    <s v="ORD-2023-422918"/>
    <d v="2023-02-28T00:00:00"/>
    <d v="2023-03-20T00:00:00"/>
    <d v="2023-02-28T00:00:00"/>
    <d v="2023-03-20T00:00:00"/>
    <n v="20"/>
    <s v="2-2023"/>
    <x v="3"/>
    <s v="Germany"/>
    <s v="Berlin"/>
    <s v="Small Business"/>
    <x v="4"/>
    <x v="11"/>
    <x v="4"/>
    <x v="99"/>
    <n v="1200.78"/>
    <n v="2001.17"/>
    <n v="0.29199999999999998"/>
    <n v="18"/>
    <n v="25502.910479999999"/>
    <n v="21614.04"/>
    <n v="3888.8704799999978"/>
    <n v="0.15248732034132906"/>
    <s v="Q1-2023"/>
    <s v="Europe → Germany → Berlin"/>
    <s v="High"/>
    <n v="2023"/>
    <x v="2"/>
    <s v="No"/>
    <x v="1"/>
  </r>
  <r>
    <s v="ORD-2025-328504"/>
    <d v="2025-01-27T00:00:00"/>
    <d v="2025-02-15T00:00:00"/>
    <d v="2025-01-27T00:00:00"/>
    <d v="2025-02-15T00:00:00"/>
    <n v="19"/>
    <s v="1-2025"/>
    <x v="1"/>
    <s v="China"/>
    <s v="Shenzhen"/>
    <s v="Non-Profit"/>
    <x v="4"/>
    <x v="4"/>
    <x v="3"/>
    <x v="100"/>
    <n v="1253.22"/>
    <n v="3104.71"/>
    <n v="0"/>
    <n v="17"/>
    <n v="52780.07"/>
    <n v="21304.74"/>
    <n v="31475.329999999998"/>
    <n v="0.59634877331538205"/>
    <s v="Q1-2025"/>
    <s v="Asia → China → Shenzhen"/>
    <s v="High"/>
    <n v="2025"/>
    <x v="4"/>
    <s v="No"/>
    <x v="0"/>
  </r>
  <r>
    <s v="ORD-2024-851883"/>
    <d v="2024-01-13T00:00:00"/>
    <d v="2024-01-22T00:00:00"/>
    <d v="2024-01-13T00:00:00"/>
    <d v="2024-01-22T00:00:00"/>
    <n v="9"/>
    <s v="1-2024"/>
    <x v="1"/>
    <s v="India"/>
    <s v="Mumbai"/>
    <s v="Enterprise"/>
    <x v="2"/>
    <x v="1"/>
    <x v="0"/>
    <x v="101"/>
    <n v="313.60000000000002"/>
    <n v="334.28"/>
    <n v="0.14000000000000001"/>
    <n v="22"/>
    <n v="6324.5775999999996"/>
    <n v="6899.2000000000007"/>
    <n v="-574.62240000000111"/>
    <n v="-9.0855458868905517E-2"/>
    <s v="Q1-2024"/>
    <s v="Asia → India → Mumbai"/>
    <s v="Low"/>
    <n v="2024"/>
    <x v="4"/>
    <s v="No"/>
    <x v="0"/>
  </r>
  <r>
    <s v="ORD-2025-662997"/>
    <d v="2025-03-31T00:00:00"/>
    <d v="2025-04-04T00:00:00"/>
    <d v="2025-03-31T00:00:00"/>
    <d v="2025-04-04T00:00:00"/>
    <n v="4"/>
    <s v="3-2025"/>
    <x v="0"/>
    <s v="Kenya"/>
    <s v="Nakuru"/>
    <s v="Corporate"/>
    <x v="4"/>
    <x v="0"/>
    <x v="4"/>
    <x v="102"/>
    <n v="862.08"/>
    <n v="1952.83"/>
    <n v="0"/>
    <n v="7"/>
    <n v="13669.81"/>
    <n v="6034.56"/>
    <n v="7635.2499999999991"/>
    <n v="0.5585483631447693"/>
    <s v="Q1-2025"/>
    <s v="Africa → Kenya → Nakuru"/>
    <s v="High"/>
    <n v="2025"/>
    <x v="0"/>
    <s v="Yes"/>
    <x v="0"/>
  </r>
  <r>
    <s v="ORD-2023-842820"/>
    <d v="2023-09-20T00:00:00"/>
    <d v="2023-09-28T00:00:00"/>
    <d v="2023-09-20T00:00:00"/>
    <d v="2023-09-28T00:00:00"/>
    <n v="8"/>
    <s v="9-2023"/>
    <x v="1"/>
    <s v="India"/>
    <s v="Unknown City"/>
    <s v="Corporate"/>
    <x v="5"/>
    <x v="5"/>
    <x v="6"/>
    <x v="103"/>
    <n v="1362.06"/>
    <n v="3398.37"/>
    <n v="0.157"/>
    <n v="11"/>
    <n v="31513.085009999999"/>
    <n v="14982.66"/>
    <n v="16530.425009999999"/>
    <n v="0.52455749745714919"/>
    <s v="Q3-2023"/>
    <s v="Asia → India → Unknown City"/>
    <s v="High"/>
    <n v="2023"/>
    <x v="8"/>
    <s v="No"/>
    <x v="0"/>
  </r>
  <r>
    <s v="ORD-2024-771210"/>
    <d v="2024-09-14T00:00:00"/>
    <d v="2024-10-05T00:00:00"/>
    <d v="2024-09-14T00:00:00"/>
    <d v="2024-10-05T00:00:00"/>
    <n v="21"/>
    <s v="9-2024"/>
    <x v="1"/>
    <s v="China"/>
    <s v="Shanghai"/>
    <s v="Small Business"/>
    <x v="1"/>
    <x v="11"/>
    <x v="4"/>
    <x v="104"/>
    <n v="1405.56"/>
    <n v="2968.87"/>
    <n v="0.16900000000000001"/>
    <n v="5"/>
    <n v="12335.654849999999"/>
    <n v="7027.7999999999993"/>
    <n v="5307.8548499999997"/>
    <n v="0.4302856163327235"/>
    <s v="Q3-2024"/>
    <s v="Asia → China → Shanghai"/>
    <s v="High"/>
    <n v="2024"/>
    <x v="8"/>
    <s v="No"/>
    <x v="0"/>
  </r>
  <r>
    <s v="ORD-2024-155337"/>
    <d v="2024-05-21T00:00:00"/>
    <d v="2024-05-27T00:00:00"/>
    <d v="2024-05-21T00:00:00"/>
    <d v="2024-05-27T00:00:00"/>
    <n v="6"/>
    <s v="5-2024"/>
    <x v="0"/>
    <s v="South Africa"/>
    <s v="Johannesburg"/>
    <s v="Non-Profit"/>
    <x v="1"/>
    <x v="13"/>
    <x v="0"/>
    <x v="105"/>
    <n v="1157.51"/>
    <n v="1394.3"/>
    <n v="0.27800000000000002"/>
    <n v="12"/>
    <n v="12080.215199999999"/>
    <n v="13890.119999999999"/>
    <n v="-1809.9048000000003"/>
    <n v="-0.14982388724333326"/>
    <s v="Q2-2024"/>
    <s v="Africa → South Africa → Johannesburg"/>
    <s v="Medium"/>
    <n v="2024"/>
    <x v="5"/>
    <s v="Yes"/>
    <x v="1"/>
  </r>
  <r>
    <s v="ORD-2023-251563"/>
    <d v="2023-05-11T00:00:00"/>
    <d v="2023-06-07T00:00:00"/>
    <d v="2023-05-11T00:00:00"/>
    <d v="2023-06-07T00:00:00"/>
    <n v="27"/>
    <s v="5-2023"/>
    <x v="0"/>
    <s v="Kenya"/>
    <s v="Mombasa"/>
    <s v="Corporate"/>
    <x v="1"/>
    <x v="1"/>
    <x v="3"/>
    <x v="106"/>
    <n v="12.85"/>
    <n v="15.41"/>
    <n v="0.13700000000000001"/>
    <n v="39"/>
    <n v="518.65436999999997"/>
    <n v="501.15"/>
    <n v="17.504369999999994"/>
    <n v="3.3749585489851353E-2"/>
    <s v="Q2-2023"/>
    <s v="Africa → Kenya → Mombasa"/>
    <s v="Low"/>
    <n v="2023"/>
    <x v="5"/>
    <s v="No"/>
    <x v="0"/>
  </r>
  <r>
    <s v="ORD-2024-286833"/>
    <d v="2024-08-14T00:00:00"/>
    <d v="2024-09-04T00:00:00"/>
    <d v="2024-08-14T00:00:00"/>
    <d v="2024-09-04T00:00:00"/>
    <n v="21"/>
    <s v="8-2024"/>
    <x v="3"/>
    <s v="United Kingdom"/>
    <s v="Manchester"/>
    <s v="Non-Profit"/>
    <x v="1"/>
    <x v="1"/>
    <x v="3"/>
    <x v="107"/>
    <n v="1138.8"/>
    <n v="2250.81"/>
    <n v="0.123"/>
    <n v="12"/>
    <n v="23687.524440000001"/>
    <n v="13665.599999999999"/>
    <n v="10021.924440000003"/>
    <n v="0.42308872188756258"/>
    <s v="Q3-2024"/>
    <s v="Europe → United Kingdom → Manchester"/>
    <s v="High"/>
    <n v="2024"/>
    <x v="11"/>
    <s v="No"/>
    <x v="0"/>
  </r>
  <r>
    <s v="ORD-2024-792558"/>
    <d v="2024-10-16T00:00:00"/>
    <d v="2024-11-08T00:00:00"/>
    <d v="2024-10-16T00:00:00"/>
    <d v="2024-11-08T00:00:00"/>
    <n v="23"/>
    <s v="10-2024"/>
    <x v="1"/>
    <s v="Japan"/>
    <s v="Osaka"/>
    <s v="Small Business"/>
    <x v="0"/>
    <x v="1"/>
    <x v="2"/>
    <x v="108"/>
    <n v="82.14"/>
    <n v="166.04"/>
    <n v="0"/>
    <n v="10"/>
    <n v="1660.3999999999999"/>
    <n v="821.4"/>
    <n v="838.99999999999989"/>
    <n v="0.50529992772825827"/>
    <s v="Q4-2024"/>
    <s v="Asia → Japan → Osaka"/>
    <s v="Low"/>
    <n v="2024"/>
    <x v="1"/>
    <s v="No"/>
    <x v="0"/>
  </r>
  <r>
    <s v="ORD-2025-146850"/>
    <d v="2025-01-21T00:00:00"/>
    <d v="2025-02-14T00:00:00"/>
    <d v="2025-01-21T00:00:00"/>
    <d v="2025-02-14T00:00:00"/>
    <n v="24"/>
    <s v="1-2025"/>
    <x v="0"/>
    <s v="Kenya"/>
    <s v="Nairobi"/>
    <s v="Small Business"/>
    <x v="0"/>
    <x v="1"/>
    <x v="6"/>
    <x v="109"/>
    <n v="1030.44"/>
    <n v="2562.84"/>
    <n v="0.14799999999999999"/>
    <n v="13"/>
    <n v="28386.015839999996"/>
    <n v="13395.720000000001"/>
    <n v="14990.295839999995"/>
    <n v="0.52808734852027039"/>
    <s v="Q1-2025"/>
    <s v="Africa → Kenya → Nairobi"/>
    <s v="High"/>
    <n v="2025"/>
    <x v="4"/>
    <s v="No"/>
    <x v="0"/>
  </r>
  <r>
    <s v="ORD-2024-909942"/>
    <d v="2024-06-09T00:00:00"/>
    <d v="2024-07-07T00:00:00"/>
    <d v="2024-06-09T00:00:00"/>
    <d v="2024-07-07T00:00:00"/>
    <n v="28"/>
    <s v="6-2024"/>
    <x v="1"/>
    <s v="China"/>
    <s v="Shenzhen"/>
    <s v="Corporate"/>
    <x v="1"/>
    <x v="1"/>
    <x v="0"/>
    <x v="110"/>
    <n v="550.22"/>
    <n v="1025.05"/>
    <n v="0"/>
    <n v="27"/>
    <n v="27676.35"/>
    <n v="14855.94"/>
    <n v="12820.409999999998"/>
    <n v="0.46322618408858102"/>
    <s v="Q2-2024"/>
    <s v="Asia → China → Shenzhen"/>
    <s v="Low"/>
    <n v="2024"/>
    <x v="9"/>
    <s v="No"/>
    <x v="0"/>
  </r>
  <r>
    <s v="ORD-2024-223618"/>
    <d v="2024-06-10T00:00:00"/>
    <d v="2024-06-11T00:00:00"/>
    <d v="2024-06-10T00:00:00"/>
    <d v="2024-06-11T00:00:00"/>
    <n v="1"/>
    <s v="6-2024"/>
    <x v="3"/>
    <s v="United Kingdom"/>
    <s v="Birmingham"/>
    <s v="Small Business"/>
    <x v="2"/>
    <x v="13"/>
    <x v="4"/>
    <x v="111"/>
    <n v="1187.1300000000001"/>
    <n v="1795.17"/>
    <n v="1.2E-2"/>
    <n v="17"/>
    <n v="30151.675319999998"/>
    <n v="20181.210000000003"/>
    <n v="9970.4653199999957"/>
    <n v="0.33067699271046663"/>
    <s v="Q2-2024"/>
    <s v="Europe → United Kingdom → Birmingham"/>
    <s v="Medium"/>
    <n v="2024"/>
    <x v="9"/>
    <s v="Yes"/>
    <x v="0"/>
  </r>
  <r>
    <s v="ORD-2024-919471"/>
    <d v="2024-06-29T00:00:00"/>
    <d v="2024-07-26T00:00:00"/>
    <d v="2024-06-29T00:00:00"/>
    <d v="2024-07-26T00:00:00"/>
    <n v="27"/>
    <s v="6-2024"/>
    <x v="0"/>
    <s v="South Africa"/>
    <s v="Durban"/>
    <s v="Enterprise"/>
    <x v="3"/>
    <x v="5"/>
    <x v="2"/>
    <x v="112"/>
    <n v="5.36"/>
    <n v="4.37"/>
    <n v="0.11799999999999999"/>
    <n v="9"/>
    <n v="34.689059999999998"/>
    <n v="48.24"/>
    <n v="-13.550940000000004"/>
    <n v="-0.39064016148030545"/>
    <s v="Q2-2024"/>
    <s v="Africa → South Africa → Durban"/>
    <s v="Low"/>
    <n v="2024"/>
    <x v="9"/>
    <s v="No"/>
    <x v="0"/>
  </r>
  <r>
    <s v="ORD-2024-277241"/>
    <d v="2024-01-28T00:00:00"/>
    <d v="2024-01-30T00:00:00"/>
    <d v="2024-01-28T00:00:00"/>
    <d v="2024-01-30T00:00:00"/>
    <n v="2"/>
    <s v="1-2024"/>
    <x v="0"/>
    <s v="South Africa"/>
    <s v="Cape Town"/>
    <s v="Consumer"/>
    <x v="4"/>
    <x v="9"/>
    <x v="6"/>
    <x v="113"/>
    <n v="798.45"/>
    <n v="1592.02"/>
    <n v="6.6000000000000003E-2"/>
    <n v="18"/>
    <n v="26765.040239999998"/>
    <n v="14372.1"/>
    <n v="12392.940239999998"/>
    <n v="0.46302714768494585"/>
    <s v="Q1-2024"/>
    <s v="Africa → South Africa → Cape Town"/>
    <s v="Medium"/>
    <n v="2024"/>
    <x v="4"/>
    <s v="Yes"/>
    <x v="0"/>
  </r>
  <r>
    <s v="ORD-2023-975863"/>
    <d v="2023-11-20T00:00:00"/>
    <d v="2023-12-05T00:00:00"/>
    <d v="2023-11-20T00:00:00"/>
    <d v="2023-12-05T00:00:00"/>
    <n v="15"/>
    <s v="11-2023"/>
    <x v="1"/>
    <s v="Japan"/>
    <s v="Tokyo"/>
    <s v="Enterprise"/>
    <x v="0"/>
    <x v="4"/>
    <x v="2"/>
    <x v="114"/>
    <n v="354.24"/>
    <n v="249.87"/>
    <n v="0"/>
    <n v="6"/>
    <n v="1499.22"/>
    <n v="2125.44"/>
    <n v="-626.22"/>
    <n v="-0.41769720254532355"/>
    <s v="Q4-2023"/>
    <s v="Asia → Japan → Tokyo"/>
    <s v="Low"/>
    <n v="2023"/>
    <x v="10"/>
    <s v="No"/>
    <x v="0"/>
  </r>
  <r>
    <s v="ORD-2023-867175"/>
    <d v="2023-08-10T00:00:00"/>
    <d v="2023-08-15T00:00:00"/>
    <d v="2023-08-10T00:00:00"/>
    <d v="2023-08-15T00:00:00"/>
    <n v="5"/>
    <s v="8-2023"/>
    <x v="2"/>
    <s v="Brazil"/>
    <s v="São Paulo"/>
    <s v="Education"/>
    <x v="4"/>
    <x v="3"/>
    <x v="2"/>
    <x v="115"/>
    <n v="1307.52"/>
    <n v="1921.65"/>
    <n v="0.123"/>
    <n v="13"/>
    <n v="21908.731650000002"/>
    <n v="16997.759999999998"/>
    <n v="4910.9716500000031"/>
    <n v="0.22415590863289445"/>
    <s v="Q3-2023"/>
    <s v="Americas → Brazil → São Paulo"/>
    <s v="High"/>
    <n v="2023"/>
    <x v="11"/>
    <s v="Yes"/>
    <x v="0"/>
  </r>
  <r>
    <s v="ORD-2025-698069"/>
    <d v="2025-06-03T00:00:00"/>
    <d v="2025-06-10T00:00:00"/>
    <d v="2025-06-03T00:00:00"/>
    <d v="2025-06-10T00:00:00"/>
    <n v="7"/>
    <s v="6-2025"/>
    <x v="2"/>
    <s v="Canada"/>
    <s v="Toronto"/>
    <s v="Consumer"/>
    <x v="3"/>
    <x v="7"/>
    <x v="1"/>
    <x v="116"/>
    <n v="75.180000000000007"/>
    <n v="53.45"/>
    <n v="0.157"/>
    <n v="17"/>
    <n v="765.99195000000009"/>
    <n v="1278.0600000000002"/>
    <n v="-512.06805000000008"/>
    <n v="-0.66850317421743144"/>
    <s v="Q2-2025"/>
    <s v="Americas → Canada → Toronto"/>
    <s v="Low"/>
    <n v="2025"/>
    <x v="9"/>
    <s v="Yes"/>
    <x v="0"/>
  </r>
  <r>
    <s v="ORD-2024-474999"/>
    <d v="2024-12-27T00:00:00"/>
    <d v="2025-01-02T00:00:00"/>
    <d v="2024-12-27T00:00:00"/>
    <d v="2025-01-02T00:00:00"/>
    <n v="6"/>
    <s v="12-2024"/>
    <x v="3"/>
    <s v="Germany"/>
    <s v="Frankfurt"/>
    <s v="Education"/>
    <x v="4"/>
    <x v="9"/>
    <x v="4"/>
    <x v="117"/>
    <n v="1391.99"/>
    <n v="3469.7"/>
    <n v="0.184"/>
    <n v="23"/>
    <n v="65119.329599999997"/>
    <n v="32015.77"/>
    <n v="33103.559599999993"/>
    <n v="0.50835227886006973"/>
    <s v="Q4-2024"/>
    <s v="Europe → Germany → Frankfurt"/>
    <s v="High"/>
    <n v="2024"/>
    <x v="3"/>
    <s v="Yes"/>
    <x v="0"/>
  </r>
  <r>
    <s v="ORD-2023-427304"/>
    <d v="2023-06-09T00:00:00"/>
    <d v="2023-06-19T00:00:00"/>
    <d v="2023-06-09T00:00:00"/>
    <d v="2023-06-19T00:00:00"/>
    <n v="10"/>
    <s v="6-2023"/>
    <x v="1"/>
    <s v="China"/>
    <s v="Beijing"/>
    <s v="Enterprise"/>
    <x v="0"/>
    <x v="9"/>
    <x v="5"/>
    <x v="118"/>
    <n v="339.61"/>
    <n v="621.02"/>
    <n v="7.0999999999999994E-2"/>
    <n v="10"/>
    <n v="5769.2758000000003"/>
    <n v="3396.1000000000004"/>
    <n v="2373.1758"/>
    <n v="0.41134726129750981"/>
    <s v="Q2-2023"/>
    <s v="Asia → China → Beijing"/>
    <s v="Low"/>
    <n v="2023"/>
    <x v="9"/>
    <s v="No"/>
    <x v="0"/>
  </r>
  <r>
    <s v="ORD-2025-956101"/>
    <d v="2025-07-09T00:00:00"/>
    <d v="2025-07-18T00:00:00"/>
    <d v="2025-07-09T00:00:00"/>
    <d v="2025-07-18T00:00:00"/>
    <n v="9"/>
    <s v="7-2025"/>
    <x v="2"/>
    <s v="Canada"/>
    <s v="Vancouver"/>
    <s v="Education"/>
    <x v="3"/>
    <x v="2"/>
    <x v="4"/>
    <x v="119"/>
    <n v="57.96"/>
    <n v="88.51"/>
    <n v="4.2999999999999997E-2"/>
    <n v="7"/>
    <n v="592.92849000000001"/>
    <n v="405.72"/>
    <n v="187.20848999999998"/>
    <n v="0.3157353595877978"/>
    <s v="Q3-2025"/>
    <s v="Americas → Canada → Vancouver"/>
    <s v="Low"/>
    <n v="2025"/>
    <x v="6"/>
    <s v="No"/>
    <x v="0"/>
  </r>
  <r>
    <s v="ORD-2025-184082"/>
    <d v="2025-06-19T00:00:00"/>
    <d v="2025-07-12T00:00:00"/>
    <d v="2025-06-19T00:00:00"/>
    <d v="2025-07-12T00:00:00"/>
    <n v="23"/>
    <s v="6-2025"/>
    <x v="3"/>
    <s v="United Kingdom"/>
    <s v="Unknown City"/>
    <s v="Non-Profit"/>
    <x v="4"/>
    <x v="15"/>
    <x v="2"/>
    <x v="120"/>
    <n v="801.24"/>
    <n v="1959.09"/>
    <n v="0.123"/>
    <n v="23"/>
    <n v="39516.804389999998"/>
    <n v="18428.52"/>
    <n v="21088.284389999997"/>
    <n v="0.53365358650651762"/>
    <s v="Q2-2025"/>
    <s v="Europe → United Kingdom → Unknown City"/>
    <s v="High"/>
    <n v="2025"/>
    <x v="9"/>
    <s v="No"/>
    <x v="0"/>
  </r>
  <r>
    <s v="ORD-2023-576840"/>
    <d v="2023-11-19T00:00:00"/>
    <d v="2023-12-13T00:00:00"/>
    <d v="2023-11-19T00:00:00"/>
    <d v="2023-12-13T00:00:00"/>
    <n v="24"/>
    <s v="11-2023"/>
    <x v="3"/>
    <s v="France"/>
    <s v="Lyon"/>
    <s v="Non-Profit"/>
    <x v="4"/>
    <x v="11"/>
    <x v="5"/>
    <x v="121"/>
    <n v="1297.42"/>
    <n v="2742.97"/>
    <n v="6.9000000000000006E-2"/>
    <n v="9"/>
    <n v="22983.34563"/>
    <n v="11676.78"/>
    <n v="11306.565629999999"/>
    <n v="0.49194602961727291"/>
    <s v="Q4-2023"/>
    <s v="Europe → France → Lyon"/>
    <s v="High"/>
    <n v="2023"/>
    <x v="10"/>
    <s v="No"/>
    <x v="0"/>
  </r>
  <r>
    <s v="ORD-2023-178249"/>
    <d v="2023-12-29T00:00:00"/>
    <d v="2024-01-20T00:00:00"/>
    <d v="2023-12-29T00:00:00"/>
    <d v="2024-01-20T00:00:00"/>
    <n v="22"/>
    <s v="12-2023"/>
    <x v="0"/>
    <s v="Kenya"/>
    <s v="Kisumu"/>
    <s v="Corporate"/>
    <x v="4"/>
    <x v="4"/>
    <x v="3"/>
    <x v="122"/>
    <n v="1395.49"/>
    <n v="1679.42"/>
    <n v="0.20300000000000001"/>
    <n v="12"/>
    <n v="16061.972879999999"/>
    <n v="16745.88"/>
    <n v="-683.90712000000167"/>
    <n v="-4.2579272490964493E-2"/>
    <s v="Q4-2023"/>
    <s v="Africa → Kenya → Kisumu"/>
    <s v="Medium"/>
    <n v="2023"/>
    <x v="3"/>
    <s v="No"/>
    <x v="1"/>
  </r>
  <r>
    <s v="ORD-2023-552115"/>
    <d v="2023-09-17T00:00:00"/>
    <d v="2023-10-02T00:00:00"/>
    <d v="2023-09-17T00:00:00"/>
    <d v="2023-10-02T00:00:00"/>
    <n v="15"/>
    <s v="9-2023"/>
    <x v="2"/>
    <s v="Brazil"/>
    <s v="Rio de Janeiro"/>
    <s v="Small Business"/>
    <x v="0"/>
    <x v="5"/>
    <x v="4"/>
    <x v="123"/>
    <n v="689.33"/>
    <n v="668.27"/>
    <n v="0.186"/>
    <n v="13"/>
    <n v="7071.6331400000008"/>
    <n v="8961.2900000000009"/>
    <n v="-1889.6568600000001"/>
    <n v="-0.26721647214861033"/>
    <s v="Q3-2023"/>
    <s v="Americas → Brazil → Rio de Janeiro"/>
    <s v="Low"/>
    <n v="2023"/>
    <x v="8"/>
    <s v="No"/>
    <x v="0"/>
  </r>
  <r>
    <s v="ORD-2023-603238"/>
    <d v="2023-08-21T00:00:00"/>
    <d v="2023-09-04T00:00:00"/>
    <d v="2023-08-21T00:00:00"/>
    <d v="2023-09-04T00:00:00"/>
    <n v="14"/>
    <s v="8-2023"/>
    <x v="2"/>
    <s v="Canada"/>
    <s v="Montreal"/>
    <s v="Education"/>
    <x v="3"/>
    <x v="9"/>
    <x v="0"/>
    <x v="124"/>
    <n v="178.19"/>
    <n v="284.43"/>
    <n v="8.8999999999999996E-2"/>
    <n v="8"/>
    <n v="2072.9258400000003"/>
    <n v="1425.52"/>
    <n v="647.40584000000035"/>
    <n v="0.31231500302972742"/>
    <s v="Q3-2023"/>
    <s v="Americas → Canada → Montreal"/>
    <s v="Low"/>
    <n v="2023"/>
    <x v="11"/>
    <s v="No"/>
    <x v="0"/>
  </r>
  <r>
    <s v="ORD-2023-883066"/>
    <d v="2023-08-12T00:00:00"/>
    <d v="2023-09-06T00:00:00"/>
    <d v="2023-08-12T00:00:00"/>
    <d v="2023-09-06T00:00:00"/>
    <n v="25"/>
    <s v="8-2023"/>
    <x v="1"/>
    <s v="China"/>
    <s v="Shanghai"/>
    <s v="Small Business"/>
    <x v="0"/>
    <x v="5"/>
    <x v="0"/>
    <x v="125"/>
    <n v="950.77"/>
    <n v="694.78"/>
    <n v="8.4000000000000005E-2"/>
    <n v="14"/>
    <n v="8909.8587200000002"/>
    <n v="13310.779999999999"/>
    <n v="-4400.9212799999987"/>
    <n v="-0.49393839097821279"/>
    <s v="Q3-2023"/>
    <s v="Asia → China → Shanghai"/>
    <s v="Low"/>
    <n v="2023"/>
    <x v="11"/>
    <s v="No"/>
    <x v="0"/>
  </r>
  <r>
    <s v="ORD-2024-584090"/>
    <d v="2024-06-07T00:00:00"/>
    <d v="2024-06-26T00:00:00"/>
    <d v="2024-06-07T00:00:00"/>
    <d v="2024-06-26T00:00:00"/>
    <n v="19"/>
    <s v="6-2024"/>
    <x v="3"/>
    <s v="Germany"/>
    <s v="Berlin"/>
    <s v="Non-Profit"/>
    <x v="2"/>
    <x v="13"/>
    <x v="0"/>
    <x v="126"/>
    <n v="1064.32"/>
    <n v="1848.39"/>
    <n v="7.2999999999999995E-2"/>
    <n v="38"/>
    <n v="65111.38614000001"/>
    <n v="40444.159999999996"/>
    <n v="24667.226140000013"/>
    <n v="0.3788465827921631"/>
    <s v="Q2-2024"/>
    <s v="Europe → Germany → Berlin"/>
    <s v="Medium"/>
    <n v="2024"/>
    <x v="9"/>
    <s v="No"/>
    <x v="0"/>
  </r>
  <r>
    <s v="ORD-2025-537785"/>
    <d v="2025-08-05T00:00:00"/>
    <d v="2025-08-14T00:00:00"/>
    <d v="2025-08-05T00:00:00"/>
    <d v="2025-08-14T00:00:00"/>
    <n v="9"/>
    <s v="8-2025"/>
    <x v="3"/>
    <s v="United Kingdom"/>
    <s v="London"/>
    <s v="Non-Profit"/>
    <x v="4"/>
    <x v="6"/>
    <x v="0"/>
    <x v="127"/>
    <n v="41.76"/>
    <n v="45.19"/>
    <n v="0.17899999999999999"/>
    <n v="23"/>
    <n v="853.32276999999988"/>
    <n v="960.4799999999999"/>
    <n v="-107.15723000000003"/>
    <n v="-0.12557643340514638"/>
    <s v="Q3-2025"/>
    <s v="Europe → United Kingdom → London"/>
    <s v="Low"/>
    <n v="2025"/>
    <x v="11"/>
    <s v="No"/>
    <x v="0"/>
  </r>
  <r>
    <s v="ORD-2024-605518"/>
    <d v="2024-05-30T00:00:00"/>
    <d v="2024-06-13T00:00:00"/>
    <d v="2024-05-30T00:00:00"/>
    <d v="2024-06-13T00:00:00"/>
    <n v="14"/>
    <s v="5-2024"/>
    <x v="2"/>
    <s v="USA"/>
    <s v="San Francisco"/>
    <s v="Small Business"/>
    <x v="0"/>
    <x v="9"/>
    <x v="3"/>
    <x v="128"/>
    <n v="157.78"/>
    <n v="361.1"/>
    <n v="0.187"/>
    <n v="9"/>
    <n v="2642.1686999999997"/>
    <n v="1420.02"/>
    <n v="1222.1486999999997"/>
    <n v="0.46255513510549112"/>
    <s v="Q2-2024"/>
    <s v="Americas → USA → San Francisco"/>
    <s v="Low"/>
    <n v="2024"/>
    <x v="5"/>
    <s v="No"/>
    <x v="0"/>
  </r>
  <r>
    <s v="ORD-2023-521818"/>
    <d v="2023-01-22T00:00:00"/>
    <d v="2023-01-30T00:00:00"/>
    <d v="2023-01-22T00:00:00"/>
    <d v="2023-01-30T00:00:00"/>
    <n v="8"/>
    <s v="1-2023"/>
    <x v="2"/>
    <s v="USA"/>
    <s v="San Francisco"/>
    <s v="Small Business"/>
    <x v="1"/>
    <x v="14"/>
    <x v="2"/>
    <x v="129"/>
    <n v="413.52"/>
    <n v="1004.34"/>
    <n v="0.111"/>
    <n v="18"/>
    <n v="16071.44868"/>
    <n v="7443.36"/>
    <n v="8628.0886800000007"/>
    <n v="0.53685817948304593"/>
    <s v="Q1-2023"/>
    <s v="Americas → USA → San Francisco"/>
    <s v="Low"/>
    <n v="2023"/>
    <x v="4"/>
    <s v="No"/>
    <x v="0"/>
  </r>
  <r>
    <s v="ORD-2023-521818"/>
    <d v="2023-01-29T00:00:00"/>
    <d v="2023-02-28T00:00:00"/>
    <d v="2023-01-29T00:00:00"/>
    <d v="2023-02-28T00:00:00"/>
    <n v="30"/>
    <s v="1-2023"/>
    <x v="1"/>
    <s v="India"/>
    <s v="Bengaluru"/>
    <s v="Non-Profit"/>
    <x v="0"/>
    <x v="5"/>
    <x v="6"/>
    <x v="130"/>
    <n v="1262.0999999999999"/>
    <n v="1395.53"/>
    <n v="0.23300000000000001"/>
    <n v="25"/>
    <n v="26759.28775"/>
    <n v="31552.499999999996"/>
    <n v="-4793.2122499999969"/>
    <n v="-0.17912331205452198"/>
    <s v="Q1-2023"/>
    <s v="Asia → India → Bengaluru"/>
    <s v="Medium"/>
    <n v="2023"/>
    <x v="4"/>
    <s v="No"/>
    <x v="1"/>
  </r>
  <r>
    <s v="ORD-2023-479747"/>
    <d v="2023-07-14T00:00:00"/>
    <d v="2023-07-14T00:00:00"/>
    <d v="2023-07-14T00:00:00"/>
    <d v="2023-07-14T00:00:00"/>
    <n v="0"/>
    <s v="7-2023"/>
    <x v="0"/>
    <s v="Nigeria"/>
    <s v="Lagos"/>
    <s v="Education"/>
    <x v="0"/>
    <x v="2"/>
    <x v="6"/>
    <x v="131"/>
    <n v="956.38"/>
    <n v="1454.22"/>
    <n v="3.9E-2"/>
    <n v="19"/>
    <n v="26552.60298"/>
    <n v="18171.22"/>
    <n v="8381.3829799999985"/>
    <n v="0.31565202802576603"/>
    <s v="Q3-2023"/>
    <s v="Africa → Nigeria → Lagos"/>
    <s v="Medium"/>
    <n v="2023"/>
    <x v="6"/>
    <s v="Yes"/>
    <x v="0"/>
  </r>
  <r>
    <s v="ORD-2023-430904"/>
    <d v="2023-01-27T00:00:00"/>
    <d v="2023-01-31T00:00:00"/>
    <d v="2023-01-27T00:00:00"/>
    <d v="2023-01-31T00:00:00"/>
    <n v="4"/>
    <s v="1-2023"/>
    <x v="3"/>
    <s v="United Kingdom"/>
    <s v="Manchester"/>
    <s v="Enterprise"/>
    <x v="1"/>
    <x v="10"/>
    <x v="4"/>
    <x v="132"/>
    <n v="941.2"/>
    <n v="668.02"/>
    <n v="0.22"/>
    <n v="16"/>
    <n v="8336.8896000000004"/>
    <n v="15059.2"/>
    <n v="-6722.3104000000003"/>
    <n v="-0.80633314371825193"/>
    <s v="Q1-2023"/>
    <s v="Europe → United Kingdom → Manchester"/>
    <s v="Low"/>
    <n v="2023"/>
    <x v="4"/>
    <s v="Yes"/>
    <x v="1"/>
  </r>
  <r>
    <s v="ORD-2025-354346"/>
    <d v="2025-01-09T00:00:00"/>
    <d v="2025-01-15T00:00:00"/>
    <d v="2025-01-09T00:00:00"/>
    <d v="2025-01-15T00:00:00"/>
    <n v="6"/>
    <s v="1-2025"/>
    <x v="1"/>
    <s v="China"/>
    <s v="Beijing"/>
    <s v="Education"/>
    <x v="1"/>
    <x v="0"/>
    <x v="3"/>
    <x v="133"/>
    <n v="304.77999999999997"/>
    <n v="537.27"/>
    <n v="0.187"/>
    <n v="8"/>
    <n v="3494.4040799999998"/>
    <n v="2438.2399999999998"/>
    <n v="1056.16408"/>
    <n v="0.3022444044307549"/>
    <s v="Q1-2025"/>
    <s v="Asia → China → Beijing"/>
    <s v="Low"/>
    <n v="2025"/>
    <x v="4"/>
    <s v="Yes"/>
    <x v="0"/>
  </r>
  <r>
    <s v="ORD-2024-164288"/>
    <d v="2024-12-21T00:00:00"/>
    <d v="2024-12-26T00:00:00"/>
    <d v="2024-12-21T00:00:00"/>
    <d v="2024-12-26T00:00:00"/>
    <n v="5"/>
    <s v="12-2024"/>
    <x v="2"/>
    <s v="USA"/>
    <s v="San Francisco"/>
    <s v="Consumer"/>
    <x v="2"/>
    <x v="13"/>
    <x v="1"/>
    <x v="134"/>
    <n v="699.57"/>
    <n v="572.71"/>
    <n v="0.192"/>
    <n v="26"/>
    <n v="12031.491680000001"/>
    <n v="18188.82"/>
    <n v="-6157.3283199999987"/>
    <n v="-0.51176765805651114"/>
    <s v="Q4-2024"/>
    <s v="Americas → USA → San Francisco"/>
    <s v="Low"/>
    <n v="2024"/>
    <x v="3"/>
    <s v="Yes"/>
    <x v="0"/>
  </r>
  <r>
    <s v="ORD-2023-867285"/>
    <d v="2023-04-12T00:00:00"/>
    <d v="2023-04-17T00:00:00"/>
    <d v="2023-04-12T00:00:00"/>
    <d v="2023-04-17T00:00:00"/>
    <n v="5"/>
    <s v="4-2023"/>
    <x v="3"/>
    <s v="France"/>
    <s v="Lyon"/>
    <s v="Enterprise"/>
    <x v="4"/>
    <x v="6"/>
    <x v="5"/>
    <x v="135"/>
    <n v="1087.81"/>
    <n v="2323.87"/>
    <n v="9.4E-2"/>
    <n v="13"/>
    <n v="27370.540859999997"/>
    <n v="14141.529999999999"/>
    <n v="13229.010859999999"/>
    <n v="0.48333026839572651"/>
    <s v="Q2-2023"/>
    <s v="Europe → France → Lyon"/>
    <s v="High"/>
    <n v="2023"/>
    <x v="7"/>
    <s v="Yes"/>
    <x v="0"/>
  </r>
  <r>
    <s v="ORD-2024-836421"/>
    <d v="2024-12-14T00:00:00"/>
    <d v="2025-01-12T00:00:00"/>
    <d v="2024-12-14T00:00:00"/>
    <d v="2025-01-12T00:00:00"/>
    <n v="29"/>
    <s v="12-2024"/>
    <x v="1"/>
    <s v="China"/>
    <s v="Shenzhen"/>
    <s v="Education"/>
    <x v="1"/>
    <x v="1"/>
    <x v="0"/>
    <x v="136"/>
    <n v="1412.15"/>
    <n v="1631.04"/>
    <n v="8.9999999999999993E-3"/>
    <n v="6"/>
    <n v="9698.1638399999993"/>
    <n v="8472.9000000000015"/>
    <n v="1225.2638399999978"/>
    <n v="0.12633977526203535"/>
    <s v="Q4-2024"/>
    <s v="Asia → China → Shenzhen"/>
    <s v="Medium"/>
    <n v="2024"/>
    <x v="3"/>
    <s v="No"/>
    <x v="0"/>
  </r>
  <r>
    <s v="ORD-2023-613287"/>
    <d v="2023-03-31T00:00:00"/>
    <d v="2023-04-12T00:00:00"/>
    <d v="2023-03-31T00:00:00"/>
    <d v="2023-04-12T00:00:00"/>
    <n v="12"/>
    <s v="3-2023"/>
    <x v="0"/>
    <s v="Kenya"/>
    <s v="Mombasa"/>
    <s v="Small Business"/>
    <x v="1"/>
    <x v="0"/>
    <x v="3"/>
    <x v="137"/>
    <n v="304.22000000000003"/>
    <n v="393.31"/>
    <n v="0.26500000000000001"/>
    <n v="15"/>
    <n v="4336.2427499999994"/>
    <n v="4563.3"/>
    <n v="-227.05725000000075"/>
    <n v="-5.2362670424759034E-2"/>
    <s v="Q1-2023"/>
    <s v="Africa → Kenya → Mombasa"/>
    <s v="Low"/>
    <n v="2023"/>
    <x v="0"/>
    <s v="No"/>
    <x v="1"/>
  </r>
  <r>
    <s v="ORD-2024-783321"/>
    <d v="2024-11-20T00:00:00"/>
    <d v="2024-12-15T00:00:00"/>
    <d v="2024-11-20T00:00:00"/>
    <d v="2024-12-15T00:00:00"/>
    <n v="25"/>
    <s v="11-2024"/>
    <x v="3"/>
    <s v="France"/>
    <s v="Paris"/>
    <s v="Corporate"/>
    <x v="1"/>
    <x v="3"/>
    <x v="1"/>
    <x v="138"/>
    <n v="1203.58"/>
    <n v="1856.16"/>
    <n v="0.129"/>
    <n v="22"/>
    <n v="35567.737920000007"/>
    <n v="26478.76"/>
    <n v="9088.9779200000085"/>
    <n v="0.25553994860295032"/>
    <s v="Q4-2024"/>
    <s v="Europe → France → Paris"/>
    <s v="Medium"/>
    <n v="2024"/>
    <x v="10"/>
    <s v="No"/>
    <x v="0"/>
  </r>
  <r>
    <s v="ORD-2023-808024"/>
    <d v="2023-12-30T00:00:00"/>
    <d v="2024-01-08T00:00:00"/>
    <d v="2023-12-30T00:00:00"/>
    <d v="2024-01-08T00:00:00"/>
    <n v="9"/>
    <s v="12-2023"/>
    <x v="3"/>
    <s v="France"/>
    <s v="Marseille"/>
    <s v="Consumer"/>
    <x v="2"/>
    <x v="4"/>
    <x v="6"/>
    <x v="139"/>
    <n v="861.1"/>
    <n v="1224.72"/>
    <n v="0.17399999999999999"/>
    <n v="24"/>
    <n v="24278.849280000002"/>
    <n v="20666.400000000001"/>
    <n v="3612.4492800000007"/>
    <n v="0.14878997098827909"/>
    <s v="Q4-2023"/>
    <s v="Europe → France → Marseille"/>
    <s v="Medium"/>
    <n v="2023"/>
    <x v="3"/>
    <s v="No"/>
    <x v="0"/>
  </r>
  <r>
    <s v="ORD-2023-906481"/>
    <d v="2023-05-02T00:00:00"/>
    <d v="2023-05-18T00:00:00"/>
    <d v="2023-05-02T00:00:00"/>
    <d v="2023-05-18T00:00:00"/>
    <n v="16"/>
    <s v="5-2023"/>
    <x v="1"/>
    <s v="India"/>
    <s v="Delhi"/>
    <s v="Small Business"/>
    <x v="2"/>
    <x v="12"/>
    <x v="5"/>
    <x v="140"/>
    <n v="1463.92"/>
    <n v="2252.2399999999998"/>
    <n v="0.11799999999999999"/>
    <n v="44"/>
    <n v="87404.929919999995"/>
    <n v="64412.480000000003"/>
    <n v="22992.449919999992"/>
    <n v="0.26305667130040061"/>
    <s v="Q2-2023"/>
    <s v="Asia → India → Delhi"/>
    <s v="High"/>
    <n v="2023"/>
    <x v="5"/>
    <s v="No"/>
    <x v="0"/>
  </r>
  <r>
    <s v="ORD-2024-902741"/>
    <d v="2024-12-23T00:00:00"/>
    <d v="2025-01-11T00:00:00"/>
    <d v="2024-12-23T00:00:00"/>
    <d v="2025-01-11T00:00:00"/>
    <n v="19"/>
    <s v="12-2024"/>
    <x v="3"/>
    <s v="Germany"/>
    <s v="Berlin"/>
    <s v="Education"/>
    <x v="0"/>
    <x v="12"/>
    <x v="3"/>
    <x v="141"/>
    <n v="501.81"/>
    <n v="921.62"/>
    <n v="0.01"/>
    <n v="9"/>
    <n v="8211.6342000000004"/>
    <n v="4516.29"/>
    <n v="3695.3442000000005"/>
    <n v="0.45001325071202031"/>
    <s v="Q4-2024"/>
    <s v="Europe → Germany → Berlin"/>
    <s v="Low"/>
    <n v="2024"/>
    <x v="3"/>
    <s v="No"/>
    <x v="0"/>
  </r>
  <r>
    <s v="ORD-2023-674887"/>
    <d v="2023-12-16T00:00:00"/>
    <d v="2023-12-19T00:00:00"/>
    <d v="2023-12-16T00:00:00"/>
    <d v="2023-12-19T00:00:00"/>
    <n v="3"/>
    <s v="12-2023"/>
    <x v="1"/>
    <s v="China"/>
    <s v="Beijing"/>
    <s v="Education"/>
    <x v="0"/>
    <x v="14"/>
    <x v="6"/>
    <x v="142"/>
    <n v="1415.05"/>
    <n v="1972.38"/>
    <n v="0"/>
    <n v="12"/>
    <n v="23668.560000000001"/>
    <n v="16980.599999999999"/>
    <n v="6687.9600000000028"/>
    <n v="0.28256725377462771"/>
    <s v="Q4-2023"/>
    <s v="Asia → China → Beijing"/>
    <s v="High"/>
    <n v="2023"/>
    <x v="3"/>
    <s v="Yes"/>
    <x v="0"/>
  </r>
  <r>
    <s v="ORD-2024-389102"/>
    <d v="2024-06-15T00:00:00"/>
    <d v="2024-07-06T00:00:00"/>
    <d v="2024-06-15T00:00:00"/>
    <d v="2024-07-06T00:00:00"/>
    <n v="21"/>
    <s v="6-2024"/>
    <x v="2"/>
    <s v="Canada"/>
    <s v="Toronto"/>
    <s v="Enterprise"/>
    <x v="3"/>
    <x v="4"/>
    <x v="1"/>
    <x v="143"/>
    <n v="817.23"/>
    <n v="1467.17"/>
    <n v="0.245"/>
    <n v="9"/>
    <n v="9969.4201499999999"/>
    <n v="7355.07"/>
    <n v="2614.3501500000002"/>
    <n v="0.26223693160328893"/>
    <s v="Q2-2024"/>
    <s v="Americas → Canada → Toronto"/>
    <s v="Medium"/>
    <n v="2024"/>
    <x v="9"/>
    <s v="No"/>
    <x v="1"/>
  </r>
  <r>
    <s v="ORD-2023-667815"/>
    <d v="2023-10-21T00:00:00"/>
    <d v="2023-11-09T00:00:00"/>
    <d v="2023-10-21T00:00:00"/>
    <d v="2023-11-09T00:00:00"/>
    <n v="19"/>
    <s v="10-2023"/>
    <x v="3"/>
    <s v="United Kingdom"/>
    <s v="London"/>
    <s v="Non-Profit"/>
    <x v="4"/>
    <x v="14"/>
    <x v="6"/>
    <x v="144"/>
    <n v="1142.48"/>
    <n v="2105.5300000000002"/>
    <n v="0.20699999999999999"/>
    <n v="14"/>
    <n v="23375.594060000003"/>
    <n v="15994.720000000001"/>
    <n v="7380.8740600000019"/>
    <n v="0.31575129346680658"/>
    <s v="Q4-2023"/>
    <s v="Europe → United Kingdom → London"/>
    <s v="High"/>
    <n v="2023"/>
    <x v="1"/>
    <s v="No"/>
    <x v="1"/>
  </r>
  <r>
    <s v="ORD-2023-825495"/>
    <d v="2023-11-30T00:00:00"/>
    <d v="2023-11-29T00:00:00"/>
    <d v="2023-11-29T00:00:00"/>
    <d v="2023-11-30T00:00:00"/>
    <n v="1"/>
    <s v="11-2023"/>
    <x v="0"/>
    <s v="South Africa"/>
    <s v="Durban"/>
    <s v="Small Business"/>
    <x v="2"/>
    <x v="6"/>
    <x v="4"/>
    <x v="145"/>
    <n v="275.56"/>
    <n v="630.72"/>
    <n v="0.107"/>
    <n v="23"/>
    <n v="12954.358080000002"/>
    <n v="6337.88"/>
    <n v="6616.4780800000017"/>
    <n v="0.5107530638831933"/>
    <s v="Q4-2023"/>
    <s v="Africa → South Africa → Durban"/>
    <s v="Low"/>
    <n v="2023"/>
    <x v="10"/>
    <s v="Yes"/>
    <x v="0"/>
  </r>
  <r>
    <s v="ORD-2025-244832"/>
    <d v="2025-09-11T00:00:00"/>
    <d v="2025-09-28T00:00:00"/>
    <d v="2025-09-11T00:00:00"/>
    <d v="2025-09-28T00:00:00"/>
    <n v="17"/>
    <s v="9-2025"/>
    <x v="0"/>
    <s v="Kenya"/>
    <s v="Nairobi"/>
    <s v="Non-Profit"/>
    <x v="3"/>
    <x v="1"/>
    <x v="4"/>
    <x v="146"/>
    <n v="891.46"/>
    <n v="728.61"/>
    <n v="0.185"/>
    <n v="6"/>
    <n v="3562.9028999999996"/>
    <n v="5348.76"/>
    <n v="-1785.8571000000006"/>
    <n v="-0.50123653383874167"/>
    <s v="Q3-2025"/>
    <s v="Africa → Kenya → Nairobi"/>
    <s v="Low"/>
    <n v="2025"/>
    <x v="8"/>
    <s v="No"/>
    <x v="0"/>
  </r>
  <r>
    <s v="ORD-2024-921935"/>
    <d v="2024-01-01T00:00:00"/>
    <d v="2024-01-27T00:00:00"/>
    <d v="2024-01-01T00:00:00"/>
    <d v="2024-01-27T00:00:00"/>
    <n v="26"/>
    <s v="1-2024"/>
    <x v="3"/>
    <s v="United Kingdom"/>
    <s v="Manchester"/>
    <s v="Education"/>
    <x v="3"/>
    <x v="8"/>
    <x v="6"/>
    <x v="147"/>
    <n v="657.45"/>
    <n v="1325.96"/>
    <n v="0.16700000000000001"/>
    <n v="21"/>
    <n v="23195.01828"/>
    <n v="13806.45"/>
    <n v="9388.5682799999995"/>
    <n v="0.40476658249048808"/>
    <s v="Q1-2024"/>
    <s v="Europe → United Kingdom → Manchester"/>
    <s v="Medium"/>
    <n v="2024"/>
    <x v="4"/>
    <s v="No"/>
    <x v="0"/>
  </r>
  <r>
    <s v="ORD-2023-192324"/>
    <d v="2023-09-14T00:00:00"/>
    <d v="2023-09-16T00:00:00"/>
    <d v="2023-09-14T00:00:00"/>
    <d v="2023-09-16T00:00:00"/>
    <n v="2"/>
    <s v="9-2023"/>
    <x v="3"/>
    <s v="France"/>
    <s v="Lyon"/>
    <s v="Non-Profit"/>
    <x v="4"/>
    <x v="5"/>
    <x v="1"/>
    <x v="148"/>
    <n v="376.83"/>
    <n v="732.88"/>
    <n v="0.188"/>
    <n v="25"/>
    <n v="14877.464000000002"/>
    <n v="9420.75"/>
    <n v="5456.7140000000018"/>
    <n v="0.36677716040852132"/>
    <s v="Q3-2023"/>
    <s v="Europe → France → Lyon"/>
    <s v="Low"/>
    <n v="2023"/>
    <x v="8"/>
    <s v="Yes"/>
    <x v="0"/>
  </r>
  <r>
    <s v="ORD-2024-438404"/>
    <d v="2024-09-23T00:00:00"/>
    <d v="2024-10-18T00:00:00"/>
    <d v="2024-09-23T00:00:00"/>
    <d v="2024-10-18T00:00:00"/>
    <n v="25"/>
    <s v="9-2024"/>
    <x v="2"/>
    <s v="Canada"/>
    <s v="Vancouver"/>
    <s v="Small Business"/>
    <x v="1"/>
    <x v="10"/>
    <x v="3"/>
    <x v="149"/>
    <n v="1297"/>
    <n v="2411.52"/>
    <n v="2.1000000000000001E-2"/>
    <n v="18"/>
    <n v="42495.805439999996"/>
    <n v="23346"/>
    <n v="19149.805439999996"/>
    <n v="0.45062813239385913"/>
    <s v="Q3-2024"/>
    <s v="Americas → Canada → Vancouver"/>
    <s v="High"/>
    <n v="2024"/>
    <x v="8"/>
    <s v="No"/>
    <x v="0"/>
  </r>
  <r>
    <s v="ORD-2025-246470"/>
    <d v="2025-04-16T00:00:00"/>
    <d v="2025-05-16T00:00:00"/>
    <d v="2025-04-16T00:00:00"/>
    <d v="2025-05-16T00:00:00"/>
    <n v="30"/>
    <s v="4-2025"/>
    <x v="2"/>
    <s v="Canada"/>
    <s v="Montreal"/>
    <s v="Enterprise"/>
    <x v="3"/>
    <x v="12"/>
    <x v="1"/>
    <x v="150"/>
    <n v="763.32"/>
    <n v="568.29"/>
    <n v="0.13100000000000001"/>
    <n v="16"/>
    <n v="7901.5041599999995"/>
    <n v="12213.12"/>
    <n v="-4311.6158400000013"/>
    <n v="-0.54567026134426555"/>
    <s v="Q2-2025"/>
    <s v="Americas → Canada → Montreal"/>
    <s v="Low"/>
    <n v="2025"/>
    <x v="7"/>
    <s v="No"/>
    <x v="0"/>
  </r>
  <r>
    <s v="ORD-2023-497686"/>
    <d v="2023-07-03T00:00:00"/>
    <d v="2023-07-23T00:00:00"/>
    <d v="2023-07-03T00:00:00"/>
    <d v="2023-07-23T00:00:00"/>
    <n v="20"/>
    <s v="7-2023"/>
    <x v="0"/>
    <s v="South Africa"/>
    <s v="Johannesburg"/>
    <s v="Small Business"/>
    <x v="3"/>
    <x v="9"/>
    <x v="4"/>
    <x v="151"/>
    <n v="1001.96"/>
    <n v="1254.95"/>
    <n v="4.4999999999999998E-2"/>
    <n v="18"/>
    <n v="21572.590500000002"/>
    <n v="18035.28"/>
    <n v="3537.3105000000032"/>
    <n v="0.16397244920585699"/>
    <s v="Q3-2023"/>
    <s v="Africa → South Africa → Johannesburg"/>
    <s v="Medium"/>
    <n v="2023"/>
    <x v="6"/>
    <s v="No"/>
    <x v="0"/>
  </r>
  <r>
    <s v="ORD-2023-596758"/>
    <d v="2023-12-07T00:00:00"/>
    <d v="2023-12-05T00:00:00"/>
    <d v="2023-12-05T00:00:00"/>
    <d v="2023-12-07T00:00:00"/>
    <n v="2"/>
    <s v="12-2023"/>
    <x v="1"/>
    <s v="Japan"/>
    <s v="Tokyo"/>
    <s v="Non-Profit"/>
    <x v="2"/>
    <x v="11"/>
    <x v="1"/>
    <x v="152"/>
    <n v="1097.5899999999999"/>
    <n v="845.55"/>
    <n v="0.184"/>
    <n v="6"/>
    <n v="4139.8127999999997"/>
    <n v="6585.5399999999991"/>
    <n v="-2445.7271999999994"/>
    <n v="-0.59078207594314402"/>
    <s v="Q4-2023"/>
    <s v="Asia → Japan → Tokyo"/>
    <s v="Low"/>
    <n v="2023"/>
    <x v="3"/>
    <s v="Yes"/>
    <x v="0"/>
  </r>
  <r>
    <s v="ORD-2024-201376"/>
    <d v="2024-02-18T00:00:00"/>
    <d v="2024-03-04T00:00:00"/>
    <d v="2024-02-18T00:00:00"/>
    <d v="2024-03-04T00:00:00"/>
    <n v="15"/>
    <s v="2-2024"/>
    <x v="0"/>
    <s v="Kenya"/>
    <s v="Kisumu"/>
    <s v="Education"/>
    <x v="4"/>
    <x v="12"/>
    <x v="1"/>
    <x v="153"/>
    <n v="928.68"/>
    <n v="2145.17"/>
    <n v="0.13600000000000001"/>
    <n v="16"/>
    <n v="29654.83008"/>
    <n v="14858.88"/>
    <n v="14795.950080000001"/>
    <n v="0.49893896003062177"/>
    <s v="Q1-2024"/>
    <s v="Africa → Kenya → Kisumu"/>
    <s v="High"/>
    <n v="2024"/>
    <x v="2"/>
    <s v="No"/>
    <x v="0"/>
  </r>
  <r>
    <s v="ORD-2023-609394"/>
    <d v="2023-04-16T00:00:00"/>
    <d v="2023-04-19T00:00:00"/>
    <d v="2023-04-16T00:00:00"/>
    <d v="2023-04-19T00:00:00"/>
    <n v="3"/>
    <s v="4-2023"/>
    <x v="3"/>
    <s v="Germany"/>
    <s v="Munich"/>
    <s v="Corporate"/>
    <x v="4"/>
    <x v="5"/>
    <x v="6"/>
    <x v="154"/>
    <n v="553.61"/>
    <n v="699.47"/>
    <n v="0.02"/>
    <n v="33"/>
    <n v="22620.859800000002"/>
    <n v="18269.13"/>
    <n v="4351.729800000001"/>
    <n v="0.19237685209472014"/>
    <s v="Q2-2023"/>
    <s v="Europe → Germany → Munich"/>
    <s v="Low"/>
    <n v="2023"/>
    <x v="7"/>
    <s v="Yes"/>
    <x v="0"/>
  </r>
  <r>
    <s v="ORD-2024-136321"/>
    <d v="2024-08-07T00:00:00"/>
    <d v="2024-08-17T00:00:00"/>
    <d v="2024-08-07T00:00:00"/>
    <d v="2024-08-17T00:00:00"/>
    <n v="10"/>
    <s v="8-2024"/>
    <x v="1"/>
    <s v="Japan"/>
    <s v="Osaka"/>
    <s v="Consumer"/>
    <x v="1"/>
    <x v="12"/>
    <x v="2"/>
    <x v="155"/>
    <n v="436.58"/>
    <n v="527.48"/>
    <n v="0.111"/>
    <n v="19"/>
    <n v="8909.6646800000017"/>
    <n v="8295.02"/>
    <n v="614.64468000000124"/>
    <n v="6.8986286473802644E-2"/>
    <s v="Q3-2024"/>
    <s v="Asia → Japan → Osaka"/>
    <s v="Low"/>
    <n v="2024"/>
    <x v="11"/>
    <s v="No"/>
    <x v="0"/>
  </r>
  <r>
    <s v="ORD-2024-764468"/>
    <d v="2024-02-01T00:00:00"/>
    <d v="2024-02-21T00:00:00"/>
    <d v="2024-02-01T00:00:00"/>
    <d v="2024-02-21T00:00:00"/>
    <n v="20"/>
    <s v="2-2024"/>
    <x v="3"/>
    <s v="France"/>
    <s v="Paris"/>
    <s v="Small Business"/>
    <x v="2"/>
    <x v="14"/>
    <x v="2"/>
    <x v="156"/>
    <n v="656.2"/>
    <n v="1467.17"/>
    <n v="1.7999999999999999E-2"/>
    <n v="5"/>
    <n v="7203.8047000000006"/>
    <n v="3281"/>
    <n v="3922.8047000000006"/>
    <n v="0.54454623124360946"/>
    <s v="Q1-2024"/>
    <s v="Europe → France → Paris"/>
    <s v="Medium"/>
    <n v="2024"/>
    <x v="2"/>
    <s v="No"/>
    <x v="0"/>
  </r>
  <r>
    <s v="ORD-2024-553449"/>
    <d v="2024-08-27T00:00:00"/>
    <d v="2024-09-18T00:00:00"/>
    <d v="2024-08-27T00:00:00"/>
    <d v="2024-09-18T00:00:00"/>
    <n v="22"/>
    <s v="8-2024"/>
    <x v="1"/>
    <s v="India"/>
    <s v="Delhi"/>
    <s v="Consumer"/>
    <x v="4"/>
    <x v="5"/>
    <x v="0"/>
    <x v="157"/>
    <n v="896.75"/>
    <n v="1651.14"/>
    <n v="2.5000000000000001E-2"/>
    <n v="15"/>
    <n v="24147.922500000001"/>
    <n v="13451.25"/>
    <n v="10696.672500000001"/>
    <n v="0.44296450346815552"/>
    <s v="Q3-2024"/>
    <s v="Asia → India → Delhi"/>
    <s v="Medium"/>
    <n v="2024"/>
    <x v="11"/>
    <s v="No"/>
    <x v="0"/>
  </r>
  <r>
    <s v="ORD-2024-468615"/>
    <d v="2024-07-09T00:00:00"/>
    <d v="2024-07-12T00:00:00"/>
    <d v="2024-07-09T00:00:00"/>
    <d v="2024-07-12T00:00:00"/>
    <n v="3"/>
    <s v="7-2024"/>
    <x v="1"/>
    <s v="China"/>
    <s v="Shanghai"/>
    <s v="Small Business"/>
    <x v="0"/>
    <x v="8"/>
    <x v="6"/>
    <x v="158"/>
    <n v="748.39"/>
    <n v="979.42"/>
    <n v="0"/>
    <n v="23"/>
    <n v="22526.66"/>
    <n v="17212.97"/>
    <n v="5313.6899999999987"/>
    <n v="0.23588450307324738"/>
    <s v="Q3-2024"/>
    <s v="Asia → China → Shanghai"/>
    <s v="Low"/>
    <n v="2024"/>
    <x v="6"/>
    <s v="Yes"/>
    <x v="0"/>
  </r>
  <r>
    <s v="ORD-2025-418232"/>
    <d v="2025-08-01T00:00:00"/>
    <d v="2025-08-21T00:00:00"/>
    <d v="2025-08-01T00:00:00"/>
    <d v="2025-08-21T00:00:00"/>
    <n v="20"/>
    <s v="8-2025"/>
    <x v="1"/>
    <s v="China"/>
    <s v="Shanghai"/>
    <s v="Corporate"/>
    <x v="4"/>
    <x v="2"/>
    <x v="3"/>
    <x v="159"/>
    <n v="1220.4100000000001"/>
    <n v="2552.2199999999998"/>
    <n v="0.18099999999999999"/>
    <n v="14"/>
    <n v="29263.754519999995"/>
    <n v="17085.740000000002"/>
    <n v="12178.014519999993"/>
    <n v="0.41614668793360271"/>
    <s v="Q3-2025"/>
    <s v="Asia → China → Shanghai"/>
    <s v="High"/>
    <n v="2025"/>
    <x v="11"/>
    <s v="No"/>
    <x v="0"/>
  </r>
  <r>
    <s v="ORD-2023-848013"/>
    <d v="2023-02-20T00:00:00"/>
    <d v="2023-03-04T00:00:00"/>
    <d v="2023-02-20T00:00:00"/>
    <d v="2023-03-04T00:00:00"/>
    <n v="12"/>
    <s v="2-2023"/>
    <x v="1"/>
    <s v="India"/>
    <s v="Delhi"/>
    <s v="Consumer"/>
    <x v="3"/>
    <x v="13"/>
    <x v="5"/>
    <x v="160"/>
    <n v="299.75"/>
    <n v="523.01"/>
    <n v="0.157"/>
    <n v="50"/>
    <n v="22044.871499999997"/>
    <n v="14987.5"/>
    <n v="7057.3714999999975"/>
    <n v="0.32013665854210122"/>
    <s v="Q1-2023"/>
    <s v="Asia → India → Delhi"/>
    <s v="Low"/>
    <n v="2023"/>
    <x v="2"/>
    <s v="No"/>
    <x v="0"/>
  </r>
  <r>
    <s v="ORD-2024-357368"/>
    <d v="2024-10-30T00:00:00"/>
    <d v="2024-11-24T00:00:00"/>
    <d v="2024-10-30T00:00:00"/>
    <d v="2024-11-24T00:00:00"/>
    <n v="25"/>
    <s v="10-2024"/>
    <x v="1"/>
    <s v="China"/>
    <s v="Shenzhen"/>
    <s v="Small Business"/>
    <x v="1"/>
    <x v="6"/>
    <x v="0"/>
    <x v="161"/>
    <n v="811.05"/>
    <n v="1217.71"/>
    <n v="7.1999999999999995E-2"/>
    <n v="5"/>
    <n v="5650.1744000000008"/>
    <n v="4055.25"/>
    <n v="1594.9244000000008"/>
    <n v="0.28227879125288602"/>
    <s v="Q4-2024"/>
    <s v="Asia → China → Shenzhen"/>
    <s v="Medium"/>
    <n v="2024"/>
    <x v="1"/>
    <s v="No"/>
    <x v="0"/>
  </r>
  <r>
    <s v="ORD-2023-621393"/>
    <d v="2023-07-07T00:00:00"/>
    <d v="2023-07-13T00:00:00"/>
    <d v="2023-07-07T00:00:00"/>
    <d v="2023-07-13T00:00:00"/>
    <n v="6"/>
    <s v="7-2023"/>
    <x v="0"/>
    <s v="South Africa"/>
    <s v="Cape Town"/>
    <s v="Small Business"/>
    <x v="2"/>
    <x v="5"/>
    <x v="6"/>
    <x v="162"/>
    <n v="612.59"/>
    <n v="1424.74"/>
    <n v="4.3999999999999997E-2"/>
    <n v="15"/>
    <n v="20430.771599999996"/>
    <n v="9188.85"/>
    <n v="11241.921599999996"/>
    <n v="0.55024459281802152"/>
    <s v="Q3-2023"/>
    <s v="Africa → South Africa → Cape Town"/>
    <s v="Medium"/>
    <n v="2023"/>
    <x v="6"/>
    <s v="Yes"/>
    <x v="0"/>
  </r>
  <r>
    <s v="ORD-2023-240507"/>
    <d v="2023-03-25T00:00:00"/>
    <d v="2023-03-26T00:00:00"/>
    <d v="2023-03-25T00:00:00"/>
    <d v="2023-03-26T00:00:00"/>
    <n v="1"/>
    <s v="3-2023"/>
    <x v="1"/>
    <s v="Japan"/>
    <s v="Osaka"/>
    <s v="Small Business"/>
    <x v="3"/>
    <x v="2"/>
    <x v="5"/>
    <x v="163"/>
    <n v="135.12"/>
    <n v="301.7"/>
    <n v="0.14000000000000001"/>
    <n v="47"/>
    <n v="12194.714"/>
    <n v="6350.64"/>
    <n v="5844.0739999999996"/>
    <n v="0.47923009920527859"/>
    <s v="Q1-2023"/>
    <s v="Asia → Japan → Osaka"/>
    <s v="Low"/>
    <n v="2023"/>
    <x v="0"/>
    <s v="Yes"/>
    <x v="0"/>
  </r>
  <r>
    <s v="ORD-2024-134084"/>
    <d v="2024-06-04T00:00:00"/>
    <d v="2024-06-16T00:00:00"/>
    <d v="2024-06-04T00:00:00"/>
    <d v="2024-06-16T00:00:00"/>
    <n v="12"/>
    <s v="6-2024"/>
    <x v="1"/>
    <s v="China"/>
    <s v="Shanghai"/>
    <s v="Corporate"/>
    <x v="0"/>
    <x v="1"/>
    <x v="1"/>
    <x v="164"/>
    <n v="918.42"/>
    <n v="1511.71"/>
    <n v="0.02"/>
    <n v="8"/>
    <n v="11851.806399999999"/>
    <n v="7347.36"/>
    <n v="4504.4463999999998"/>
    <n v="0.38006412254590999"/>
    <s v="Q2-2024"/>
    <s v="Asia → China → Shanghai"/>
    <s v="Medium"/>
    <n v="2024"/>
    <x v="9"/>
    <s v="No"/>
    <x v="0"/>
  </r>
  <r>
    <s v="ORD-2023-884625"/>
    <d v="2023-02-19T00:00:00"/>
    <d v="2023-03-12T00:00:00"/>
    <d v="2023-02-19T00:00:00"/>
    <d v="2023-03-12T00:00:00"/>
    <n v="21"/>
    <s v="2-2023"/>
    <x v="3"/>
    <s v="Germany"/>
    <s v="Berlin"/>
    <s v="Small Business"/>
    <x v="4"/>
    <x v="4"/>
    <x v="5"/>
    <x v="165"/>
    <n v="1234.81"/>
    <n v="2055.2399999999998"/>
    <n v="5.2999999999999999E-2"/>
    <n v="44"/>
    <n v="85637.740319999997"/>
    <n v="54331.64"/>
    <n v="31306.100319999998"/>
    <n v="0.36556429680441616"/>
    <s v="Q1-2023"/>
    <s v="Europe → Germany → Berlin"/>
    <s v="High"/>
    <n v="2023"/>
    <x v="2"/>
    <s v="No"/>
    <x v="0"/>
  </r>
  <r>
    <s v="ORD-2023-157993"/>
    <d v="2023-04-18T00:00:00"/>
    <d v="2023-05-18T00:00:00"/>
    <d v="2023-04-18T00:00:00"/>
    <d v="2023-05-18T00:00:00"/>
    <n v="30"/>
    <s v="4-2023"/>
    <x v="1"/>
    <s v="China"/>
    <s v="Shenzhen"/>
    <s v="Non-Profit"/>
    <x v="0"/>
    <x v="11"/>
    <x v="4"/>
    <x v="166"/>
    <n v="329.03"/>
    <n v="391.15"/>
    <n v="0.19700000000000001"/>
    <n v="46"/>
    <n v="14448.298699999998"/>
    <n v="15135.38"/>
    <n v="-687.08130000000165"/>
    <n v="-4.7554477815440081E-2"/>
    <s v="Q2-2023"/>
    <s v="Asia → China → Shenzhen"/>
    <s v="Low"/>
    <n v="2023"/>
    <x v="7"/>
    <s v="No"/>
    <x v="0"/>
  </r>
  <r>
    <s v="ORD-2024-329104"/>
    <d v="2024-05-23T00:00:00"/>
    <d v="2024-06-14T00:00:00"/>
    <d v="2024-05-23T00:00:00"/>
    <d v="2024-06-14T00:00:00"/>
    <n v="22"/>
    <s v="5-2024"/>
    <x v="3"/>
    <s v="France"/>
    <s v="Marseille"/>
    <s v="Small Business"/>
    <x v="1"/>
    <x v="10"/>
    <x v="5"/>
    <x v="167"/>
    <n v="1481.74"/>
    <n v="1848.97"/>
    <n v="0.254"/>
    <n v="9"/>
    <n v="12413.98458"/>
    <n v="13335.66"/>
    <n v="-921.67541999999958"/>
    <n v="-7.4244930309072407E-2"/>
    <s v="Q2-2024"/>
    <s v="Europe → France → Marseille"/>
    <s v="Medium"/>
    <n v="2024"/>
    <x v="5"/>
    <s v="No"/>
    <x v="1"/>
  </r>
  <r>
    <s v="ORD-2023-304451"/>
    <d v="2023-10-07T00:00:00"/>
    <d v="2023-10-23T00:00:00"/>
    <d v="2023-10-07T00:00:00"/>
    <d v="2023-10-23T00:00:00"/>
    <n v="16"/>
    <s v="10-2023"/>
    <x v="1"/>
    <s v="India"/>
    <s v="Hyderabad"/>
    <s v="Consumer"/>
    <x v="0"/>
    <x v="3"/>
    <x v="5"/>
    <x v="168"/>
    <n v="906.81"/>
    <n v="1395.56"/>
    <n v="0.185"/>
    <n v="6"/>
    <n v="6824.2884000000004"/>
    <n v="5440.86"/>
    <n v="1383.4284000000007"/>
    <n v="0.20272126834498974"/>
    <s v="Q4-2023"/>
    <s v="Asia → India → Hyderabad"/>
    <s v="Medium"/>
    <n v="2023"/>
    <x v="1"/>
    <s v="No"/>
    <x v="0"/>
  </r>
  <r>
    <s v="ORD-2024-942981"/>
    <d v="2024-10-09T00:00:00"/>
    <d v="2024-11-08T00:00:00"/>
    <d v="2024-10-09T00:00:00"/>
    <d v="2024-11-08T00:00:00"/>
    <n v="30"/>
    <s v="10-2024"/>
    <x v="3"/>
    <s v="United Kingdom"/>
    <s v="Manchester"/>
    <s v="Small Business"/>
    <x v="3"/>
    <x v="1"/>
    <x v="0"/>
    <x v="169"/>
    <n v="343.85"/>
    <n v="538.04"/>
    <n v="0.13900000000000001"/>
    <n v="5"/>
    <n v="2316.2621999999997"/>
    <n v="1719.25"/>
    <n v="597.01219999999967"/>
    <n v="0.25774810813732563"/>
    <s v="Q4-2024"/>
    <s v="Europe → United Kingdom → Manchester"/>
    <s v="Low"/>
    <n v="2024"/>
    <x v="1"/>
    <s v="No"/>
    <x v="0"/>
  </r>
  <r>
    <s v="ORD-2025-337268"/>
    <d v="2025-02-16T00:00:00"/>
    <d v="2025-03-17T00:00:00"/>
    <d v="2025-02-16T00:00:00"/>
    <d v="2025-03-17T00:00:00"/>
    <n v="29"/>
    <s v="2-2025"/>
    <x v="3"/>
    <s v="Germany"/>
    <s v="Munich"/>
    <s v="Consumer"/>
    <x v="0"/>
    <x v="4"/>
    <x v="6"/>
    <x v="170"/>
    <n v="730.42"/>
    <n v="956.7"/>
    <n v="4.2000000000000003E-2"/>
    <n v="22"/>
    <n v="20163.409200000002"/>
    <n v="16069.24"/>
    <n v="4094.1692000000021"/>
    <n v="0.20304945256975698"/>
    <s v="Q1-2025"/>
    <s v="Europe → Germany → Munich"/>
    <s v="Low"/>
    <n v="2025"/>
    <x v="2"/>
    <s v="No"/>
    <x v="0"/>
  </r>
  <r>
    <s v="ORD-2023-450877"/>
    <d v="2023-09-21T00:00:00"/>
    <d v="2023-10-10T00:00:00"/>
    <d v="2023-09-21T00:00:00"/>
    <d v="2023-10-10T00:00:00"/>
    <n v="19"/>
    <s v="9-2023"/>
    <x v="1"/>
    <s v="Japan"/>
    <s v="Tokyo"/>
    <s v="Education"/>
    <x v="1"/>
    <x v="8"/>
    <x v="0"/>
    <x v="171"/>
    <n v="845.63"/>
    <n v="2062.12"/>
    <n v="0.13400000000000001"/>
    <n v="5"/>
    <n v="8928.9795999999988"/>
    <n v="4228.1499999999996"/>
    <n v="4700.8295999999991"/>
    <n v="0.52646884757133949"/>
    <s v="Q3-2023"/>
    <s v="Asia → Japan → Tokyo"/>
    <s v="High"/>
    <n v="2023"/>
    <x v="8"/>
    <s v="No"/>
    <x v="0"/>
  </r>
  <r>
    <s v="ORD-2023-286994"/>
    <d v="2023-02-24T00:00:00"/>
    <d v="2023-03-09T00:00:00"/>
    <d v="2023-02-24T00:00:00"/>
    <d v="2023-03-09T00:00:00"/>
    <n v="13"/>
    <s v="2-2023"/>
    <x v="2"/>
    <s v="USA"/>
    <s v="New York"/>
    <s v="Enterprise"/>
    <x v="1"/>
    <x v="13"/>
    <x v="0"/>
    <x v="172"/>
    <n v="6.85"/>
    <n v="10.18"/>
    <n v="4.7E-2"/>
    <n v="10"/>
    <n v="97.0154"/>
    <n v="68.5"/>
    <n v="28.5154"/>
    <n v="0.2939265312517394"/>
    <s v="Q1-2023"/>
    <s v="Americas → USA → New York"/>
    <s v="Low"/>
    <n v="2023"/>
    <x v="2"/>
    <s v="No"/>
    <x v="0"/>
  </r>
  <r>
    <s v="ORD-2025-700847"/>
    <d v="2025-05-21T00:00:00"/>
    <d v="2025-05-19T00:00:00"/>
    <d v="2025-05-19T00:00:00"/>
    <d v="2025-05-21T00:00:00"/>
    <n v="2"/>
    <s v="5-2025"/>
    <x v="0"/>
    <s v="South Africa"/>
    <s v="Johannesburg"/>
    <s v="Non-Profit"/>
    <x v="3"/>
    <x v="7"/>
    <x v="4"/>
    <x v="173"/>
    <n v="1263.8399999999999"/>
    <n v="2281.7199999999998"/>
    <n v="7.8E-2"/>
    <n v="15"/>
    <n v="31556.187599999997"/>
    <n v="18957.599999999999"/>
    <n v="12598.587599999999"/>
    <n v="0.39924301882398494"/>
    <s v="Q2-2025"/>
    <s v="Africa → South Africa → Johannesburg"/>
    <s v="High"/>
    <n v="2025"/>
    <x v="5"/>
    <s v="Yes"/>
    <x v="0"/>
  </r>
  <r>
    <s v="ORD-2024-970848"/>
    <d v="2024-05-23T00:00:00"/>
    <d v="2024-06-03T00:00:00"/>
    <d v="2024-05-23T00:00:00"/>
    <d v="2024-06-03T00:00:00"/>
    <n v="11"/>
    <s v="5-2024"/>
    <x v="0"/>
    <s v="South Africa"/>
    <s v="Johannesburg"/>
    <s v="Small Business"/>
    <x v="3"/>
    <x v="9"/>
    <x v="1"/>
    <x v="174"/>
    <n v="180.89"/>
    <n v="249.57"/>
    <n v="2.1999999999999999E-2"/>
    <n v="8"/>
    <n v="1952.6356799999999"/>
    <n v="1447.12"/>
    <n v="505.51567999999997"/>
    <n v="0.25888888806948362"/>
    <s v="Q2-2024"/>
    <s v="Africa → South Africa → Johannesburg"/>
    <s v="Low"/>
    <n v="2024"/>
    <x v="5"/>
    <s v="No"/>
    <x v="0"/>
  </r>
  <r>
    <s v="ORD-2025-845715"/>
    <d v="2025-04-14T00:00:00"/>
    <d v="2025-05-04T00:00:00"/>
    <d v="2025-04-14T00:00:00"/>
    <d v="2025-05-04T00:00:00"/>
    <n v="20"/>
    <s v="4-2025"/>
    <x v="3"/>
    <s v="United Kingdom"/>
    <s v="Birmingham"/>
    <s v="Enterprise"/>
    <x v="2"/>
    <x v="12"/>
    <x v="5"/>
    <x v="175"/>
    <n v="1413.87"/>
    <n v="3275"/>
    <n v="0.255"/>
    <n v="38"/>
    <n v="92715.25"/>
    <n v="53727.06"/>
    <n v="38988.19"/>
    <n v="0.42051539525590453"/>
    <s v="Q2-2025"/>
    <s v="Europe → United Kingdom → Birmingham"/>
    <s v="High"/>
    <n v="2025"/>
    <x v="7"/>
    <s v="No"/>
    <x v="1"/>
  </r>
  <r>
    <s v="ORD-2023-664749"/>
    <d v="2023-08-27T00:00:00"/>
    <d v="2023-09-11T00:00:00"/>
    <d v="2023-08-27T00:00:00"/>
    <d v="2023-09-11T00:00:00"/>
    <n v="15"/>
    <s v="8-2023"/>
    <x v="3"/>
    <s v="United Kingdom"/>
    <s v="London"/>
    <s v="Consumer"/>
    <x v="2"/>
    <x v="10"/>
    <x v="1"/>
    <x v="176"/>
    <n v="943.79"/>
    <n v="1913.76"/>
    <n v="9.0999999999999998E-2"/>
    <n v="9"/>
    <n v="15656.47056"/>
    <n v="8494.11"/>
    <n v="7162.3605599999992"/>
    <n v="0.45746967891338081"/>
    <s v="Q3-2023"/>
    <s v="Europe → United Kingdom → London"/>
    <s v="High"/>
    <n v="2023"/>
    <x v="11"/>
    <s v="No"/>
    <x v="0"/>
  </r>
  <r>
    <s v="ORD-2024-960952"/>
    <d v="2024-02-03T00:00:00"/>
    <d v="2024-02-21T00:00:00"/>
    <d v="2024-02-03T00:00:00"/>
    <d v="2024-02-21T00:00:00"/>
    <n v="18"/>
    <s v="2-2024"/>
    <x v="3"/>
    <s v="Germany"/>
    <s v="Frankfurt"/>
    <s v="Corporate"/>
    <x v="0"/>
    <x v="11"/>
    <x v="0"/>
    <x v="177"/>
    <n v="39.229999999999997"/>
    <n v="30.09"/>
    <n v="0.17699999999999999"/>
    <n v="13"/>
    <n v="321.93290999999999"/>
    <n v="509.98999999999995"/>
    <n v="-188.05708999999996"/>
    <n v="-0.58414993981199359"/>
    <s v="Q1-2024"/>
    <s v="Europe → Germany → Frankfurt"/>
    <s v="Low"/>
    <n v="2024"/>
    <x v="2"/>
    <s v="No"/>
    <x v="0"/>
  </r>
  <r>
    <s v="ORD-2023-987700"/>
    <d v="2023-04-05T00:00:00"/>
    <d v="2023-04-16T00:00:00"/>
    <d v="2023-04-05T00:00:00"/>
    <d v="2023-04-16T00:00:00"/>
    <n v="11"/>
    <s v="4-2023"/>
    <x v="2"/>
    <s v="Canada"/>
    <s v="Vancouver"/>
    <s v="Non-Profit"/>
    <x v="1"/>
    <x v="7"/>
    <x v="5"/>
    <x v="178"/>
    <n v="213.1"/>
    <n v="501.31"/>
    <n v="5.6000000000000001E-2"/>
    <n v="15"/>
    <n v="7098.5495999999994"/>
    <n v="3196.5"/>
    <n v="3902.0495999999994"/>
    <n v="0.54969674368409005"/>
    <s v="Q2-2023"/>
    <s v="Americas → Canada → Vancouver"/>
    <s v="Low"/>
    <n v="2023"/>
    <x v="7"/>
    <s v="No"/>
    <x v="0"/>
  </r>
  <r>
    <s v="ORD-2025-652467"/>
    <d v="2025-08-21T00:00:00"/>
    <d v="2025-09-12T00:00:00"/>
    <d v="2025-08-21T00:00:00"/>
    <d v="2025-09-12T00:00:00"/>
    <n v="22"/>
    <s v="8-2025"/>
    <x v="1"/>
    <s v="China"/>
    <s v="Shenzhen"/>
    <s v="Education"/>
    <x v="0"/>
    <x v="5"/>
    <x v="1"/>
    <x v="179"/>
    <n v="352.66"/>
    <n v="411.18"/>
    <n v="0.17299999999999999"/>
    <n v="13"/>
    <n v="4420.5961799999995"/>
    <n v="4584.58"/>
    <n v="-163.98382000000038"/>
    <n v="-3.7095408248758066E-2"/>
    <s v="Q3-2025"/>
    <s v="Asia → China → Shenzhen"/>
    <s v="Low"/>
    <n v="2025"/>
    <x v="11"/>
    <s v="No"/>
    <x v="0"/>
  </r>
  <r>
    <s v="ORD-2023-619570"/>
    <d v="2023-11-14T00:00:00"/>
    <d v="2023-11-30T00:00:00"/>
    <d v="2023-11-14T00:00:00"/>
    <d v="2023-11-30T00:00:00"/>
    <n v="16"/>
    <s v="11-2023"/>
    <x v="2"/>
    <s v="Brazil"/>
    <s v="São Paulo"/>
    <s v="Enterprise"/>
    <x v="4"/>
    <x v="12"/>
    <x v="2"/>
    <x v="180"/>
    <n v="1017.92"/>
    <n v="1175.25"/>
    <n v="7.4999999999999997E-2"/>
    <n v="15"/>
    <n v="16306.59375"/>
    <n v="15268.8"/>
    <n v="1037.7937500000007"/>
    <n v="6.3642583234159542E-2"/>
    <s v="Q4-2023"/>
    <s v="Americas → Brazil → São Paulo"/>
    <s v="Low"/>
    <n v="2023"/>
    <x v="10"/>
    <s v="No"/>
    <x v="0"/>
  </r>
  <r>
    <s v="ORD-2024-237478"/>
    <d v="2024-10-03T00:00:00"/>
    <d v="2024-10-11T00:00:00"/>
    <d v="2024-10-03T00:00:00"/>
    <d v="2024-10-11T00:00:00"/>
    <n v="8"/>
    <s v="10-2024"/>
    <x v="1"/>
    <s v="China"/>
    <s v="Beijing"/>
    <s v="Enterprise"/>
    <x v="4"/>
    <x v="5"/>
    <x v="3"/>
    <x v="181"/>
    <n v="1132.6099999999999"/>
    <n v="2206.63"/>
    <n v="6.3E-2"/>
    <n v="20"/>
    <n v="41352.246200000009"/>
    <n v="22652.199999999997"/>
    <n v="18700.046200000012"/>
    <n v="0.45221355351671338"/>
    <s v="Q4-2024"/>
    <s v="Asia → China → Beijing"/>
    <s v="High"/>
    <n v="2024"/>
    <x v="1"/>
    <s v="No"/>
    <x v="0"/>
  </r>
  <r>
    <s v="ORD-2024-997336"/>
    <d v="2024-10-04T00:00:00"/>
    <d v="2024-11-02T00:00:00"/>
    <d v="2024-10-04T00:00:00"/>
    <d v="2024-11-02T00:00:00"/>
    <n v="29"/>
    <s v="10-2024"/>
    <x v="0"/>
    <s v="Nigeria"/>
    <s v="Abuja"/>
    <s v="Corporate"/>
    <x v="3"/>
    <x v="9"/>
    <x v="6"/>
    <x v="182"/>
    <n v="412.09"/>
    <n v="968.94"/>
    <n v="9.9000000000000005E-2"/>
    <n v="23"/>
    <n v="20079.343620000003"/>
    <n v="9478.07"/>
    <n v="10601.273620000004"/>
    <n v="0.52796913189137418"/>
    <s v="Q4-2024"/>
    <s v="Africa → Nigeria → Abuja"/>
    <s v="Low"/>
    <n v="2024"/>
    <x v="1"/>
    <s v="No"/>
    <x v="0"/>
  </r>
  <r>
    <s v="ORD-2023-334213"/>
    <d v="2023-08-19T00:00:00"/>
    <d v="2023-08-23T00:00:00"/>
    <d v="2023-08-19T00:00:00"/>
    <d v="2023-08-23T00:00:00"/>
    <n v="4"/>
    <s v="8-2023"/>
    <x v="0"/>
    <s v="Nigeria"/>
    <s v="Abuja"/>
    <s v="Small Business"/>
    <x v="1"/>
    <x v="1"/>
    <x v="5"/>
    <x v="183"/>
    <n v="790.63"/>
    <n v="1382.31"/>
    <n v="0.10100000000000001"/>
    <n v="7"/>
    <n v="8698.8768300000011"/>
    <n v="5534.41"/>
    <n v="3164.4668300000012"/>
    <n v="0.36377878338116448"/>
    <s v="Q3-2023"/>
    <s v="Africa → Nigeria → Abuja"/>
    <s v="Medium"/>
    <n v="2023"/>
    <x v="11"/>
    <s v="Yes"/>
    <x v="0"/>
  </r>
  <r>
    <s v="ORD-2024-640340"/>
    <d v="2024-10-22T00:00:00"/>
    <d v="2024-10-29T00:00:00"/>
    <d v="2024-10-22T00:00:00"/>
    <d v="2024-10-29T00:00:00"/>
    <n v="7"/>
    <s v="10-2024"/>
    <x v="0"/>
    <s v="Nigeria"/>
    <s v="Port Harcourt"/>
    <s v="Enterprise"/>
    <x v="3"/>
    <x v="13"/>
    <x v="5"/>
    <x v="184"/>
    <n v="1023.06"/>
    <n v="1355.61"/>
    <n v="0.153"/>
    <n v="23"/>
    <n v="26408.63841"/>
    <n v="23530.379999999997"/>
    <n v="2878.2584100000022"/>
    <n v="0.10898927711888809"/>
    <s v="Q4-2024"/>
    <s v="Africa → Nigeria → Port Harcourt"/>
    <s v="Medium"/>
    <n v="2024"/>
    <x v="1"/>
    <s v="Yes"/>
    <x v="0"/>
  </r>
  <r>
    <s v="ORD-2023-780206"/>
    <d v="2023-01-19T00:00:00"/>
    <d v="2023-02-03T00:00:00"/>
    <d v="2023-01-19T00:00:00"/>
    <d v="2023-02-03T00:00:00"/>
    <n v="15"/>
    <s v="1-2023"/>
    <x v="3"/>
    <s v="United Kingdom"/>
    <s v="London"/>
    <s v="Enterprise"/>
    <x v="3"/>
    <x v="3"/>
    <x v="6"/>
    <x v="185"/>
    <n v="873.06"/>
    <n v="2101.5500000000002"/>
    <n v="6.6000000000000003E-2"/>
    <n v="10"/>
    <n v="19628.476999999999"/>
    <n v="8730.5999999999985"/>
    <n v="10897.877"/>
    <n v="0.55520746719167269"/>
    <s v="Q1-2023"/>
    <s v="Europe → United Kingdom → London"/>
    <s v="High"/>
    <n v="2023"/>
    <x v="4"/>
    <s v="No"/>
    <x v="0"/>
  </r>
  <r>
    <s v="ORD-2025-542939"/>
    <d v="2025-01-13T00:00:00"/>
    <d v="2025-02-08T00:00:00"/>
    <d v="2025-01-13T00:00:00"/>
    <d v="2025-02-08T00:00:00"/>
    <n v="26"/>
    <s v="1-2025"/>
    <x v="3"/>
    <s v="France"/>
    <s v="Paris"/>
    <s v="Non-Profit"/>
    <x v="5"/>
    <x v="6"/>
    <x v="5"/>
    <x v="186"/>
    <n v="594.74"/>
    <n v="1020.69"/>
    <n v="0.21099999999999999"/>
    <n v="6"/>
    <n v="4831.9464600000001"/>
    <n v="3568.44"/>
    <n v="1263.5064600000001"/>
    <n v="0.26149016146176424"/>
    <s v="Q1-2025"/>
    <s v="Europe → France → Paris"/>
    <s v="Low"/>
    <n v="2025"/>
    <x v="4"/>
    <s v="No"/>
    <x v="1"/>
  </r>
  <r>
    <s v="ORD-2025-922513"/>
    <d v="2025-08-28T00:00:00"/>
    <d v="2025-08-26T00:00:00"/>
    <d v="2025-08-26T00:00:00"/>
    <d v="2025-08-28T00:00:00"/>
    <n v="2"/>
    <s v="8-2025"/>
    <x v="0"/>
    <s v="Nigeria"/>
    <s v="Port Harcourt"/>
    <s v="Small Business"/>
    <x v="0"/>
    <x v="14"/>
    <x v="6"/>
    <x v="187"/>
    <n v="521.05999999999995"/>
    <n v="1240.31"/>
    <n v="0.14599999999999999"/>
    <n v="18"/>
    <n v="19066.045319999997"/>
    <n v="9379.0799999999981"/>
    <n v="9686.9653199999993"/>
    <n v="0.50807417885650974"/>
    <s v="Q3-2025"/>
    <s v="Africa → Nigeria → Port Harcourt"/>
    <s v="Medium"/>
    <n v="2025"/>
    <x v="11"/>
    <s v="Yes"/>
    <x v="0"/>
  </r>
  <r>
    <s v="ORD-2023-239789"/>
    <d v="2023-12-03T00:00:00"/>
    <d v="2023-12-26T00:00:00"/>
    <d v="2023-12-03T00:00:00"/>
    <d v="2023-12-26T00:00:00"/>
    <n v="23"/>
    <s v="12-2023"/>
    <x v="2"/>
    <s v="Brazil"/>
    <s v="Rio de Janeiro"/>
    <s v="Education"/>
    <x v="0"/>
    <x v="7"/>
    <x v="3"/>
    <x v="188"/>
    <n v="1303.1099999999999"/>
    <n v="1145.67"/>
    <n v="0.184"/>
    <n v="13"/>
    <n v="12153.267360000002"/>
    <n v="16940.43"/>
    <n v="-4787.1626399999986"/>
    <n v="-0.39389922875851208"/>
    <s v="Q4-2023"/>
    <s v="Americas → Brazil → Rio de Janeiro"/>
    <s v="Low"/>
    <n v="2023"/>
    <x v="3"/>
    <s v="No"/>
    <x v="0"/>
  </r>
  <r>
    <s v="ORD-2023-581799"/>
    <d v="2023-12-05T00:00:00"/>
    <d v="2023-12-12T00:00:00"/>
    <d v="2023-12-05T00:00:00"/>
    <d v="2023-12-12T00:00:00"/>
    <n v="7"/>
    <s v="12-2023"/>
    <x v="2"/>
    <s v="Brazil"/>
    <s v="Brasília"/>
    <s v="Corporate"/>
    <x v="4"/>
    <x v="9"/>
    <x v="3"/>
    <x v="189"/>
    <n v="307.43"/>
    <n v="495.19"/>
    <n v="0"/>
    <n v="42"/>
    <n v="20797.98"/>
    <n v="12912.06"/>
    <n v="7885.92"/>
    <n v="0.37916759223732305"/>
    <s v="Q4-2023"/>
    <s v="Americas → Brazil → Brasília"/>
    <s v="Low"/>
    <n v="2023"/>
    <x v="3"/>
    <s v="Yes"/>
    <x v="0"/>
  </r>
  <r>
    <s v="ORD-2024-760799"/>
    <d v="2024-02-03T00:00:00"/>
    <d v="2024-02-19T00:00:00"/>
    <d v="2024-02-03T00:00:00"/>
    <d v="2024-02-19T00:00:00"/>
    <n v="16"/>
    <s v="2-2024"/>
    <x v="1"/>
    <s v="China"/>
    <s v="Shenzhen"/>
    <s v="Small Business"/>
    <x v="1"/>
    <x v="11"/>
    <x v="4"/>
    <x v="190"/>
    <n v="993.75"/>
    <n v="1310.29"/>
    <n v="0.215"/>
    <n v="19"/>
    <n v="19542.975350000001"/>
    <n v="18881.25"/>
    <n v="661.72535000000062"/>
    <n v="3.3860010471742245E-2"/>
    <s v="Q1-2024"/>
    <s v="Asia → China → Shenzhen"/>
    <s v="Medium"/>
    <n v="2024"/>
    <x v="2"/>
    <s v="No"/>
    <x v="1"/>
  </r>
  <r>
    <s v="ORD-2023-197661"/>
    <d v="2023-08-08T00:00:00"/>
    <d v="2023-08-22T00:00:00"/>
    <d v="2023-08-08T00:00:00"/>
    <d v="2023-08-22T00:00:00"/>
    <n v="14"/>
    <s v="8-2023"/>
    <x v="3"/>
    <s v="United Kingdom"/>
    <s v="Birmingham"/>
    <s v="Non-Profit"/>
    <x v="4"/>
    <x v="10"/>
    <x v="5"/>
    <x v="191"/>
    <n v="446.69"/>
    <n v="967.25"/>
    <n v="9.4E-2"/>
    <n v="10"/>
    <n v="8763.2849999999999"/>
    <n v="4466.8999999999996"/>
    <n v="4296.3850000000002"/>
    <n v="0.49027105702941309"/>
    <s v="Q3-2023"/>
    <s v="Europe → United Kingdom → Birmingham"/>
    <s v="Low"/>
    <n v="2023"/>
    <x v="11"/>
    <s v="No"/>
    <x v="0"/>
  </r>
  <r>
    <s v="ORD-2024-212990"/>
    <d v="2024-08-12T00:00:00"/>
    <d v="2024-09-03T00:00:00"/>
    <d v="2024-08-12T00:00:00"/>
    <d v="2024-09-03T00:00:00"/>
    <n v="22"/>
    <s v="8-2024"/>
    <x v="2"/>
    <s v="USA"/>
    <s v="Austin"/>
    <s v="Consumer"/>
    <x v="3"/>
    <x v="2"/>
    <x v="4"/>
    <x v="192"/>
    <n v="797.8"/>
    <n v="886.22"/>
    <n v="0.23599999999999999"/>
    <n v="36"/>
    <n v="24374.594880000001"/>
    <n v="28720.799999999999"/>
    <n v="-4346.2051199999987"/>
    <n v="-0.17830881462428633"/>
    <s v="Q3-2024"/>
    <s v="Americas → USA → Austin"/>
    <s v="Low"/>
    <n v="2024"/>
    <x v="11"/>
    <s v="No"/>
    <x v="1"/>
  </r>
  <r>
    <s v="ORD-2023-925146"/>
    <d v="2023-10-15T00:00:00"/>
    <d v="2023-11-13T00:00:00"/>
    <d v="2023-10-15T00:00:00"/>
    <d v="2023-11-13T00:00:00"/>
    <n v="29"/>
    <s v="10-2023"/>
    <x v="1"/>
    <s v="China"/>
    <s v="Shenzhen"/>
    <s v="Non-Profit"/>
    <x v="3"/>
    <x v="1"/>
    <x v="1"/>
    <x v="193"/>
    <n v="986.44"/>
    <n v="790.61"/>
    <n v="7.1999999999999995E-2"/>
    <n v="6"/>
    <n v="4402.1164799999997"/>
    <n v="5918.64"/>
    <n v="-1516.5235200000006"/>
    <n v="-0.34449872621271499"/>
    <s v="Q4-2023"/>
    <s v="Asia → China → Shenzhen"/>
    <s v="Low"/>
    <n v="2023"/>
    <x v="1"/>
    <s v="No"/>
    <x v="0"/>
  </r>
  <r>
    <s v="ORD-2023-177794"/>
    <d v="2023-05-04T00:00:00"/>
    <d v="2023-05-26T00:00:00"/>
    <d v="2023-05-04T00:00:00"/>
    <d v="2023-05-26T00:00:00"/>
    <n v="22"/>
    <s v="5-2023"/>
    <x v="2"/>
    <s v="USA"/>
    <s v="San Francisco"/>
    <s v="Enterprise"/>
    <x v="1"/>
    <x v="1"/>
    <x v="2"/>
    <x v="194"/>
    <n v="249.71"/>
    <n v="361.33"/>
    <n v="9.4E-2"/>
    <n v="12"/>
    <n v="3928.3797600000003"/>
    <n v="2996.52"/>
    <n v="931.85976000000028"/>
    <n v="0.23721223937881206"/>
    <s v="Q2-2023"/>
    <s v="Americas → USA → San Francisco"/>
    <s v="Low"/>
    <n v="2023"/>
    <x v="5"/>
    <s v="No"/>
    <x v="0"/>
  </r>
  <r>
    <s v="ORD-2023-195665"/>
    <d v="2023-12-19T00:00:00"/>
    <d v="2023-12-20T00:00:00"/>
    <d v="2023-12-19T00:00:00"/>
    <d v="2023-12-20T00:00:00"/>
    <n v="1"/>
    <s v="12-2023"/>
    <x v="2"/>
    <s v="Brazil"/>
    <s v="Rio de Janeiro"/>
    <s v="Consumer"/>
    <x v="3"/>
    <x v="1"/>
    <x v="3"/>
    <x v="195"/>
    <n v="1080.43"/>
    <n v="2529.15"/>
    <n v="0.14699999999999999"/>
    <n v="10"/>
    <n v="21573.6495"/>
    <n v="10804.300000000001"/>
    <n v="10769.349499999998"/>
    <n v="0.49918997247081437"/>
    <s v="Q4-2023"/>
    <s v="Americas → Brazil → Rio de Janeiro"/>
    <s v="High"/>
    <n v="2023"/>
    <x v="3"/>
    <s v="Yes"/>
    <x v="0"/>
  </r>
  <r>
    <s v="ORD-2024-668926"/>
    <d v="2024-10-23T00:00:00"/>
    <d v="2024-11-14T00:00:00"/>
    <d v="2024-10-23T00:00:00"/>
    <d v="2024-11-14T00:00:00"/>
    <n v="22"/>
    <s v="10-2024"/>
    <x v="1"/>
    <s v="Japan"/>
    <s v="Osaka"/>
    <s v="Non-Profit"/>
    <x v="4"/>
    <x v="5"/>
    <x v="3"/>
    <x v="196"/>
    <n v="1406.4"/>
    <n v="1564.76"/>
    <n v="0.185"/>
    <n v="17"/>
    <n v="21679.749799999998"/>
    <n v="23908.800000000003"/>
    <n v="-2229.0502000000051"/>
    <n v="-0.10281715520536151"/>
    <s v="Q4-2024"/>
    <s v="Asia → Japan → Osaka"/>
    <s v="Medium"/>
    <n v="2024"/>
    <x v="1"/>
    <s v="No"/>
    <x v="0"/>
  </r>
  <r>
    <s v="ORD-2024-968374"/>
    <d v="2024-02-11T00:00:00"/>
    <d v="2024-03-03T00:00:00"/>
    <d v="2024-02-11T00:00:00"/>
    <d v="2024-03-03T00:00:00"/>
    <n v="21"/>
    <s v="2-2024"/>
    <x v="0"/>
    <s v="Kenya"/>
    <s v="Kisumu"/>
    <s v="Enterprise"/>
    <x v="1"/>
    <x v="5"/>
    <x v="3"/>
    <x v="197"/>
    <n v="516.86"/>
    <n v="852.54"/>
    <n v="5.0999999999999997E-2"/>
    <n v="14"/>
    <n v="11326.846439999999"/>
    <n v="7236.04"/>
    <n v="4090.8064399999994"/>
    <n v="0.36116022775355994"/>
    <s v="Q1-2024"/>
    <s v="Africa → Kenya → Kisumu"/>
    <s v="Low"/>
    <n v="2024"/>
    <x v="2"/>
    <s v="No"/>
    <x v="0"/>
  </r>
  <r>
    <s v="ORD-2023-575584"/>
    <d v="2023-01-30T00:00:00"/>
    <d v="2023-02-21T00:00:00"/>
    <d v="2023-01-30T00:00:00"/>
    <d v="2023-02-21T00:00:00"/>
    <n v="22"/>
    <s v="1-2023"/>
    <x v="3"/>
    <s v="Germany"/>
    <s v="Munich"/>
    <s v="Small Business"/>
    <x v="2"/>
    <x v="3"/>
    <x v="2"/>
    <x v="198"/>
    <n v="1142.8800000000001"/>
    <n v="1465.29"/>
    <n v="0.186"/>
    <n v="7"/>
    <n v="8349.2224200000001"/>
    <n v="8000.1600000000008"/>
    <n v="349.06241999999929"/>
    <n v="4.1807775915017401E-2"/>
    <s v="Q1-2023"/>
    <s v="Europe → Germany → Munich"/>
    <s v="Medium"/>
    <n v="2023"/>
    <x v="4"/>
    <s v="No"/>
    <x v="0"/>
  </r>
  <r>
    <s v="ORD-2023-701153"/>
    <d v="2023-04-14T00:00:00"/>
    <d v="2023-05-13T00:00:00"/>
    <d v="2023-04-14T00:00:00"/>
    <d v="2023-05-13T00:00:00"/>
    <n v="29"/>
    <s v="4-2023"/>
    <x v="3"/>
    <s v="Germany"/>
    <s v="Frankfurt"/>
    <s v="Consumer"/>
    <x v="4"/>
    <x v="1"/>
    <x v="1"/>
    <x v="199"/>
    <n v="1320.33"/>
    <n v="2645.23"/>
    <n v="0.155"/>
    <n v="25"/>
    <n v="55880.483749999999"/>
    <n v="33008.25"/>
    <n v="22872.233749999999"/>
    <n v="0.40930629470436536"/>
    <s v="Q2-2023"/>
    <s v="Europe → Germany → Frankfurt"/>
    <s v="High"/>
    <n v="2023"/>
    <x v="7"/>
    <s v="No"/>
    <x v="0"/>
  </r>
  <r>
    <s v="ORD-2023-382017"/>
    <d v="2023-01-13T00:00:00"/>
    <d v="2023-01-19T00:00:00"/>
    <d v="2023-01-13T00:00:00"/>
    <d v="2023-01-19T00:00:00"/>
    <n v="6"/>
    <s v="1-2023"/>
    <x v="2"/>
    <s v="USA"/>
    <s v="Chicago"/>
    <s v="Corporate"/>
    <x v="4"/>
    <x v="11"/>
    <x v="3"/>
    <x v="200"/>
    <n v="833.57"/>
    <n v="881.57"/>
    <n v="5.7000000000000002E-2"/>
    <n v="18"/>
    <n v="14963.769179999999"/>
    <n v="15004.26"/>
    <n v="-40.490820000000895"/>
    <n v="-2.7059238560107821E-3"/>
    <s v="Q1-2023"/>
    <s v="Americas → USA → Chicago"/>
    <s v="Low"/>
    <n v="2023"/>
    <x v="4"/>
    <s v="Yes"/>
    <x v="0"/>
  </r>
  <r>
    <s v="ORD-2024-999607"/>
    <d v="2024-01-12T00:00:00"/>
    <d v="2024-01-29T00:00:00"/>
    <d v="2024-01-12T00:00:00"/>
    <d v="2024-01-29T00:00:00"/>
    <n v="17"/>
    <s v="1-2024"/>
    <x v="2"/>
    <s v="USA"/>
    <s v="Chicago"/>
    <s v="Education"/>
    <x v="3"/>
    <x v="14"/>
    <x v="1"/>
    <x v="201"/>
    <n v="493.76"/>
    <n v="625.04"/>
    <n v="0.25800000000000001"/>
    <n v="10"/>
    <n v="4637.7968000000001"/>
    <n v="4937.6000000000004"/>
    <n v="-299.80320000000029"/>
    <n v="-6.464345311549663E-2"/>
    <s v="Q1-2024"/>
    <s v="Americas → USA → Chicago"/>
    <s v="Low"/>
    <n v="2024"/>
    <x v="4"/>
    <s v="No"/>
    <x v="1"/>
  </r>
  <r>
    <s v="ORD-2023-133848"/>
    <d v="2023-08-15T00:00:00"/>
    <d v="2023-09-07T00:00:00"/>
    <d v="2023-08-15T00:00:00"/>
    <d v="2023-09-07T00:00:00"/>
    <n v="23"/>
    <s v="8-2023"/>
    <x v="2"/>
    <s v="USA"/>
    <s v="New York"/>
    <s v="Enterprise"/>
    <x v="1"/>
    <x v="12"/>
    <x v="3"/>
    <x v="202"/>
    <n v="590.33000000000004"/>
    <n v="973.04"/>
    <n v="0"/>
    <n v="26"/>
    <n v="25299.040000000001"/>
    <n v="15348.580000000002"/>
    <n v="9950.4599999999991"/>
    <n v="0.39331373838691108"/>
    <s v="Q3-2023"/>
    <s v="Americas → USA → New York"/>
    <s v="Low"/>
    <n v="2023"/>
    <x v="11"/>
    <s v="No"/>
    <x v="0"/>
  </r>
  <r>
    <s v="ORD-2023-586275"/>
    <d v="2023-01-20T00:00:00"/>
    <d v="2023-02-03T00:00:00"/>
    <d v="2023-01-20T00:00:00"/>
    <d v="2023-02-03T00:00:00"/>
    <n v="14"/>
    <s v="1-2023"/>
    <x v="0"/>
    <s v="Kenya"/>
    <s v="Kisumu"/>
    <s v="Corporate"/>
    <x v="0"/>
    <x v="13"/>
    <x v="2"/>
    <x v="203"/>
    <n v="884.36"/>
    <n v="1545.34"/>
    <n v="0.24299999999999999"/>
    <n v="41"/>
    <n v="47962.717579999997"/>
    <n v="36258.76"/>
    <n v="11703.957579999995"/>
    <n v="0.24402198562827965"/>
    <s v="Q1-2023"/>
    <s v="Africa → Kenya → Kisumu"/>
    <s v="Medium"/>
    <n v="2023"/>
    <x v="4"/>
    <s v="No"/>
    <x v="1"/>
  </r>
  <r>
    <s v="ORD-2025-964661"/>
    <d v="2025-02-04T00:00:00"/>
    <d v="2025-02-25T00:00:00"/>
    <d v="2025-02-04T00:00:00"/>
    <d v="2025-02-25T00:00:00"/>
    <n v="21"/>
    <s v="2-2025"/>
    <x v="3"/>
    <s v="United Kingdom"/>
    <s v="Birmingham"/>
    <s v="Corporate"/>
    <x v="2"/>
    <x v="8"/>
    <x v="5"/>
    <x v="204"/>
    <n v="1016.32"/>
    <n v="2253.42"/>
    <n v="5.5E-2"/>
    <n v="12"/>
    <n v="25553.782800000001"/>
    <n v="12195.84"/>
    <n v="13357.942800000001"/>
    <n v="0.52273837124419797"/>
    <s v="Q1-2025"/>
    <s v="Europe → United Kingdom → Birmingham"/>
    <s v="High"/>
    <n v="2025"/>
    <x v="2"/>
    <s v="No"/>
    <x v="0"/>
  </r>
  <r>
    <s v="ORD-2023-390998"/>
    <d v="2023-04-19T00:00:00"/>
    <d v="2023-04-28T00:00:00"/>
    <d v="2023-04-19T00:00:00"/>
    <d v="2023-04-28T00:00:00"/>
    <n v="9"/>
    <s v="4-2023"/>
    <x v="3"/>
    <s v="Germany"/>
    <s v="Berlin"/>
    <s v="Education"/>
    <x v="1"/>
    <x v="6"/>
    <x v="5"/>
    <x v="205"/>
    <n v="1178.42"/>
    <n v="2446.56"/>
    <n v="2.9000000000000001E-2"/>
    <n v="11"/>
    <n v="26131.70736"/>
    <n v="12962.62"/>
    <n v="13169.08736"/>
    <n v="0.5039505141618883"/>
    <s v="Q2-2023"/>
    <s v="Europe → Germany → Berlin"/>
    <s v="High"/>
    <n v="2023"/>
    <x v="7"/>
    <s v="No"/>
    <x v="0"/>
  </r>
  <r>
    <s v="ORD-2023-920483"/>
    <d v="2023-07-02T00:00:00"/>
    <d v="2023-08-01T00:00:00"/>
    <d v="2023-07-02T00:00:00"/>
    <d v="2023-08-01T00:00:00"/>
    <n v="30"/>
    <s v="7-2023"/>
    <x v="3"/>
    <s v="United Kingdom"/>
    <s v="Birmingham"/>
    <s v="Small Business"/>
    <x v="0"/>
    <x v="5"/>
    <x v="0"/>
    <x v="206"/>
    <n v="137.46"/>
    <n v="188.3"/>
    <n v="3.7999999999999999E-2"/>
    <n v="37"/>
    <n v="6702.3501999999999"/>
    <n v="5086.0200000000004"/>
    <n v="1616.3301999999994"/>
    <n v="0.24115872071262398"/>
    <s v="Q3-2023"/>
    <s v="Europe → United Kingdom → Birmingham"/>
    <s v="Low"/>
    <n v="2023"/>
    <x v="6"/>
    <s v="No"/>
    <x v="0"/>
  </r>
  <r>
    <s v="ORD-2023-521280"/>
    <d v="2023-05-27T00:00:00"/>
    <d v="2023-06-19T00:00:00"/>
    <d v="2023-05-27T00:00:00"/>
    <d v="2023-06-19T00:00:00"/>
    <n v="23"/>
    <s v="5-2023"/>
    <x v="3"/>
    <s v="Germany"/>
    <s v="Berlin"/>
    <s v="Education"/>
    <x v="0"/>
    <x v="7"/>
    <x v="6"/>
    <x v="207"/>
    <n v="1471.58"/>
    <n v="2576.65"/>
    <n v="4.0000000000000001E-3"/>
    <n v="7"/>
    <n v="17964.4038"/>
    <n v="10301.06"/>
    <n v="7663.3438000000006"/>
    <n v="0.4265849223451546"/>
    <s v="Q2-2023"/>
    <s v="Europe → Germany → Berlin"/>
    <s v="High"/>
    <n v="2023"/>
    <x v="5"/>
    <s v="No"/>
    <x v="0"/>
  </r>
  <r>
    <s v="ORD-2024-687100"/>
    <d v="2024-09-10T00:00:00"/>
    <d v="2024-10-07T00:00:00"/>
    <d v="2024-09-10T00:00:00"/>
    <d v="2024-10-07T00:00:00"/>
    <n v="27"/>
    <s v="9-2024"/>
    <x v="0"/>
    <s v="Kenya"/>
    <s v="Kisumu"/>
    <s v="Consumer"/>
    <x v="0"/>
    <x v="4"/>
    <x v="1"/>
    <x v="208"/>
    <n v="1248.3900000000001"/>
    <n v="1805.11"/>
    <n v="0.20300000000000001"/>
    <n v="11"/>
    <n v="15825.399369999997"/>
    <n v="13732.29"/>
    <n v="2093.1093699999965"/>
    <n v="0.13226265707820786"/>
    <s v="Q3-2024"/>
    <s v="Africa → Kenya → Kisumu"/>
    <s v="Medium"/>
    <n v="2024"/>
    <x v="8"/>
    <s v="No"/>
    <x v="1"/>
  </r>
  <r>
    <s v="ORD-2025-629393"/>
    <d v="2025-07-21T00:00:00"/>
    <d v="2025-08-07T00:00:00"/>
    <d v="2025-07-21T00:00:00"/>
    <d v="2025-08-07T00:00:00"/>
    <n v="17"/>
    <s v="7-2025"/>
    <x v="0"/>
    <s v="Nigeria"/>
    <s v="Lagos"/>
    <s v="Enterprise"/>
    <x v="4"/>
    <x v="13"/>
    <x v="6"/>
    <x v="209"/>
    <n v="1204.95"/>
    <n v="2065.73"/>
    <n v="0.13600000000000001"/>
    <n v="10"/>
    <n v="17847.907199999998"/>
    <n v="12049.5"/>
    <n v="5798.4071999999978"/>
    <n v="0.32487882949100039"/>
    <s v="Q3-2025"/>
    <s v="Africa → Nigeria → Lagos"/>
    <s v="High"/>
    <n v="2025"/>
    <x v="6"/>
    <s v="No"/>
    <x v="0"/>
  </r>
  <r>
    <s v="ORD-2024-686712"/>
    <d v="2024-10-02T00:00:00"/>
    <d v="2024-10-23T00:00:00"/>
    <d v="2024-10-02T00:00:00"/>
    <d v="2024-10-23T00:00:00"/>
    <n v="21"/>
    <s v="10-2024"/>
    <x v="0"/>
    <s v="South Africa"/>
    <s v="Durban"/>
    <s v="Corporate"/>
    <x v="2"/>
    <x v="14"/>
    <x v="0"/>
    <x v="210"/>
    <n v="1095.6099999999999"/>
    <n v="2366.5100000000002"/>
    <n v="0.152"/>
    <n v="9"/>
    <n v="18061.204320000004"/>
    <n v="9860.49"/>
    <n v="8200.7143200000046"/>
    <n v="0.4540513564158607"/>
    <s v="Q4-2024"/>
    <s v="Africa → South Africa → Durban"/>
    <s v="High"/>
    <n v="2024"/>
    <x v="1"/>
    <s v="No"/>
    <x v="0"/>
  </r>
  <r>
    <s v="ORD-2025-586799"/>
    <d v="2025-07-14T00:00:00"/>
    <d v="2025-08-04T00:00:00"/>
    <d v="2025-07-14T00:00:00"/>
    <d v="2025-08-04T00:00:00"/>
    <n v="21"/>
    <s v="7-2025"/>
    <x v="2"/>
    <s v="Canada"/>
    <s v="Montreal"/>
    <s v="Consumer"/>
    <x v="1"/>
    <x v="11"/>
    <x v="5"/>
    <x v="211"/>
    <n v="90.3"/>
    <n v="131.76"/>
    <n v="0.10199999999999999"/>
    <n v="15"/>
    <n v="1774.8072"/>
    <n v="1354.5"/>
    <n v="420.30719999999997"/>
    <n v="0.23681851189244668"/>
    <s v="Q3-2025"/>
    <s v="Americas → Canada → Montreal"/>
    <s v="Low"/>
    <n v="2025"/>
    <x v="6"/>
    <s v="No"/>
    <x v="0"/>
  </r>
  <r>
    <s v="ORD-2024-988736"/>
    <d v="2024-09-09T00:00:00"/>
    <d v="2024-10-01T00:00:00"/>
    <d v="2024-09-09T00:00:00"/>
    <d v="2024-10-01T00:00:00"/>
    <n v="22"/>
    <s v="9-2024"/>
    <x v="1"/>
    <s v="China"/>
    <s v="Shenzhen"/>
    <s v="Consumer"/>
    <x v="4"/>
    <x v="4"/>
    <x v="1"/>
    <x v="212"/>
    <n v="1166.18"/>
    <n v="1335.02"/>
    <n v="0.128"/>
    <n v="6"/>
    <n v="6984.8246399999998"/>
    <n v="6997.08"/>
    <n v="-12.25536000000011"/>
    <n v="-1.7545694604582242E-3"/>
    <s v="Q3-2024"/>
    <s v="Asia → China → Shenzhen"/>
    <s v="Medium"/>
    <n v="2024"/>
    <x v="8"/>
    <s v="No"/>
    <x v="0"/>
  </r>
  <r>
    <s v="ORD-2025-564184"/>
    <d v="2025-01-29T00:00:00"/>
    <d v="2025-02-06T00:00:00"/>
    <d v="2025-01-29T00:00:00"/>
    <d v="2025-02-06T00:00:00"/>
    <n v="8"/>
    <s v="1-2025"/>
    <x v="0"/>
    <s v="Kenya"/>
    <s v="Kisumu"/>
    <s v="Education"/>
    <x v="0"/>
    <x v="5"/>
    <x v="3"/>
    <x v="213"/>
    <n v="1445.27"/>
    <n v="2691.45"/>
    <n v="0"/>
    <n v="9"/>
    <n v="24223.05"/>
    <n v="13007.43"/>
    <n v="11215.619999999999"/>
    <n v="0.46301436028906351"/>
    <s v="Q1-2025"/>
    <s v="Africa → Kenya → Kisumu"/>
    <s v="High"/>
    <n v="2025"/>
    <x v="4"/>
    <s v="No"/>
    <x v="0"/>
  </r>
  <r>
    <s v="ORD-2023-967239"/>
    <d v="2023-12-24T00:00:00"/>
    <d v="2024-01-01T00:00:00"/>
    <d v="2023-12-24T00:00:00"/>
    <d v="2024-01-01T00:00:00"/>
    <n v="8"/>
    <s v="12-2023"/>
    <x v="2"/>
    <s v="Brazil"/>
    <s v="São Paulo"/>
    <s v="Education"/>
    <x v="4"/>
    <x v="0"/>
    <x v="3"/>
    <x v="214"/>
    <n v="526.49"/>
    <n v="496.2"/>
    <n v="0"/>
    <n v="14"/>
    <n v="6946.8"/>
    <n v="7370.8600000000006"/>
    <n v="-424.0600000000004"/>
    <n v="-6.1043933897621985E-2"/>
    <s v="Q4-2023"/>
    <s v="Americas → Brazil → São Paulo"/>
    <s v="Low"/>
    <n v="2023"/>
    <x v="3"/>
    <s v="No"/>
    <x v="0"/>
  </r>
  <r>
    <s v="ORD-2024-197852"/>
    <d v="2024-02-29T00:00:00"/>
    <d v="2024-03-30T00:00:00"/>
    <d v="2024-02-29T00:00:00"/>
    <d v="2024-03-30T00:00:00"/>
    <n v="30"/>
    <s v="2-2024"/>
    <x v="1"/>
    <s v="Japan"/>
    <s v="Nagoya"/>
    <s v="Small Business"/>
    <x v="4"/>
    <x v="2"/>
    <x v="2"/>
    <x v="215"/>
    <n v="231.11"/>
    <n v="318.17"/>
    <n v="0.20100000000000001"/>
    <n v="60"/>
    <n v="15253.069799999999"/>
    <n v="13866.6"/>
    <n v="1386.4697999999989"/>
    <n v="9.0897754889969692E-2"/>
    <s v="Q1-2024"/>
    <s v="Asia → Japan → Nagoya"/>
    <s v="Low"/>
    <n v="2024"/>
    <x v="2"/>
    <s v="No"/>
    <x v="1"/>
  </r>
  <r>
    <s v="ORD-2023-431328"/>
    <d v="2023-12-20T00:00:00"/>
    <d v="2024-01-14T00:00:00"/>
    <d v="2023-12-20T00:00:00"/>
    <d v="2024-01-14T00:00:00"/>
    <n v="25"/>
    <s v="12-2023"/>
    <x v="1"/>
    <s v="India"/>
    <s v="Mumbai"/>
    <s v="Non-Profit"/>
    <x v="2"/>
    <x v="4"/>
    <x v="5"/>
    <x v="216"/>
    <n v="1085.6099999999999"/>
    <n v="1246.4100000000001"/>
    <n v="0.113"/>
    <n v="7"/>
    <n v="7738.9596900000006"/>
    <n v="7599.2699999999995"/>
    <n v="139.68969000000106"/>
    <n v="1.8050189637310417E-2"/>
    <s v="Q4-2023"/>
    <s v="Asia → India → Mumbai"/>
    <s v="Medium"/>
    <n v="2023"/>
    <x v="3"/>
    <s v="No"/>
    <x v="0"/>
  </r>
  <r>
    <s v="ORD-2023-613317"/>
    <d v="2023-01-22T00:00:00"/>
    <d v="2023-01-21T00:00:00"/>
    <d v="2023-01-21T00:00:00"/>
    <d v="2023-01-22T00:00:00"/>
    <n v="1"/>
    <s v="1-2023"/>
    <x v="3"/>
    <s v="Germany"/>
    <s v="Munich"/>
    <s v="Corporate"/>
    <x v="4"/>
    <x v="9"/>
    <x v="5"/>
    <x v="217"/>
    <n v="150.86000000000001"/>
    <n v="346.96"/>
    <n v="0.19600000000000001"/>
    <n v="8"/>
    <n v="2231.6467200000002"/>
    <n v="1206.8800000000001"/>
    <n v="1024.7667200000001"/>
    <n v="0.45919755614365343"/>
    <s v="Q1-2023"/>
    <s v="Europe → Germany → Munich"/>
    <s v="Low"/>
    <n v="2023"/>
    <x v="4"/>
    <s v="Yes"/>
    <x v="0"/>
  </r>
  <r>
    <s v="ORD-2024-720756"/>
    <d v="2024-10-11T00:00:00"/>
    <d v="2024-11-09T00:00:00"/>
    <d v="2024-10-11T00:00:00"/>
    <d v="2024-11-09T00:00:00"/>
    <n v="29"/>
    <s v="10-2024"/>
    <x v="1"/>
    <s v="China"/>
    <s v="Shanghai"/>
    <s v="Non-Profit"/>
    <x v="1"/>
    <x v="9"/>
    <x v="1"/>
    <x v="218"/>
    <n v="391.64"/>
    <n v="504.76"/>
    <n v="4.0000000000000001E-3"/>
    <n v="13"/>
    <n v="6535.6324800000002"/>
    <n v="5091.32"/>
    <n v="1444.3124800000005"/>
    <n v="0.22099046793402319"/>
    <s v="Q4-2024"/>
    <s v="Asia → China → Shanghai"/>
    <s v="Low"/>
    <n v="2024"/>
    <x v="1"/>
    <s v="No"/>
    <x v="0"/>
  </r>
  <r>
    <s v="ORD-2024-499009"/>
    <d v="2024-01-25T00:00:00"/>
    <d v="2024-01-27T00:00:00"/>
    <d v="2024-01-25T00:00:00"/>
    <d v="2024-01-27T00:00:00"/>
    <n v="2"/>
    <s v="1-2024"/>
    <x v="2"/>
    <s v="Brazil"/>
    <s v="São Paulo"/>
    <s v="Non-Profit"/>
    <x v="2"/>
    <x v="10"/>
    <x v="4"/>
    <x v="219"/>
    <n v="1410.97"/>
    <n v="1650.75"/>
    <n v="0.13500000000000001"/>
    <n v="6"/>
    <n v="8567.3924999999999"/>
    <n v="8465.82"/>
    <n v="101.57250000000022"/>
    <n v="1.1855707556295596E-2"/>
    <s v="Q1-2024"/>
    <s v="Americas → Brazil → São Paulo"/>
    <s v="Medium"/>
    <n v="2024"/>
    <x v="4"/>
    <s v="Yes"/>
    <x v="0"/>
  </r>
  <r>
    <s v="ORD-2025-762212"/>
    <d v="2025-08-25T00:00:00"/>
    <d v="2025-09-24T00:00:00"/>
    <d v="2025-08-25T00:00:00"/>
    <d v="2025-09-24T00:00:00"/>
    <n v="30"/>
    <s v="8-2025"/>
    <x v="0"/>
    <s v="Kenya"/>
    <s v="Nairobi"/>
    <s v="Consumer"/>
    <x v="4"/>
    <x v="5"/>
    <x v="0"/>
    <x v="220"/>
    <n v="589.14"/>
    <n v="1300.58"/>
    <n v="5.5E-2"/>
    <n v="11"/>
    <n v="13519.529099999998"/>
    <n v="6480.54"/>
    <n v="7038.989099999998"/>
    <n v="0.52065342275863724"/>
    <s v="Q3-2025"/>
    <s v="Africa → Kenya → Nairobi"/>
    <s v="Medium"/>
    <n v="2025"/>
    <x v="11"/>
    <s v="No"/>
    <x v="0"/>
  </r>
  <r>
    <s v="ORD-2023-548874"/>
    <d v="2023-03-19T00:00:00"/>
    <d v="2023-04-09T00:00:00"/>
    <d v="2023-03-19T00:00:00"/>
    <d v="2023-04-09T00:00:00"/>
    <n v="21"/>
    <s v="3-2023"/>
    <x v="3"/>
    <s v="United Kingdom"/>
    <s v="Manchester"/>
    <s v="Consumer"/>
    <x v="0"/>
    <x v="4"/>
    <x v="6"/>
    <x v="221"/>
    <n v="1082.17"/>
    <n v="1234.0999999999999"/>
    <n v="0.189"/>
    <n v="16"/>
    <n v="16013.681599999998"/>
    <n v="17314.72"/>
    <n v="-1301.0384000000031"/>
    <n v="-8.124542703534228E-2"/>
    <s v="Q1-2023"/>
    <s v="Europe → United Kingdom → Manchester"/>
    <s v="Medium"/>
    <n v="2023"/>
    <x v="0"/>
    <s v="No"/>
    <x v="0"/>
  </r>
  <r>
    <s v="ORD-2023-713375"/>
    <d v="2023-08-26T00:00:00"/>
    <d v="2023-09-10T00:00:00"/>
    <d v="2023-08-26T00:00:00"/>
    <d v="2023-09-10T00:00:00"/>
    <n v="15"/>
    <s v="8-2023"/>
    <x v="0"/>
    <s v="South Africa"/>
    <s v="Cape Town"/>
    <s v="Non-Profit"/>
    <x v="4"/>
    <x v="10"/>
    <x v="0"/>
    <x v="222"/>
    <n v="241.14"/>
    <n v="496.52"/>
    <n v="9.2999999999999999E-2"/>
    <n v="10"/>
    <n v="4503.4363999999996"/>
    <n v="2411.3999999999996"/>
    <n v="2092.0364"/>
    <n v="0.46454223268257994"/>
    <s v="Q3-2023"/>
    <s v="Africa → South Africa → Cape Town"/>
    <s v="Low"/>
    <n v="2023"/>
    <x v="11"/>
    <s v="No"/>
    <x v="0"/>
  </r>
  <r>
    <s v="ORD-2025-678688"/>
    <d v="2025-07-16T00:00:00"/>
    <d v="2025-07-17T00:00:00"/>
    <d v="2025-07-16T00:00:00"/>
    <d v="2025-07-17T00:00:00"/>
    <n v="1"/>
    <s v="7-2025"/>
    <x v="0"/>
    <s v="South Africa"/>
    <s v="Durban"/>
    <s v="Small Business"/>
    <x v="3"/>
    <x v="5"/>
    <x v="2"/>
    <x v="223"/>
    <n v="1198.9000000000001"/>
    <n v="2941.2"/>
    <n v="5.0999999999999997E-2"/>
    <n v="24"/>
    <n v="66988.771199999988"/>
    <n v="28773.600000000002"/>
    <n v="38215.171199999982"/>
    <n v="0.57047129713583977"/>
    <s v="Q3-2025"/>
    <s v="Africa → South Africa → Durban"/>
    <s v="High"/>
    <n v="2025"/>
    <x v="6"/>
    <s v="Yes"/>
    <x v="0"/>
  </r>
  <r>
    <s v="ORD-2023-501220"/>
    <d v="2023-04-19T00:00:00"/>
    <d v="2023-05-07T00:00:00"/>
    <d v="2023-04-19T00:00:00"/>
    <d v="2023-05-07T00:00:00"/>
    <n v="18"/>
    <s v="4-2023"/>
    <x v="3"/>
    <s v="United Kingdom"/>
    <s v="Birmingham"/>
    <s v="Enterprise"/>
    <x v="0"/>
    <x v="10"/>
    <x v="4"/>
    <x v="224"/>
    <n v="1089.1500000000001"/>
    <n v="1088.2"/>
    <n v="5.0999999999999997E-2"/>
    <n v="15"/>
    <n v="15490.527"/>
    <n v="16337.250000000002"/>
    <n v="-846.72300000000178"/>
    <n v="-5.4660696824582002E-2"/>
    <s v="Q2-2023"/>
    <s v="Europe → United Kingdom → Birmingham"/>
    <s v="Low"/>
    <n v="2023"/>
    <x v="7"/>
    <s v="No"/>
    <x v="0"/>
  </r>
  <r>
    <s v="ORD-2024-206121"/>
    <d v="2024-02-18T00:00:00"/>
    <d v="2024-03-11T00:00:00"/>
    <d v="2024-02-18T00:00:00"/>
    <d v="2024-03-11T00:00:00"/>
    <n v="22"/>
    <s v="2-2024"/>
    <x v="2"/>
    <s v="Brazil"/>
    <s v="São Paulo"/>
    <s v="Consumer"/>
    <x v="1"/>
    <x v="14"/>
    <x v="0"/>
    <x v="225"/>
    <n v="80.48"/>
    <n v="65.650000000000006"/>
    <n v="0.17599999999999999"/>
    <n v="13"/>
    <n v="703.2428000000001"/>
    <n v="1046.24"/>
    <n v="-342.99719999999991"/>
    <n v="-0.48773652570634191"/>
    <s v="Q1-2024"/>
    <s v="Americas → Brazil → São Paulo"/>
    <s v="Low"/>
    <n v="2024"/>
    <x v="2"/>
    <s v="No"/>
    <x v="0"/>
  </r>
  <r>
    <s v="ORD-2023-290237"/>
    <d v="2023-07-30T00:00:00"/>
    <d v="2023-08-07T00:00:00"/>
    <d v="2023-07-30T00:00:00"/>
    <d v="2023-08-07T00:00:00"/>
    <n v="8"/>
    <s v="7-2023"/>
    <x v="1"/>
    <s v="Japan"/>
    <s v="Nagoya"/>
    <s v="Education"/>
    <x v="2"/>
    <x v="14"/>
    <x v="2"/>
    <x v="226"/>
    <n v="1352.44"/>
    <n v="2698.01"/>
    <n v="0.13100000000000001"/>
    <n v="13"/>
    <n v="30479.418970000002"/>
    <n v="17581.72"/>
    <n v="12897.698970000001"/>
    <n v="0.42316091992090887"/>
    <s v="Q3-2023"/>
    <s v="Asia → Japan → Nagoya"/>
    <s v="High"/>
    <n v="2023"/>
    <x v="6"/>
    <s v="No"/>
    <x v="0"/>
  </r>
  <r>
    <s v="ORD-2024-210687"/>
    <d v="2024-01-28T00:00:00"/>
    <d v="2024-02-09T00:00:00"/>
    <d v="2024-01-28T00:00:00"/>
    <d v="2024-02-09T00:00:00"/>
    <n v="12"/>
    <s v="1-2024"/>
    <x v="3"/>
    <s v="Germany"/>
    <s v="Berlin"/>
    <s v="Corporate"/>
    <x v="1"/>
    <x v="3"/>
    <x v="6"/>
    <x v="227"/>
    <n v="644.16999999999996"/>
    <n v="700.12"/>
    <n v="6.0000000000000001E-3"/>
    <n v="23"/>
    <n v="16006.14344"/>
    <n v="14815.91"/>
    <n v="1190.23344"/>
    <n v="7.436103796405813E-2"/>
    <s v="Q1-2024"/>
    <s v="Europe → Germany → Berlin"/>
    <s v="Low"/>
    <n v="2024"/>
    <x v="4"/>
    <s v="No"/>
    <x v="0"/>
  </r>
  <r>
    <s v="ORD-2025-289139"/>
    <d v="2025-08-10T00:00:00"/>
    <d v="2025-08-30T00:00:00"/>
    <d v="2025-08-10T00:00:00"/>
    <d v="2025-08-30T00:00:00"/>
    <n v="20"/>
    <s v="8-2025"/>
    <x v="2"/>
    <s v="USA"/>
    <s v="San Francisco"/>
    <s v="Corporate"/>
    <x v="2"/>
    <x v="12"/>
    <x v="1"/>
    <x v="228"/>
    <n v="933.29"/>
    <n v="1456.81"/>
    <n v="0.123"/>
    <n v="13"/>
    <n v="16609.090809999998"/>
    <n v="12132.77"/>
    <n v="4476.3208099999974"/>
    <n v="0.26951028573489977"/>
    <s v="Q3-2025"/>
    <s v="Americas → USA → San Francisco"/>
    <s v="Medium"/>
    <n v="2025"/>
    <x v="11"/>
    <s v="No"/>
    <x v="0"/>
  </r>
  <r>
    <s v="ORD-2023-949710"/>
    <d v="2023-03-07T00:00:00"/>
    <d v="2023-04-01T00:00:00"/>
    <d v="2023-03-07T00:00:00"/>
    <d v="2023-04-01T00:00:00"/>
    <n v="25"/>
    <s v="3-2023"/>
    <x v="0"/>
    <s v="Kenya"/>
    <s v="Nairobi"/>
    <s v="Consumer"/>
    <x v="2"/>
    <x v="8"/>
    <x v="1"/>
    <x v="229"/>
    <n v="1024.0999999999999"/>
    <n v="918.19"/>
    <n v="0.189"/>
    <n v="10"/>
    <n v="7446.5209000000004"/>
    <n v="10241"/>
    <n v="-2794.4790999999996"/>
    <n v="-0.37527311579827827"/>
    <s v="Q1-2023"/>
    <s v="Africa → Kenya → Nairobi"/>
    <s v="Low"/>
    <n v="2023"/>
    <x v="0"/>
    <s v="No"/>
    <x v="0"/>
  </r>
  <r>
    <s v="ORD-2023-603650"/>
    <d v="2023-05-23T00:00:00"/>
    <d v="2023-06-10T00:00:00"/>
    <d v="2023-05-23T00:00:00"/>
    <d v="2023-06-10T00:00:00"/>
    <n v="18"/>
    <s v="5-2023"/>
    <x v="1"/>
    <s v="China"/>
    <s v="Shanghai"/>
    <s v="Corporate"/>
    <x v="3"/>
    <x v="6"/>
    <x v="0"/>
    <x v="230"/>
    <n v="54.62"/>
    <n v="48.94"/>
    <n v="0.14799999999999999"/>
    <n v="16"/>
    <n v="667.15008"/>
    <n v="873.92"/>
    <n v="-206.76991999999996"/>
    <n v="-0.3099301434543783"/>
    <s v="Q2-2023"/>
    <s v="Asia → China → Shanghai"/>
    <s v="Low"/>
    <n v="2023"/>
    <x v="5"/>
    <s v="No"/>
    <x v="0"/>
  </r>
  <r>
    <s v="ORD-2024-129345"/>
    <d v="2024-02-18T00:00:00"/>
    <d v="2024-03-03T00:00:00"/>
    <d v="2024-02-18T00:00:00"/>
    <d v="2024-03-03T00:00:00"/>
    <n v="14"/>
    <s v="2-2024"/>
    <x v="2"/>
    <s v="Brazil"/>
    <s v="Unknown City"/>
    <s v="Enterprise"/>
    <x v="3"/>
    <x v="14"/>
    <x v="1"/>
    <x v="231"/>
    <n v="624.23"/>
    <n v="1318.37"/>
    <n v="0.21"/>
    <n v="37"/>
    <n v="38535.955099999999"/>
    <n v="23096.510000000002"/>
    <n v="15439.445099999997"/>
    <n v="0.40065038118128793"/>
    <s v="Q1-2024"/>
    <s v="Americas → Brazil → Unknown City"/>
    <s v="Medium"/>
    <n v="2024"/>
    <x v="2"/>
    <s v="No"/>
    <x v="1"/>
  </r>
  <r>
    <s v="ORD-2024-423853"/>
    <d v="2024-09-03T00:00:00"/>
    <d v="2024-09-08T00:00:00"/>
    <d v="2024-09-03T00:00:00"/>
    <d v="2024-09-08T00:00:00"/>
    <n v="5"/>
    <s v="9-2024"/>
    <x v="0"/>
    <s v="Nigeria"/>
    <s v="Lagos"/>
    <s v="Small Business"/>
    <x v="4"/>
    <x v="12"/>
    <x v="1"/>
    <x v="232"/>
    <n v="197.63"/>
    <n v="325.79000000000002"/>
    <n v="0.11600000000000001"/>
    <n v="10"/>
    <n v="2879.9836"/>
    <n v="1976.3"/>
    <n v="903.68360000000007"/>
    <n v="0.31378081458519419"/>
    <s v="Q3-2024"/>
    <s v="Africa → Nigeria → Lagos"/>
    <s v="Low"/>
    <n v="2024"/>
    <x v="8"/>
    <s v="Yes"/>
    <x v="0"/>
  </r>
  <r>
    <s v="ORD-2024-569164"/>
    <d v="2024-09-05T00:00:00"/>
    <d v="2024-09-25T00:00:00"/>
    <d v="2024-09-05T00:00:00"/>
    <d v="2024-09-25T00:00:00"/>
    <n v="20"/>
    <s v="9-2024"/>
    <x v="1"/>
    <s v="Japan"/>
    <s v="Osaka"/>
    <s v="Enterprise"/>
    <x v="3"/>
    <x v="8"/>
    <x v="5"/>
    <x v="233"/>
    <n v="195.54"/>
    <n v="405.97"/>
    <n v="0.187"/>
    <n v="16"/>
    <n v="5280.8577599999999"/>
    <n v="3128.64"/>
    <n v="2152.21776"/>
    <n v="0.40755079152141377"/>
    <s v="Q3-2024"/>
    <s v="Asia → Japan → Osaka"/>
    <s v="Low"/>
    <n v="2024"/>
    <x v="8"/>
    <s v="No"/>
    <x v="0"/>
  </r>
  <r>
    <s v="ORD-2023-946143"/>
    <d v="2023-03-14T00:00:00"/>
    <d v="2023-03-30T00:00:00"/>
    <d v="2023-03-14T00:00:00"/>
    <d v="2023-03-30T00:00:00"/>
    <n v="16"/>
    <s v="3-2023"/>
    <x v="0"/>
    <s v="South Africa"/>
    <s v="Cape Town"/>
    <s v="Consumer"/>
    <x v="3"/>
    <x v="12"/>
    <x v="0"/>
    <x v="234"/>
    <n v="1309.77"/>
    <n v="1589.07"/>
    <n v="0.10199999999999999"/>
    <n v="10"/>
    <n v="14269.848599999999"/>
    <n v="13097.7"/>
    <n v="1172.1485999999986"/>
    <n v="8.2141628328137886E-2"/>
    <s v="Q1-2023"/>
    <s v="Africa → South Africa → Cape Town"/>
    <s v="Medium"/>
    <n v="2023"/>
    <x v="0"/>
    <s v="No"/>
    <x v="0"/>
  </r>
  <r>
    <s v="ORD-2024-281211"/>
    <d v="2024-01-11T00:00:00"/>
    <d v="2024-02-02T00:00:00"/>
    <d v="2024-01-11T00:00:00"/>
    <d v="2024-02-02T00:00:00"/>
    <n v="22"/>
    <s v="1-2024"/>
    <x v="1"/>
    <s v="Japan"/>
    <s v="Nagoya"/>
    <s v="Small Business"/>
    <x v="1"/>
    <x v="15"/>
    <x v="1"/>
    <x v="235"/>
    <n v="1237.68"/>
    <n v="1432.8"/>
    <n v="6.8000000000000005E-2"/>
    <n v="13"/>
    <n v="17359.804799999998"/>
    <n v="16089.84"/>
    <n v="1269.9647999999979"/>
    <n v="7.315547695559331E-2"/>
    <s v="Q1-2024"/>
    <s v="Asia → Japan → Nagoya"/>
    <s v="Medium"/>
    <n v="2024"/>
    <x v="4"/>
    <s v="No"/>
    <x v="0"/>
  </r>
  <r>
    <s v="ORD-2024-805860"/>
    <d v="2024-09-13T00:00:00"/>
    <d v="2024-10-02T00:00:00"/>
    <d v="2024-09-13T00:00:00"/>
    <d v="2024-10-02T00:00:00"/>
    <n v="19"/>
    <s v="9-2024"/>
    <x v="0"/>
    <s v="Kenya"/>
    <s v="Mombasa"/>
    <s v="Small Business"/>
    <x v="0"/>
    <x v="13"/>
    <x v="3"/>
    <x v="236"/>
    <n v="1338.99"/>
    <n v="1765.76"/>
    <n v="0.126"/>
    <n v="24"/>
    <n v="37038.581760000001"/>
    <n v="32135.760000000002"/>
    <n v="4902.8217599999989"/>
    <n v="0.1323706666677725"/>
    <s v="Q3-2024"/>
    <s v="Africa → Kenya → Mombasa"/>
    <s v="Medium"/>
    <n v="2024"/>
    <x v="8"/>
    <s v="No"/>
    <x v="0"/>
  </r>
  <r>
    <s v="ORD-2025-132174"/>
    <d v="2025-07-17T00:00:00"/>
    <d v="2025-07-23T00:00:00"/>
    <d v="2025-07-17T00:00:00"/>
    <d v="2025-07-23T00:00:00"/>
    <n v="6"/>
    <s v="7-2025"/>
    <x v="2"/>
    <s v="Canada"/>
    <s v="Vancouver"/>
    <s v="Consumer"/>
    <x v="1"/>
    <x v="11"/>
    <x v="0"/>
    <x v="237"/>
    <n v="1364.89"/>
    <n v="2757.54"/>
    <n v="0.17199999999999999"/>
    <n v="61"/>
    <n v="139277.83032000001"/>
    <n v="83258.290000000008"/>
    <n v="56019.54032"/>
    <n v="0.4022143379983118"/>
    <s v="Q3-2025"/>
    <s v="Americas → Canada → Vancouver"/>
    <s v="High"/>
    <n v="2025"/>
    <x v="6"/>
    <s v="Yes"/>
    <x v="0"/>
  </r>
  <r>
    <s v="ORD-2023-964434"/>
    <d v="2023-11-28T00:00:00"/>
    <d v="2023-12-07T00:00:00"/>
    <d v="2023-11-28T00:00:00"/>
    <d v="2023-12-07T00:00:00"/>
    <n v="9"/>
    <s v="11-2023"/>
    <x v="1"/>
    <s v="India"/>
    <s v="Delhi"/>
    <s v="Enterprise"/>
    <x v="2"/>
    <x v="4"/>
    <x v="3"/>
    <x v="238"/>
    <n v="699.33"/>
    <n v="873.75"/>
    <n v="0.23499999999999999"/>
    <n v="10"/>
    <n v="6684.1875"/>
    <n v="6993.3"/>
    <n v="-309.11250000000018"/>
    <n v="-4.6245336475076469E-2"/>
    <s v="Q4-2023"/>
    <s v="Asia → India → Delhi"/>
    <s v="Low"/>
    <n v="2023"/>
    <x v="10"/>
    <s v="No"/>
    <x v="1"/>
  </r>
  <r>
    <s v="ORD-2024-897622"/>
    <d v="2024-03-30T00:00:00"/>
    <d v="2024-04-24T00:00:00"/>
    <d v="2024-03-30T00:00:00"/>
    <d v="2024-04-24T00:00:00"/>
    <n v="25"/>
    <s v="3-2024"/>
    <x v="2"/>
    <s v="USA"/>
    <s v="Austin"/>
    <s v="Non-Profit"/>
    <x v="1"/>
    <x v="3"/>
    <x v="4"/>
    <x v="239"/>
    <n v="160.82"/>
    <n v="258.52"/>
    <n v="0.13"/>
    <n v="17"/>
    <n v="3823.5108"/>
    <n v="2733.94"/>
    <n v="1089.5708"/>
    <n v="0.28496605789631874"/>
    <s v="Q1-2024"/>
    <s v="Americas → USA → Austin"/>
    <s v="Low"/>
    <n v="2024"/>
    <x v="0"/>
    <s v="No"/>
    <x v="0"/>
  </r>
  <r>
    <s v="ORD-2023-517216"/>
    <d v="2023-09-19T00:00:00"/>
    <d v="2023-10-08T00:00:00"/>
    <d v="2023-09-19T00:00:00"/>
    <d v="2023-10-08T00:00:00"/>
    <n v="19"/>
    <s v="9-2023"/>
    <x v="1"/>
    <s v="India"/>
    <s v="Bengaluru"/>
    <s v="Education"/>
    <x v="4"/>
    <x v="1"/>
    <x v="1"/>
    <x v="240"/>
    <n v="385.32"/>
    <n v="606.76"/>
    <n v="8.5999999999999993E-2"/>
    <n v="8"/>
    <n v="4436.6291200000005"/>
    <n v="3082.56"/>
    <n v="1354.0691200000006"/>
    <n v="0.30520223425842735"/>
    <s v="Q3-2023"/>
    <s v="Asia → India → Bengaluru"/>
    <s v="Low"/>
    <n v="2023"/>
    <x v="8"/>
    <s v="No"/>
    <x v="0"/>
  </r>
  <r>
    <s v="ORD-2025-509940"/>
    <d v="2025-05-16T00:00:00"/>
    <d v="2025-05-27T00:00:00"/>
    <d v="2025-05-16T00:00:00"/>
    <d v="2025-05-27T00:00:00"/>
    <n v="11"/>
    <s v="5-2025"/>
    <x v="1"/>
    <s v="China"/>
    <s v="Beijing"/>
    <s v="Enterprise"/>
    <x v="1"/>
    <x v="9"/>
    <x v="3"/>
    <x v="241"/>
    <n v="918.12"/>
    <n v="1337.69"/>
    <n v="9.5000000000000001E-2"/>
    <n v="8"/>
    <n v="9684.8756000000012"/>
    <n v="7344.96"/>
    <n v="2339.9156000000012"/>
    <n v="0.24160512707050164"/>
    <s v="Q2-2025"/>
    <s v="Asia → China → Beijing"/>
    <s v="Medium"/>
    <n v="2025"/>
    <x v="5"/>
    <s v="No"/>
    <x v="0"/>
  </r>
  <r>
    <s v="ORD-2025-646342"/>
    <d v="2025-08-02T00:00:00"/>
    <d v="2025-08-08T00:00:00"/>
    <d v="2025-08-02T00:00:00"/>
    <d v="2025-08-08T00:00:00"/>
    <n v="6"/>
    <s v="8-2025"/>
    <x v="1"/>
    <s v="Japan"/>
    <s v="Osaka"/>
    <s v="Consumer"/>
    <x v="4"/>
    <x v="10"/>
    <x v="4"/>
    <x v="242"/>
    <n v="1225.94"/>
    <n v="1793.08"/>
    <n v="0.13600000000000001"/>
    <n v="22"/>
    <n v="34082.864639999993"/>
    <n v="26970.68"/>
    <n v="7112.1846399999922"/>
    <n v="0.20867332353434462"/>
    <s v="Q3-2025"/>
    <s v="Asia → Japan → Osaka"/>
    <s v="Medium"/>
    <n v="2025"/>
    <x v="11"/>
    <s v="Yes"/>
    <x v="0"/>
  </r>
  <r>
    <s v="ORD-2024-866535"/>
    <d v="2024-12-04T00:00:00"/>
    <d v="2024-12-12T00:00:00"/>
    <d v="2024-12-04T00:00:00"/>
    <d v="2024-12-12T00:00:00"/>
    <n v="8"/>
    <s v="12-2024"/>
    <x v="3"/>
    <s v="Germany"/>
    <s v="Frankfurt"/>
    <s v="Enterprise"/>
    <x v="2"/>
    <x v="5"/>
    <x v="1"/>
    <x v="243"/>
    <n v="72.06"/>
    <n v="122.74"/>
    <n v="0.23799999999999999"/>
    <n v="8"/>
    <n v="748.22303999999997"/>
    <n v="576.48"/>
    <n v="171.74303999999995"/>
    <n v="0.22953455162246802"/>
    <s v="Q4-2024"/>
    <s v="Europe → Germany → Frankfurt"/>
    <s v="Low"/>
    <n v="2024"/>
    <x v="3"/>
    <s v="No"/>
    <x v="1"/>
  </r>
  <r>
    <s v="ORD-2024-516704"/>
    <d v="2024-03-01T00:00:00"/>
    <d v="2024-02-29T00:00:00"/>
    <d v="2024-02-29T00:00:00"/>
    <d v="2024-03-01T00:00:00"/>
    <n v="1"/>
    <s v="2-2024"/>
    <x v="2"/>
    <s v="Brazil"/>
    <s v="São Paulo"/>
    <s v="Non-Profit"/>
    <x v="4"/>
    <x v="2"/>
    <x v="3"/>
    <x v="244"/>
    <n v="5.34"/>
    <n v="12.69"/>
    <n v="0.13200000000000001"/>
    <n v="10"/>
    <n v="110.14919999999999"/>
    <n v="53.4"/>
    <n v="56.749199999999995"/>
    <n v="0.51520301554618642"/>
    <s v="Q1-2024"/>
    <s v="Americas → Brazil → São Paulo"/>
    <s v="Low"/>
    <n v="2024"/>
    <x v="2"/>
    <s v="Yes"/>
    <x v="0"/>
  </r>
  <r>
    <s v="ORD-2024-853298"/>
    <d v="2024-03-06T00:00:00"/>
    <d v="2024-03-26T00:00:00"/>
    <d v="2024-03-06T00:00:00"/>
    <d v="2024-03-26T00:00:00"/>
    <n v="20"/>
    <s v="3-2024"/>
    <x v="0"/>
    <s v="Nigeria"/>
    <s v="Port Harcourt"/>
    <s v="Consumer"/>
    <x v="2"/>
    <x v="2"/>
    <x v="3"/>
    <x v="245"/>
    <n v="65.64"/>
    <n v="151.88"/>
    <n v="0.16700000000000001"/>
    <n v="23"/>
    <n v="2909.8689199999999"/>
    <n v="1509.72"/>
    <n v="1400.1489199999999"/>
    <n v="0.48117250587356353"/>
    <s v="Q1-2024"/>
    <s v="Africa → Nigeria → Port Harcourt"/>
    <s v="Low"/>
    <n v="2024"/>
    <x v="0"/>
    <s v="No"/>
    <x v="0"/>
  </r>
  <r>
    <s v="ORD-2024-544865"/>
    <d v="2024-02-16T00:00:00"/>
    <d v="2024-03-04T00:00:00"/>
    <d v="2024-02-16T00:00:00"/>
    <d v="2024-03-04T00:00:00"/>
    <n v="17"/>
    <s v="2-2024"/>
    <x v="2"/>
    <s v="Canada"/>
    <s v="Montreal"/>
    <s v="Non-Profit"/>
    <x v="0"/>
    <x v="8"/>
    <x v="4"/>
    <x v="246"/>
    <n v="1350.98"/>
    <n v="2210.4"/>
    <n v="0.26300000000000001"/>
    <n v="6"/>
    <n v="9774.3888000000006"/>
    <n v="8105.88"/>
    <n v="1668.5088000000005"/>
    <n v="0.17070211080615091"/>
    <s v="Q1-2024"/>
    <s v="Americas → Canada → Montreal"/>
    <s v="High"/>
    <n v="2024"/>
    <x v="2"/>
    <s v="No"/>
    <x v="1"/>
  </r>
  <r>
    <s v="ORD-2025-946490"/>
    <d v="2025-04-22T00:00:00"/>
    <d v="2025-05-02T00:00:00"/>
    <d v="2025-04-22T00:00:00"/>
    <d v="2025-05-02T00:00:00"/>
    <n v="10"/>
    <s v="4-2025"/>
    <x v="3"/>
    <s v="Germany"/>
    <s v="Berlin"/>
    <s v="Corporate"/>
    <x v="2"/>
    <x v="0"/>
    <x v="5"/>
    <x v="247"/>
    <n v="20.149999999999999"/>
    <n v="39.74"/>
    <n v="0.151"/>
    <n v="18"/>
    <n v="607.30668000000003"/>
    <n v="362.7"/>
    <n v="244.60668000000004"/>
    <n v="0.4027729120318585"/>
    <s v="Q2-2025"/>
    <s v="Europe → Germany → Berlin"/>
    <s v="Low"/>
    <n v="2025"/>
    <x v="7"/>
    <s v="No"/>
    <x v="0"/>
  </r>
  <r>
    <s v="ORD-2024-320972"/>
    <d v="2024-11-08T00:00:00"/>
    <d v="2024-11-08T00:00:00"/>
    <d v="2024-11-08T00:00:00"/>
    <d v="2024-11-08T00:00:00"/>
    <n v="0"/>
    <s v="11-2024"/>
    <x v="0"/>
    <s v="Kenya"/>
    <s v="Nakuru"/>
    <s v="Enterprise"/>
    <x v="2"/>
    <x v="13"/>
    <x v="2"/>
    <x v="248"/>
    <n v="803.28"/>
    <n v="1009"/>
    <n v="0.11"/>
    <n v="4"/>
    <n v="3592.04"/>
    <n v="3213.12"/>
    <n v="378.92000000000007"/>
    <n v="0.10548880302001093"/>
    <s v="Q4-2024"/>
    <s v="Africa → Kenya → Nakuru"/>
    <s v="Low"/>
    <n v="2024"/>
    <x v="10"/>
    <s v="Yes"/>
    <x v="0"/>
  </r>
  <r>
    <s v="ORD-2025-248586"/>
    <d v="2025-09-12T00:00:00"/>
    <d v="2025-09-30T00:00:00"/>
    <d v="2025-09-12T00:00:00"/>
    <d v="2025-09-30T00:00:00"/>
    <n v="18"/>
    <s v="9-2025"/>
    <x v="1"/>
    <s v="Japan"/>
    <s v="Nagoya"/>
    <s v="Non-Profit"/>
    <x v="2"/>
    <x v="9"/>
    <x v="5"/>
    <x v="249"/>
    <n v="1212.99"/>
    <n v="1653.64"/>
    <n v="0.107"/>
    <n v="8"/>
    <n v="11813.604160000001"/>
    <n v="9703.92"/>
    <n v="2109.6841600000007"/>
    <n v="0.17858090819931455"/>
    <s v="Q3-2025"/>
    <s v="Asia → Japan → Nagoya"/>
    <s v="Medium"/>
    <n v="2025"/>
    <x v="8"/>
    <s v="No"/>
    <x v="0"/>
  </r>
  <r>
    <s v="ORD-2024-664046"/>
    <d v="2024-09-02T00:00:00"/>
    <d v="2024-09-08T00:00:00"/>
    <d v="2024-09-02T00:00:00"/>
    <d v="2024-09-08T00:00:00"/>
    <n v="6"/>
    <s v="9-2024"/>
    <x v="2"/>
    <s v="USA"/>
    <s v="Austin"/>
    <s v="Consumer"/>
    <x v="4"/>
    <x v="11"/>
    <x v="0"/>
    <x v="250"/>
    <n v="462.94"/>
    <n v="1015.7"/>
    <n v="0.14299999999999999"/>
    <n v="14"/>
    <n v="12186.368600000002"/>
    <n v="6481.16"/>
    <n v="5705.2086000000018"/>
    <n v="0.46816314090483041"/>
    <s v="Q3-2024"/>
    <s v="Americas → USA → Austin"/>
    <s v="Low"/>
    <n v="2024"/>
    <x v="8"/>
    <s v="Yes"/>
    <x v="0"/>
  </r>
  <r>
    <s v="ORD-2023-276806"/>
    <d v="2023-03-04T00:00:00"/>
    <d v="2023-03-24T00:00:00"/>
    <d v="2023-03-04T00:00:00"/>
    <d v="2023-03-24T00:00:00"/>
    <n v="20"/>
    <s v="3-2023"/>
    <x v="2"/>
    <s v="Canada"/>
    <s v="Montreal"/>
    <s v="Consumer"/>
    <x v="3"/>
    <x v="2"/>
    <x v="4"/>
    <x v="251"/>
    <n v="481.71"/>
    <n v="912.45"/>
    <n v="0.20300000000000001"/>
    <n v="24"/>
    <n v="17453.3436"/>
    <n v="11561.039999999999"/>
    <n v="5892.3036000000011"/>
    <n v="0.33760313983619739"/>
    <s v="Q1-2023"/>
    <s v="Americas → Canada → Montreal"/>
    <s v="Low"/>
    <n v="2023"/>
    <x v="0"/>
    <s v="No"/>
    <x v="1"/>
  </r>
  <r>
    <s v="ORD-2024-220234"/>
    <d v="2024-03-15T00:00:00"/>
    <d v="2024-04-09T00:00:00"/>
    <d v="2024-03-15T00:00:00"/>
    <d v="2024-04-09T00:00:00"/>
    <n v="25"/>
    <s v="3-2024"/>
    <x v="2"/>
    <s v="Canada"/>
    <s v="Vancouver"/>
    <s v="Consumer"/>
    <x v="1"/>
    <x v="9"/>
    <x v="5"/>
    <x v="252"/>
    <n v="648.64"/>
    <n v="815.19"/>
    <n v="0.22500000000000001"/>
    <n v="28"/>
    <n v="17689.623"/>
    <n v="18161.919999999998"/>
    <n v="-472.29699999999866"/>
    <n v="-2.6699099240272032E-2"/>
    <s v="Q1-2024"/>
    <s v="Americas → Canada → Vancouver"/>
    <s v="Low"/>
    <n v="2024"/>
    <x v="0"/>
    <s v="No"/>
    <x v="1"/>
  </r>
  <r>
    <s v="ORD-2024-301260"/>
    <d v="2024-07-29T00:00:00"/>
    <d v="2024-07-31T00:00:00"/>
    <d v="2024-07-29T00:00:00"/>
    <d v="2024-07-31T00:00:00"/>
    <n v="2"/>
    <s v="7-2024"/>
    <x v="2"/>
    <s v="USA"/>
    <s v="New York"/>
    <s v="Education"/>
    <x v="2"/>
    <x v="2"/>
    <x v="1"/>
    <x v="253"/>
    <n v="798.97"/>
    <n v="1814.06"/>
    <n v="0.122"/>
    <n v="16"/>
    <n v="25483.91488"/>
    <n v="12783.52"/>
    <n v="12700.39488"/>
    <n v="0.49836906691159061"/>
    <s v="Q3-2024"/>
    <s v="Americas → USA → New York"/>
    <s v="Medium"/>
    <n v="2024"/>
    <x v="6"/>
    <s v="Yes"/>
    <x v="0"/>
  </r>
  <r>
    <s v="ORD-2024-350100"/>
    <d v="2024-10-27T00:00:00"/>
    <d v="2024-11-20T00:00:00"/>
    <d v="2024-10-27T00:00:00"/>
    <d v="2024-11-20T00:00:00"/>
    <n v="24"/>
    <s v="10-2024"/>
    <x v="1"/>
    <s v="Japan"/>
    <s v="Nagoya"/>
    <s v="Non-Profit"/>
    <x v="1"/>
    <x v="11"/>
    <x v="5"/>
    <x v="254"/>
    <n v="317.25"/>
    <n v="758.92"/>
    <n v="5.2999999999999999E-2"/>
    <n v="9"/>
    <n v="6468.2751599999992"/>
    <n v="2855.25"/>
    <n v="3613.0251599999992"/>
    <n v="0.5585762928489888"/>
    <s v="Q4-2024"/>
    <s v="Asia → Japan → Nagoya"/>
    <s v="Low"/>
    <n v="2024"/>
    <x v="1"/>
    <s v="No"/>
    <x v="0"/>
  </r>
  <r>
    <s v="ORD-2024-855600"/>
    <d v="2024-04-29T00:00:00"/>
    <d v="2024-05-19T00:00:00"/>
    <d v="2024-04-29T00:00:00"/>
    <d v="2024-05-19T00:00:00"/>
    <n v="20"/>
    <s v="4-2024"/>
    <x v="3"/>
    <s v="Germany"/>
    <s v="Frankfurt"/>
    <s v="Enterprise"/>
    <x v="2"/>
    <x v="0"/>
    <x v="4"/>
    <x v="255"/>
    <n v="668.97"/>
    <n v="1667.44"/>
    <n v="3.4000000000000002E-2"/>
    <n v="15"/>
    <n v="24161.205600000001"/>
    <n v="10034.550000000001"/>
    <n v="14126.6556"/>
    <n v="0.58468339013679016"/>
    <s v="Q2-2024"/>
    <s v="Europe → Germany → Frankfurt"/>
    <s v="Medium"/>
    <n v="2024"/>
    <x v="7"/>
    <s v="No"/>
    <x v="0"/>
  </r>
  <r>
    <s v="ORD-2023-474313"/>
    <d v="2023-10-05T00:00:00"/>
    <d v="2023-10-06T00:00:00"/>
    <d v="2023-10-05T00:00:00"/>
    <d v="2023-10-06T00:00:00"/>
    <n v="1"/>
    <s v="10-2023"/>
    <x v="1"/>
    <s v="India"/>
    <s v="Bengaluru"/>
    <s v="Non-Profit"/>
    <x v="1"/>
    <x v="2"/>
    <x v="0"/>
    <x v="256"/>
    <n v="1470.26"/>
    <n v="2562.5500000000002"/>
    <n v="0.17299999999999999"/>
    <n v="9"/>
    <n v="19073.059649999999"/>
    <n v="13232.34"/>
    <n v="5840.7196499999991"/>
    <n v="0.30622877279157462"/>
    <s v="Q4-2023"/>
    <s v="Asia → India → Bengaluru"/>
    <s v="High"/>
    <n v="2023"/>
    <x v="1"/>
    <s v="Yes"/>
    <x v="0"/>
  </r>
  <r>
    <s v="ORD-2023-256951"/>
    <d v="2023-04-19T00:00:00"/>
    <d v="2023-05-07T00:00:00"/>
    <d v="2023-04-19T00:00:00"/>
    <d v="2023-05-07T00:00:00"/>
    <n v="18"/>
    <s v="4-2023"/>
    <x v="3"/>
    <s v="United Kingdom"/>
    <s v="London"/>
    <s v="Non-Profit"/>
    <x v="4"/>
    <x v="11"/>
    <x v="2"/>
    <x v="257"/>
    <n v="516.96"/>
    <n v="745.38"/>
    <n v="0.19700000000000001"/>
    <n v="4"/>
    <n v="2394.1605599999998"/>
    <n v="2067.84"/>
    <n v="326.32055999999966"/>
    <n v="0.13629852794835101"/>
    <s v="Q2-2023"/>
    <s v="Europe → United Kingdom → London"/>
    <s v="Low"/>
    <n v="2023"/>
    <x v="7"/>
    <s v="No"/>
    <x v="0"/>
  </r>
  <r>
    <s v="ORD-2025-184754"/>
    <d v="2025-06-27T00:00:00"/>
    <d v="2025-07-05T00:00:00"/>
    <d v="2025-06-27T00:00:00"/>
    <d v="2025-07-05T00:00:00"/>
    <n v="8"/>
    <s v="6-2025"/>
    <x v="3"/>
    <s v="Germany"/>
    <s v="Munich"/>
    <s v="Small Business"/>
    <x v="4"/>
    <x v="3"/>
    <x v="5"/>
    <x v="258"/>
    <n v="314.93"/>
    <n v="687.95"/>
    <n v="0.20499999999999999"/>
    <n v="8"/>
    <n v="4375.3620000000001"/>
    <n v="2519.44"/>
    <n v="1855.922"/>
    <n v="0.424175645352316"/>
    <s v="Q2-2025"/>
    <s v="Europe → Germany → Munich"/>
    <s v="Low"/>
    <n v="2025"/>
    <x v="9"/>
    <s v="No"/>
    <x v="1"/>
  </r>
  <r>
    <s v="ORD-2024-219735"/>
    <d v="2024-04-03T00:00:00"/>
    <d v="2024-04-07T00:00:00"/>
    <d v="2024-04-03T00:00:00"/>
    <d v="2024-04-07T00:00:00"/>
    <n v="4"/>
    <s v="4-2024"/>
    <x v="2"/>
    <s v="Brazil"/>
    <s v="Brasília"/>
    <s v="Non-Profit"/>
    <x v="4"/>
    <x v="10"/>
    <x v="3"/>
    <x v="259"/>
    <n v="1023.27"/>
    <n v="1343.64"/>
    <n v="0.13300000000000001"/>
    <n v="7"/>
    <n v="8154.5511600000009"/>
    <n v="7162.8899999999994"/>
    <n v="991.66116000000147"/>
    <n v="0.12160830688810116"/>
    <s v="Q2-2024"/>
    <s v="Americas → Brazil → Brasília"/>
    <s v="Medium"/>
    <n v="2024"/>
    <x v="7"/>
    <s v="Yes"/>
    <x v="0"/>
  </r>
  <r>
    <s v="ORD-2023-638181"/>
    <d v="2023-05-20T00:00:00"/>
    <d v="2023-06-07T00:00:00"/>
    <d v="2023-05-20T00:00:00"/>
    <d v="2023-06-07T00:00:00"/>
    <n v="18"/>
    <s v="5-2023"/>
    <x v="0"/>
    <s v="Nigeria"/>
    <s v="Port Harcourt"/>
    <s v="Enterprise"/>
    <x v="3"/>
    <x v="6"/>
    <x v="0"/>
    <x v="260"/>
    <n v="1120.06"/>
    <n v="2068.21"/>
    <n v="7.8E-2"/>
    <n v="12"/>
    <n v="22882.675440000003"/>
    <n v="13440.72"/>
    <n v="9441.9554400000034"/>
    <n v="0.41262462795303284"/>
    <s v="Q2-2023"/>
    <s v="Africa → Nigeria → Port Harcourt"/>
    <s v="High"/>
    <n v="2023"/>
    <x v="5"/>
    <s v="No"/>
    <x v="0"/>
  </r>
  <r>
    <s v="ORD-2025-332931"/>
    <d v="2025-02-15T00:00:00"/>
    <d v="2025-03-01T00:00:00"/>
    <d v="2025-02-15T00:00:00"/>
    <d v="2025-03-01T00:00:00"/>
    <n v="14"/>
    <s v="2-2025"/>
    <x v="0"/>
    <s v="Kenya"/>
    <s v="Mombasa"/>
    <s v="Education"/>
    <x v="4"/>
    <x v="4"/>
    <x v="6"/>
    <x v="261"/>
    <n v="1162.8599999999999"/>
    <n v="1447.68"/>
    <n v="8.6999999999999994E-2"/>
    <n v="12"/>
    <n v="15860.782080000001"/>
    <n v="13954.32"/>
    <n v="1906.4620800000012"/>
    <n v="0.12019975247021369"/>
    <s v="Q1-2025"/>
    <s v="Africa → Kenya → Mombasa"/>
    <s v="Medium"/>
    <n v="2025"/>
    <x v="2"/>
    <s v="No"/>
    <x v="0"/>
  </r>
  <r>
    <s v="ORD-2024-510591"/>
    <d v="2024-04-03T00:00:00"/>
    <d v="2024-04-21T00:00:00"/>
    <d v="2024-04-03T00:00:00"/>
    <d v="2024-04-21T00:00:00"/>
    <n v="18"/>
    <s v="4-2024"/>
    <x v="2"/>
    <s v="Brazil"/>
    <s v="Brasília"/>
    <s v="Small Business"/>
    <x v="3"/>
    <x v="5"/>
    <x v="2"/>
    <x v="262"/>
    <n v="1176.69"/>
    <n v="2201.54"/>
    <n v="0.17"/>
    <n v="27"/>
    <n v="49336.511399999996"/>
    <n v="31770.63"/>
    <n v="17565.881399999995"/>
    <n v="0.35604222717701106"/>
    <s v="Q2-2024"/>
    <s v="Americas → Brazil → Brasília"/>
    <s v="High"/>
    <n v="2024"/>
    <x v="7"/>
    <s v="No"/>
    <x v="0"/>
  </r>
  <r>
    <s v="ORD-2025-908258"/>
    <d v="2025-06-21T00:00:00"/>
    <d v="2025-06-27T00:00:00"/>
    <d v="2025-06-21T00:00:00"/>
    <d v="2025-06-27T00:00:00"/>
    <n v="6"/>
    <s v="6-2025"/>
    <x v="0"/>
    <s v="South Africa"/>
    <s v="Durban"/>
    <s v="Enterprise"/>
    <x v="3"/>
    <x v="10"/>
    <x v="3"/>
    <x v="263"/>
    <n v="93.91"/>
    <n v="99.04"/>
    <n v="5.7000000000000002E-2"/>
    <n v="6"/>
    <n v="560.36831999999993"/>
    <n v="563.46"/>
    <n v="-3.0916800000001103"/>
    <n v="-5.5172283829323376E-3"/>
    <s v="Q2-2025"/>
    <s v="Africa → South Africa → Durban"/>
    <s v="Low"/>
    <n v="2025"/>
    <x v="9"/>
    <s v="Yes"/>
    <x v="0"/>
  </r>
  <r>
    <s v="ORD-2025-440093"/>
    <d v="2025-04-16T00:00:00"/>
    <d v="2025-04-26T00:00:00"/>
    <d v="2025-04-16T00:00:00"/>
    <d v="2025-04-26T00:00:00"/>
    <n v="10"/>
    <s v="4-2025"/>
    <x v="0"/>
    <s v="Nigeria"/>
    <s v="Port Harcourt"/>
    <s v="Enterprise"/>
    <x v="2"/>
    <x v="9"/>
    <x v="4"/>
    <x v="264"/>
    <n v="1457.44"/>
    <n v="1996.81"/>
    <n v="0.126"/>
    <n v="23"/>
    <n v="40139.874619999995"/>
    <n v="33521.120000000003"/>
    <n v="6618.7546199999924"/>
    <n v="0.16489225944672353"/>
    <s v="Q2-2025"/>
    <s v="Africa → Nigeria → Port Harcourt"/>
    <s v="High"/>
    <n v="2025"/>
    <x v="7"/>
    <s v="No"/>
    <x v="0"/>
  </r>
  <r>
    <s v="ORD-2025-898022"/>
    <d v="2025-09-02T00:00:00"/>
    <d v="2025-09-11T00:00:00"/>
    <d v="2025-09-02T00:00:00"/>
    <d v="2025-09-11T00:00:00"/>
    <n v="9"/>
    <s v="9-2025"/>
    <x v="2"/>
    <s v="Canada"/>
    <s v="Toronto"/>
    <s v="Corporate"/>
    <x v="3"/>
    <x v="13"/>
    <x v="1"/>
    <x v="265"/>
    <n v="1207.6300000000001"/>
    <n v="921.68"/>
    <n v="0.19600000000000001"/>
    <n v="17"/>
    <n v="12597.52224"/>
    <n v="20529.710000000003"/>
    <n v="-7932.1877600000025"/>
    <n v="-0.62966253274897988"/>
    <s v="Q3-2025"/>
    <s v="Americas → Canada → Toronto"/>
    <s v="Low"/>
    <n v="2025"/>
    <x v="8"/>
    <s v="No"/>
    <x v="0"/>
  </r>
  <r>
    <s v="ORD-2024-500511"/>
    <d v="2024-10-08T00:00:00"/>
    <d v="2024-10-08T00:00:00"/>
    <d v="2024-10-08T00:00:00"/>
    <d v="2024-10-08T00:00:00"/>
    <n v="0"/>
    <s v="10-2024"/>
    <x v="3"/>
    <s v="United Kingdom"/>
    <s v="London"/>
    <s v="Corporate"/>
    <x v="1"/>
    <x v="6"/>
    <x v="5"/>
    <x v="266"/>
    <n v="1108.1099999999999"/>
    <n v="2503.79"/>
    <n v="0.184"/>
    <n v="19"/>
    <n v="38818.760160000005"/>
    <n v="21054.089999999997"/>
    <n v="17764.670160000009"/>
    <n v="0.45763105485025896"/>
    <s v="Q4-2024"/>
    <s v="Europe → United Kingdom → London"/>
    <s v="High"/>
    <n v="2024"/>
    <x v="1"/>
    <s v="Yes"/>
    <x v="0"/>
  </r>
  <r>
    <s v="ORD-2023-632893"/>
    <d v="2023-05-07T00:00:00"/>
    <d v="2023-05-05T00:00:00"/>
    <d v="2023-05-05T00:00:00"/>
    <d v="2023-05-07T00:00:00"/>
    <n v="2"/>
    <s v="5-2023"/>
    <x v="0"/>
    <s v="Nigeria"/>
    <s v="Port Harcourt"/>
    <s v="Non-Profit"/>
    <x v="2"/>
    <x v="14"/>
    <x v="0"/>
    <x v="267"/>
    <n v="1269.6500000000001"/>
    <n v="2462.77"/>
    <n v="0.107"/>
    <n v="8"/>
    <n v="17594.028880000002"/>
    <n v="10157.200000000001"/>
    <n v="7436.8288800000009"/>
    <n v="0.42269050089225502"/>
    <s v="Q2-2023"/>
    <s v="Africa → Nigeria → Port Harcourt"/>
    <s v="High"/>
    <n v="2023"/>
    <x v="5"/>
    <s v="Yes"/>
    <x v="0"/>
  </r>
  <r>
    <s v="ORD-2024-503082"/>
    <d v="2024-05-19T00:00:00"/>
    <d v="2024-06-08T00:00:00"/>
    <d v="2024-05-19T00:00:00"/>
    <d v="2024-06-08T00:00:00"/>
    <n v="20"/>
    <s v="5-2024"/>
    <x v="2"/>
    <s v="Brazil"/>
    <s v="Brasília"/>
    <s v="Small Business"/>
    <x v="0"/>
    <x v="6"/>
    <x v="5"/>
    <x v="268"/>
    <n v="1075.9000000000001"/>
    <n v="1242.1500000000001"/>
    <n v="1.2E-2"/>
    <n v="7"/>
    <n v="8590.7094000000016"/>
    <n v="7531.3000000000011"/>
    <n v="1059.4094000000005"/>
    <n v="0.12332036280961853"/>
    <s v="Q2-2024"/>
    <s v="Americas → Brazil → Brasília"/>
    <s v="Medium"/>
    <n v="2024"/>
    <x v="5"/>
    <s v="No"/>
    <x v="0"/>
  </r>
  <r>
    <s v="ORD-2024-885858"/>
    <d v="2024-01-10T00:00:00"/>
    <d v="2024-01-23T00:00:00"/>
    <d v="2024-01-10T00:00:00"/>
    <d v="2024-01-23T00:00:00"/>
    <n v="13"/>
    <s v="1-2024"/>
    <x v="3"/>
    <s v="France"/>
    <s v="Marseille"/>
    <s v="Corporate"/>
    <x v="4"/>
    <x v="14"/>
    <x v="1"/>
    <x v="269"/>
    <n v="720"/>
    <n v="907.59"/>
    <n v="0.154"/>
    <n v="10"/>
    <n v="7678.2113999999992"/>
    <n v="7200"/>
    <n v="478.21139999999923"/>
    <n v="6.2281614179052078E-2"/>
    <s v="Q1-2024"/>
    <s v="Europe → France → Marseille"/>
    <s v="Low"/>
    <n v="2024"/>
    <x v="4"/>
    <s v="No"/>
    <x v="0"/>
  </r>
  <r>
    <s v="ORD-2024-403664"/>
    <d v="2024-05-23T00:00:00"/>
    <d v="2024-06-06T00:00:00"/>
    <d v="2024-05-23T00:00:00"/>
    <d v="2024-06-06T00:00:00"/>
    <n v="14"/>
    <s v="5-2024"/>
    <x v="2"/>
    <s v="Brazil"/>
    <s v="Rio de Janeiro"/>
    <s v="Non-Profit"/>
    <x v="1"/>
    <x v="2"/>
    <x v="2"/>
    <x v="270"/>
    <n v="51.13"/>
    <n v="57.53"/>
    <n v="4.4999999999999998E-2"/>
    <n v="16"/>
    <n v="879.05840000000001"/>
    <n v="818.08"/>
    <n v="60.978399999999965"/>
    <n v="6.9367859973808302E-2"/>
    <s v="Q2-2024"/>
    <s v="Americas → Brazil → Rio de Janeiro"/>
    <s v="Low"/>
    <n v="2024"/>
    <x v="5"/>
    <s v="No"/>
    <x v="0"/>
  </r>
  <r>
    <s v="ORD-2025-484073"/>
    <d v="2025-02-19T00:00:00"/>
    <d v="2025-03-09T00:00:00"/>
    <d v="2025-02-19T00:00:00"/>
    <d v="2025-03-09T00:00:00"/>
    <n v="18"/>
    <s v="2-2025"/>
    <x v="1"/>
    <s v="India"/>
    <s v="Delhi"/>
    <s v="Small Business"/>
    <x v="4"/>
    <x v="7"/>
    <x v="5"/>
    <x v="271"/>
    <n v="325.87"/>
    <n v="538.79"/>
    <n v="0.17399999999999999"/>
    <n v="16"/>
    <n v="7120.6486400000003"/>
    <n v="5213.92"/>
    <n v="1906.7286400000003"/>
    <n v="0.26777457172778013"/>
    <s v="Q1-2025"/>
    <s v="Asia → India → Delhi"/>
    <s v="Low"/>
    <n v="2025"/>
    <x v="2"/>
    <s v="No"/>
    <x v="0"/>
  </r>
  <r>
    <s v="ORD-2024-745822"/>
    <d v="2024-03-31T00:00:00"/>
    <d v="2024-04-17T00:00:00"/>
    <d v="2024-03-31T00:00:00"/>
    <d v="2024-04-17T00:00:00"/>
    <n v="17"/>
    <s v="3-2024"/>
    <x v="3"/>
    <s v="Germany"/>
    <s v="Frankfurt"/>
    <s v="Education"/>
    <x v="4"/>
    <x v="11"/>
    <x v="5"/>
    <x v="272"/>
    <n v="1025.51"/>
    <n v="1436.54"/>
    <n v="0.13900000000000001"/>
    <n v="28"/>
    <n v="34632.106319999999"/>
    <n v="28714.28"/>
    <n v="5917.8263200000001"/>
    <n v="0.17087688127656453"/>
    <s v="Q1-2024"/>
    <s v="Europe → Germany → Frankfurt"/>
    <s v="Medium"/>
    <n v="2024"/>
    <x v="0"/>
    <s v="No"/>
    <x v="0"/>
  </r>
  <r>
    <s v="ORD-2023-369160"/>
    <d v="2023-07-24T00:00:00"/>
    <d v="2023-08-13T00:00:00"/>
    <d v="2023-07-24T00:00:00"/>
    <d v="2023-08-13T00:00:00"/>
    <n v="20"/>
    <s v="7-2023"/>
    <x v="2"/>
    <s v="Canada"/>
    <s v="Montreal"/>
    <s v="Education"/>
    <x v="4"/>
    <x v="0"/>
    <x v="5"/>
    <x v="273"/>
    <n v="1082.3800000000001"/>
    <n v="1766.55"/>
    <n v="0.16400000000000001"/>
    <n v="20"/>
    <n v="29536.716"/>
    <n v="21647.600000000002"/>
    <n v="7889.1159999999982"/>
    <n v="0.26709523157550752"/>
    <s v="Q3-2023"/>
    <s v="Americas → Canada → Montreal"/>
    <s v="Medium"/>
    <n v="2023"/>
    <x v="6"/>
    <s v="No"/>
    <x v="0"/>
  </r>
  <r>
    <s v="ORD-2024-834983"/>
    <d v="2024-03-16T00:00:00"/>
    <d v="2024-04-13T00:00:00"/>
    <d v="2024-03-16T00:00:00"/>
    <d v="2024-04-13T00:00:00"/>
    <n v="28"/>
    <s v="3-2024"/>
    <x v="3"/>
    <s v="France"/>
    <s v="Paris"/>
    <s v="Small Business"/>
    <x v="1"/>
    <x v="12"/>
    <x v="1"/>
    <x v="274"/>
    <n v="287.61"/>
    <n v="628.54"/>
    <n v="0.13500000000000001"/>
    <n v="21"/>
    <n v="11417.429099999999"/>
    <n v="6039.81"/>
    <n v="5377.619099999999"/>
    <n v="0.47100087531964613"/>
    <s v="Q1-2024"/>
    <s v="Europe → France → Paris"/>
    <s v="Low"/>
    <n v="2024"/>
    <x v="0"/>
    <s v="No"/>
    <x v="0"/>
  </r>
  <r>
    <s v="ORD-2023-488227"/>
    <d v="2023-09-08T00:00:00"/>
    <d v="2023-10-02T00:00:00"/>
    <d v="2023-09-08T00:00:00"/>
    <d v="2023-10-02T00:00:00"/>
    <n v="24"/>
    <s v="9-2023"/>
    <x v="2"/>
    <s v="Canada"/>
    <s v="Toronto"/>
    <s v="Education"/>
    <x v="4"/>
    <x v="14"/>
    <x v="6"/>
    <x v="275"/>
    <n v="1299.03"/>
    <n v="2451.2199999999998"/>
    <n v="0.20799999999999999"/>
    <n v="8"/>
    <n v="15530.929919999999"/>
    <n v="10392.24"/>
    <n v="5138.6899199999989"/>
    <n v="0.3308681416032041"/>
    <s v="Q3-2023"/>
    <s v="Americas → Canada → Toronto"/>
    <s v="High"/>
    <n v="2023"/>
    <x v="8"/>
    <s v="No"/>
    <x v="1"/>
  </r>
  <r>
    <s v="ORD-2024-948800"/>
    <d v="2024-03-27T00:00:00"/>
    <d v="2024-04-11T00:00:00"/>
    <d v="2024-03-27T00:00:00"/>
    <d v="2024-04-11T00:00:00"/>
    <n v="15"/>
    <s v="3-2024"/>
    <x v="2"/>
    <s v="USA"/>
    <s v="San Francisco"/>
    <s v="Small Business"/>
    <x v="4"/>
    <x v="7"/>
    <x v="2"/>
    <x v="276"/>
    <n v="1338.35"/>
    <n v="2247.14"/>
    <n v="0.115"/>
    <n v="40"/>
    <n v="79548.755999999994"/>
    <n v="53534"/>
    <n v="26014.755999999994"/>
    <n v="0.32702907384246205"/>
    <s v="Q1-2024"/>
    <s v="Americas → USA → San Francisco"/>
    <s v="High"/>
    <n v="2024"/>
    <x v="0"/>
    <s v="No"/>
    <x v="0"/>
  </r>
  <r>
    <s v="ORD-2024-468501"/>
    <d v="2024-11-06T00:00:00"/>
    <d v="2024-11-22T00:00:00"/>
    <d v="2024-11-06T00:00:00"/>
    <d v="2024-11-22T00:00:00"/>
    <n v="16"/>
    <s v="11-2024"/>
    <x v="2"/>
    <s v="Canada"/>
    <s v="Toronto"/>
    <s v="Non-Profit"/>
    <x v="3"/>
    <x v="8"/>
    <x v="6"/>
    <x v="277"/>
    <n v="1454.11"/>
    <n v="2629.75"/>
    <n v="0.29199999999999998"/>
    <n v="8"/>
    <n v="14894.903999999999"/>
    <n v="11632.88"/>
    <n v="3262.0239999999994"/>
    <n v="0.21900268709351867"/>
    <s v="Q4-2024"/>
    <s v="Americas → Canada → Toronto"/>
    <s v="High"/>
    <n v="2024"/>
    <x v="10"/>
    <s v="No"/>
    <x v="1"/>
  </r>
  <r>
    <s v="ORD-2024-580808"/>
    <d v="2024-06-16T00:00:00"/>
    <d v="2024-07-03T00:00:00"/>
    <d v="2024-06-16T00:00:00"/>
    <d v="2024-07-03T00:00:00"/>
    <n v="17"/>
    <s v="6-2024"/>
    <x v="0"/>
    <s v="South Africa"/>
    <s v="Johannesburg"/>
    <s v="Enterprise"/>
    <x v="2"/>
    <x v="9"/>
    <x v="3"/>
    <x v="278"/>
    <n v="1173.83"/>
    <n v="2328.9"/>
    <n v="0.12"/>
    <n v="17"/>
    <n v="34840.344000000005"/>
    <n v="19955.11"/>
    <n v="14885.234000000004"/>
    <n v="0.42724130393201637"/>
    <s v="Q2-2024"/>
    <s v="Africa → South Africa → Johannesburg"/>
    <s v="High"/>
    <n v="2024"/>
    <x v="9"/>
    <s v="No"/>
    <x v="0"/>
  </r>
  <r>
    <s v="ORD-2023-211715"/>
    <d v="2023-10-30T00:00:00"/>
    <d v="2023-11-14T00:00:00"/>
    <d v="2023-10-30T00:00:00"/>
    <d v="2023-11-14T00:00:00"/>
    <n v="15"/>
    <s v="10-2023"/>
    <x v="1"/>
    <s v="India"/>
    <s v="Bengaluru"/>
    <s v="Corporate"/>
    <x v="1"/>
    <x v="9"/>
    <x v="4"/>
    <x v="279"/>
    <n v="953.46"/>
    <n v="2066.75"/>
    <n v="0.13800000000000001"/>
    <n v="5"/>
    <n v="8907.6924999999992"/>
    <n v="4767.3"/>
    <n v="4140.392499999999"/>
    <n v="0.46481089238318446"/>
    <s v="Q4-2023"/>
    <s v="Asia → India → Bengaluru"/>
    <s v="High"/>
    <n v="2023"/>
    <x v="1"/>
    <s v="No"/>
    <x v="0"/>
  </r>
  <r>
    <s v="ORD-2023-715175"/>
    <d v="2023-06-15T00:00:00"/>
    <d v="2023-06-23T00:00:00"/>
    <d v="2023-06-15T00:00:00"/>
    <d v="2023-06-23T00:00:00"/>
    <n v="8"/>
    <s v="6-2023"/>
    <x v="2"/>
    <s v="USA"/>
    <s v="San Francisco"/>
    <s v="Consumer"/>
    <x v="3"/>
    <x v="7"/>
    <x v="5"/>
    <x v="280"/>
    <n v="1097.0899999999999"/>
    <n v="2182.31"/>
    <n v="0.112"/>
    <n v="9"/>
    <n v="17441.021520000002"/>
    <n v="9873.81"/>
    <n v="7567.2115200000026"/>
    <n v="0.43387432962699546"/>
    <s v="Q2-2023"/>
    <s v="Americas → USA → San Francisco"/>
    <s v="High"/>
    <n v="2023"/>
    <x v="9"/>
    <s v="No"/>
    <x v="0"/>
  </r>
  <r>
    <s v="ORD-2025-685236"/>
    <d v="2025-03-14T00:00:00"/>
    <d v="2025-03-29T00:00:00"/>
    <d v="2025-03-14T00:00:00"/>
    <d v="2025-03-29T00:00:00"/>
    <n v="15"/>
    <s v="3-2025"/>
    <x v="1"/>
    <s v="Japan"/>
    <s v="Tokyo"/>
    <s v="Non-Profit"/>
    <x v="4"/>
    <x v="11"/>
    <x v="2"/>
    <x v="281"/>
    <n v="1106.96"/>
    <n v="2726.62"/>
    <n v="0.1186"/>
    <n v="7"/>
    <n v="16822.700076000001"/>
    <n v="7748.72"/>
    <n v="9073.9800759999998"/>
    <n v="0.53938904189020975"/>
    <s v="Q1-2025"/>
    <s v="Asia → Japan → Tokyo"/>
    <s v="High"/>
    <n v="2025"/>
    <x v="0"/>
    <s v="No"/>
    <x v="0"/>
  </r>
  <r>
    <s v="ORD-2023-274037"/>
    <d v="2023-08-15T00:00:00"/>
    <d v="2023-08-25T00:00:00"/>
    <d v="2023-08-15T00:00:00"/>
    <d v="2023-08-25T00:00:00"/>
    <n v="10"/>
    <s v="8-2023"/>
    <x v="0"/>
    <s v="Kenya"/>
    <s v="Nairobi"/>
    <s v="Small Business"/>
    <x v="0"/>
    <x v="10"/>
    <x v="3"/>
    <x v="282"/>
    <n v="91.85"/>
    <n v="111.29"/>
    <n v="0"/>
    <n v="6"/>
    <n v="667.74"/>
    <n v="551.09999999999991"/>
    <n v="116.6400000000001"/>
    <n v="0.17467876718483258"/>
    <s v="Q3-2023"/>
    <s v="Africa → Kenya → Nairobi"/>
    <s v="Low"/>
    <n v="2023"/>
    <x v="11"/>
    <s v="No"/>
    <x v="0"/>
  </r>
  <r>
    <s v="ORD-2025-983096"/>
    <d v="2025-05-17T00:00:00"/>
    <d v="2025-05-28T00:00:00"/>
    <d v="2025-05-17T00:00:00"/>
    <d v="2025-05-28T00:00:00"/>
    <n v="11"/>
    <s v="5-2025"/>
    <x v="1"/>
    <s v="India"/>
    <s v="Bengaluru"/>
    <s v="Corporate"/>
    <x v="3"/>
    <x v="5"/>
    <x v="4"/>
    <x v="283"/>
    <n v="623.4"/>
    <n v="1100.0899999999999"/>
    <n v="0.114"/>
    <n v="12"/>
    <n v="11696.156879999999"/>
    <n v="7480.7999999999993"/>
    <n v="4215.3568799999994"/>
    <n v="0.36040529579490388"/>
    <s v="Q2-2025"/>
    <s v="Asia → India → Bengaluru"/>
    <s v="Low"/>
    <n v="2025"/>
    <x v="5"/>
    <s v="No"/>
    <x v="0"/>
  </r>
  <r>
    <s v="ORD-2024-366010"/>
    <d v="2024-01-13T00:00:00"/>
    <d v="2024-02-05T00:00:00"/>
    <d v="2024-01-13T00:00:00"/>
    <d v="2024-02-05T00:00:00"/>
    <n v="23"/>
    <s v="1-2024"/>
    <x v="3"/>
    <s v="Germany"/>
    <s v="Frankfurt"/>
    <s v="Education"/>
    <x v="4"/>
    <x v="5"/>
    <x v="4"/>
    <x v="284"/>
    <n v="1017.93"/>
    <n v="1529.14"/>
    <n v="0.155"/>
    <n v="12"/>
    <n v="15505.479600000001"/>
    <n v="12215.16"/>
    <n v="3290.3196000000007"/>
    <n v="0.21220366508366503"/>
    <s v="Q1-2024"/>
    <s v="Europe → Germany → Frankfurt"/>
    <s v="Medium"/>
    <n v="2024"/>
    <x v="4"/>
    <s v="No"/>
    <x v="0"/>
  </r>
  <r>
    <s v="ORD-2023-610470"/>
    <d v="2023-06-24T00:00:00"/>
    <d v="2023-07-21T00:00:00"/>
    <d v="2023-06-24T00:00:00"/>
    <d v="2023-07-21T00:00:00"/>
    <n v="27"/>
    <s v="6-2023"/>
    <x v="1"/>
    <s v="Japan"/>
    <s v="Nagoya"/>
    <s v="Consumer"/>
    <x v="2"/>
    <x v="1"/>
    <x v="3"/>
    <x v="285"/>
    <n v="554.76"/>
    <n v="728.69"/>
    <n v="0.22"/>
    <n v="7"/>
    <n v="3978.6474000000003"/>
    <n v="3883.3199999999997"/>
    <n v="95.32740000000058"/>
    <n v="2.395975074343119E-2"/>
    <s v="Q2-2023"/>
    <s v="Asia → Japan → Nagoya"/>
    <s v="Low"/>
    <n v="2023"/>
    <x v="9"/>
    <s v="No"/>
    <x v="1"/>
  </r>
  <r>
    <s v="ORD-2025-541048"/>
    <d v="2025-04-04T00:00:00"/>
    <d v="2025-04-13T00:00:00"/>
    <d v="2025-04-04T00:00:00"/>
    <d v="2025-04-13T00:00:00"/>
    <n v="9"/>
    <s v="4-2025"/>
    <x v="3"/>
    <s v="Germany"/>
    <s v="Munich"/>
    <s v="Consumer"/>
    <x v="2"/>
    <x v="9"/>
    <x v="3"/>
    <x v="286"/>
    <n v="7.02"/>
    <n v="6.28"/>
    <n v="0.13400000000000001"/>
    <n v="14"/>
    <n v="76.138720000000006"/>
    <n v="98.28"/>
    <n v="-22.141279999999995"/>
    <n v="-0.29080184169106066"/>
    <s v="Q2-2025"/>
    <s v="Europe → Germany → Munich"/>
    <s v="Low"/>
    <n v="2025"/>
    <x v="7"/>
    <s v="No"/>
    <x v="0"/>
  </r>
  <r>
    <s v="ORD-2024-862371"/>
    <d v="2024-09-07T00:00:00"/>
    <d v="2024-09-07T00:00:00"/>
    <d v="2024-09-07T00:00:00"/>
    <d v="2024-09-07T00:00:00"/>
    <n v="0"/>
    <s v="9-2024"/>
    <x v="1"/>
    <s v="India"/>
    <s v="Mumbai"/>
    <s v="Education"/>
    <x v="3"/>
    <x v="5"/>
    <x v="2"/>
    <x v="287"/>
    <n v="1066.6500000000001"/>
    <n v="2569.77"/>
    <n v="0.13400000000000001"/>
    <n v="9"/>
    <n v="20028.787380000002"/>
    <n v="9599.85"/>
    <n v="10428.937380000001"/>
    <n v="0.52069739331368348"/>
    <s v="Q3-2024"/>
    <s v="Asia → India → Mumbai"/>
    <s v="High"/>
    <n v="2024"/>
    <x v="8"/>
    <s v="Yes"/>
    <x v="0"/>
  </r>
  <r>
    <s v="ORD-2024-257550"/>
    <d v="2024-12-27T00:00:00"/>
    <d v="2024-12-29T00:00:00"/>
    <d v="2024-12-27T00:00:00"/>
    <d v="2024-12-29T00:00:00"/>
    <n v="2"/>
    <s v="12-2024"/>
    <x v="2"/>
    <s v="Canada"/>
    <s v="Vancouver"/>
    <s v="Enterprise"/>
    <x v="2"/>
    <x v="0"/>
    <x v="6"/>
    <x v="288"/>
    <n v="1146.72"/>
    <n v="2074.34"/>
    <n v="0.111"/>
    <n v="8"/>
    <n v="14752.706080000002"/>
    <n v="9173.76"/>
    <n v="5578.9460800000015"/>
    <n v="0.37816425337472737"/>
    <s v="Q4-2024"/>
    <s v="Americas → Canada → Vancouver"/>
    <s v="High"/>
    <n v="2024"/>
    <x v="3"/>
    <s v="Yes"/>
    <x v="0"/>
  </r>
  <r>
    <s v="ORD-2023-369150"/>
    <d v="2023-07-18T00:00:00"/>
    <d v="2023-08-10T00:00:00"/>
    <d v="2023-07-18T00:00:00"/>
    <d v="2023-08-10T00:00:00"/>
    <n v="23"/>
    <s v="7-2023"/>
    <x v="0"/>
    <s v="South Africa"/>
    <s v="Johannesburg"/>
    <s v="Small Business"/>
    <x v="0"/>
    <x v="4"/>
    <x v="0"/>
    <x v="289"/>
    <n v="1271.56"/>
    <n v="995.47"/>
    <n v="0.192"/>
    <n v="13"/>
    <n v="10456.416880000001"/>
    <n v="16530.28"/>
    <n v="-6073.8631199999982"/>
    <n v="-0.58087423155607754"/>
    <s v="Q3-2023"/>
    <s v="Africa → South Africa → Johannesburg"/>
    <s v="Low"/>
    <n v="2023"/>
    <x v="6"/>
    <s v="No"/>
    <x v="0"/>
  </r>
  <r>
    <s v="ORD-2024-605629"/>
    <d v="2024-07-15T00:00:00"/>
    <d v="2024-07-15T00:00:00"/>
    <d v="2024-07-15T00:00:00"/>
    <d v="2024-07-15T00:00:00"/>
    <n v="0"/>
    <s v="7-2024"/>
    <x v="1"/>
    <s v="Japan"/>
    <s v="Tokyo"/>
    <s v="Small Business"/>
    <x v="2"/>
    <x v="3"/>
    <x v="6"/>
    <x v="290"/>
    <n v="801.77"/>
    <n v="1218.92"/>
    <n v="0.254"/>
    <n v="16"/>
    <n v="14549.029120000001"/>
    <n v="12828.32"/>
    <n v="1720.7091200000013"/>
    <n v="0.11826968698788344"/>
    <s v="Q3-2024"/>
    <s v="Asia → Japan → Tokyo"/>
    <s v="Medium"/>
    <n v="2024"/>
    <x v="6"/>
    <s v="Yes"/>
    <x v="1"/>
  </r>
  <r>
    <s v="ORD-2025-486350"/>
    <d v="2025-05-27T00:00:00"/>
    <d v="2025-06-08T00:00:00"/>
    <d v="2025-05-27T00:00:00"/>
    <d v="2025-06-08T00:00:00"/>
    <n v="12"/>
    <s v="5-2025"/>
    <x v="1"/>
    <s v="Japan"/>
    <s v="Osaka"/>
    <s v="Corporate"/>
    <x v="0"/>
    <x v="11"/>
    <x v="6"/>
    <x v="291"/>
    <n v="653.6"/>
    <n v="842.09"/>
    <n v="9.8000000000000004E-2"/>
    <n v="19"/>
    <n v="14431.738420000001"/>
    <n v="12418.4"/>
    <n v="2013.3384200000019"/>
    <n v="0.13950768517324622"/>
    <s v="Q2-2025"/>
    <s v="Asia → Japan → Osaka"/>
    <s v="Low"/>
    <n v="2025"/>
    <x v="5"/>
    <s v="No"/>
    <x v="0"/>
  </r>
  <r>
    <s v="ORD-2023-107265"/>
    <d v="2023-04-22T00:00:00"/>
    <d v="2023-05-14T00:00:00"/>
    <d v="2023-04-22T00:00:00"/>
    <d v="2023-05-14T00:00:00"/>
    <n v="22"/>
    <s v="4-2023"/>
    <x v="1"/>
    <s v="Japan"/>
    <s v="Nagoya"/>
    <s v="Enterprise"/>
    <x v="0"/>
    <x v="14"/>
    <x v="6"/>
    <x v="292"/>
    <n v="1209.22"/>
    <n v="1404.33"/>
    <n v="0.10299999999999999"/>
    <n v="11"/>
    <n v="13856.52411"/>
    <n v="13301.42"/>
    <n v="555.10411000000022"/>
    <n v="4.0060848275751328E-2"/>
    <s v="Q2-2023"/>
    <s v="Asia → Japan → Nagoya"/>
    <s v="Medium"/>
    <n v="2023"/>
    <x v="7"/>
    <s v="No"/>
    <x v="0"/>
  </r>
  <r>
    <s v="ORD-2024-211453"/>
    <d v="2024-04-04T00:00:00"/>
    <d v="2024-04-24T00:00:00"/>
    <d v="2024-04-04T00:00:00"/>
    <d v="2024-04-24T00:00:00"/>
    <n v="20"/>
    <s v="4-2024"/>
    <x v="3"/>
    <s v="Germany"/>
    <s v="Frankfurt"/>
    <s v="Non-Profit"/>
    <x v="4"/>
    <x v="7"/>
    <x v="6"/>
    <x v="293"/>
    <n v="683.42"/>
    <n v="951.51"/>
    <n v="0"/>
    <n v="14"/>
    <n v="13321.14"/>
    <n v="9567.8799999999992"/>
    <n v="3753.26"/>
    <n v="0.28175216235247136"/>
    <s v="Q2-2024"/>
    <s v="Europe → Germany → Frankfurt"/>
    <s v="Low"/>
    <n v="2024"/>
    <x v="7"/>
    <s v="No"/>
    <x v="0"/>
  </r>
  <r>
    <s v="ORD-2025-487025"/>
    <d v="2025-04-11T00:00:00"/>
    <d v="2025-05-04T00:00:00"/>
    <d v="2025-04-11T00:00:00"/>
    <d v="2025-05-04T00:00:00"/>
    <n v="23"/>
    <s v="4-2025"/>
    <x v="1"/>
    <s v="Japan"/>
    <s v="Osaka"/>
    <s v="Small Business"/>
    <x v="1"/>
    <x v="13"/>
    <x v="0"/>
    <x v="294"/>
    <n v="786.2"/>
    <n v="1075.3"/>
    <n v="0.08"/>
    <n v="9"/>
    <n v="8903.4839999999986"/>
    <n v="7075.8"/>
    <n v="1827.6839999999984"/>
    <n v="0.20527739478163815"/>
    <s v="Q2-2025"/>
    <s v="Asia → Japan → Osaka"/>
    <s v="Low"/>
    <n v="2025"/>
    <x v="7"/>
    <s v="No"/>
    <x v="0"/>
  </r>
  <r>
    <s v="ORD-2025-398335"/>
    <d v="2025-06-01T00:00:00"/>
    <d v="2025-06-27T00:00:00"/>
    <d v="2025-06-01T00:00:00"/>
    <d v="2025-06-27T00:00:00"/>
    <n v="26"/>
    <s v="6-2025"/>
    <x v="3"/>
    <s v="Germany"/>
    <s v="Munich"/>
    <s v="Consumer"/>
    <x v="3"/>
    <x v="6"/>
    <x v="4"/>
    <x v="295"/>
    <n v="1362.31"/>
    <n v="3294.57"/>
    <n v="0.113"/>
    <n v="7"/>
    <n v="20455.985130000001"/>
    <n v="9536.17"/>
    <n v="10919.815130000001"/>
    <n v="0.5338200561157721"/>
    <s v="Q2-2025"/>
    <s v="Europe → Germany → Munich"/>
    <s v="High"/>
    <n v="2025"/>
    <x v="9"/>
    <s v="No"/>
    <x v="0"/>
  </r>
  <r>
    <s v="ORD-2024-792137"/>
    <d v="2024-03-02T00:00:00"/>
    <d v="2024-03-16T00:00:00"/>
    <d v="2024-03-02T00:00:00"/>
    <d v="2024-03-16T00:00:00"/>
    <n v="14"/>
    <s v="3-2024"/>
    <x v="2"/>
    <s v="Canada"/>
    <s v="Vancouver"/>
    <s v="Non-Profit"/>
    <x v="4"/>
    <x v="7"/>
    <x v="1"/>
    <x v="296"/>
    <n v="248.24"/>
    <n v="464.05"/>
    <n v="0.16900000000000001"/>
    <n v="11"/>
    <n v="4241.88105"/>
    <n v="2730.6400000000003"/>
    <n v="1511.2410499999996"/>
    <n v="0.3562667203975462"/>
    <s v="Q1-2024"/>
    <s v="Americas → Canada → Vancouver"/>
    <s v="Low"/>
    <n v="2024"/>
    <x v="0"/>
    <s v="No"/>
    <x v="0"/>
  </r>
  <r>
    <s v="ORD-2023-602648"/>
    <d v="2023-06-20T00:00:00"/>
    <d v="2023-07-08T00:00:00"/>
    <d v="2023-06-20T00:00:00"/>
    <d v="2023-07-08T00:00:00"/>
    <n v="18"/>
    <s v="6-2023"/>
    <x v="2"/>
    <s v="USA"/>
    <s v="Austin"/>
    <s v="Non-Profit"/>
    <x v="4"/>
    <x v="9"/>
    <x v="5"/>
    <x v="297"/>
    <n v="337"/>
    <n v="511.03"/>
    <n v="0.108"/>
    <n v="7"/>
    <n v="3190.8713200000002"/>
    <n v="2359"/>
    <n v="831.8713200000002"/>
    <n v="0.26070349963219458"/>
    <s v="Q2-2023"/>
    <s v="Americas → USA → Austin"/>
    <s v="Low"/>
    <n v="2023"/>
    <x v="9"/>
    <s v="No"/>
    <x v="0"/>
  </r>
  <r>
    <s v="ORD-2024-207096"/>
    <d v="2024-03-26T00:00:00"/>
    <d v="2024-04-05T00:00:00"/>
    <d v="2024-03-26T00:00:00"/>
    <d v="2024-04-05T00:00:00"/>
    <n v="10"/>
    <s v="3-2024"/>
    <x v="2"/>
    <s v="USA"/>
    <s v="Austin"/>
    <s v="Consumer"/>
    <x v="4"/>
    <x v="1"/>
    <x v="5"/>
    <x v="298"/>
    <n v="5.66"/>
    <n v="4.22"/>
    <n v="0.11899999999999999"/>
    <n v="18"/>
    <n v="66.920760000000001"/>
    <n v="101.88"/>
    <n v="-34.959239999999994"/>
    <n v="-0.52239753403876454"/>
    <s v="Q1-2024"/>
    <s v="Americas → USA → Austin"/>
    <s v="Low"/>
    <n v="2024"/>
    <x v="0"/>
    <s v="No"/>
    <x v="0"/>
  </r>
  <r>
    <s v="ORD-2024-555229"/>
    <d v="2024-05-18T00:00:00"/>
    <d v="2024-05-22T00:00:00"/>
    <d v="2024-05-18T00:00:00"/>
    <d v="2024-05-22T00:00:00"/>
    <n v="4"/>
    <s v="5-2024"/>
    <x v="0"/>
    <s v="Kenya"/>
    <s v="Nairobi"/>
    <s v="Corporate"/>
    <x v="4"/>
    <x v="11"/>
    <x v="6"/>
    <x v="299"/>
    <n v="857.42"/>
    <n v="1658.92"/>
    <n v="0.122"/>
    <n v="9"/>
    <n v="13108.78584"/>
    <n v="7716.78"/>
    <n v="5392.0058400000007"/>
    <n v="0.41132763215544305"/>
    <s v="Q2-2024"/>
    <s v="Africa → Kenya → Nairobi"/>
    <s v="Medium"/>
    <n v="2024"/>
    <x v="5"/>
    <s v="Yes"/>
    <x v="0"/>
  </r>
  <r>
    <s v="ORD-2025-191328"/>
    <d v="2025-05-10T00:00:00"/>
    <d v="2025-05-27T00:00:00"/>
    <d v="2025-05-10T00:00:00"/>
    <d v="2025-05-27T00:00:00"/>
    <n v="17"/>
    <s v="5-2025"/>
    <x v="2"/>
    <s v="Canada"/>
    <s v="Vancouver"/>
    <s v="Education"/>
    <x v="4"/>
    <x v="0"/>
    <x v="0"/>
    <x v="300"/>
    <n v="862.89"/>
    <n v="1426.03"/>
    <n v="5.6000000000000001E-2"/>
    <n v="19"/>
    <n v="25577.274079999999"/>
    <n v="16394.91"/>
    <n v="9182.3640799999994"/>
    <n v="0.35900479665188778"/>
    <s v="Q2-2025"/>
    <s v="Americas → Canada → Vancouver"/>
    <s v="Medium"/>
    <n v="2025"/>
    <x v="5"/>
    <s v="No"/>
    <x v="0"/>
  </r>
  <r>
    <s v="ORD-2023-166668"/>
    <d v="2023-10-05T00:00:00"/>
    <d v="2023-10-31T00:00:00"/>
    <d v="2023-10-05T00:00:00"/>
    <d v="2023-10-31T00:00:00"/>
    <n v="26"/>
    <s v="10-2023"/>
    <x v="1"/>
    <s v="China"/>
    <s v="Shanghai"/>
    <s v="Consumer"/>
    <x v="5"/>
    <x v="1"/>
    <x v="1"/>
    <x v="301"/>
    <n v="649.91"/>
    <n v="1360.12"/>
    <n v="0.19400000000000001"/>
    <n v="9"/>
    <n v="9866.3104799999983"/>
    <n v="5849.19"/>
    <n v="4017.1204799999987"/>
    <n v="0.40715528749506769"/>
    <s v="Q4-2023"/>
    <s v="Asia → China → Shanghai"/>
    <s v="Medium"/>
    <n v="2023"/>
    <x v="1"/>
    <s v="No"/>
    <x v="0"/>
  </r>
  <r>
    <s v="ORD-2024-202877"/>
    <d v="2024-07-13T00:00:00"/>
    <d v="2024-08-03T00:00:00"/>
    <d v="2024-07-13T00:00:00"/>
    <d v="2024-08-03T00:00:00"/>
    <n v="21"/>
    <s v="7-2024"/>
    <x v="2"/>
    <s v="Brazil"/>
    <s v="Rio de Janeiro"/>
    <s v="Corporate"/>
    <x v="2"/>
    <x v="13"/>
    <x v="5"/>
    <x v="302"/>
    <n v="702.98"/>
    <n v="1104.8"/>
    <n v="0.17499999999999999"/>
    <n v="12"/>
    <n v="10937.519999999999"/>
    <n v="8435.76"/>
    <n v="2501.7599999999984"/>
    <n v="0.22873192460448061"/>
    <s v="Q3-2024"/>
    <s v="Americas → Brazil → Rio de Janeiro"/>
    <s v="Low"/>
    <n v="2024"/>
    <x v="6"/>
    <s v="No"/>
    <x v="0"/>
  </r>
  <r>
    <s v="ORD-2025-278048"/>
    <d v="2025-06-22T00:00:00"/>
    <d v="2025-07-08T00:00:00"/>
    <d v="2025-06-22T00:00:00"/>
    <d v="2025-07-08T00:00:00"/>
    <n v="16"/>
    <s v="6-2025"/>
    <x v="3"/>
    <s v="United Kingdom"/>
    <s v="London"/>
    <s v="Education"/>
    <x v="4"/>
    <x v="14"/>
    <x v="3"/>
    <x v="303"/>
    <n v="892.73"/>
    <n v="979.84"/>
    <n v="0.17399999999999999"/>
    <n v="10"/>
    <n v="8093.4784"/>
    <n v="8927.2999999999993"/>
    <n v="-833.82159999999931"/>
    <n v="-0.10302388649112838"/>
    <s v="Q2-2025"/>
    <s v="Europe → United Kingdom → London"/>
    <s v="Low"/>
    <n v="2025"/>
    <x v="9"/>
    <s v="No"/>
    <x v="0"/>
  </r>
  <r>
    <s v="ORD-2024-878493"/>
    <d v="2024-06-19T00:00:00"/>
    <d v="2024-06-20T00:00:00"/>
    <d v="2024-06-19T00:00:00"/>
    <d v="2024-06-20T00:00:00"/>
    <n v="1"/>
    <s v="6-2024"/>
    <x v="0"/>
    <s v="Kenya"/>
    <s v="Kisumu"/>
    <s v="Small Business"/>
    <x v="4"/>
    <x v="1"/>
    <x v="4"/>
    <x v="304"/>
    <n v="231.63"/>
    <n v="537.39"/>
    <n v="0.08"/>
    <n v="12"/>
    <n v="5932.7856000000002"/>
    <n v="2779.56"/>
    <n v="3153.2256000000002"/>
    <n v="0.53149158129024587"/>
    <s v="Q2-2024"/>
    <s v="Africa → Kenya → Kisumu"/>
    <s v="Low"/>
    <n v="2024"/>
    <x v="9"/>
    <s v="Yes"/>
    <x v="0"/>
  </r>
  <r>
    <s v="ORD-2025-138578"/>
    <d v="2025-04-09T00:00:00"/>
    <d v="2025-04-12T00:00:00"/>
    <d v="2025-04-09T00:00:00"/>
    <d v="2025-04-12T00:00:00"/>
    <n v="3"/>
    <s v="4-2025"/>
    <x v="3"/>
    <s v="France"/>
    <s v="Lyon"/>
    <s v="Small Business"/>
    <x v="3"/>
    <x v="11"/>
    <x v="5"/>
    <x v="305"/>
    <n v="86.68"/>
    <n v="213.32"/>
    <n v="3.7999999999999999E-2"/>
    <n v="8"/>
    <n v="1641.7107199999998"/>
    <n v="693.44"/>
    <n v="948.27071999999976"/>
    <n v="0.57761133459614611"/>
    <s v="Q2-2025"/>
    <s v="Europe → France → Lyon"/>
    <s v="Low"/>
    <n v="2025"/>
    <x v="7"/>
    <s v="Yes"/>
    <x v="0"/>
  </r>
  <r>
    <s v="ORD-2025-939953"/>
    <d v="2025-01-22T00:00:00"/>
    <d v="2025-01-22T00:00:00"/>
    <d v="2025-01-22T00:00:00"/>
    <d v="2025-01-22T00:00:00"/>
    <n v="0"/>
    <s v="1-2025"/>
    <x v="3"/>
    <s v="France"/>
    <s v="Lyon"/>
    <s v="Small Business"/>
    <x v="1"/>
    <x v="5"/>
    <x v="6"/>
    <x v="306"/>
    <n v="591.72"/>
    <n v="577.24"/>
    <n v="0"/>
    <n v="22"/>
    <n v="12699.28"/>
    <n v="13017.84"/>
    <n v="-318.55999999999949"/>
    <n v="-2.5084886702238195E-2"/>
    <s v="Q1-2025"/>
    <s v="Europe → France → Lyon"/>
    <s v="Low"/>
    <n v="2025"/>
    <x v="4"/>
    <s v="Yes"/>
    <x v="0"/>
  </r>
  <r>
    <s v="ORD-2025-364852"/>
    <d v="2025-05-18T00:00:00"/>
    <d v="2025-06-09T00:00:00"/>
    <d v="2025-05-18T00:00:00"/>
    <d v="2025-06-09T00:00:00"/>
    <n v="22"/>
    <s v="5-2025"/>
    <x v="2"/>
    <s v="USA"/>
    <s v="New York"/>
    <s v="Consumer"/>
    <x v="0"/>
    <x v="11"/>
    <x v="2"/>
    <x v="307"/>
    <n v="382.96"/>
    <n v="552.84"/>
    <n v="0.17599999999999999"/>
    <n v="8"/>
    <n v="3644.3212800000006"/>
    <n v="3063.68"/>
    <n v="580.64128000000073"/>
    <n v="0.15932768693763483"/>
    <s v="Q2-2025"/>
    <s v="Americas → USA → New York"/>
    <s v="Low"/>
    <n v="2025"/>
    <x v="5"/>
    <s v="No"/>
    <x v="0"/>
  </r>
  <r>
    <s v="ORD-2025-415018"/>
    <d v="2025-01-22T00:00:00"/>
    <d v="2025-02-04T00:00:00"/>
    <d v="2025-01-22T00:00:00"/>
    <d v="2025-02-04T00:00:00"/>
    <n v="13"/>
    <s v="1-2025"/>
    <x v="1"/>
    <s v="Japan"/>
    <s v="Tokyo"/>
    <s v="Small Business"/>
    <x v="3"/>
    <x v="4"/>
    <x v="1"/>
    <x v="308"/>
    <n v="122.29"/>
    <n v="224.95"/>
    <n v="0.153"/>
    <n v="28"/>
    <n v="5334.9141999999993"/>
    <n v="3424.1200000000003"/>
    <n v="1910.7941999999989"/>
    <n v="0.3581677471026618"/>
    <s v="Q1-2025"/>
    <s v="Asia → Japan → Tokyo"/>
    <s v="Low"/>
    <n v="2025"/>
    <x v="4"/>
    <s v="No"/>
    <x v="0"/>
  </r>
  <r>
    <s v="ORD-2023-884192"/>
    <d v="2023-01-10T00:00:00"/>
    <d v="2023-01-29T00:00:00"/>
    <d v="2023-01-10T00:00:00"/>
    <d v="2023-01-29T00:00:00"/>
    <n v="19"/>
    <s v="1-2023"/>
    <x v="3"/>
    <s v="France"/>
    <s v="Lyon"/>
    <s v="Non-Profit"/>
    <x v="4"/>
    <x v="8"/>
    <x v="4"/>
    <x v="309"/>
    <n v="401.66"/>
    <n v="772.09"/>
    <n v="8.8999999999999996E-2"/>
    <n v="14"/>
    <n v="9847.2358600000007"/>
    <n v="5623.2400000000007"/>
    <n v="4223.99586"/>
    <n v="0.42895244107619046"/>
    <s v="Q1-2023"/>
    <s v="Europe → France → Lyon"/>
    <s v="Low"/>
    <n v="2023"/>
    <x v="4"/>
    <s v="No"/>
    <x v="0"/>
  </r>
  <r>
    <s v="ORD-2024-165942"/>
    <d v="2024-12-29T00:00:00"/>
    <d v="2025-01-12T00:00:00"/>
    <d v="2024-12-29T00:00:00"/>
    <d v="2025-01-12T00:00:00"/>
    <n v="14"/>
    <s v="12-2024"/>
    <x v="3"/>
    <s v="United Kingdom"/>
    <s v="Manchester"/>
    <s v="Corporate"/>
    <x v="4"/>
    <x v="5"/>
    <x v="5"/>
    <x v="310"/>
    <n v="1399.72"/>
    <n v="3149.21"/>
    <n v="0.185"/>
    <n v="12"/>
    <n v="30799.273800000003"/>
    <n v="16796.64"/>
    <n v="14002.633800000003"/>
    <n v="0.45464168703873797"/>
    <s v="Q4-2024"/>
    <s v="Europe → United Kingdom → Manchester"/>
    <s v="High"/>
    <n v="2024"/>
    <x v="3"/>
    <s v="No"/>
    <x v="0"/>
  </r>
  <r>
    <s v="ORD-2024-585443"/>
    <d v="2024-08-17T00:00:00"/>
    <d v="2024-08-15T00:00:00"/>
    <d v="2024-08-15T00:00:00"/>
    <d v="2024-08-17T00:00:00"/>
    <n v="2"/>
    <s v="8-2024"/>
    <x v="2"/>
    <s v="Brazil"/>
    <s v="Rio de Janeiro"/>
    <s v="Consumer"/>
    <x v="4"/>
    <x v="13"/>
    <x v="5"/>
    <x v="311"/>
    <n v="165.3"/>
    <n v="275.07"/>
    <n v="0.13300000000000001"/>
    <n v="25"/>
    <n v="5962.1422499999999"/>
    <n v="4132.5"/>
    <n v="1829.6422499999999"/>
    <n v="0.30687665159280625"/>
    <s v="Q3-2024"/>
    <s v="Americas → Brazil → Rio de Janeiro"/>
    <s v="Low"/>
    <n v="2024"/>
    <x v="11"/>
    <s v="Yes"/>
    <x v="0"/>
  </r>
  <r>
    <s v="ORD-2025-281062"/>
    <d v="2025-02-15T00:00:00"/>
    <d v="2025-02-27T00:00:00"/>
    <d v="2025-02-15T00:00:00"/>
    <d v="2025-02-27T00:00:00"/>
    <n v="12"/>
    <s v="2-2025"/>
    <x v="3"/>
    <s v="France"/>
    <s v="Lyon"/>
    <s v="Non-Profit"/>
    <x v="4"/>
    <x v="12"/>
    <x v="6"/>
    <x v="312"/>
    <n v="1027.26"/>
    <n v="2200.41"/>
    <n v="8.7999999999999995E-2"/>
    <n v="6"/>
    <n v="12040.64352"/>
    <n v="6163.5599999999995"/>
    <n v="5877.0835200000001"/>
    <n v="0.48810377204822358"/>
    <s v="Q1-2025"/>
    <s v="Europe → France → Lyon"/>
    <s v="High"/>
    <n v="2025"/>
    <x v="2"/>
    <s v="No"/>
    <x v="0"/>
  </r>
  <r>
    <s v="ORD-2024-925626"/>
    <d v="2024-11-04T00:00:00"/>
    <d v="2024-11-05T00:00:00"/>
    <d v="2024-11-04T00:00:00"/>
    <d v="2024-11-05T00:00:00"/>
    <n v="1"/>
    <s v="11-2024"/>
    <x v="3"/>
    <s v="United Kingdom"/>
    <s v="London"/>
    <s v="Corporate"/>
    <x v="0"/>
    <x v="13"/>
    <x v="1"/>
    <x v="313"/>
    <n v="840.68"/>
    <n v="1493.53"/>
    <n v="0"/>
    <n v="27"/>
    <n v="40325.31"/>
    <n v="22698.359999999997"/>
    <n v="17626.95"/>
    <n v="0.43711877230454027"/>
    <s v="Q4-2024"/>
    <s v="Europe → United Kingdom → London"/>
    <s v="Medium"/>
    <n v="2024"/>
    <x v="10"/>
    <s v="Yes"/>
    <x v="0"/>
  </r>
  <r>
    <s v="ORD-2024-427031"/>
    <d v="2024-06-08T00:00:00"/>
    <d v="2024-06-24T00:00:00"/>
    <d v="2024-06-08T00:00:00"/>
    <d v="2024-06-24T00:00:00"/>
    <n v="16"/>
    <s v="6-2024"/>
    <x v="0"/>
    <s v="South Africa"/>
    <s v="Durban"/>
    <s v="Education"/>
    <x v="3"/>
    <x v="11"/>
    <x v="5"/>
    <x v="314"/>
    <n v="597.85"/>
    <n v="741.92"/>
    <n v="3.1E-2"/>
    <n v="7"/>
    <n v="5032.4433599999993"/>
    <n v="4184.95"/>
    <n v="847.49335999999948"/>
    <n v="0.16840594108544515"/>
    <s v="Q2-2024"/>
    <s v="Africa → South Africa → Durban"/>
    <s v="Low"/>
    <n v="2024"/>
    <x v="9"/>
    <s v="No"/>
    <x v="0"/>
  </r>
  <r>
    <s v="ORD-2025-231184"/>
    <d v="2025-06-01T00:00:00"/>
    <d v="2025-06-06T00:00:00"/>
    <d v="2025-06-01T00:00:00"/>
    <d v="2025-06-06T00:00:00"/>
    <n v="5"/>
    <s v="6-2025"/>
    <x v="3"/>
    <s v="France"/>
    <s v="Paris"/>
    <s v="Consumer"/>
    <x v="3"/>
    <x v="3"/>
    <x v="0"/>
    <x v="315"/>
    <n v="379.45"/>
    <n v="742.23"/>
    <n v="0.09"/>
    <n v="13"/>
    <n v="8780.5809000000008"/>
    <n v="4932.8499999999995"/>
    <n v="3847.7309000000014"/>
    <n v="0.43820915083192286"/>
    <s v="Q2-2025"/>
    <s v="Europe → France → Paris"/>
    <s v="Low"/>
    <n v="2025"/>
    <x v="9"/>
    <s v="Yes"/>
    <x v="0"/>
  </r>
  <r>
    <s v="ORD-2023-363031"/>
    <d v="2023-05-06T00:00:00"/>
    <d v="2023-05-14T00:00:00"/>
    <d v="2023-05-06T00:00:00"/>
    <d v="2023-05-14T00:00:00"/>
    <n v="8"/>
    <s v="5-2023"/>
    <x v="1"/>
    <s v="Japan"/>
    <s v="Osaka"/>
    <s v="Enterprise"/>
    <x v="2"/>
    <x v="5"/>
    <x v="3"/>
    <x v="316"/>
    <n v="291.18"/>
    <n v="479.54"/>
    <n v="0.14099999999999999"/>
    <n v="22"/>
    <n v="9062.34692"/>
    <n v="6405.96"/>
    <n v="2656.3869199999999"/>
    <n v="0.29312350801066001"/>
    <s v="Q2-2023"/>
    <s v="Asia → Japan → Osaka"/>
    <s v="Low"/>
    <n v="2023"/>
    <x v="5"/>
    <s v="No"/>
    <x v="0"/>
  </r>
  <r>
    <s v="ORD-2024-578646"/>
    <d v="2024-05-27T00:00:00"/>
    <d v="2024-06-17T00:00:00"/>
    <d v="2024-05-27T00:00:00"/>
    <d v="2024-06-17T00:00:00"/>
    <n v="21"/>
    <s v="5-2024"/>
    <x v="1"/>
    <s v="India"/>
    <s v="Delhi"/>
    <s v="Small Business"/>
    <x v="1"/>
    <x v="11"/>
    <x v="6"/>
    <x v="317"/>
    <n v="465.02"/>
    <n v="651.55999999999995"/>
    <n v="4.2000000000000003E-2"/>
    <n v="19"/>
    <n v="11859.695119999998"/>
    <n v="8835.3799999999992"/>
    <n v="3024.3151199999993"/>
    <n v="0.25500783025187918"/>
    <s v="Q2-2024"/>
    <s v="Asia → India → Delhi"/>
    <s v="Low"/>
    <n v="2024"/>
    <x v="5"/>
    <s v="No"/>
    <x v="0"/>
  </r>
  <r>
    <s v="ORD-2025-861401"/>
    <d v="2025-04-01T00:00:00"/>
    <d v="2025-04-27T00:00:00"/>
    <d v="2025-04-01T00:00:00"/>
    <d v="2025-04-27T00:00:00"/>
    <n v="26"/>
    <s v="4-2025"/>
    <x v="2"/>
    <s v="USA"/>
    <s v="San Francisco"/>
    <s v="Corporate"/>
    <x v="4"/>
    <x v="2"/>
    <x v="5"/>
    <x v="318"/>
    <n v="156.55000000000001"/>
    <n v="227.45"/>
    <n v="1.4E-2"/>
    <n v="13"/>
    <n v="2915.4540999999999"/>
    <n v="2035.15"/>
    <n v="880.30409999999983"/>
    <n v="0.3019440779396938"/>
    <s v="Q2-2025"/>
    <s v="Americas → USA → San Francisco"/>
    <s v="Low"/>
    <n v="2025"/>
    <x v="7"/>
    <s v="No"/>
    <x v="0"/>
  </r>
  <r>
    <s v="ORD-2023-890605"/>
    <d v="2023-06-24T00:00:00"/>
    <d v="2023-06-22T00:00:00"/>
    <d v="2023-06-22T00:00:00"/>
    <d v="2023-06-24T00:00:00"/>
    <n v="2"/>
    <s v="6-2023"/>
    <x v="2"/>
    <s v="Canada"/>
    <s v="Toronto"/>
    <s v="Non-Profit"/>
    <x v="0"/>
    <x v="13"/>
    <x v="6"/>
    <x v="319"/>
    <n v="471.42"/>
    <n v="824.81"/>
    <n v="8.7999999999999995E-2"/>
    <n v="15"/>
    <n v="11283.400799999999"/>
    <n v="7071.3"/>
    <n v="4212.1007999999993"/>
    <n v="0.37330064531608231"/>
    <s v="Q2-2023"/>
    <s v="Americas → Canada → Toronto"/>
    <s v="Low"/>
    <n v="2023"/>
    <x v="9"/>
    <s v="Yes"/>
    <x v="0"/>
  </r>
  <r>
    <s v="ORD-2024-819979"/>
    <d v="2024-05-28T00:00:00"/>
    <d v="2024-06-18T00:00:00"/>
    <d v="2024-05-28T00:00:00"/>
    <d v="2024-06-18T00:00:00"/>
    <n v="21"/>
    <s v="5-2024"/>
    <x v="3"/>
    <s v="Germany"/>
    <s v="Frankfurt"/>
    <s v="Small Business"/>
    <x v="1"/>
    <x v="6"/>
    <x v="3"/>
    <x v="320"/>
    <n v="986.85"/>
    <n v="2422.1"/>
    <n v="7.5999999999999998E-2"/>
    <n v="10"/>
    <n v="22380.204000000002"/>
    <n v="9868.5"/>
    <n v="12511.704000000002"/>
    <n v="0.55905227673527913"/>
    <s v="Q2-2024"/>
    <s v="Europe → Germany → Frankfurt"/>
    <s v="High"/>
    <n v="2024"/>
    <x v="5"/>
    <s v="No"/>
    <x v="0"/>
  </r>
  <r>
    <s v="ORD-2024-719055"/>
    <d v="2024-01-02T00:00:00"/>
    <d v="2024-01-01T00:00:00"/>
    <d v="2024-01-01T00:00:00"/>
    <d v="2024-01-02T00:00:00"/>
    <n v="1"/>
    <s v="1-2024"/>
    <x v="2"/>
    <s v="USA"/>
    <s v="Chicago"/>
    <s v="Education"/>
    <x v="2"/>
    <x v="5"/>
    <x v="2"/>
    <x v="321"/>
    <n v="404.77"/>
    <n v="433.88"/>
    <n v="0.215"/>
    <n v="22"/>
    <n v="7493.1076000000012"/>
    <n v="8904.9399999999987"/>
    <n v="-1411.8323999999975"/>
    <n v="-0.18841747314558746"/>
    <s v="Q1-2024"/>
    <s v="Americas → USA → Chicago"/>
    <s v="Low"/>
    <n v="2024"/>
    <x v="4"/>
    <s v="Yes"/>
    <x v="1"/>
  </r>
  <r>
    <s v="ORD-2023-888245"/>
    <d v="2023-02-28T00:00:00"/>
    <d v="2023-02-27T00:00:00"/>
    <d v="2023-02-27T00:00:00"/>
    <d v="2023-02-28T00:00:00"/>
    <n v="1"/>
    <s v="2-2023"/>
    <x v="3"/>
    <s v="France"/>
    <s v="Marseille"/>
    <s v="Corporate"/>
    <x v="0"/>
    <x v="12"/>
    <x v="2"/>
    <x v="322"/>
    <n v="1299.81"/>
    <n v="3149.13"/>
    <n v="0.10299999999999999"/>
    <n v="14"/>
    <n v="39546.774539999999"/>
    <n v="18197.34"/>
    <n v="21349.434539999998"/>
    <n v="0.53985273864511729"/>
    <s v="Q1-2023"/>
    <s v="Europe → France → Marseille"/>
    <s v="High"/>
    <n v="2023"/>
    <x v="2"/>
    <s v="Yes"/>
    <x v="0"/>
  </r>
  <r>
    <s v="ORD-2024-500890"/>
    <d v="2024-09-09T00:00:00"/>
    <d v="2024-10-08T00:00:00"/>
    <d v="2024-09-09T00:00:00"/>
    <d v="2024-10-08T00:00:00"/>
    <n v="29"/>
    <s v="9-2024"/>
    <x v="2"/>
    <s v="Brazil"/>
    <s v="São Paulo"/>
    <s v="Education"/>
    <x v="4"/>
    <x v="1"/>
    <x v="0"/>
    <x v="323"/>
    <n v="1010.33"/>
    <n v="2492.14"/>
    <n v="5.0999999999999997E-2"/>
    <n v="11"/>
    <n v="26015.449459999996"/>
    <n v="11113.630000000001"/>
    <n v="14901.819459999995"/>
    <n v="0.57280653493656752"/>
    <s v="Q3-2024"/>
    <s v="Americas → Brazil → São Paulo"/>
    <s v="High"/>
    <n v="2024"/>
    <x v="8"/>
    <s v="No"/>
    <x v="0"/>
  </r>
  <r>
    <s v="ORD-2024-777623"/>
    <d v="2024-09-19T00:00:00"/>
    <d v="2024-10-14T00:00:00"/>
    <d v="2024-09-19T00:00:00"/>
    <d v="2024-10-14T00:00:00"/>
    <n v="25"/>
    <s v="9-2024"/>
    <x v="2"/>
    <s v="Brazil"/>
    <s v="Rio de Janeiro"/>
    <s v="Small Business"/>
    <x v="0"/>
    <x v="12"/>
    <x v="1"/>
    <x v="324"/>
    <n v="386.96"/>
    <n v="937.46"/>
    <n v="0.26600000000000001"/>
    <n v="41"/>
    <n v="28211.92124"/>
    <n v="15865.359999999999"/>
    <n v="12346.561240000001"/>
    <n v="0.43763631462626335"/>
    <s v="Q3-2024"/>
    <s v="Americas → Brazil → Rio de Janeiro"/>
    <s v="Low"/>
    <n v="2024"/>
    <x v="8"/>
    <s v="No"/>
    <x v="1"/>
  </r>
  <r>
    <s v="ORD-2023-842488"/>
    <d v="2023-10-31T00:00:00"/>
    <d v="2023-11-02T00:00:00"/>
    <d v="2023-10-31T00:00:00"/>
    <d v="2023-11-02T00:00:00"/>
    <n v="2"/>
    <s v="10-2023"/>
    <x v="0"/>
    <s v="Kenya"/>
    <s v="Kisumu"/>
    <s v="Education"/>
    <x v="0"/>
    <x v="7"/>
    <x v="6"/>
    <x v="325"/>
    <n v="867.89"/>
    <n v="1349.94"/>
    <n v="0.184"/>
    <n v="10"/>
    <n v="11015.510400000003"/>
    <n v="8678.9"/>
    <n v="2336.6104000000032"/>
    <n v="0.21212003031652557"/>
    <s v="Q4-2023"/>
    <s v="Africa → Kenya → Kisumu"/>
    <s v="Medium"/>
    <n v="2023"/>
    <x v="1"/>
    <s v="Yes"/>
    <x v="0"/>
  </r>
  <r>
    <s v="ORD-2024-153053"/>
    <d v="2024-01-12T00:00:00"/>
    <d v="2024-01-29T00:00:00"/>
    <d v="2024-01-12T00:00:00"/>
    <d v="2024-01-29T00:00:00"/>
    <n v="17"/>
    <s v="1-2024"/>
    <x v="1"/>
    <s v="India"/>
    <s v="Hyderabad"/>
    <s v="Small Business"/>
    <x v="4"/>
    <x v="5"/>
    <x v="0"/>
    <x v="326"/>
    <n v="310.02"/>
    <n v="619.51"/>
    <n v="4.2000000000000003E-2"/>
    <n v="4"/>
    <n v="2373.9623200000001"/>
    <n v="1240.08"/>
    <n v="1133.8823200000002"/>
    <n v="0.47763282106347843"/>
    <s v="Q1-2024"/>
    <s v="Asia → India → Hyderabad"/>
    <s v="Low"/>
    <n v="2024"/>
    <x v="4"/>
    <s v="No"/>
    <x v="0"/>
  </r>
  <r>
    <s v="ORD-2023-536542"/>
    <d v="2023-06-10T00:00:00"/>
    <d v="2023-06-18T00:00:00"/>
    <d v="2023-06-10T00:00:00"/>
    <d v="2023-06-18T00:00:00"/>
    <n v="8"/>
    <s v="6-2023"/>
    <x v="0"/>
    <s v="Kenya"/>
    <s v="Nakuru"/>
    <s v="Enterprise"/>
    <x v="4"/>
    <x v="11"/>
    <x v="3"/>
    <x v="327"/>
    <n v="894.23"/>
    <n v="1421.55"/>
    <n v="0.109"/>
    <n v="3"/>
    <n v="3799.8031499999997"/>
    <n v="2682.69"/>
    <n v="1117.1131499999997"/>
    <n v="0.29399237431549574"/>
    <s v="Q2-2023"/>
    <s v="Africa → Kenya → Nakuru"/>
    <s v="Medium"/>
    <n v="2023"/>
    <x v="9"/>
    <s v="No"/>
    <x v="0"/>
  </r>
  <r>
    <s v="ORD-2024-444710"/>
    <d v="2024-09-22T00:00:00"/>
    <d v="2024-10-01T00:00:00"/>
    <d v="2024-09-22T00:00:00"/>
    <d v="2024-10-01T00:00:00"/>
    <n v="9"/>
    <s v="9-2024"/>
    <x v="2"/>
    <s v="Brazil"/>
    <s v="São Paulo"/>
    <s v="Non-Profit"/>
    <x v="1"/>
    <x v="12"/>
    <x v="5"/>
    <x v="328"/>
    <n v="1378.8"/>
    <n v="1952.04"/>
    <n v="0.159"/>
    <n v="19"/>
    <n v="31191.64716"/>
    <n v="26197.200000000001"/>
    <n v="4994.4471599999997"/>
    <n v="0.16012130216723058"/>
    <s v="Q3-2024"/>
    <s v="Americas → Brazil → São Paulo"/>
    <s v="High"/>
    <n v="2024"/>
    <x v="8"/>
    <s v="No"/>
    <x v="0"/>
  </r>
  <r>
    <s v="ORD-2023-163610"/>
    <d v="2023-10-22T00:00:00"/>
    <d v="2023-11-16T00:00:00"/>
    <d v="2023-10-22T00:00:00"/>
    <d v="2023-11-16T00:00:00"/>
    <n v="25"/>
    <s v="10-2023"/>
    <x v="2"/>
    <s v="Canada"/>
    <s v="Toronto"/>
    <s v="Small Business"/>
    <x v="2"/>
    <x v="2"/>
    <x v="4"/>
    <x v="329"/>
    <n v="1373.31"/>
    <n v="3154.14"/>
    <n v="0.2"/>
    <n v="11"/>
    <n v="27756.432000000001"/>
    <n v="15106.41"/>
    <n v="12650.022000000001"/>
    <n v="0.45575101295440279"/>
    <s v="Q4-2023"/>
    <s v="Americas → Canada → Toronto"/>
    <s v="High"/>
    <n v="2023"/>
    <x v="1"/>
    <s v="No"/>
    <x v="0"/>
  </r>
  <r>
    <s v="ORD-2025-653781"/>
    <d v="2025-01-11T00:00:00"/>
    <d v="2025-01-23T00:00:00"/>
    <d v="2025-01-11T00:00:00"/>
    <d v="2025-01-23T00:00:00"/>
    <n v="12"/>
    <s v="1-2025"/>
    <x v="2"/>
    <s v="USA"/>
    <s v="Austin"/>
    <s v="Consumer"/>
    <x v="3"/>
    <x v="11"/>
    <x v="3"/>
    <x v="330"/>
    <n v="100.69"/>
    <n v="226.14"/>
    <n v="6.5000000000000002E-2"/>
    <n v="12"/>
    <n v="2537.2908000000002"/>
    <n v="1208.28"/>
    <n v="1329.0108000000002"/>
    <n v="0.52379128162999689"/>
    <s v="Q1-2025"/>
    <s v="Americas → USA → Austin"/>
    <s v="Low"/>
    <n v="2025"/>
    <x v="4"/>
    <s v="No"/>
    <x v="0"/>
  </r>
  <r>
    <s v="ORD-2025-737787"/>
    <d v="2025-09-14T00:00:00"/>
    <d v="2025-09-26T00:00:00"/>
    <d v="2025-09-14T00:00:00"/>
    <d v="2025-09-26T00:00:00"/>
    <n v="12"/>
    <s v="9-2025"/>
    <x v="3"/>
    <s v="United Kingdom"/>
    <s v="London"/>
    <s v="Small Business"/>
    <x v="4"/>
    <x v="10"/>
    <x v="2"/>
    <x v="331"/>
    <n v="425.15"/>
    <n v="885.92"/>
    <n v="0.23899999999999999"/>
    <n v="13"/>
    <n v="8764.4065599999994"/>
    <n v="5526.95"/>
    <n v="3237.4565599999996"/>
    <n v="0.3693868532725848"/>
    <s v="Q3-2025"/>
    <s v="Europe → United Kingdom → London"/>
    <s v="Low"/>
    <n v="2025"/>
    <x v="8"/>
    <s v="No"/>
    <x v="1"/>
  </r>
  <r>
    <s v="ORD-2025-580047"/>
    <d v="2025-06-14T00:00:00"/>
    <d v="2025-06-29T00:00:00"/>
    <d v="2025-06-14T00:00:00"/>
    <d v="2025-06-29T00:00:00"/>
    <n v="15"/>
    <s v="6-2025"/>
    <x v="0"/>
    <s v="Nigeria"/>
    <s v="Port Harcourt"/>
    <s v="Consumer"/>
    <x v="2"/>
    <x v="13"/>
    <x v="6"/>
    <x v="332"/>
    <n v="730.99"/>
    <n v="1242.8399999999999"/>
    <n v="0.12"/>
    <n v="10"/>
    <n v="10936.992"/>
    <n v="7309.9"/>
    <n v="3627.0920000000006"/>
    <n v="0.33163524303574515"/>
    <s v="Q2-2025"/>
    <s v="Africa → Nigeria → Port Harcourt"/>
    <s v="Medium"/>
    <n v="2025"/>
    <x v="9"/>
    <s v="No"/>
    <x v="0"/>
  </r>
  <r>
    <s v="ORD-2024-655710"/>
    <d v="2024-11-30T00:00:00"/>
    <d v="2024-12-10T00:00:00"/>
    <d v="2024-11-30T00:00:00"/>
    <d v="2024-12-10T00:00:00"/>
    <n v="10"/>
    <s v="11-2024"/>
    <x v="1"/>
    <s v="India"/>
    <s v="Hyderabad"/>
    <s v="Small Business"/>
    <x v="0"/>
    <x v="9"/>
    <x v="6"/>
    <x v="333"/>
    <n v="851.49"/>
    <n v="901.79"/>
    <n v="0.245"/>
    <n v="16"/>
    <n v="10893.6232"/>
    <n v="13623.84"/>
    <n v="-2730.2168000000001"/>
    <n v="-0.25062522816100341"/>
    <s v="Q4-2024"/>
    <s v="Asia → India → Hyderabad"/>
    <s v="Low"/>
    <n v="2024"/>
    <x v="10"/>
    <s v="No"/>
    <x v="1"/>
  </r>
  <r>
    <s v="ORD-2025-323492"/>
    <d v="2025-04-27T00:00:00"/>
    <d v="2025-05-27T00:00:00"/>
    <d v="2025-04-27T00:00:00"/>
    <d v="2025-05-27T00:00:00"/>
    <n v="30"/>
    <s v="4-2025"/>
    <x v="1"/>
    <s v="India"/>
    <s v="Unknown City"/>
    <s v="Enterprise"/>
    <x v="2"/>
    <x v="11"/>
    <x v="3"/>
    <x v="334"/>
    <n v="481.32"/>
    <n v="1135.99"/>
    <n v="0.14499999999999999"/>
    <n v="5"/>
    <n v="4856.35725"/>
    <n v="2406.6"/>
    <n v="2449.7572500000001"/>
    <n v="0.50444337677175621"/>
    <s v="Q2-2025"/>
    <s v="Asia → India → Unknown City"/>
    <s v="Low"/>
    <n v="2025"/>
    <x v="7"/>
    <s v="No"/>
    <x v="0"/>
  </r>
  <r>
    <s v="ORD-2024-332076"/>
    <d v="2024-04-09T00:00:00"/>
    <d v="2024-04-18T00:00:00"/>
    <d v="2024-04-09T00:00:00"/>
    <d v="2024-04-18T00:00:00"/>
    <n v="9"/>
    <s v="4-2024"/>
    <x v="3"/>
    <s v="France"/>
    <s v="Lyon"/>
    <s v="Consumer"/>
    <x v="1"/>
    <x v="6"/>
    <x v="1"/>
    <x v="335"/>
    <n v="1288.8499999999999"/>
    <n v="2751.84"/>
    <n v="0.158"/>
    <n v="7"/>
    <n v="16219.34496"/>
    <n v="9021.9499999999989"/>
    <n v="7197.3949600000014"/>
    <n v="0.44375373837538756"/>
    <s v="Q2-2024"/>
    <s v="Europe → France → Lyon"/>
    <s v="High"/>
    <n v="2024"/>
    <x v="7"/>
    <s v="No"/>
    <x v="0"/>
  </r>
  <r>
    <s v="ORD-2024-571797"/>
    <d v="2024-07-11T00:00:00"/>
    <d v="2024-07-31T00:00:00"/>
    <d v="2024-07-11T00:00:00"/>
    <d v="2024-07-31T00:00:00"/>
    <n v="20"/>
    <s v="7-2024"/>
    <x v="1"/>
    <s v="China"/>
    <s v="Shenzhen"/>
    <s v="Consumer"/>
    <x v="1"/>
    <x v="3"/>
    <x v="3"/>
    <x v="336"/>
    <n v="647.26"/>
    <n v="1374.72"/>
    <n v="6.6000000000000003E-2"/>
    <n v="22"/>
    <n v="28247.74656"/>
    <n v="14239.72"/>
    <n v="14008.02656"/>
    <n v="0.49589890401508901"/>
    <s v="Q3-2024"/>
    <s v="Asia → China → Shenzhen"/>
    <s v="Medium"/>
    <n v="2024"/>
    <x v="6"/>
    <s v="No"/>
    <x v="0"/>
  </r>
  <r>
    <s v="ORD-2024-588972"/>
    <d v="2024-11-02T00:00:00"/>
    <d v="2024-11-29T00:00:00"/>
    <d v="2024-11-02T00:00:00"/>
    <d v="2024-11-29T00:00:00"/>
    <n v="27"/>
    <s v="11-2024"/>
    <x v="2"/>
    <s v="Brazil"/>
    <s v="Brasília"/>
    <s v="Small Business"/>
    <x v="4"/>
    <x v="2"/>
    <x v="2"/>
    <x v="337"/>
    <n v="1363.51"/>
    <n v="1433.9"/>
    <n v="5.7000000000000002E-2"/>
    <n v="8"/>
    <n v="10817.3416"/>
    <n v="10908.08"/>
    <n v="-90.738400000000183"/>
    <n v="-8.3882346842037592E-3"/>
    <s v="Q4-2024"/>
    <s v="Americas → Brazil → Brasília"/>
    <s v="Medium"/>
    <n v="2024"/>
    <x v="10"/>
    <s v="No"/>
    <x v="0"/>
  </r>
  <r>
    <s v="ORD-2025-649633"/>
    <d v="2025-07-19T00:00:00"/>
    <d v="2025-07-31T00:00:00"/>
    <d v="2025-07-19T00:00:00"/>
    <d v="2025-07-31T00:00:00"/>
    <n v="12"/>
    <s v="7-2025"/>
    <x v="0"/>
    <s v="Kenya"/>
    <s v="Nairobi"/>
    <s v="Small Business"/>
    <x v="2"/>
    <x v="7"/>
    <x v="6"/>
    <x v="338"/>
    <n v="619.64"/>
    <n v="861.16"/>
    <n v="0.113"/>
    <n v="14"/>
    <n v="10693.88488"/>
    <n v="8674.9599999999991"/>
    <n v="2018.9248800000005"/>
    <n v="0.18879246435276761"/>
    <s v="Q3-2025"/>
    <s v="Africa → Kenya → Nairobi"/>
    <s v="Low"/>
    <n v="2025"/>
    <x v="6"/>
    <s v="No"/>
    <x v="0"/>
  </r>
  <r>
    <s v="ORD-2023-825084"/>
    <d v="2023-07-14T00:00:00"/>
    <d v="2023-07-21T00:00:00"/>
    <d v="2023-07-14T00:00:00"/>
    <d v="2023-07-21T00:00:00"/>
    <n v="7"/>
    <s v="7-2023"/>
    <x v="0"/>
    <s v="South Africa"/>
    <s v="Durban"/>
    <s v="Enterprise"/>
    <x v="2"/>
    <x v="15"/>
    <x v="5"/>
    <x v="339"/>
    <n v="620.74"/>
    <n v="1330.07"/>
    <n v="0.29899999999999999"/>
    <n v="28"/>
    <n v="26106.613960000002"/>
    <n v="17380.72"/>
    <n v="8725.8939600000012"/>
    <n v="0.33424073965967516"/>
    <s v="Q3-2023"/>
    <s v="Africa → South Africa → Durban"/>
    <s v="Medium"/>
    <n v="2023"/>
    <x v="6"/>
    <s v="Yes"/>
    <x v="1"/>
  </r>
  <r>
    <s v="ORD-2024-287210"/>
    <d v="2024-03-18T00:00:00"/>
    <d v="2024-03-21T00:00:00"/>
    <d v="2024-03-18T00:00:00"/>
    <d v="2024-03-21T00:00:00"/>
    <n v="3"/>
    <s v="3-2024"/>
    <x v="3"/>
    <s v="Germany"/>
    <s v="Munich"/>
    <s v="Small Business"/>
    <x v="1"/>
    <x v="13"/>
    <x v="6"/>
    <x v="340"/>
    <n v="910.63"/>
    <n v="1269.4000000000001"/>
    <n v="6.8000000000000005E-2"/>
    <n v="9"/>
    <n v="10647.727199999999"/>
    <n v="8195.67"/>
    <n v="2452.0571999999993"/>
    <n v="0.23028925834989455"/>
    <s v="Q1-2024"/>
    <s v="Europe → Germany → Munich"/>
    <s v="Medium"/>
    <n v="2024"/>
    <x v="0"/>
    <s v="Yes"/>
    <x v="0"/>
  </r>
  <r>
    <s v="ORD-2023-766015"/>
    <d v="2023-04-13T00:00:00"/>
    <d v="2023-04-11T00:00:00"/>
    <d v="2023-04-11T00:00:00"/>
    <d v="2023-04-13T00:00:00"/>
    <n v="2"/>
    <s v="4-2023"/>
    <x v="2"/>
    <s v="USA"/>
    <s v="San Francisco"/>
    <s v="Education"/>
    <x v="2"/>
    <x v="3"/>
    <x v="2"/>
    <x v="341"/>
    <n v="32.1"/>
    <n v="70.599999999999994"/>
    <n v="0.28199999999999997"/>
    <n v="22"/>
    <n v="1115.1975999999997"/>
    <n v="706.2"/>
    <n v="408.99759999999969"/>
    <n v="0.36674899587301818"/>
    <s v="Q2-2023"/>
    <s v="Americas → USA → San Francisco"/>
    <s v="Low"/>
    <n v="2023"/>
    <x v="7"/>
    <s v="Yes"/>
    <x v="1"/>
  </r>
  <r>
    <s v="ORD-2024-333192"/>
    <d v="2024-10-29T00:00:00"/>
    <d v="2024-11-04T00:00:00"/>
    <d v="2024-10-29T00:00:00"/>
    <d v="2024-11-04T00:00:00"/>
    <n v="6"/>
    <s v="10-2024"/>
    <x v="0"/>
    <s v="Kenya"/>
    <s v="Nairobi"/>
    <s v="Corporate"/>
    <x v="3"/>
    <x v="13"/>
    <x v="1"/>
    <x v="342"/>
    <n v="805.81"/>
    <n v="1823.04"/>
    <n v="0"/>
    <n v="11"/>
    <n v="20053.439999999999"/>
    <n v="8863.91"/>
    <n v="11189.529999999999"/>
    <n v="0.55798556257679477"/>
    <s v="Q4-2024"/>
    <s v="Africa → Kenya → Nairobi"/>
    <s v="Medium"/>
    <n v="2024"/>
    <x v="1"/>
    <s v="Yes"/>
    <x v="0"/>
  </r>
  <r>
    <s v="ORD-2024-647473"/>
    <d v="2024-02-17T00:00:00"/>
    <d v="2024-03-04T00:00:00"/>
    <d v="2024-02-17T00:00:00"/>
    <d v="2024-03-04T00:00:00"/>
    <n v="16"/>
    <s v="2-2024"/>
    <x v="1"/>
    <s v="India"/>
    <s v="Delhi"/>
    <s v="Small Business"/>
    <x v="2"/>
    <x v="9"/>
    <x v="3"/>
    <x v="343"/>
    <n v="1231.8"/>
    <n v="2015.99"/>
    <n v="0.26100000000000001"/>
    <n v="6"/>
    <n v="8938.8996600000009"/>
    <n v="7390.7999999999993"/>
    <n v="1548.0996600000017"/>
    <n v="0.17318682599464391"/>
    <s v="Q1-2024"/>
    <s v="Asia → India → Delhi"/>
    <s v="High"/>
    <n v="2024"/>
    <x v="2"/>
    <s v="No"/>
    <x v="1"/>
  </r>
  <r>
    <s v="ORD-2024-892908"/>
    <d v="2024-07-13T00:00:00"/>
    <d v="2024-07-12T00:00:00"/>
    <d v="2024-07-12T00:00:00"/>
    <d v="2024-07-13T00:00:00"/>
    <n v="1"/>
    <s v="7-2024"/>
    <x v="1"/>
    <s v="Japan"/>
    <s v="Nagoya"/>
    <s v="Small Business"/>
    <x v="2"/>
    <x v="9"/>
    <x v="2"/>
    <x v="344"/>
    <n v="105.13"/>
    <n v="244.13"/>
    <n v="7.0999999999999994E-2"/>
    <n v="14"/>
    <n v="3175.1547799999998"/>
    <n v="1471.82"/>
    <n v="1703.3347799999999"/>
    <n v="0.53645724319618837"/>
    <s v="Q3-2024"/>
    <s v="Asia → Japan → Nagoya"/>
    <s v="Low"/>
    <n v="2024"/>
    <x v="6"/>
    <s v="Yes"/>
    <x v="0"/>
  </r>
  <r>
    <s v="ORD-2023-573146"/>
    <d v="2023-12-01T00:00:00"/>
    <d v="2023-12-18T00:00:00"/>
    <d v="2023-12-01T00:00:00"/>
    <d v="2023-12-18T00:00:00"/>
    <n v="17"/>
    <s v="12-2023"/>
    <x v="1"/>
    <s v="Japan"/>
    <s v="Nagoya"/>
    <s v="Small Business"/>
    <x v="4"/>
    <x v="10"/>
    <x v="4"/>
    <x v="345"/>
    <n v="1495.79"/>
    <n v="2783.12"/>
    <n v="0.02"/>
    <n v="5"/>
    <n v="13637.287999999999"/>
    <n v="7478.95"/>
    <n v="6158.3379999999988"/>
    <n v="0.45158084217331185"/>
    <s v="Q4-2023"/>
    <s v="Asia → Japan → Nagoya"/>
    <s v="High"/>
    <n v="2023"/>
    <x v="3"/>
    <s v="No"/>
    <x v="0"/>
  </r>
  <r>
    <s v="ORD-2023-399631"/>
    <d v="2023-06-22T00:00:00"/>
    <d v="2023-07-21T00:00:00"/>
    <d v="2023-06-22T00:00:00"/>
    <d v="2023-07-21T00:00:00"/>
    <n v="29"/>
    <s v="6-2023"/>
    <x v="3"/>
    <s v="France"/>
    <s v="Lyon"/>
    <s v="Corporate"/>
    <x v="0"/>
    <x v="1"/>
    <x v="6"/>
    <x v="346"/>
    <n v="734.34"/>
    <n v="887.9"/>
    <n v="2.5000000000000001E-2"/>
    <n v="12"/>
    <n v="10388.429999999998"/>
    <n v="8812.08"/>
    <n v="1576.3499999999985"/>
    <n v="0.15174092716608753"/>
    <s v="Q2-2023"/>
    <s v="Europe → France → Lyon"/>
    <s v="Low"/>
    <n v="2023"/>
    <x v="9"/>
    <s v="No"/>
    <x v="0"/>
  </r>
  <r>
    <s v="ORD-2023-898009"/>
    <d v="2023-05-04T00:00:00"/>
    <d v="2023-05-16T00:00:00"/>
    <d v="2023-05-04T00:00:00"/>
    <d v="2023-05-16T00:00:00"/>
    <n v="12"/>
    <s v="5-2023"/>
    <x v="0"/>
    <s v="Nigeria"/>
    <s v="Abuja"/>
    <s v="Small Business"/>
    <x v="2"/>
    <x v="1"/>
    <x v="3"/>
    <x v="347"/>
    <n v="77.739999999999995"/>
    <n v="147.12"/>
    <n v="0"/>
    <n v="15"/>
    <n v="2206.8000000000002"/>
    <n v="1166.0999999999999"/>
    <n v="1040.7000000000003"/>
    <n v="0.47158781946710177"/>
    <s v="Q2-2023"/>
    <s v="Africa → Nigeria → Abuja"/>
    <s v="Low"/>
    <n v="2023"/>
    <x v="5"/>
    <s v="No"/>
    <x v="0"/>
  </r>
  <r>
    <s v="ORD-2023-208944"/>
    <d v="2023-12-21T00:00:00"/>
    <d v="2024-01-06T00:00:00"/>
    <d v="2023-12-21T00:00:00"/>
    <d v="2024-01-06T00:00:00"/>
    <n v="16"/>
    <s v="12-2023"/>
    <x v="0"/>
    <s v="Nigeria"/>
    <s v="Unknown City"/>
    <s v="Corporate"/>
    <x v="2"/>
    <x v="12"/>
    <x v="0"/>
    <x v="348"/>
    <n v="932.61"/>
    <n v="1982.98"/>
    <n v="0.14399999999999999"/>
    <n v="16"/>
    <n v="27158.894079999998"/>
    <n v="14921.76"/>
    <n v="12237.134079999998"/>
    <n v="0.45057556629345635"/>
    <s v="Q4-2023"/>
    <s v="Africa → Nigeria → Unknown City"/>
    <s v="High"/>
    <n v="2023"/>
    <x v="3"/>
    <s v="No"/>
    <x v="0"/>
  </r>
  <r>
    <s v="ORD-2025-480172"/>
    <d v="2025-06-17T00:00:00"/>
    <d v="2025-07-05T00:00:00"/>
    <d v="2025-06-17T00:00:00"/>
    <d v="2025-07-05T00:00:00"/>
    <n v="18"/>
    <s v="6-2025"/>
    <x v="1"/>
    <s v="India"/>
    <s v="Delhi"/>
    <s v="Consumer"/>
    <x v="2"/>
    <x v="4"/>
    <x v="4"/>
    <x v="349"/>
    <n v="982.93"/>
    <n v="2299.3000000000002"/>
    <n v="0.113"/>
    <n v="6"/>
    <n v="12236.874600000001"/>
    <n v="5897.58"/>
    <n v="6339.2946000000011"/>
    <n v="0.51804850562087157"/>
    <s v="Q2-2025"/>
    <s v="Asia → India → Delhi"/>
    <s v="High"/>
    <n v="2025"/>
    <x v="9"/>
    <s v="No"/>
    <x v="0"/>
  </r>
  <r>
    <s v="ORD-2023-735274"/>
    <d v="2023-02-23T00:00:00"/>
    <d v="2023-03-08T00:00:00"/>
    <d v="2023-02-23T00:00:00"/>
    <d v="2023-03-08T00:00:00"/>
    <n v="13"/>
    <s v="2-2023"/>
    <x v="3"/>
    <s v="United Kingdom"/>
    <s v="Manchester"/>
    <s v="Small Business"/>
    <x v="4"/>
    <x v="0"/>
    <x v="1"/>
    <x v="350"/>
    <n v="307.37"/>
    <n v="462.61"/>
    <n v="0.188"/>
    <n v="11"/>
    <n v="4132.0325200000007"/>
    <n v="3381.07"/>
    <n v="750.9625200000005"/>
    <n v="0.18174167709599739"/>
    <s v="Q1-2023"/>
    <s v="Europe → United Kingdom → Manchester"/>
    <s v="Low"/>
    <n v="2023"/>
    <x v="2"/>
    <s v="No"/>
    <x v="0"/>
  </r>
  <r>
    <s v="ORD-2023-212701"/>
    <d v="2023-12-02T00:00:00"/>
    <d v="2023-12-16T00:00:00"/>
    <d v="2023-12-02T00:00:00"/>
    <d v="2023-12-16T00:00:00"/>
    <n v="14"/>
    <s v="12-2023"/>
    <x v="3"/>
    <s v="Germany"/>
    <s v="Frankfurt"/>
    <s v="Education"/>
    <x v="4"/>
    <x v="10"/>
    <x v="5"/>
    <x v="351"/>
    <n v="879.08"/>
    <n v="1093.3900000000001"/>
    <n v="0.113"/>
    <n v="17"/>
    <n v="16487.22781"/>
    <n v="14944.36"/>
    <n v="1542.8678099999997"/>
    <n v="9.3579577341935186E-2"/>
    <s v="Q4-2023"/>
    <s v="Europe → Germany → Frankfurt"/>
    <s v="Low"/>
    <n v="2023"/>
    <x v="3"/>
    <s v="No"/>
    <x v="0"/>
  </r>
  <r>
    <s v="ORD-2025-766923"/>
    <d v="2025-02-15T00:00:00"/>
    <d v="2025-02-15T00:00:00"/>
    <d v="2025-02-15T00:00:00"/>
    <d v="2025-02-15T00:00:00"/>
    <n v="0"/>
    <s v="2-2025"/>
    <x v="3"/>
    <s v="Germany"/>
    <s v="Frankfurt"/>
    <s v="Small Business"/>
    <x v="2"/>
    <x v="4"/>
    <x v="6"/>
    <x v="352"/>
    <n v="815.83"/>
    <n v="1982.18"/>
    <n v="0.127"/>
    <n v="6"/>
    <n v="10382.65884"/>
    <n v="4894.9800000000005"/>
    <n v="5487.6788399999996"/>
    <n v="0.52854272923408507"/>
    <s v="Q1-2025"/>
    <s v="Europe → Germany → Frankfurt"/>
    <s v="High"/>
    <n v="2025"/>
    <x v="2"/>
    <s v="Yes"/>
    <x v="0"/>
  </r>
  <r>
    <s v="ORD-2024-915495"/>
    <d v="2024-08-08T00:00:00"/>
    <d v="2024-08-20T00:00:00"/>
    <d v="2024-08-08T00:00:00"/>
    <d v="2024-08-20T00:00:00"/>
    <n v="12"/>
    <s v="8-2024"/>
    <x v="1"/>
    <s v="Japan"/>
    <s v="Osaka"/>
    <s v="Small Business"/>
    <x v="0"/>
    <x v="11"/>
    <x v="2"/>
    <x v="353"/>
    <n v="1233.3599999999999"/>
    <n v="2120.4"/>
    <n v="0.17899999999999999"/>
    <n v="20"/>
    <n v="34816.968000000001"/>
    <n v="24667.199999999997"/>
    <n v="10149.768000000004"/>
    <n v="0.29151785991244278"/>
    <s v="Q3-2024"/>
    <s v="Asia → Japan → Osaka"/>
    <s v="High"/>
    <n v="2024"/>
    <x v="11"/>
    <s v="No"/>
    <x v="0"/>
  </r>
  <r>
    <s v="ORD-2024-225829"/>
    <d v="2024-11-07T00:00:00"/>
    <d v="2024-11-26T00:00:00"/>
    <d v="2024-11-07T00:00:00"/>
    <d v="2024-11-26T00:00:00"/>
    <n v="19"/>
    <s v="11-2024"/>
    <x v="2"/>
    <s v="Brazil"/>
    <s v="Rio de Janeiro"/>
    <s v="Non-Profit"/>
    <x v="3"/>
    <x v="1"/>
    <x v="1"/>
    <x v="354"/>
    <n v="55.35"/>
    <n v="128.68"/>
    <n v="0.128"/>
    <n v="10"/>
    <n v="1122.0896000000002"/>
    <n v="553.5"/>
    <n v="568.58960000000025"/>
    <n v="0.50672388372550647"/>
    <s v="Q4-2024"/>
    <s v="Americas → Brazil → Rio de Janeiro"/>
    <s v="Low"/>
    <n v="2024"/>
    <x v="10"/>
    <s v="No"/>
    <x v="0"/>
  </r>
  <r>
    <s v="ORD-2023-144816"/>
    <d v="2023-05-07T00:00:00"/>
    <d v="2023-05-29T00:00:00"/>
    <d v="2023-05-07T00:00:00"/>
    <d v="2023-05-29T00:00:00"/>
    <n v="22"/>
    <s v="5-2023"/>
    <x v="0"/>
    <s v="South Africa"/>
    <s v="Durban"/>
    <s v="Education"/>
    <x v="3"/>
    <x v="12"/>
    <x v="6"/>
    <x v="355"/>
    <n v="653.86"/>
    <n v="931.84"/>
    <n v="0.121"/>
    <n v="12"/>
    <n v="9829.0483199999999"/>
    <n v="7846.32"/>
    <n v="1982.7283200000002"/>
    <n v="0.20172129136506273"/>
    <s v="Q2-2023"/>
    <s v="Africa → South Africa → Durban"/>
    <s v="Low"/>
    <n v="2023"/>
    <x v="5"/>
    <s v="No"/>
    <x v="0"/>
  </r>
  <r>
    <s v="ORD-2025-149156"/>
    <d v="2025-01-10T00:00:00"/>
    <d v="2025-02-06T00:00:00"/>
    <d v="2025-01-10T00:00:00"/>
    <d v="2025-02-06T00:00:00"/>
    <n v="27"/>
    <s v="1-2025"/>
    <x v="2"/>
    <s v="Brazil"/>
    <s v="Brasília"/>
    <s v="Non-Profit"/>
    <x v="0"/>
    <x v="5"/>
    <x v="4"/>
    <x v="356"/>
    <n v="725.62"/>
    <n v="1559.19"/>
    <n v="0.19"/>
    <n v="12"/>
    <n v="15155.326800000001"/>
    <n v="8707.44"/>
    <n v="6447.8868000000002"/>
    <n v="0.42545349797405885"/>
    <s v="Q1-2025"/>
    <s v="Americas → Brazil → Brasília"/>
    <s v="Medium"/>
    <n v="2025"/>
    <x v="4"/>
    <s v="No"/>
    <x v="0"/>
  </r>
  <r>
    <s v="ORD-2025-909340"/>
    <d v="2025-01-20T00:00:00"/>
    <d v="2025-02-03T00:00:00"/>
    <d v="2025-01-20T00:00:00"/>
    <d v="2025-02-03T00:00:00"/>
    <n v="14"/>
    <s v="1-2025"/>
    <x v="2"/>
    <s v="Brazil"/>
    <s v="Brasília"/>
    <s v="Enterprise"/>
    <x v="2"/>
    <x v="9"/>
    <x v="0"/>
    <x v="357"/>
    <n v="974.11"/>
    <n v="880.99"/>
    <n v="0.111"/>
    <n v="10"/>
    <n v="7832.0010999999995"/>
    <n v="9741.1"/>
    <n v="-1909.0989000000009"/>
    <n v="-0.2437562093805121"/>
    <s v="Q1-2025"/>
    <s v="Americas → Brazil → Brasília"/>
    <s v="Low"/>
    <n v="2025"/>
    <x v="4"/>
    <s v="No"/>
    <x v="0"/>
  </r>
  <r>
    <s v="ORD-2023-727290"/>
    <d v="2023-04-03T00:00:00"/>
    <d v="2023-04-16T00:00:00"/>
    <d v="2023-04-03T00:00:00"/>
    <d v="2023-04-16T00:00:00"/>
    <n v="13"/>
    <s v="4-2023"/>
    <x v="3"/>
    <s v="France"/>
    <s v="Marseille"/>
    <s v="Non-Profit"/>
    <x v="2"/>
    <x v="13"/>
    <x v="6"/>
    <x v="358"/>
    <n v="790.54"/>
    <n v="601.49"/>
    <n v="0"/>
    <n v="15"/>
    <n v="9022.35"/>
    <n v="11858.099999999999"/>
    <n v="-2835.7499999999982"/>
    <n v="-0.31430281467688553"/>
    <s v="Q2-2023"/>
    <s v="Europe → France → Marseille"/>
    <s v="Low"/>
    <n v="2023"/>
    <x v="7"/>
    <s v="No"/>
    <x v="0"/>
  </r>
  <r>
    <s v="ORD-2024-892173"/>
    <d v="2024-01-18T00:00:00"/>
    <d v="2024-02-03T00:00:00"/>
    <d v="2024-01-18T00:00:00"/>
    <d v="2024-02-03T00:00:00"/>
    <n v="16"/>
    <s v="1-2024"/>
    <x v="0"/>
    <s v="South Africa"/>
    <s v="Cape Town"/>
    <s v="Non-Profit"/>
    <x v="3"/>
    <x v="4"/>
    <x v="1"/>
    <x v="359"/>
    <n v="666.23"/>
    <n v="1382.91"/>
    <n v="0.17599999999999999"/>
    <n v="13"/>
    <n v="14813.731920000002"/>
    <n v="8660.99"/>
    <n v="6152.7419200000022"/>
    <n v="0.41534043907553048"/>
    <s v="Q1-2024"/>
    <s v="Africa → South Africa → Cape Town"/>
    <s v="Medium"/>
    <n v="2024"/>
    <x v="4"/>
    <s v="No"/>
    <x v="0"/>
  </r>
  <r>
    <s v="ORD-2023-406606"/>
    <d v="2023-10-25T00:00:00"/>
    <d v="2023-10-28T00:00:00"/>
    <d v="2023-10-25T00:00:00"/>
    <d v="2023-10-28T00:00:00"/>
    <n v="3"/>
    <s v="10-2023"/>
    <x v="2"/>
    <s v="Brazil"/>
    <s v="Brasília"/>
    <s v="Corporate"/>
    <x v="3"/>
    <x v="4"/>
    <x v="6"/>
    <x v="360"/>
    <n v="509.31"/>
    <n v="1145.9000000000001"/>
    <n v="5.7000000000000002E-2"/>
    <n v="8"/>
    <n v="8644.6696000000011"/>
    <n v="4074.48"/>
    <n v="4570.1896000000015"/>
    <n v="0.52867140231709964"/>
    <s v="Q4-2023"/>
    <s v="Americas → Brazil → Brasília"/>
    <s v="Low"/>
    <n v="2023"/>
    <x v="1"/>
    <s v="Yes"/>
    <x v="0"/>
  </r>
  <r>
    <s v="ORD-2025-591006"/>
    <d v="2025-06-25T00:00:00"/>
    <d v="2025-07-10T00:00:00"/>
    <d v="2025-06-25T00:00:00"/>
    <d v="2025-07-10T00:00:00"/>
    <n v="15"/>
    <s v="6-2025"/>
    <x v="3"/>
    <s v="United Kingdom"/>
    <s v="Birmingham"/>
    <s v="Non-Profit"/>
    <x v="2"/>
    <x v="8"/>
    <x v="3"/>
    <x v="361"/>
    <n v="546.83000000000004"/>
    <n v="400.84"/>
    <n v="7.8E-2"/>
    <n v="13"/>
    <n v="4804.4682400000002"/>
    <n v="7108.7900000000009"/>
    <n v="-2304.3217600000007"/>
    <n v="-0.47962056254533608"/>
    <s v="Q2-2025"/>
    <s v="Europe → United Kingdom → Birmingham"/>
    <s v="Low"/>
    <n v="2025"/>
    <x v="9"/>
    <s v="No"/>
    <x v="0"/>
  </r>
  <r>
    <s v="ORD-2023-159821"/>
    <d v="2023-07-01T00:00:00"/>
    <d v="2023-07-08T00:00:00"/>
    <d v="2023-07-01T00:00:00"/>
    <d v="2023-07-08T00:00:00"/>
    <n v="7"/>
    <s v="7-2023"/>
    <x v="0"/>
    <s v="Nigeria"/>
    <s v="Port Harcourt"/>
    <s v="Corporate"/>
    <x v="0"/>
    <x v="14"/>
    <x v="4"/>
    <x v="362"/>
    <n v="834.26"/>
    <n v="1780.56"/>
    <n v="1.4E-2"/>
    <n v="47"/>
    <n v="82514.711519999997"/>
    <n v="39210.22"/>
    <n v="43304.491519999996"/>
    <n v="0.5248093427497933"/>
    <s v="Q3-2023"/>
    <s v="Africa → Nigeria → Port Harcourt"/>
    <s v="Medium"/>
    <n v="2023"/>
    <x v="6"/>
    <s v="Yes"/>
    <x v="0"/>
  </r>
  <r>
    <s v="ORD-2024-343877"/>
    <d v="2024-03-09T00:00:00"/>
    <d v="2024-03-26T00:00:00"/>
    <d v="2024-03-09T00:00:00"/>
    <d v="2024-03-26T00:00:00"/>
    <n v="17"/>
    <s v="3-2024"/>
    <x v="1"/>
    <s v="China"/>
    <s v="Shenzhen"/>
    <s v="Enterprise"/>
    <x v="1"/>
    <x v="12"/>
    <x v="5"/>
    <x v="363"/>
    <n v="1029.67"/>
    <n v="1118.43"/>
    <n v="0.27200000000000002"/>
    <n v="9"/>
    <n v="7327.9533600000004"/>
    <n v="9267.0300000000007"/>
    <n v="-1939.0766400000002"/>
    <n v="-0.26461367106736061"/>
    <s v="Q1-2024"/>
    <s v="Asia → China → Shenzhen"/>
    <s v="Low"/>
    <n v="2024"/>
    <x v="0"/>
    <s v="No"/>
    <x v="1"/>
  </r>
  <r>
    <s v="ORD-2023-386663"/>
    <d v="2023-06-05T00:00:00"/>
    <d v="2023-06-28T00:00:00"/>
    <d v="2023-06-05T00:00:00"/>
    <d v="2023-06-28T00:00:00"/>
    <n v="23"/>
    <s v="6-2023"/>
    <x v="3"/>
    <s v="United Kingdom"/>
    <s v="Birmingham"/>
    <s v="Corporate"/>
    <x v="4"/>
    <x v="12"/>
    <x v="1"/>
    <x v="364"/>
    <n v="605.82000000000005"/>
    <n v="771.12"/>
    <n v="0.13200000000000001"/>
    <n v="19"/>
    <n v="12717.311040000001"/>
    <n v="11510.580000000002"/>
    <n v="1206.7310399999988"/>
    <n v="9.4888851597986767E-2"/>
    <s v="Q2-2023"/>
    <s v="Europe → United Kingdom → Birmingham"/>
    <s v="Low"/>
    <n v="2023"/>
    <x v="9"/>
    <s v="No"/>
    <x v="0"/>
  </r>
  <r>
    <s v="ORD-2025-125517"/>
    <d v="2025-03-21T00:00:00"/>
    <d v="2025-04-09T00:00:00"/>
    <d v="2025-03-21T00:00:00"/>
    <d v="2025-04-09T00:00:00"/>
    <n v="19"/>
    <s v="3-2025"/>
    <x v="1"/>
    <s v="Japan"/>
    <s v="Tokyo"/>
    <s v="Small Business"/>
    <x v="3"/>
    <x v="6"/>
    <x v="0"/>
    <x v="365"/>
    <n v="1055.45"/>
    <n v="1210.04"/>
    <n v="8.9999999999999993E-3"/>
    <n v="18"/>
    <n v="21584.693520000001"/>
    <n v="18998.100000000002"/>
    <n v="2586.5935199999985"/>
    <n v="0.1198346188053727"/>
    <s v="Q1-2025"/>
    <s v="Asia → Japan → Tokyo"/>
    <s v="Medium"/>
    <n v="2025"/>
    <x v="0"/>
    <s v="No"/>
    <x v="0"/>
  </r>
  <r>
    <s v="ORD-2024-819778"/>
    <d v="2024-06-02T00:00:00"/>
    <d v="2024-06-15T00:00:00"/>
    <d v="2024-06-02T00:00:00"/>
    <d v="2024-06-15T00:00:00"/>
    <n v="13"/>
    <s v="6-2024"/>
    <x v="0"/>
    <s v="Kenya"/>
    <s v="Mombasa"/>
    <s v="Education"/>
    <x v="1"/>
    <x v="7"/>
    <x v="3"/>
    <x v="366"/>
    <n v="1295.18"/>
    <n v="3024.03"/>
    <n v="0.192"/>
    <n v="8"/>
    <n v="19547.329920000004"/>
    <n v="10361.44"/>
    <n v="9185.8899200000033"/>
    <n v="0.46993067378483178"/>
    <s v="Q2-2024"/>
    <s v="Africa → Kenya → Mombasa"/>
    <s v="High"/>
    <n v="2024"/>
    <x v="9"/>
    <s v="No"/>
    <x v="0"/>
  </r>
  <r>
    <s v="ORD-2025-624006"/>
    <d v="2025-03-15T00:00:00"/>
    <d v="2025-03-29T00:00:00"/>
    <d v="2025-03-15T00:00:00"/>
    <d v="2025-03-29T00:00:00"/>
    <n v="14"/>
    <s v="3-2025"/>
    <x v="1"/>
    <s v="India"/>
    <s v="Mumbai"/>
    <s v="Enterprise"/>
    <x v="4"/>
    <x v="0"/>
    <x v="0"/>
    <x v="367"/>
    <n v="935.83"/>
    <n v="2303.46"/>
    <n v="0.105"/>
    <n v="9"/>
    <n v="18554.370299999999"/>
    <n v="8422.4700000000012"/>
    <n v="10131.900299999998"/>
    <n v="0.54606543559174292"/>
    <s v="Q1-2025"/>
    <s v="Asia → India → Mumbai"/>
    <s v="High"/>
    <n v="2025"/>
    <x v="0"/>
    <s v="No"/>
    <x v="0"/>
  </r>
  <r>
    <s v="ORD-2023-132101"/>
    <d v="2023-09-25T00:00:00"/>
    <d v="2023-10-09T00:00:00"/>
    <d v="2023-09-25T00:00:00"/>
    <d v="2023-10-09T00:00:00"/>
    <n v="14"/>
    <s v="9-2023"/>
    <x v="2"/>
    <s v="USA"/>
    <s v="New York"/>
    <s v="Small Business"/>
    <x v="2"/>
    <x v="1"/>
    <x v="4"/>
    <x v="368"/>
    <n v="1279.56"/>
    <n v="3083.8"/>
    <n v="0.106"/>
    <n v="5"/>
    <n v="13784.586000000001"/>
    <n v="6397.7999999999993"/>
    <n v="7386.7860000000019"/>
    <n v="0.53587289455047848"/>
    <s v="Q3-2023"/>
    <s v="Americas → USA → New York"/>
    <s v="High"/>
    <n v="2023"/>
    <x v="8"/>
    <s v="No"/>
    <x v="0"/>
  </r>
  <r>
    <s v="ORD-2025-306903"/>
    <d v="2025-06-24T00:00:00"/>
    <d v="2025-07-23T00:00:00"/>
    <d v="2025-06-24T00:00:00"/>
    <d v="2025-07-23T00:00:00"/>
    <n v="29"/>
    <s v="6-2025"/>
    <x v="2"/>
    <s v="Canada"/>
    <s v="Vancouver"/>
    <s v="Non-Profit"/>
    <x v="2"/>
    <x v="2"/>
    <x v="1"/>
    <x v="369"/>
    <n v="255.4"/>
    <n v="322.70999999999998"/>
    <n v="0.115"/>
    <n v="16"/>
    <n v="4569.5735999999997"/>
    <n v="4086.4"/>
    <n v="483.17359999999962"/>
    <n v="0.10573713048412212"/>
    <s v="Q2-2025"/>
    <s v="Americas → Canada → Vancouver"/>
    <s v="Low"/>
    <n v="2025"/>
    <x v="9"/>
    <s v="No"/>
    <x v="0"/>
  </r>
  <r>
    <s v="ORD-2023-813340"/>
    <d v="2023-12-26T00:00:00"/>
    <d v="2024-01-03T00:00:00"/>
    <d v="2023-12-26T00:00:00"/>
    <d v="2024-01-03T00:00:00"/>
    <n v="8"/>
    <s v="12-2023"/>
    <x v="3"/>
    <s v="France"/>
    <s v="Lyon"/>
    <s v="Small Business"/>
    <x v="0"/>
    <x v="13"/>
    <x v="4"/>
    <x v="370"/>
    <n v="492.75"/>
    <n v="731.29"/>
    <n v="5.8000000000000003E-2"/>
    <n v="6"/>
    <n v="4133.25108"/>
    <n v="2956.5"/>
    <n v="1176.75108"/>
    <n v="0.28470350753528384"/>
    <s v="Q4-2023"/>
    <s v="Europe → France → Lyon"/>
    <s v="Low"/>
    <n v="2023"/>
    <x v="3"/>
    <s v="No"/>
    <x v="0"/>
  </r>
  <r>
    <s v="ORD-2023-855675"/>
    <d v="2023-02-05T00:00:00"/>
    <d v="2023-02-28T00:00:00"/>
    <d v="2023-02-05T00:00:00"/>
    <d v="2023-02-28T00:00:00"/>
    <n v="23"/>
    <s v="2-2023"/>
    <x v="2"/>
    <s v="USA"/>
    <s v="Austin"/>
    <s v="Non-Profit"/>
    <x v="3"/>
    <x v="4"/>
    <x v="3"/>
    <x v="371"/>
    <n v="1214.49"/>
    <n v="1533.95"/>
    <n v="0"/>
    <n v="11"/>
    <n v="16873.45"/>
    <n v="13359.39"/>
    <n v="3514.0600000000013"/>
    <n v="0.20825972163369086"/>
    <s v="Q1-2023"/>
    <s v="Americas → USA → Austin"/>
    <s v="Medium"/>
    <n v="2023"/>
    <x v="2"/>
    <s v="No"/>
    <x v="0"/>
  </r>
  <r>
    <s v="ORD-2023-545150"/>
    <d v="2023-04-06T00:00:00"/>
    <d v="2023-04-08T00:00:00"/>
    <d v="2023-04-06T00:00:00"/>
    <d v="2023-04-08T00:00:00"/>
    <n v="2"/>
    <s v="4-2023"/>
    <x v="0"/>
    <s v="Nigeria"/>
    <s v="Abuja"/>
    <s v="Small Business"/>
    <x v="2"/>
    <x v="12"/>
    <x v="5"/>
    <x v="372"/>
    <n v="720.35"/>
    <n v="1571.66"/>
    <n v="0.107"/>
    <n v="23"/>
    <n v="32280.32474"/>
    <n v="16568.05"/>
    <n v="15712.274740000001"/>
    <n v="0.4867446305622265"/>
    <s v="Q2-2023"/>
    <s v="Africa → Nigeria → Abuja"/>
    <s v="Medium"/>
    <n v="2023"/>
    <x v="7"/>
    <s v="Yes"/>
    <x v="0"/>
  </r>
  <r>
    <s v="ORD-2025-269934"/>
    <d v="2025-04-04T00:00:00"/>
    <d v="2025-04-10T00:00:00"/>
    <d v="2025-04-04T00:00:00"/>
    <d v="2025-04-10T00:00:00"/>
    <n v="6"/>
    <s v="4-2025"/>
    <x v="3"/>
    <s v="United Kingdom"/>
    <s v="Birmingham"/>
    <s v="Non-Profit"/>
    <x v="4"/>
    <x v="10"/>
    <x v="1"/>
    <x v="373"/>
    <n v="290.14"/>
    <n v="250.73"/>
    <n v="3.4000000000000002E-2"/>
    <n v="17"/>
    <n v="4117.4880599999997"/>
    <n v="4932.38"/>
    <n v="-814.89194000000043"/>
    <n v="-0.19790997038131072"/>
    <s v="Q2-2025"/>
    <s v="Europe → United Kingdom → Birmingham"/>
    <s v="Low"/>
    <n v="2025"/>
    <x v="7"/>
    <s v="Yes"/>
    <x v="0"/>
  </r>
  <r>
    <s v="ORD-2024-690270"/>
    <d v="2024-05-17T00:00:00"/>
    <d v="2024-05-27T00:00:00"/>
    <d v="2024-05-17T00:00:00"/>
    <d v="2024-05-27T00:00:00"/>
    <n v="10"/>
    <s v="5-2024"/>
    <x v="2"/>
    <s v="USA"/>
    <s v="Austin"/>
    <s v="Non-Profit"/>
    <x v="1"/>
    <x v="0"/>
    <x v="3"/>
    <x v="374"/>
    <n v="1484.23"/>
    <n v="3472.81"/>
    <n v="0.25600000000000001"/>
    <n v="12"/>
    <n v="31005.24768"/>
    <n v="17810.760000000002"/>
    <n v="13194.487679999998"/>
    <n v="0.42555659661803413"/>
    <s v="Q2-2024"/>
    <s v="Americas → USA → Austin"/>
    <s v="High"/>
    <n v="2024"/>
    <x v="5"/>
    <s v="No"/>
    <x v="1"/>
  </r>
  <r>
    <s v="ORD-2024-868223"/>
    <d v="2024-03-03T00:00:00"/>
    <d v="2024-03-19T00:00:00"/>
    <d v="2024-03-03T00:00:00"/>
    <d v="2024-03-19T00:00:00"/>
    <n v="16"/>
    <s v="3-2024"/>
    <x v="1"/>
    <s v="China"/>
    <s v="Beijing"/>
    <s v="Consumer"/>
    <x v="3"/>
    <x v="3"/>
    <x v="3"/>
    <x v="375"/>
    <n v="988.83"/>
    <n v="1206.04"/>
    <n v="6.3E-2"/>
    <n v="34"/>
    <n v="38422.022320000004"/>
    <n v="33620.22"/>
    <n v="4801.8023200000025"/>
    <n v="0.12497526236406606"/>
    <s v="Q1-2024"/>
    <s v="Asia → China → Beijing"/>
    <s v="Medium"/>
    <n v="2024"/>
    <x v="0"/>
    <s v="No"/>
    <x v="0"/>
  </r>
  <r>
    <s v="ORD-2025-188059"/>
    <d v="2025-06-27T00:00:00"/>
    <d v="2025-07-11T00:00:00"/>
    <d v="2025-06-27T00:00:00"/>
    <d v="2025-07-11T00:00:00"/>
    <n v="14"/>
    <s v="6-2025"/>
    <x v="1"/>
    <s v="China"/>
    <s v="Shanghai"/>
    <s v="Small Business"/>
    <x v="2"/>
    <x v="4"/>
    <x v="2"/>
    <x v="376"/>
    <n v="1227.7"/>
    <n v="2197.23"/>
    <n v="9.9000000000000005E-2"/>
    <n v="22"/>
    <n v="43553.493060000001"/>
    <n v="27009.4"/>
    <n v="16544.093059999999"/>
    <n v="0.37985685871873898"/>
    <s v="Q2-2025"/>
    <s v="Asia → China → Shanghai"/>
    <s v="High"/>
    <n v="2025"/>
    <x v="9"/>
    <s v="No"/>
    <x v="0"/>
  </r>
  <r>
    <s v="ORD-2023-281890"/>
    <d v="2023-03-13T00:00:00"/>
    <d v="2023-04-04T00:00:00"/>
    <d v="2023-03-13T00:00:00"/>
    <d v="2023-04-04T00:00:00"/>
    <n v="22"/>
    <s v="3-2023"/>
    <x v="0"/>
    <s v="South Africa"/>
    <s v="Durban"/>
    <s v="Small Business"/>
    <x v="0"/>
    <x v="14"/>
    <x v="0"/>
    <x v="377"/>
    <n v="1113.7"/>
    <n v="1620.6"/>
    <n v="0.13900000000000001"/>
    <n v="11"/>
    <n v="15348.702599999999"/>
    <n v="12250.7"/>
    <n v="3098.002599999998"/>
    <n v="0.20184133348182787"/>
    <s v="Q1-2023"/>
    <s v="Africa → South Africa → Durban"/>
    <s v="Medium"/>
    <n v="2023"/>
    <x v="0"/>
    <s v="No"/>
    <x v="0"/>
  </r>
  <r>
    <s v="ORD-2025-636162"/>
    <d v="2025-01-07T00:00:00"/>
    <d v="2025-01-20T00:00:00"/>
    <d v="2025-01-07T00:00:00"/>
    <d v="2025-01-20T00:00:00"/>
    <n v="13"/>
    <s v="1-2025"/>
    <x v="0"/>
    <s v="South Africa"/>
    <s v="Cape Town"/>
    <s v="Corporate"/>
    <x v="4"/>
    <x v="12"/>
    <x v="2"/>
    <x v="378"/>
    <n v="432.13"/>
    <n v="1034.6600000000001"/>
    <n v="9.1999999999999998E-2"/>
    <n v="7"/>
    <n v="6576.298960000001"/>
    <n v="3024.91"/>
    <n v="3551.3889600000011"/>
    <n v="0.54002851476204794"/>
    <s v="Q1-2025"/>
    <s v="Africa → South Africa → Cape Town"/>
    <s v="Low"/>
    <n v="2025"/>
    <x v="4"/>
    <s v="No"/>
    <x v="0"/>
  </r>
  <r>
    <s v="ORD-2025-915869"/>
    <d v="2025-02-06T00:00:00"/>
    <d v="2025-02-15T00:00:00"/>
    <d v="2025-02-06T00:00:00"/>
    <d v="2025-02-15T00:00:00"/>
    <n v="9"/>
    <s v="2-2025"/>
    <x v="2"/>
    <s v="Brazil"/>
    <s v="São Paulo"/>
    <s v="Non-Profit"/>
    <x v="3"/>
    <x v="9"/>
    <x v="2"/>
    <x v="379"/>
    <n v="837.39"/>
    <n v="1905.42"/>
    <n v="3.2000000000000001E-2"/>
    <n v="18"/>
    <n v="33200.038079999998"/>
    <n v="15073.02"/>
    <n v="18127.018079999998"/>
    <n v="0.54599389423350919"/>
    <s v="Q1-2025"/>
    <s v="Americas → Brazil → São Paulo"/>
    <s v="Medium"/>
    <n v="2025"/>
    <x v="2"/>
    <s v="No"/>
    <x v="0"/>
  </r>
  <r>
    <s v="ORD-2025-192876"/>
    <d v="2025-01-31T00:00:00"/>
    <d v="2025-02-17T00:00:00"/>
    <d v="2025-01-31T00:00:00"/>
    <d v="2025-02-17T00:00:00"/>
    <n v="17"/>
    <s v="1-2025"/>
    <x v="3"/>
    <s v="United Kingdom"/>
    <s v="London"/>
    <s v="Enterprise"/>
    <x v="0"/>
    <x v="11"/>
    <x v="0"/>
    <x v="78"/>
    <n v="378.26"/>
    <n v="541.55999999999995"/>
    <n v="0.16300000000000001"/>
    <n v="25"/>
    <n v="11332.142999999998"/>
    <n v="9456.5"/>
    <n v="1875.6429999999982"/>
    <n v="0.16551529573885526"/>
    <s v="Q1-2025"/>
    <s v="Europe → United Kingdom → London"/>
    <s v="Low"/>
    <n v="2025"/>
    <x v="4"/>
    <s v="No"/>
    <x v="0"/>
  </r>
  <r>
    <s v="ORD-2025-822030"/>
    <d v="2025-08-07T00:00:00"/>
    <d v="2025-09-06T00:00:00"/>
    <d v="2025-08-07T00:00:00"/>
    <d v="2025-09-06T00:00:00"/>
    <n v="30"/>
    <s v="8-2025"/>
    <x v="2"/>
    <s v="Canada"/>
    <s v="Montreal"/>
    <s v="Education"/>
    <x v="4"/>
    <x v="13"/>
    <x v="2"/>
    <x v="380"/>
    <n v="833.73"/>
    <n v="1116.5999999999999"/>
    <n v="0.17599999999999999"/>
    <n v="14"/>
    <n v="12881.097599999999"/>
    <n v="11672.220000000001"/>
    <n v="1208.877599999998"/>
    <n v="9.3848958958279924E-2"/>
    <s v="Q3-2025"/>
    <s v="Americas → Canada → Montreal"/>
    <s v="Low"/>
    <n v="2025"/>
    <x v="11"/>
    <s v="No"/>
    <x v="0"/>
  </r>
  <r>
    <s v="ORD-2025-789245"/>
    <d v="2025-07-23T00:00:00"/>
    <d v="2025-08-17T00:00:00"/>
    <d v="2025-07-23T00:00:00"/>
    <d v="2025-08-17T00:00:00"/>
    <n v="25"/>
    <s v="7-2025"/>
    <x v="3"/>
    <s v="United Kingdom"/>
    <s v="Birmingham"/>
    <s v="Education"/>
    <x v="1"/>
    <x v="2"/>
    <x v="1"/>
    <x v="381"/>
    <n v="1142.06"/>
    <n v="1455"/>
    <n v="7.8E-2"/>
    <n v="28"/>
    <n v="37562.28"/>
    <n v="31977.68"/>
    <n v="5584.5999999999985"/>
    <n v="0.1486757459877302"/>
    <s v="Q3-2025"/>
    <s v="Europe → United Kingdom → Birmingham"/>
    <s v="Medium"/>
    <n v="2025"/>
    <x v="6"/>
    <s v="No"/>
    <x v="0"/>
  </r>
  <r>
    <s v="ORD-2023-594955"/>
    <d v="2023-06-20T00:00:00"/>
    <d v="2023-07-08T00:00:00"/>
    <d v="2023-06-20T00:00:00"/>
    <d v="2023-07-08T00:00:00"/>
    <n v="18"/>
    <s v="6-2023"/>
    <x v="2"/>
    <s v="USA"/>
    <s v="New York"/>
    <s v="Consumer"/>
    <x v="2"/>
    <x v="7"/>
    <x v="2"/>
    <x v="382"/>
    <n v="1145.53"/>
    <n v="1278.3"/>
    <n v="0.09"/>
    <n v="41"/>
    <n v="47693.373"/>
    <n v="46966.729999999996"/>
    <n v="726.64300000000367"/>
    <n v="1.5235722581416158E-2"/>
    <s v="Q2-2023"/>
    <s v="Americas → USA → New York"/>
    <s v="Medium"/>
    <n v="2023"/>
    <x v="9"/>
    <s v="No"/>
    <x v="0"/>
  </r>
  <r>
    <s v="ORD-2024-398783"/>
    <d v="2024-07-18T00:00:00"/>
    <d v="2024-08-07T00:00:00"/>
    <d v="2024-07-18T00:00:00"/>
    <d v="2024-08-07T00:00:00"/>
    <n v="20"/>
    <s v="7-2024"/>
    <x v="3"/>
    <s v="France"/>
    <s v="Marseille"/>
    <s v="Corporate"/>
    <x v="0"/>
    <x v="9"/>
    <x v="5"/>
    <x v="383"/>
    <n v="941.35"/>
    <n v="899.83"/>
    <n v="5.8000000000000003E-2"/>
    <n v="18"/>
    <n v="15257.51748"/>
    <n v="16944.3"/>
    <n v="-1686.7825199999988"/>
    <n v="-0.11055419220139073"/>
    <s v="Q3-2024"/>
    <s v="Europe → France → Marseille"/>
    <s v="Low"/>
    <n v="2024"/>
    <x v="6"/>
    <s v="No"/>
    <x v="0"/>
  </r>
  <r>
    <s v="ORD-2023-676553"/>
    <d v="2023-05-20T00:00:00"/>
    <d v="2023-06-19T00:00:00"/>
    <d v="2023-05-20T00:00:00"/>
    <d v="2023-06-19T00:00:00"/>
    <n v="30"/>
    <s v="5-2023"/>
    <x v="1"/>
    <s v="India"/>
    <s v="Delhi"/>
    <s v="Non-Profit"/>
    <x v="2"/>
    <x v="11"/>
    <x v="4"/>
    <x v="384"/>
    <n v="1161.2"/>
    <n v="878.73"/>
    <n v="0.19"/>
    <n v="31"/>
    <n v="22064.910300000003"/>
    <n v="35997.200000000004"/>
    <n v="-13932.289700000001"/>
    <n v="-0.63142290227212028"/>
    <s v="Q2-2023"/>
    <s v="Asia → India → Delhi"/>
    <s v="Low"/>
    <n v="2023"/>
    <x v="5"/>
    <s v="No"/>
    <x v="0"/>
  </r>
  <r>
    <s v="ORD-2025-866565"/>
    <d v="2025-05-12T00:00:00"/>
    <d v="2025-05-26T00:00:00"/>
    <d v="2025-05-12T00:00:00"/>
    <d v="2025-05-26T00:00:00"/>
    <n v="14"/>
    <s v="5-2025"/>
    <x v="1"/>
    <s v="India"/>
    <s v="Hyderabad"/>
    <s v="Corporate"/>
    <x v="2"/>
    <x v="3"/>
    <x v="1"/>
    <x v="385"/>
    <n v="320.12"/>
    <n v="594.41999999999996"/>
    <n v="0.104"/>
    <n v="18"/>
    <n v="9586.8057599999993"/>
    <n v="5762.16"/>
    <n v="3824.6457599999994"/>
    <n v="0.39894891538931104"/>
    <s v="Q2-2025"/>
    <s v="Asia → India → Hyderabad"/>
    <s v="Low"/>
    <n v="2025"/>
    <x v="5"/>
    <s v="No"/>
    <x v="0"/>
  </r>
  <r>
    <s v="ORD-2024-527858"/>
    <d v="2024-05-07T00:00:00"/>
    <d v="2024-05-12T00:00:00"/>
    <d v="2024-05-07T00:00:00"/>
    <d v="2024-05-12T00:00:00"/>
    <n v="5"/>
    <s v="5-2024"/>
    <x v="0"/>
    <s v="Nigeria"/>
    <s v="Abuja"/>
    <s v="Non-Profit"/>
    <x v="3"/>
    <x v="4"/>
    <x v="4"/>
    <x v="386"/>
    <n v="1163.99"/>
    <n v="1617.85"/>
    <n v="0.127"/>
    <n v="14"/>
    <n v="19773.362699999998"/>
    <n v="16295.86"/>
    <n v="3477.5026999999973"/>
    <n v="0.17586804797749436"/>
    <s v="Q2-2024"/>
    <s v="Africa → Nigeria → Abuja"/>
    <s v="Medium"/>
    <n v="2024"/>
    <x v="5"/>
    <s v="Yes"/>
    <x v="0"/>
  </r>
  <r>
    <s v="ORD-2023-619385"/>
    <d v="2023-09-30T00:00:00"/>
    <d v="2023-10-03T00:00:00"/>
    <d v="2023-09-30T00:00:00"/>
    <d v="2023-10-03T00:00:00"/>
    <n v="3"/>
    <s v="9-2023"/>
    <x v="1"/>
    <s v="China"/>
    <s v="Beijing"/>
    <s v="Non-Profit"/>
    <x v="0"/>
    <x v="1"/>
    <x v="4"/>
    <x v="387"/>
    <n v="1019.36"/>
    <n v="972.91"/>
    <n v="0.14699999999999999"/>
    <n v="17"/>
    <n v="14108.16791"/>
    <n v="17329.12"/>
    <n v="-3220.9520899999989"/>
    <n v="-0.22830406545678819"/>
    <s v="Q3-2023"/>
    <s v="Asia → China → Beijing"/>
    <s v="Low"/>
    <n v="2023"/>
    <x v="8"/>
    <s v="Yes"/>
    <x v="0"/>
  </r>
  <r>
    <s v="ORD-2023-835226"/>
    <d v="2023-10-26T00:00:00"/>
    <d v="2023-11-05T00:00:00"/>
    <d v="2023-10-26T00:00:00"/>
    <d v="2023-11-05T00:00:00"/>
    <n v="10"/>
    <s v="10-2023"/>
    <x v="0"/>
    <s v="South Africa"/>
    <s v="Cape Town"/>
    <s v="Non-Profit"/>
    <x v="1"/>
    <x v="2"/>
    <x v="4"/>
    <x v="388"/>
    <n v="20.38"/>
    <n v="42.56"/>
    <n v="7.1999999999999995E-2"/>
    <n v="11"/>
    <n v="434.45248000000004"/>
    <n v="224.17999999999998"/>
    <n v="210.27248000000006"/>
    <n v="0.48399419885921713"/>
    <s v="Q4-2023"/>
    <s v="Africa → South Africa → Cape Town"/>
    <s v="Low"/>
    <n v="2023"/>
    <x v="1"/>
    <s v="No"/>
    <x v="0"/>
  </r>
  <r>
    <s v="ORD-2025-485946"/>
    <d v="2025-06-15T00:00:00"/>
    <d v="2025-06-30T00:00:00"/>
    <d v="2025-06-15T00:00:00"/>
    <d v="2025-06-30T00:00:00"/>
    <n v="15"/>
    <s v="6-2025"/>
    <x v="0"/>
    <s v="South Africa"/>
    <s v="Johannesburg"/>
    <s v="Small Business"/>
    <x v="4"/>
    <x v="0"/>
    <x v="5"/>
    <x v="389"/>
    <n v="1487.59"/>
    <n v="1480.83"/>
    <n v="8.9999999999999993E-3"/>
    <n v="11"/>
    <n v="16142.527829999999"/>
    <n v="16363.49"/>
    <n v="-220.9621700000007"/>
    <n v="-1.3688201273492908E-2"/>
    <s v="Q2-2025"/>
    <s v="Africa → South Africa → Johannesburg"/>
    <s v="Medium"/>
    <n v="2025"/>
    <x v="9"/>
    <s v="No"/>
    <x v="0"/>
  </r>
  <r>
    <s v="ORD-2024-307849"/>
    <d v="2024-08-10T00:00:00"/>
    <d v="2024-09-07T00:00:00"/>
    <d v="2024-08-10T00:00:00"/>
    <d v="2024-09-07T00:00:00"/>
    <n v="28"/>
    <s v="8-2024"/>
    <x v="3"/>
    <s v="France"/>
    <s v="Marseille"/>
    <s v="Non-Profit"/>
    <x v="4"/>
    <x v="9"/>
    <x v="1"/>
    <x v="390"/>
    <n v="229.96"/>
    <n v="564.26"/>
    <n v="0.105"/>
    <n v="5"/>
    <n v="2525.0635000000002"/>
    <n v="1149.8"/>
    <n v="1375.2635000000002"/>
    <n v="0.54464511486542821"/>
    <s v="Q3-2024"/>
    <s v="Europe → France → Marseille"/>
    <s v="Low"/>
    <n v="2024"/>
    <x v="11"/>
    <s v="No"/>
    <x v="0"/>
  </r>
  <r>
    <s v="ORD-2023-368449"/>
    <d v="2023-10-09T00:00:00"/>
    <d v="2023-10-26T00:00:00"/>
    <d v="2023-10-09T00:00:00"/>
    <d v="2023-10-26T00:00:00"/>
    <n v="17"/>
    <s v="10-2023"/>
    <x v="1"/>
    <s v="China"/>
    <s v="Shanghai"/>
    <s v="Consumer"/>
    <x v="2"/>
    <x v="0"/>
    <x v="0"/>
    <x v="391"/>
    <n v="1132.03"/>
    <n v="2137.21"/>
    <n v="0.1186"/>
    <n v="35"/>
    <n v="65930.791290000008"/>
    <n v="39621.049999999996"/>
    <n v="26309.741290000013"/>
    <n v="0.39905089526796744"/>
    <s v="Q4-2023"/>
    <s v="Asia → China → Shanghai"/>
    <s v="High"/>
    <n v="2023"/>
    <x v="1"/>
    <s v="No"/>
    <x v="0"/>
  </r>
  <r>
    <s v="ORD-2024-251426"/>
    <d v="2024-03-09T00:00:00"/>
    <d v="2024-03-26T00:00:00"/>
    <d v="2024-03-09T00:00:00"/>
    <d v="2024-03-26T00:00:00"/>
    <n v="17"/>
    <s v="3-2024"/>
    <x v="2"/>
    <s v="USA"/>
    <s v="San Francisco"/>
    <s v="Education"/>
    <x v="4"/>
    <x v="2"/>
    <x v="3"/>
    <x v="392"/>
    <n v="1137.4100000000001"/>
    <n v="1680.93"/>
    <n v="0.254"/>
    <n v="9"/>
    <n v="11285.764020000001"/>
    <n v="10236.69"/>
    <n v="1049.07402"/>
    <n v="9.2955516183121464E-2"/>
    <s v="Q1-2024"/>
    <s v="Americas → USA → San Francisco"/>
    <s v="Medium"/>
    <n v="2024"/>
    <x v="0"/>
    <s v="No"/>
    <x v="1"/>
  </r>
  <r>
    <s v="ORD-2023-927385"/>
    <d v="2023-05-29T00:00:00"/>
    <d v="2023-06-20T00:00:00"/>
    <d v="2023-05-29T00:00:00"/>
    <d v="2023-06-20T00:00:00"/>
    <n v="22"/>
    <s v="5-2023"/>
    <x v="3"/>
    <s v="United Kingdom"/>
    <s v="London"/>
    <s v="Small Business"/>
    <x v="4"/>
    <x v="12"/>
    <x v="0"/>
    <x v="393"/>
    <n v="1295.3900000000001"/>
    <n v="2905.06"/>
    <n v="0.14799999999999999"/>
    <n v="8"/>
    <n v="19800.88896"/>
    <n v="10363.120000000001"/>
    <n v="9437.7689599999994"/>
    <n v="0.47663359857556614"/>
    <s v="Q2-2023"/>
    <s v="Europe → United Kingdom → London"/>
    <s v="High"/>
    <n v="2023"/>
    <x v="5"/>
    <s v="No"/>
    <x v="0"/>
  </r>
  <r>
    <s v="ORD-2024-215294"/>
    <d v="2024-06-30T00:00:00"/>
    <d v="2024-07-14T00:00:00"/>
    <d v="2024-06-30T00:00:00"/>
    <d v="2024-07-14T00:00:00"/>
    <n v="14"/>
    <s v="6-2024"/>
    <x v="2"/>
    <s v="Brazil"/>
    <s v="Brasília"/>
    <s v="Education"/>
    <x v="0"/>
    <x v="0"/>
    <x v="6"/>
    <x v="394"/>
    <n v="1491.85"/>
    <n v="2583.02"/>
    <n v="0.16800000000000001"/>
    <n v="4"/>
    <n v="8596.2905599999995"/>
    <n v="5967.4"/>
    <n v="2628.8905599999998"/>
    <n v="0.30581685689321325"/>
    <s v="Q2-2024"/>
    <s v="Americas → Brazil → Brasília"/>
    <s v="High"/>
    <n v="2024"/>
    <x v="9"/>
    <s v="No"/>
    <x v="0"/>
  </r>
  <r>
    <s v="ORD-2025-677880"/>
    <d v="2025-08-21T00:00:00"/>
    <d v="2025-09-14T00:00:00"/>
    <d v="2025-08-21T00:00:00"/>
    <d v="2025-09-14T00:00:00"/>
    <n v="24"/>
    <s v="8-2025"/>
    <x v="3"/>
    <s v="Germany"/>
    <s v="Berlin"/>
    <s v="Non-Profit"/>
    <x v="1"/>
    <x v="14"/>
    <x v="5"/>
    <x v="395"/>
    <n v="1397.67"/>
    <n v="3131.37"/>
    <n v="0.10299999999999999"/>
    <n v="20"/>
    <n v="56176.777799999996"/>
    <n v="27953.4"/>
    <n v="28223.377799999995"/>
    <n v="0.50240293062874808"/>
    <s v="Q3-2025"/>
    <s v="Europe → Germany → Berlin"/>
    <s v="High"/>
    <n v="2025"/>
    <x v="11"/>
    <s v="No"/>
    <x v="0"/>
  </r>
  <r>
    <s v="ORD-2024-102866"/>
    <d v="2024-12-12T00:00:00"/>
    <d v="2024-12-20T00:00:00"/>
    <d v="2024-12-12T00:00:00"/>
    <d v="2024-12-20T00:00:00"/>
    <n v="8"/>
    <s v="12-2024"/>
    <x v="1"/>
    <s v="Japan"/>
    <s v="Tokyo"/>
    <s v="Corporate"/>
    <x v="0"/>
    <x v="5"/>
    <x v="4"/>
    <x v="396"/>
    <n v="1202.47"/>
    <n v="1444.72"/>
    <n v="0.24099999999999999"/>
    <n v="17"/>
    <n v="18641.222160000001"/>
    <n v="20441.990000000002"/>
    <n v="-1800.7678400000004"/>
    <n v="-9.6601382921343834E-2"/>
    <s v="Q4-2024"/>
    <s v="Asia → Japan → Tokyo"/>
    <s v="Medium"/>
    <n v="2024"/>
    <x v="3"/>
    <s v="No"/>
    <x v="1"/>
  </r>
  <r>
    <s v="ORD-2025-588029"/>
    <d v="2025-09-14T00:00:00"/>
    <d v="2025-09-23T00:00:00"/>
    <d v="2025-09-14T00:00:00"/>
    <d v="2025-09-23T00:00:00"/>
    <n v="9"/>
    <s v="9-2025"/>
    <x v="0"/>
    <s v="South Africa"/>
    <s v="Durban"/>
    <s v="Non-Profit"/>
    <x v="1"/>
    <x v="8"/>
    <x v="0"/>
    <x v="397"/>
    <n v="1310.3"/>
    <n v="2875.8"/>
    <n v="8.3000000000000004E-2"/>
    <n v="5"/>
    <n v="13185.543"/>
    <n v="6551.5"/>
    <n v="6634.0429999999997"/>
    <n v="0.50313005691157353"/>
    <s v="Q3-2025"/>
    <s v="Africa → South Africa → Durban"/>
    <s v="High"/>
    <n v="2025"/>
    <x v="8"/>
    <s v="No"/>
    <x v="0"/>
  </r>
  <r>
    <s v="ORD-2024-972999"/>
    <d v="2024-09-06T00:00:00"/>
    <d v="2024-10-04T00:00:00"/>
    <d v="2024-09-06T00:00:00"/>
    <d v="2024-10-04T00:00:00"/>
    <n v="28"/>
    <s v="9-2024"/>
    <x v="0"/>
    <s v="South Africa"/>
    <s v="Cape Town"/>
    <s v="Corporate"/>
    <x v="2"/>
    <x v="8"/>
    <x v="5"/>
    <x v="398"/>
    <n v="1174.17"/>
    <n v="1641.61"/>
    <n v="0.122"/>
    <n v="9"/>
    <n v="12972.00222"/>
    <n v="10567.53"/>
    <n v="2404.4722199999997"/>
    <n v="0.18535860380079394"/>
    <s v="Q3-2024"/>
    <s v="Africa → South Africa → Cape Town"/>
    <s v="Medium"/>
    <n v="2024"/>
    <x v="8"/>
    <s v="No"/>
    <x v="0"/>
  </r>
  <r>
    <s v="ORD-2025-608069"/>
    <d v="2025-04-12T00:00:00"/>
    <d v="2025-04-30T00:00:00"/>
    <d v="2025-04-12T00:00:00"/>
    <d v="2025-04-30T00:00:00"/>
    <n v="18"/>
    <s v="4-2025"/>
    <x v="0"/>
    <s v="Kenya"/>
    <s v="Kisumu"/>
    <s v="Corporate"/>
    <x v="2"/>
    <x v="9"/>
    <x v="2"/>
    <x v="399"/>
    <n v="1119.04"/>
    <n v="1299.02"/>
    <n v="2.5000000000000001E-2"/>
    <n v="14"/>
    <n v="17731.623"/>
    <n v="15666.56"/>
    <n v="2065.0630000000001"/>
    <n v="0.11646215352085933"/>
    <s v="Q2-2025"/>
    <s v="Africa → Kenya → Kisumu"/>
    <s v="Medium"/>
    <n v="2025"/>
    <x v="7"/>
    <s v="No"/>
    <x v="0"/>
  </r>
  <r>
    <s v="ORD-2024-626750"/>
    <d v="2024-08-12T00:00:00"/>
    <d v="2024-08-15T00:00:00"/>
    <d v="2024-08-12T00:00:00"/>
    <d v="2024-08-15T00:00:00"/>
    <n v="3"/>
    <s v="8-2024"/>
    <x v="2"/>
    <s v="USA"/>
    <s v="Chicago"/>
    <s v="Corporate"/>
    <x v="2"/>
    <x v="8"/>
    <x v="1"/>
    <x v="400"/>
    <n v="850.7"/>
    <n v="1118.56"/>
    <n v="0.18"/>
    <n v="19"/>
    <n v="17427.164800000002"/>
    <n v="16163.300000000001"/>
    <n v="1263.8648000000012"/>
    <n v="7.2522685962090688E-2"/>
    <s v="Q3-2024"/>
    <s v="Americas → USA → Chicago"/>
    <s v="Low"/>
    <n v="2024"/>
    <x v="11"/>
    <s v="Yes"/>
    <x v="0"/>
  </r>
  <r>
    <s v="ORD-2024-170021"/>
    <d v="2024-11-05T00:00:00"/>
    <d v="2024-11-08T00:00:00"/>
    <d v="2024-11-05T00:00:00"/>
    <d v="2024-11-08T00:00:00"/>
    <n v="3"/>
    <s v="11-2024"/>
    <x v="2"/>
    <s v="Canada"/>
    <s v="Toronto"/>
    <s v="Education"/>
    <x v="2"/>
    <x v="7"/>
    <x v="0"/>
    <x v="401"/>
    <n v="1020.4"/>
    <n v="1184.71"/>
    <n v="0.106"/>
    <n v="16"/>
    <n v="16946.091840000001"/>
    <n v="16326.4"/>
    <n v="619.69184000000132"/>
    <n v="3.6568422138328345E-2"/>
    <s v="Q4-2024"/>
    <s v="Americas → Canada → Toronto"/>
    <s v="Low"/>
    <n v="2024"/>
    <x v="10"/>
    <s v="Yes"/>
    <x v="0"/>
  </r>
  <r>
    <s v="ORD-2024-678110"/>
    <d v="2024-07-24T00:00:00"/>
    <d v="2024-08-08T00:00:00"/>
    <d v="2024-07-24T00:00:00"/>
    <d v="2024-08-08T00:00:00"/>
    <n v="15"/>
    <s v="7-2024"/>
    <x v="3"/>
    <s v="France"/>
    <s v="Marseille"/>
    <s v="Enterprise"/>
    <x v="2"/>
    <x v="11"/>
    <x v="4"/>
    <x v="402"/>
    <n v="501.5"/>
    <n v="1201.47"/>
    <n v="0.126"/>
    <n v="5"/>
    <n v="5250.4239000000007"/>
    <n v="2507.5"/>
    <n v="2742.9239000000007"/>
    <n v="0.52241951359394057"/>
    <s v="Q3-2024"/>
    <s v="Europe → France → Marseille"/>
    <s v="Medium"/>
    <n v="2024"/>
    <x v="6"/>
    <s v="No"/>
    <x v="0"/>
  </r>
  <r>
    <s v="ORD-2025-931538"/>
    <d v="2025-02-09T00:00:00"/>
    <d v="2025-03-01T00:00:00"/>
    <d v="2025-02-09T00:00:00"/>
    <d v="2025-03-01T00:00:00"/>
    <n v="20"/>
    <s v="2-2025"/>
    <x v="2"/>
    <s v="Brazil"/>
    <s v="São Paulo"/>
    <s v="Corporate"/>
    <x v="3"/>
    <x v="5"/>
    <x v="4"/>
    <x v="403"/>
    <n v="1154.6400000000001"/>
    <n v="2794.13"/>
    <n v="3.5000000000000003E-2"/>
    <n v="11"/>
    <n v="29659.68995"/>
    <n v="12701.04"/>
    <n v="16958.649949999999"/>
    <n v="0.57177435025749479"/>
    <s v="Q1-2025"/>
    <s v="Americas → Brazil → São Paulo"/>
    <s v="High"/>
    <n v="2025"/>
    <x v="2"/>
    <s v="No"/>
    <x v="0"/>
  </r>
  <r>
    <s v="ORD-2023-854471"/>
    <d v="2023-03-06T00:00:00"/>
    <d v="2023-04-04T00:00:00"/>
    <d v="2023-03-06T00:00:00"/>
    <d v="2023-04-04T00:00:00"/>
    <n v="29"/>
    <s v="3-2023"/>
    <x v="1"/>
    <s v="China"/>
    <s v="Beijing"/>
    <s v="Small Business"/>
    <x v="4"/>
    <x v="0"/>
    <x v="5"/>
    <x v="404"/>
    <n v="1126.29"/>
    <n v="2050.87"/>
    <n v="6.4000000000000001E-2"/>
    <n v="7"/>
    <n v="13437.300239999999"/>
    <n v="7884.03"/>
    <n v="5553.2702399999989"/>
    <n v="0.41327276616690373"/>
    <s v="Q1-2023"/>
    <s v="Asia → China → Beijing"/>
    <s v="High"/>
    <n v="2023"/>
    <x v="0"/>
    <s v="No"/>
    <x v="0"/>
  </r>
  <r>
    <s v="ORD-2024-390951"/>
    <d v="2024-12-20T00:00:00"/>
    <d v="2025-01-14T00:00:00"/>
    <d v="2024-12-20T00:00:00"/>
    <d v="2025-01-14T00:00:00"/>
    <n v="25"/>
    <s v="12-2024"/>
    <x v="1"/>
    <s v="India"/>
    <s v="Delhi"/>
    <s v="Small Business"/>
    <x v="0"/>
    <x v="13"/>
    <x v="1"/>
    <x v="405"/>
    <n v="1361.34"/>
    <n v="1737.9"/>
    <n v="7.6999999999999999E-2"/>
    <n v="14"/>
    <n v="22457.143800000002"/>
    <n v="19058.759999999998"/>
    <n v="3398.3838000000032"/>
    <n v="0.15132751654731813"/>
    <s v="Q4-2024"/>
    <s v="Asia → India → Delhi"/>
    <s v="Medium"/>
    <n v="2024"/>
    <x v="3"/>
    <s v="No"/>
    <x v="0"/>
  </r>
  <r>
    <s v="ORD-2025-881624"/>
    <d v="2025-02-21T00:00:00"/>
    <d v="2025-03-21T00:00:00"/>
    <d v="2025-02-21T00:00:00"/>
    <d v="2025-03-21T00:00:00"/>
    <n v="28"/>
    <s v="2-2025"/>
    <x v="0"/>
    <s v="Nigeria"/>
    <s v="Abuja"/>
    <s v="Enterprise"/>
    <x v="2"/>
    <x v="2"/>
    <x v="3"/>
    <x v="406"/>
    <n v="1437.39"/>
    <n v="1388.31"/>
    <n v="0.13800000000000001"/>
    <n v="18"/>
    <n v="21541.017959999997"/>
    <n v="25873.02"/>
    <n v="-4332.002040000003"/>
    <n v="-0.20110479681341872"/>
    <s v="Q1-2025"/>
    <s v="Africa → Nigeria → Abuja"/>
    <s v="Medium"/>
    <n v="2025"/>
    <x v="2"/>
    <s v="No"/>
    <x v="0"/>
  </r>
  <r>
    <s v="ORD-2025-512310"/>
    <d v="2025-03-08T00:00:00"/>
    <d v="2025-03-15T00:00:00"/>
    <d v="2025-03-08T00:00:00"/>
    <d v="2025-03-15T00:00:00"/>
    <n v="7"/>
    <s v="3-2025"/>
    <x v="1"/>
    <s v="India"/>
    <s v="Bengaluru"/>
    <s v="Corporate"/>
    <x v="3"/>
    <x v="12"/>
    <x v="4"/>
    <x v="407"/>
    <n v="475.66"/>
    <n v="529.14"/>
    <n v="0.19600000000000001"/>
    <n v="11"/>
    <n v="4679.7141600000004"/>
    <n v="5232.26"/>
    <n v="-552.54583999999977"/>
    <n v="-0.11807256193613323"/>
    <s v="Q1-2025"/>
    <s v="Asia → India → Bengaluru"/>
    <s v="Low"/>
    <n v="2025"/>
    <x v="0"/>
    <s v="Yes"/>
    <x v="0"/>
  </r>
  <r>
    <s v="ORD-2025-856556"/>
    <d v="2025-06-15T00:00:00"/>
    <d v="2025-07-12T00:00:00"/>
    <d v="2025-06-15T00:00:00"/>
    <d v="2025-07-12T00:00:00"/>
    <n v="27"/>
    <s v="6-2025"/>
    <x v="3"/>
    <s v="France"/>
    <s v="Marseille"/>
    <s v="Consumer"/>
    <x v="4"/>
    <x v="0"/>
    <x v="6"/>
    <x v="408"/>
    <n v="318.83"/>
    <n v="699.5"/>
    <n v="0.08"/>
    <n v="13"/>
    <n v="8366.02"/>
    <n v="4144.79"/>
    <n v="4221.2300000000005"/>
    <n v="0.50456848059172699"/>
    <s v="Q2-2025"/>
    <s v="Europe → France → Marseille"/>
    <s v="Low"/>
    <n v="2025"/>
    <x v="9"/>
    <s v="No"/>
    <x v="0"/>
  </r>
  <r>
    <s v="ORD-2024-542244"/>
    <d v="2024-08-30T00:00:00"/>
    <d v="2024-09-05T00:00:00"/>
    <d v="2024-08-30T00:00:00"/>
    <d v="2024-09-05T00:00:00"/>
    <n v="6"/>
    <s v="8-2024"/>
    <x v="1"/>
    <s v="Japan"/>
    <s v="Nagoya"/>
    <s v="Education"/>
    <x v="1"/>
    <x v="10"/>
    <x v="4"/>
    <x v="409"/>
    <n v="466.16"/>
    <n v="876.81"/>
    <n v="0.24099999999999999"/>
    <n v="8"/>
    <n v="5323.9903199999999"/>
    <n v="3729.28"/>
    <n v="1594.7103199999997"/>
    <n v="0.29953291124691594"/>
    <s v="Q3-2024"/>
    <s v="Asia → Japan → Nagoya"/>
    <s v="Low"/>
    <n v="2024"/>
    <x v="11"/>
    <s v="Yes"/>
    <x v="1"/>
  </r>
  <r>
    <s v="ORD-2024-375848"/>
    <d v="2024-05-18T00:00:00"/>
    <d v="2024-05-21T00:00:00"/>
    <d v="2024-05-18T00:00:00"/>
    <d v="2024-05-21T00:00:00"/>
    <n v="3"/>
    <s v="5-2024"/>
    <x v="3"/>
    <s v="France"/>
    <s v="Marseille"/>
    <s v="Non-Profit"/>
    <x v="2"/>
    <x v="8"/>
    <x v="1"/>
    <x v="410"/>
    <n v="663.66"/>
    <n v="824.26"/>
    <n v="0.23899999999999999"/>
    <n v="11"/>
    <n v="6899.8804600000003"/>
    <n v="7300.2599999999993"/>
    <n v="-400.379539999999"/>
    <n v="-5.8027025587048933E-2"/>
    <s v="Q2-2024"/>
    <s v="Europe → France → Marseille"/>
    <s v="Low"/>
    <n v="2024"/>
    <x v="5"/>
    <s v="Yes"/>
    <x v="1"/>
  </r>
  <r>
    <s v="ORD-2023-933238"/>
    <d v="2023-03-17T00:00:00"/>
    <d v="2023-04-06T00:00:00"/>
    <d v="2023-03-17T00:00:00"/>
    <d v="2023-04-06T00:00:00"/>
    <n v="20"/>
    <s v="3-2023"/>
    <x v="3"/>
    <s v="Germany"/>
    <s v="Munich"/>
    <s v="Consumer"/>
    <x v="0"/>
    <x v="7"/>
    <x v="3"/>
    <x v="411"/>
    <n v="692.18"/>
    <n v="1159.3499999999999"/>
    <n v="0.112"/>
    <n v="2"/>
    <n v="2059.0056"/>
    <n v="1384.36"/>
    <n v="674.64560000000006"/>
    <n v="0.32765602968734037"/>
    <s v="Q1-2023"/>
    <s v="Europe → Germany → Munich"/>
    <s v="Low"/>
    <n v="2023"/>
    <x v="0"/>
    <s v="No"/>
    <x v="0"/>
  </r>
  <r>
    <s v="ORD-2023-732585"/>
    <d v="2023-08-25T00:00:00"/>
    <d v="2023-09-16T00:00:00"/>
    <d v="2023-08-25T00:00:00"/>
    <d v="2023-09-16T00:00:00"/>
    <n v="22"/>
    <s v="8-2023"/>
    <x v="0"/>
    <s v="Nigeria"/>
    <s v="Abuja"/>
    <s v="Corporate"/>
    <x v="2"/>
    <x v="4"/>
    <x v="3"/>
    <x v="412"/>
    <n v="1196.83"/>
    <n v="2513.5100000000002"/>
    <n v="8.3000000000000004E-2"/>
    <n v="7"/>
    <n v="16134.22069"/>
    <n v="8377.81"/>
    <n v="7756.4106900000006"/>
    <n v="0.48074281609445374"/>
    <s v="Q3-2023"/>
    <s v="Africa → Nigeria → Abuja"/>
    <s v="High"/>
    <n v="2023"/>
    <x v="11"/>
    <s v="No"/>
    <x v="0"/>
  </r>
  <r>
    <s v="ORD-2024-465898"/>
    <d v="2024-06-06T00:00:00"/>
    <d v="2024-06-24T00:00:00"/>
    <d v="2024-06-06T00:00:00"/>
    <d v="2024-06-24T00:00:00"/>
    <n v="18"/>
    <s v="6-2024"/>
    <x v="1"/>
    <s v="India"/>
    <s v="Bengaluru"/>
    <s v="Small Business"/>
    <x v="4"/>
    <x v="11"/>
    <x v="2"/>
    <x v="413"/>
    <n v="1253.25"/>
    <n v="3087.13"/>
    <n v="7.1999999999999995E-2"/>
    <n v="11"/>
    <n v="31513.423040000001"/>
    <n v="13785.75"/>
    <n v="17727.673040000001"/>
    <n v="0.562543555408064"/>
    <s v="Q2-2024"/>
    <s v="Asia → India → Bengaluru"/>
    <s v="High"/>
    <n v="2024"/>
    <x v="9"/>
    <s v="No"/>
    <x v="0"/>
  </r>
  <r>
    <s v="ORD-2023-987081"/>
    <d v="2023-08-29T00:00:00"/>
    <d v="2023-09-13T00:00:00"/>
    <d v="2023-08-29T00:00:00"/>
    <d v="2023-09-13T00:00:00"/>
    <n v="15"/>
    <s v="8-2023"/>
    <x v="2"/>
    <s v="Canada"/>
    <s v="Vancouver"/>
    <s v="Small Business"/>
    <x v="2"/>
    <x v="7"/>
    <x v="1"/>
    <x v="414"/>
    <n v="1287.6400000000001"/>
    <n v="2717.15"/>
    <n v="3.2000000000000001E-2"/>
    <n v="7"/>
    <n v="18411.4084"/>
    <n v="9013.4800000000014"/>
    <n v="9397.9283999999989"/>
    <n v="0.51044049405802105"/>
    <s v="Q3-2023"/>
    <s v="Americas → Canada → Vancouver"/>
    <s v="High"/>
    <n v="2023"/>
    <x v="11"/>
    <s v="No"/>
    <x v="0"/>
  </r>
  <r>
    <s v="ORD-2025-411385"/>
    <d v="2025-06-05T00:00:00"/>
    <d v="2025-06-14T00:00:00"/>
    <d v="2025-06-05T00:00:00"/>
    <d v="2025-06-14T00:00:00"/>
    <n v="9"/>
    <s v="6-2025"/>
    <x v="1"/>
    <s v="India"/>
    <s v="Delhi"/>
    <s v="Non-Profit"/>
    <x v="0"/>
    <x v="14"/>
    <x v="6"/>
    <x v="415"/>
    <n v="618.69000000000005"/>
    <n v="796.15"/>
    <n v="0.09"/>
    <n v="11"/>
    <n v="7969.4615000000003"/>
    <n v="6805.59"/>
    <n v="1163.8715000000002"/>
    <n v="0.14604142325049191"/>
    <s v="Q2-2025"/>
    <s v="Asia → India → Delhi"/>
    <s v="Low"/>
    <n v="2025"/>
    <x v="9"/>
    <s v="No"/>
    <x v="0"/>
  </r>
  <r>
    <s v="ORD-2023-653343"/>
    <d v="2023-11-10T00:00:00"/>
    <d v="2023-11-28T00:00:00"/>
    <d v="2023-11-10T00:00:00"/>
    <d v="2023-11-28T00:00:00"/>
    <n v="18"/>
    <s v="11-2023"/>
    <x v="2"/>
    <s v="Brazil"/>
    <s v="Brasília"/>
    <s v="Education"/>
    <x v="2"/>
    <x v="4"/>
    <x v="6"/>
    <x v="416"/>
    <n v="388.51"/>
    <n v="776.46"/>
    <n v="0.157"/>
    <n v="12"/>
    <n v="7854.6693599999999"/>
    <n v="4662.12"/>
    <n v="3192.54936"/>
    <n v="0.40645241876864946"/>
    <s v="Q4-2023"/>
    <s v="Americas → Brazil → Brasília"/>
    <s v="Low"/>
    <n v="2023"/>
    <x v="10"/>
    <s v="No"/>
    <x v="0"/>
  </r>
  <r>
    <s v="ORD-2025-222035"/>
    <d v="2025-03-14T00:00:00"/>
    <d v="2025-04-08T00:00:00"/>
    <d v="2025-03-14T00:00:00"/>
    <d v="2025-04-08T00:00:00"/>
    <n v="25"/>
    <s v="3-2025"/>
    <x v="1"/>
    <s v="China"/>
    <s v="Unknown City"/>
    <s v="Corporate"/>
    <x v="3"/>
    <x v="8"/>
    <x v="1"/>
    <x v="417"/>
    <n v="80.59"/>
    <n v="157.82"/>
    <n v="0.217"/>
    <n v="6"/>
    <n v="741.43835999999999"/>
    <n v="483.54"/>
    <n v="257.89835999999997"/>
    <n v="0.34783519967863541"/>
    <s v="Q1-2025"/>
    <s v="Asia → China → Unknown City"/>
    <s v="Low"/>
    <n v="2025"/>
    <x v="0"/>
    <s v="No"/>
    <x v="1"/>
  </r>
  <r>
    <s v="ORD-2024-749242"/>
    <d v="2024-01-16T00:00:00"/>
    <d v="2024-02-11T00:00:00"/>
    <d v="2024-01-16T00:00:00"/>
    <d v="2024-02-11T00:00:00"/>
    <n v="26"/>
    <s v="1-2024"/>
    <x v="3"/>
    <s v="Germany"/>
    <s v="Frankfurt"/>
    <s v="Non-Profit"/>
    <x v="3"/>
    <x v="6"/>
    <x v="5"/>
    <x v="418"/>
    <n v="504.93"/>
    <n v="819.06"/>
    <n v="0.22600000000000001"/>
    <n v="15"/>
    <n v="9509.2865999999995"/>
    <n v="7573.95"/>
    <n v="1935.3365999999996"/>
    <n v="0.20352069312959814"/>
    <s v="Q1-2024"/>
    <s v="Europe → Germany → Frankfurt"/>
    <s v="Low"/>
    <n v="2024"/>
    <x v="4"/>
    <s v="No"/>
    <x v="1"/>
  </r>
  <r>
    <s v="ORD-2023-623293"/>
    <d v="2023-10-12T00:00:00"/>
    <d v="2023-10-29T00:00:00"/>
    <d v="2023-10-12T00:00:00"/>
    <d v="2023-10-29T00:00:00"/>
    <n v="17"/>
    <s v="10-2023"/>
    <x v="1"/>
    <s v="Japan"/>
    <s v="Nagoya"/>
    <s v="Non-Profit"/>
    <x v="4"/>
    <x v="11"/>
    <x v="3"/>
    <x v="419"/>
    <n v="1102.19"/>
    <n v="1711.16"/>
    <n v="0.151"/>
    <n v="10"/>
    <n v="14527.748400000002"/>
    <n v="11021.900000000001"/>
    <n v="3505.8484000000008"/>
    <n v="0.24132083675127525"/>
    <s v="Q4-2023"/>
    <s v="Asia → Japan → Nagoya"/>
    <s v="Medium"/>
    <n v="2023"/>
    <x v="1"/>
    <s v="No"/>
    <x v="0"/>
  </r>
  <r>
    <s v="ORD-2025-276968"/>
    <d v="2025-02-25T00:00:00"/>
    <d v="2025-03-17T00:00:00"/>
    <d v="2025-02-25T00:00:00"/>
    <d v="2025-03-17T00:00:00"/>
    <n v="20"/>
    <s v="2-2025"/>
    <x v="2"/>
    <s v="USA"/>
    <s v="San Francisco"/>
    <s v="Non-Profit"/>
    <x v="2"/>
    <x v="11"/>
    <x v="3"/>
    <x v="420"/>
    <n v="1205.26"/>
    <n v="1696.35"/>
    <n v="1.9E-2"/>
    <n v="6"/>
    <n v="9984.7160999999978"/>
    <n v="7231.5599999999995"/>
    <n v="2753.1560999999983"/>
    <n v="0.27573704374028213"/>
    <s v="Q1-2025"/>
    <s v="Americas → USA → San Francisco"/>
    <s v="Medium"/>
    <n v="2025"/>
    <x v="2"/>
    <s v="No"/>
    <x v="0"/>
  </r>
  <r>
    <s v="ORD-2025-650841"/>
    <d v="2025-07-03T00:00:00"/>
    <d v="2025-07-06T00:00:00"/>
    <d v="2025-07-03T00:00:00"/>
    <d v="2025-07-06T00:00:00"/>
    <n v="3"/>
    <s v="7-2025"/>
    <x v="0"/>
    <s v="Nigeria"/>
    <s v="Lagos"/>
    <s v="Consumer"/>
    <x v="1"/>
    <x v="15"/>
    <x v="4"/>
    <x v="421"/>
    <n v="1313.3"/>
    <n v="2884.34"/>
    <n v="0.157"/>
    <n v="42"/>
    <n v="102122.94203999999"/>
    <n v="55158.6"/>
    <n v="46964.342039999996"/>
    <n v="0.45988042551305253"/>
    <s v="Q3-2025"/>
    <s v="Africa → Nigeria → Lagos"/>
    <s v="High"/>
    <n v="2025"/>
    <x v="6"/>
    <s v="Yes"/>
    <x v="0"/>
  </r>
  <r>
    <s v="ORD-2025-831576"/>
    <d v="2025-09-15T00:00:00"/>
    <d v="2025-09-25T00:00:00"/>
    <d v="2025-09-15T00:00:00"/>
    <d v="2025-09-25T00:00:00"/>
    <n v="10"/>
    <s v="9-2025"/>
    <x v="1"/>
    <s v="India"/>
    <s v="Delhi"/>
    <s v="Consumer"/>
    <x v="0"/>
    <x v="14"/>
    <x v="3"/>
    <x v="422"/>
    <n v="1488.91"/>
    <n v="1483.74"/>
    <n v="0.16800000000000001"/>
    <n v="24"/>
    <n v="29627.320319999999"/>
    <n v="35733.840000000004"/>
    <n v="-6106.5196800000049"/>
    <n v="-0.20611110333450519"/>
    <s v="Q3-2025"/>
    <s v="Asia → India → Delhi"/>
    <s v="Medium"/>
    <n v="2025"/>
    <x v="8"/>
    <s v="No"/>
    <x v="0"/>
  </r>
  <r>
    <s v="ORD-2024-468655"/>
    <d v="2024-02-19T00:00:00"/>
    <d v="2024-03-06T00:00:00"/>
    <d v="2024-02-19T00:00:00"/>
    <d v="2024-03-06T00:00:00"/>
    <n v="16"/>
    <s v="2-2024"/>
    <x v="1"/>
    <s v="China"/>
    <s v="Beijing"/>
    <s v="Education"/>
    <x v="2"/>
    <x v="7"/>
    <x v="1"/>
    <x v="423"/>
    <n v="1477.84"/>
    <n v="3197.47"/>
    <n v="0.24299999999999999"/>
    <n v="24"/>
    <n v="58091.634960000003"/>
    <n v="35468.159999999996"/>
    <n v="22623.474960000007"/>
    <n v="0.38944462443823091"/>
    <s v="Q1-2024"/>
    <s v="Asia → China → Beijing"/>
    <s v="High"/>
    <n v="2024"/>
    <x v="2"/>
    <s v="No"/>
    <x v="1"/>
  </r>
  <r>
    <s v="ORD-2024-515105"/>
    <d v="2024-02-27T00:00:00"/>
    <d v="2024-03-26T00:00:00"/>
    <d v="2024-02-27T00:00:00"/>
    <d v="2024-03-26T00:00:00"/>
    <n v="28"/>
    <s v="2-2024"/>
    <x v="1"/>
    <s v="India"/>
    <s v="Mumbai"/>
    <s v="Education"/>
    <x v="2"/>
    <x v="3"/>
    <x v="4"/>
    <x v="424"/>
    <n v="1035.19"/>
    <n v="2322.6999999999998"/>
    <n v="0.17299999999999999"/>
    <n v="8"/>
    <n v="15366.983199999999"/>
    <n v="8281.52"/>
    <n v="7085.4631999999983"/>
    <n v="0.46108355217047409"/>
    <s v="Q1-2024"/>
    <s v="Asia → India → Mumbai"/>
    <s v="High"/>
    <n v="2024"/>
    <x v="2"/>
    <s v="No"/>
    <x v="0"/>
  </r>
  <r>
    <s v="ORD-2025-803803"/>
    <d v="2025-08-28T00:00:00"/>
    <d v="2025-09-05T00:00:00"/>
    <d v="2025-08-28T00:00:00"/>
    <d v="2025-09-05T00:00:00"/>
    <n v="8"/>
    <s v="8-2025"/>
    <x v="0"/>
    <s v="Nigeria"/>
    <s v="Port Harcourt"/>
    <s v="Small Business"/>
    <x v="2"/>
    <x v="6"/>
    <x v="4"/>
    <x v="425"/>
    <n v="1271.0999999999999"/>
    <n v="1932.42"/>
    <n v="0.25"/>
    <n v="21"/>
    <n v="30435.614999999998"/>
    <n v="26693.1"/>
    <n v="3742.5149999999994"/>
    <n v="0.12296498690760807"/>
    <s v="Q3-2025"/>
    <s v="Africa → Nigeria → Port Harcourt"/>
    <s v="High"/>
    <n v="2025"/>
    <x v="11"/>
    <s v="No"/>
    <x v="1"/>
  </r>
  <r>
    <s v="ORD-2024-993481"/>
    <d v="2024-08-18T00:00:00"/>
    <d v="2024-09-12T00:00:00"/>
    <d v="2024-08-18T00:00:00"/>
    <d v="2024-09-12T00:00:00"/>
    <n v="25"/>
    <s v="8-2024"/>
    <x v="1"/>
    <s v="India"/>
    <s v="Mumbai"/>
    <s v="Consumer"/>
    <x v="2"/>
    <x v="0"/>
    <x v="3"/>
    <x v="426"/>
    <n v="1154.03"/>
    <n v="1590.36"/>
    <n v="0.1186"/>
    <n v="18"/>
    <n v="25231.379471999997"/>
    <n v="20772.54"/>
    <n v="4458.839471999996"/>
    <n v="0.17671802197529871"/>
    <s v="Q3-2024"/>
    <s v="Asia → India → Mumbai"/>
    <s v="Medium"/>
    <n v="2024"/>
    <x v="11"/>
    <s v="No"/>
    <x v="0"/>
  </r>
  <r>
    <s v="ORD-2024-811752"/>
    <d v="2024-02-25T00:00:00"/>
    <d v="2024-03-09T00:00:00"/>
    <d v="2024-02-25T00:00:00"/>
    <d v="2024-03-09T00:00:00"/>
    <n v="13"/>
    <s v="2-2024"/>
    <x v="3"/>
    <s v="France"/>
    <s v="Marseille"/>
    <s v="Small Business"/>
    <x v="3"/>
    <x v="6"/>
    <x v="5"/>
    <x v="427"/>
    <n v="322.44"/>
    <n v="395.61"/>
    <n v="0"/>
    <n v="34"/>
    <n v="13450.74"/>
    <n v="10962.96"/>
    <n v="2487.7800000000007"/>
    <n v="0.18495487980586947"/>
    <s v="Q1-2024"/>
    <s v="Europe → France → Marseille"/>
    <s v="Low"/>
    <n v="2024"/>
    <x v="2"/>
    <s v="No"/>
    <x v="0"/>
  </r>
  <r>
    <s v="ORD-2025-673091"/>
    <d v="2025-05-07T00:00:00"/>
    <d v="2025-05-13T00:00:00"/>
    <d v="2025-05-07T00:00:00"/>
    <d v="2025-05-13T00:00:00"/>
    <n v="6"/>
    <s v="5-2025"/>
    <x v="1"/>
    <s v="India"/>
    <s v="Bengaluru"/>
    <s v="Enterprise"/>
    <x v="4"/>
    <x v="1"/>
    <x v="3"/>
    <x v="428"/>
    <n v="935.98"/>
    <n v="2077.69"/>
    <n v="0.17499999999999999"/>
    <n v="24"/>
    <n v="41138.261999999995"/>
    <n v="22463.52"/>
    <n v="18674.741999999995"/>
    <n v="0.45395067978321491"/>
    <s v="Q2-2025"/>
    <s v="Asia → India → Bengaluru"/>
    <s v="High"/>
    <n v="2025"/>
    <x v="5"/>
    <s v="Yes"/>
    <x v="0"/>
  </r>
  <r>
    <s v="ORD-2024-381197"/>
    <d v="2024-11-01T00:00:00"/>
    <d v="2024-11-12T00:00:00"/>
    <d v="2024-11-01T00:00:00"/>
    <d v="2024-11-12T00:00:00"/>
    <n v="11"/>
    <s v="11-2024"/>
    <x v="3"/>
    <s v="Germany"/>
    <s v="Frankfurt"/>
    <s v="Consumer"/>
    <x v="1"/>
    <x v="5"/>
    <x v="1"/>
    <x v="429"/>
    <n v="599.84"/>
    <n v="1330.85"/>
    <n v="0.115"/>
    <n v="11"/>
    <n v="12955.824749999998"/>
    <n v="6598.2400000000007"/>
    <n v="6357.5847499999973"/>
    <n v="0.49071246892252063"/>
    <s v="Q4-2024"/>
    <s v="Europe → Germany → Frankfurt"/>
    <s v="Medium"/>
    <n v="2024"/>
    <x v="10"/>
    <s v="No"/>
    <x v="0"/>
  </r>
  <r>
    <s v="ORD-2024-651852"/>
    <d v="2024-12-28T00:00:00"/>
    <d v="2025-01-08T00:00:00"/>
    <d v="2024-12-28T00:00:00"/>
    <d v="2025-01-08T00:00:00"/>
    <n v="11"/>
    <s v="12-2024"/>
    <x v="1"/>
    <s v="China"/>
    <s v="Shenzhen"/>
    <s v="Enterprise"/>
    <x v="1"/>
    <x v="12"/>
    <x v="4"/>
    <x v="430"/>
    <n v="1201.31"/>
    <n v="2764.65"/>
    <n v="0"/>
    <n v="21"/>
    <n v="58057.65"/>
    <n v="25227.51"/>
    <n v="32830.14"/>
    <n v="0.56547483406579491"/>
    <s v="Q4-2024"/>
    <s v="Asia → China → Shenzhen"/>
    <s v="High"/>
    <n v="2024"/>
    <x v="3"/>
    <s v="No"/>
    <x v="0"/>
  </r>
  <r>
    <s v="ORD-2023-659070"/>
    <d v="2023-10-21T00:00:00"/>
    <d v="2023-10-21T00:00:00"/>
    <d v="2023-10-21T00:00:00"/>
    <d v="2023-10-21T00:00:00"/>
    <n v="0"/>
    <s v="10-2023"/>
    <x v="3"/>
    <s v="United Kingdom"/>
    <s v="Manchester"/>
    <s v="Enterprise"/>
    <x v="3"/>
    <x v="1"/>
    <x v="5"/>
    <x v="431"/>
    <n v="384.19"/>
    <n v="278.35000000000002"/>
    <n v="5.6000000000000001E-2"/>
    <n v="10"/>
    <n v="2627.6239999999998"/>
    <n v="3841.9"/>
    <n v="-1214.2760000000003"/>
    <n v="-0.46211938998882657"/>
    <s v="Q4-2023"/>
    <s v="Europe → United Kingdom → Manchester"/>
    <s v="Low"/>
    <n v="2023"/>
    <x v="1"/>
    <s v="Yes"/>
    <x v="0"/>
  </r>
  <r>
    <s v="ORD-2024-837651"/>
    <d v="2024-12-10T00:00:00"/>
    <d v="2024-12-19T00:00:00"/>
    <d v="2024-12-10T00:00:00"/>
    <d v="2024-12-19T00:00:00"/>
    <n v="9"/>
    <s v="12-2024"/>
    <x v="0"/>
    <s v="Nigeria"/>
    <s v="Lagos"/>
    <s v="Corporate"/>
    <x v="0"/>
    <x v="7"/>
    <x v="5"/>
    <x v="432"/>
    <n v="488.68"/>
    <n v="984.36"/>
    <n v="5.8999999999999997E-2"/>
    <n v="14"/>
    <n v="12967.958640000001"/>
    <n v="6841.52"/>
    <n v="6126.4386400000003"/>
    <n v="0.47242891576649876"/>
    <s v="Q4-2024"/>
    <s v="Africa → Nigeria → Lagos"/>
    <s v="Low"/>
    <n v="2024"/>
    <x v="3"/>
    <s v="No"/>
    <x v="0"/>
  </r>
  <r>
    <s v="ORD-2024-581530"/>
    <d v="2024-09-07T00:00:00"/>
    <d v="2024-09-18T00:00:00"/>
    <d v="2024-09-07T00:00:00"/>
    <d v="2024-09-18T00:00:00"/>
    <n v="11"/>
    <s v="9-2024"/>
    <x v="1"/>
    <s v="China"/>
    <s v="Beijing"/>
    <s v="Consumer"/>
    <x v="3"/>
    <x v="7"/>
    <x v="2"/>
    <x v="433"/>
    <n v="181.74"/>
    <n v="190.84"/>
    <n v="0.214"/>
    <n v="13"/>
    <n v="1950.0031200000001"/>
    <n v="2362.62"/>
    <n v="-412.61687999999981"/>
    <n v="-0.21159806144310159"/>
    <s v="Q3-2024"/>
    <s v="Asia → China → Beijing"/>
    <s v="Low"/>
    <n v="2024"/>
    <x v="8"/>
    <s v="No"/>
    <x v="1"/>
  </r>
  <r>
    <s v="ORD-2023-378104"/>
    <d v="2023-10-18T00:00:00"/>
    <d v="2023-10-20T00:00:00"/>
    <d v="2023-10-18T00:00:00"/>
    <d v="2023-10-20T00:00:00"/>
    <n v="2"/>
    <s v="10-2023"/>
    <x v="0"/>
    <s v="Kenya"/>
    <s v="Kisumu"/>
    <s v="Consumer"/>
    <x v="0"/>
    <x v="1"/>
    <x v="3"/>
    <x v="434"/>
    <n v="774.12"/>
    <n v="908.3"/>
    <n v="0"/>
    <n v="30"/>
    <n v="27249"/>
    <n v="23223.599999999999"/>
    <n v="4025.4000000000015"/>
    <n v="0.14772652207420461"/>
    <s v="Q4-2023"/>
    <s v="Africa → Kenya → Kisumu"/>
    <s v="Low"/>
    <n v="2023"/>
    <x v="1"/>
    <s v="Yes"/>
    <x v="0"/>
  </r>
  <r>
    <s v="ORD-2024-972318"/>
    <d v="2024-12-24T00:00:00"/>
    <d v="2025-01-13T00:00:00"/>
    <d v="2024-12-24T00:00:00"/>
    <d v="2025-01-13T00:00:00"/>
    <n v="20"/>
    <s v="12-2024"/>
    <x v="1"/>
    <s v="India"/>
    <s v="Bengaluru"/>
    <s v="Corporate"/>
    <x v="2"/>
    <x v="8"/>
    <x v="2"/>
    <x v="435"/>
    <n v="126.15"/>
    <n v="284.23"/>
    <n v="0.113"/>
    <n v="22"/>
    <n v="5546.4642200000008"/>
    <n v="2775.3"/>
    <n v="2771.1642200000006"/>
    <n v="0.49962716968541088"/>
    <s v="Q4-2024"/>
    <s v="Asia → India → Bengaluru"/>
    <s v="Low"/>
    <n v="2024"/>
    <x v="3"/>
    <s v="No"/>
    <x v="0"/>
  </r>
  <r>
    <s v="ORD-2023-752962"/>
    <d v="2023-04-21T00:00:00"/>
    <d v="2023-04-19T00:00:00"/>
    <d v="2023-04-19T00:00:00"/>
    <d v="2023-04-21T00:00:00"/>
    <n v="2"/>
    <s v="4-2023"/>
    <x v="1"/>
    <s v="Japan"/>
    <s v="Nagoya"/>
    <s v="Small Business"/>
    <x v="4"/>
    <x v="13"/>
    <x v="0"/>
    <x v="436"/>
    <n v="607.04"/>
    <n v="1229.3399999999999"/>
    <n v="0.14699999999999999"/>
    <n v="7"/>
    <n v="7340.3891399999993"/>
    <n v="4249.28"/>
    <n v="3091.1091399999996"/>
    <n v="0.42110970972310058"/>
    <s v="Q2-2023"/>
    <s v="Asia → Japan → Nagoya"/>
    <s v="Medium"/>
    <n v="2023"/>
    <x v="7"/>
    <s v="Yes"/>
    <x v="0"/>
  </r>
  <r>
    <s v="ORD-2025-898843"/>
    <d v="2025-02-02T00:00:00"/>
    <d v="2025-03-04T00:00:00"/>
    <d v="2025-02-02T00:00:00"/>
    <d v="2025-03-04T00:00:00"/>
    <n v="30"/>
    <s v="2-2025"/>
    <x v="1"/>
    <s v="Japan"/>
    <s v="Osaka"/>
    <s v="Education"/>
    <x v="3"/>
    <x v="4"/>
    <x v="6"/>
    <x v="437"/>
    <n v="766.59"/>
    <n v="1912.8"/>
    <n v="0.19600000000000001"/>
    <n v="5"/>
    <n v="7689.4560000000001"/>
    <n v="3832.9500000000003"/>
    <n v="3856.5059999999999"/>
    <n v="0.50153170783472845"/>
    <s v="Q1-2025"/>
    <s v="Asia → Japan → Osaka"/>
    <s v="High"/>
    <n v="2025"/>
    <x v="2"/>
    <s v="No"/>
    <x v="0"/>
  </r>
  <r>
    <s v="ORD-2023-156396"/>
    <d v="2023-02-21T00:00:00"/>
    <d v="2023-03-12T00:00:00"/>
    <d v="2023-02-21T00:00:00"/>
    <d v="2023-03-12T00:00:00"/>
    <n v="19"/>
    <s v="2-2023"/>
    <x v="0"/>
    <s v="Kenya"/>
    <s v="Nakuru"/>
    <s v="Corporate"/>
    <x v="1"/>
    <x v="9"/>
    <x v="2"/>
    <x v="438"/>
    <n v="352.65"/>
    <n v="485.86"/>
    <n v="4.1000000000000002E-2"/>
    <n v="6"/>
    <n v="2795.6384399999997"/>
    <n v="2115.8999999999996"/>
    <n v="679.73844000000008"/>
    <n v="0.24314247159943908"/>
    <s v="Q1-2023"/>
    <s v="Africa → Kenya → Nakuru"/>
    <s v="Low"/>
    <n v="2023"/>
    <x v="2"/>
    <s v="No"/>
    <x v="0"/>
  </r>
  <r>
    <s v="ORD-2023-184577"/>
    <d v="2023-05-17T00:00:00"/>
    <d v="2023-06-03T00:00:00"/>
    <d v="2023-05-17T00:00:00"/>
    <d v="2023-06-03T00:00:00"/>
    <n v="17"/>
    <s v="5-2023"/>
    <x v="1"/>
    <s v="China"/>
    <s v="Beijing"/>
    <s v="Non-Profit"/>
    <x v="3"/>
    <x v="13"/>
    <x v="1"/>
    <x v="439"/>
    <n v="979.59"/>
    <n v="2210.94"/>
    <n v="0.15"/>
    <n v="11"/>
    <n v="20672.289000000001"/>
    <n v="10775.49"/>
    <n v="9896.7990000000009"/>
    <n v="0.47874712858358359"/>
    <s v="Q2-2023"/>
    <s v="Asia → China → Beijing"/>
    <s v="High"/>
    <n v="2023"/>
    <x v="5"/>
    <s v="No"/>
    <x v="0"/>
  </r>
  <r>
    <s v="ORD-2024-446030"/>
    <d v="2024-03-23T00:00:00"/>
    <d v="2024-03-26T00:00:00"/>
    <d v="2024-03-23T00:00:00"/>
    <d v="2024-03-26T00:00:00"/>
    <n v="3"/>
    <s v="3-2024"/>
    <x v="1"/>
    <s v="India"/>
    <s v="Bengaluru"/>
    <s v="Education"/>
    <x v="4"/>
    <x v="3"/>
    <x v="3"/>
    <x v="440"/>
    <n v="382.21"/>
    <n v="571.89"/>
    <n v="0.14799999999999999"/>
    <n v="26"/>
    <n v="12668.50728"/>
    <n v="9937.4599999999991"/>
    <n v="2731.0472800000007"/>
    <n v="0.2155776698578809"/>
    <s v="Q1-2024"/>
    <s v="Asia → India → Bengaluru"/>
    <s v="Low"/>
    <n v="2024"/>
    <x v="0"/>
    <s v="Yes"/>
    <x v="0"/>
  </r>
  <r>
    <s v="ORD-2025-840976"/>
    <d v="2025-09-01T00:00:00"/>
    <d v="2025-09-30T00:00:00"/>
    <d v="2025-09-01T00:00:00"/>
    <d v="2025-09-30T00:00:00"/>
    <n v="29"/>
    <s v="9-2025"/>
    <x v="2"/>
    <s v="Brazil"/>
    <s v="Brasília"/>
    <s v="Education"/>
    <x v="0"/>
    <x v="12"/>
    <x v="6"/>
    <x v="441"/>
    <n v="780.59"/>
    <n v="631.57000000000005"/>
    <n v="0"/>
    <n v="12"/>
    <n v="7578.84"/>
    <n v="9367.08"/>
    <n v="-1788.2399999999998"/>
    <n v="-0.23595167598207639"/>
    <s v="Q3-2025"/>
    <s v="Americas → Brazil → Brasília"/>
    <s v="Low"/>
    <n v="2025"/>
    <x v="8"/>
    <s v="No"/>
    <x v="0"/>
  </r>
  <r>
    <s v="ORD-2024-745424"/>
    <d v="2024-08-22T00:00:00"/>
    <d v="2024-09-04T00:00:00"/>
    <d v="2024-08-22T00:00:00"/>
    <d v="2024-09-04T00:00:00"/>
    <n v="13"/>
    <s v="8-2024"/>
    <x v="3"/>
    <s v="Germany"/>
    <s v="Frankfurt"/>
    <s v="Non-Profit"/>
    <x v="0"/>
    <x v="4"/>
    <x v="1"/>
    <x v="442"/>
    <n v="90.04"/>
    <n v="194.62"/>
    <n v="4.2999999999999997E-2"/>
    <n v="32"/>
    <n v="5960.04288"/>
    <n v="2881.28"/>
    <n v="3078.7628799999998"/>
    <n v="0.51656723650954672"/>
    <s v="Q3-2024"/>
    <s v="Europe → Germany → Frankfurt"/>
    <s v="Low"/>
    <n v="2024"/>
    <x v="11"/>
    <s v="No"/>
    <x v="0"/>
  </r>
  <r>
    <s v="ORD-2024-510520"/>
    <d v="2024-09-25T00:00:00"/>
    <d v="2024-10-03T00:00:00"/>
    <d v="2024-09-25T00:00:00"/>
    <d v="2024-10-03T00:00:00"/>
    <n v="8"/>
    <s v="9-2024"/>
    <x v="2"/>
    <s v="Canada"/>
    <s v="Toronto"/>
    <s v="Consumer"/>
    <x v="1"/>
    <x v="6"/>
    <x v="1"/>
    <x v="443"/>
    <n v="558.19000000000005"/>
    <n v="1031.6400000000001"/>
    <n v="0"/>
    <n v="21"/>
    <n v="21664.440000000002"/>
    <n v="11721.990000000002"/>
    <n v="9942.4500000000007"/>
    <n v="0.45892947152107322"/>
    <s v="Q3-2024"/>
    <s v="Americas → Canada → Toronto"/>
    <s v="Low"/>
    <n v="2024"/>
    <x v="8"/>
    <s v="No"/>
    <x v="0"/>
  </r>
  <r>
    <s v="ORD-2023-769774"/>
    <d v="2023-06-13T00:00:00"/>
    <d v="2023-06-24T00:00:00"/>
    <d v="2023-06-13T00:00:00"/>
    <d v="2023-06-24T00:00:00"/>
    <n v="11"/>
    <s v="6-2023"/>
    <x v="2"/>
    <s v="Canada"/>
    <s v="Toronto"/>
    <s v="Corporate"/>
    <x v="1"/>
    <x v="0"/>
    <x v="1"/>
    <x v="444"/>
    <n v="247.07"/>
    <n v="495.19"/>
    <n v="2.8000000000000001E-2"/>
    <n v="4"/>
    <n v="1925.29872"/>
    <n v="988.28"/>
    <n v="937.01872000000003"/>
    <n v="0.48668744764968214"/>
    <s v="Q2-2023"/>
    <s v="Americas → Canada → Toronto"/>
    <s v="Low"/>
    <n v="2023"/>
    <x v="9"/>
    <s v="No"/>
    <x v="0"/>
  </r>
  <r>
    <s v="ORD-2023-580751"/>
    <d v="2023-12-24T00:00:00"/>
    <d v="2024-01-13T00:00:00"/>
    <d v="2023-12-24T00:00:00"/>
    <d v="2024-01-13T00:00:00"/>
    <n v="20"/>
    <s v="12-2023"/>
    <x v="1"/>
    <s v="Japan"/>
    <s v="Nagoya"/>
    <s v="Education"/>
    <x v="4"/>
    <x v="5"/>
    <x v="4"/>
    <x v="445"/>
    <n v="625.37"/>
    <n v="1319.04"/>
    <n v="7.3999999999999996E-2"/>
    <n v="8"/>
    <n v="9771.4483199999995"/>
    <n v="5002.96"/>
    <n v="4768.4883199999995"/>
    <n v="0.48800220436513547"/>
    <s v="Q4-2023"/>
    <s v="Asia → Japan → Nagoya"/>
    <s v="Medium"/>
    <n v="2023"/>
    <x v="3"/>
    <s v="No"/>
    <x v="0"/>
  </r>
  <r>
    <s v="ORD-2025-473192"/>
    <d v="2025-03-30T00:00:00"/>
    <d v="2025-04-29T00:00:00"/>
    <d v="2025-03-30T00:00:00"/>
    <d v="2025-04-29T00:00:00"/>
    <n v="30"/>
    <s v="3-2025"/>
    <x v="0"/>
    <s v="South Africa"/>
    <s v="Durban"/>
    <s v="Consumer"/>
    <x v="2"/>
    <x v="1"/>
    <x v="5"/>
    <x v="446"/>
    <n v="194.6"/>
    <n v="314.87"/>
    <n v="0.29299999999999998"/>
    <n v="25"/>
    <n v="5565.3272500000003"/>
    <n v="4865"/>
    <n v="700.32725000000028"/>
    <n v="0.1258375686712763"/>
    <s v="Q1-2025"/>
    <s v="Africa → South Africa → Durban"/>
    <s v="Low"/>
    <n v="2025"/>
    <x v="0"/>
    <s v="No"/>
    <x v="1"/>
  </r>
  <r>
    <s v="ORD-2024-886939"/>
    <d v="2024-06-03T00:00:00"/>
    <d v="2024-06-24T00:00:00"/>
    <d v="2024-06-03T00:00:00"/>
    <d v="2024-06-24T00:00:00"/>
    <n v="21"/>
    <s v="6-2024"/>
    <x v="2"/>
    <s v="Canada"/>
    <s v="Toronto"/>
    <s v="Small Business"/>
    <x v="4"/>
    <x v="3"/>
    <x v="5"/>
    <x v="447"/>
    <n v="1205.5"/>
    <n v="2210.17"/>
    <n v="0.104"/>
    <n v="23"/>
    <n v="45547.183360000003"/>
    <n v="27726.5"/>
    <n v="17820.683360000003"/>
    <n v="0.39125763758314652"/>
    <s v="Q2-2024"/>
    <s v="Americas → Canada → Toronto"/>
    <s v="High"/>
    <n v="2024"/>
    <x v="9"/>
    <s v="No"/>
    <x v="0"/>
  </r>
  <r>
    <s v="ORD-2024-566589"/>
    <d v="2024-06-11T00:00:00"/>
    <d v="2024-07-09T00:00:00"/>
    <d v="2024-06-11T00:00:00"/>
    <d v="2024-07-09T00:00:00"/>
    <n v="28"/>
    <s v="6-2024"/>
    <x v="0"/>
    <s v="Nigeria"/>
    <s v="Port Harcourt"/>
    <s v="Corporate"/>
    <x v="2"/>
    <x v="2"/>
    <x v="3"/>
    <x v="448"/>
    <n v="895.54"/>
    <n v="1045"/>
    <n v="0.216"/>
    <n v="15"/>
    <n v="12289.2"/>
    <n v="13433.099999999999"/>
    <n v="-1143.8999999999978"/>
    <n v="-9.3081730299775234E-2"/>
    <s v="Q2-2024"/>
    <s v="Africa → Nigeria → Port Harcourt"/>
    <s v="Low"/>
    <n v="2024"/>
    <x v="9"/>
    <s v="No"/>
    <x v="1"/>
  </r>
  <r>
    <s v="ORD-2023-109927"/>
    <d v="2023-07-22T00:00:00"/>
    <d v="2023-07-21T00:00:00"/>
    <d v="2023-07-21T00:00:00"/>
    <d v="2023-07-22T00:00:00"/>
    <n v="1"/>
    <s v="7-2023"/>
    <x v="1"/>
    <s v="India"/>
    <s v="Delhi"/>
    <s v="Small Business"/>
    <x v="3"/>
    <x v="6"/>
    <x v="1"/>
    <x v="449"/>
    <n v="946.99"/>
    <n v="2132.19"/>
    <n v="0.16500000000000001"/>
    <n v="7"/>
    <n v="12462.65055"/>
    <n v="6628.93"/>
    <n v="5833.72055"/>
    <n v="0.46809629513362228"/>
    <s v="Q3-2023"/>
    <s v="Asia → India → Delhi"/>
    <s v="High"/>
    <n v="2023"/>
    <x v="6"/>
    <s v="Yes"/>
    <x v="0"/>
  </r>
  <r>
    <s v="ORD-2023-888140"/>
    <d v="2023-10-11T00:00:00"/>
    <d v="2023-10-13T00:00:00"/>
    <d v="2023-10-11T00:00:00"/>
    <d v="2023-10-13T00:00:00"/>
    <n v="2"/>
    <s v="10-2023"/>
    <x v="2"/>
    <s v="Brazil"/>
    <s v="Brasília"/>
    <s v="Consumer"/>
    <x v="3"/>
    <x v="15"/>
    <x v="6"/>
    <x v="450"/>
    <n v="715.94"/>
    <n v="550.07000000000005"/>
    <n v="0.14000000000000001"/>
    <n v="16"/>
    <n v="7568.9632000000001"/>
    <n v="11455.04"/>
    <n v="-3886.0768000000007"/>
    <n v="-0.51342260456491595"/>
    <s v="Q4-2023"/>
    <s v="Americas → Brazil → Brasília"/>
    <s v="Low"/>
    <n v="2023"/>
    <x v="1"/>
    <s v="Yes"/>
    <x v="0"/>
  </r>
  <r>
    <s v="ORD-2024-851993"/>
    <d v="2024-05-01T00:00:00"/>
    <d v="2024-05-16T00:00:00"/>
    <d v="2024-05-01T00:00:00"/>
    <d v="2024-05-16T00:00:00"/>
    <n v="15"/>
    <s v="5-2024"/>
    <x v="1"/>
    <s v="India"/>
    <s v="Bengaluru"/>
    <s v="Small Business"/>
    <x v="0"/>
    <x v="4"/>
    <x v="0"/>
    <x v="451"/>
    <n v="901.19"/>
    <n v="2125.44"/>
    <n v="7.0999999999999994E-2"/>
    <n v="12"/>
    <n v="23694.405119999999"/>
    <n v="10814.28"/>
    <n v="12880.125119999999"/>
    <n v="0.54359352154100415"/>
    <s v="Q2-2024"/>
    <s v="Asia → India → Bengaluru"/>
    <s v="High"/>
    <n v="2024"/>
    <x v="5"/>
    <s v="No"/>
    <x v="0"/>
  </r>
  <r>
    <s v="ORD-2025-417942"/>
    <d v="2025-06-09T00:00:00"/>
    <d v="2025-06-24T00:00:00"/>
    <d v="2025-06-09T00:00:00"/>
    <d v="2025-06-24T00:00:00"/>
    <n v="15"/>
    <s v="6-2025"/>
    <x v="1"/>
    <s v="Japan"/>
    <s v="Nagoya"/>
    <s v="Corporate"/>
    <x v="4"/>
    <x v="5"/>
    <x v="3"/>
    <x v="452"/>
    <n v="400.39"/>
    <n v="712.75"/>
    <n v="0.115"/>
    <n v="19"/>
    <n v="11984.891250000001"/>
    <n v="7607.41"/>
    <n v="4377.4812500000007"/>
    <n v="0.36524997671547504"/>
    <s v="Q2-2025"/>
    <s v="Asia → Japan → Nagoya"/>
    <s v="Low"/>
    <n v="2025"/>
    <x v="9"/>
    <s v="No"/>
    <x v="0"/>
  </r>
  <r>
    <s v="ORD-2023-172095"/>
    <d v="2023-05-24T00:00:00"/>
    <d v="2023-06-21T00:00:00"/>
    <d v="2023-05-24T00:00:00"/>
    <d v="2023-06-21T00:00:00"/>
    <n v="28"/>
    <s v="5-2023"/>
    <x v="2"/>
    <s v="USA"/>
    <s v="Austin"/>
    <s v="Small Business"/>
    <x v="2"/>
    <x v="3"/>
    <x v="5"/>
    <x v="453"/>
    <n v="813.97"/>
    <n v="1568.83"/>
    <n v="1.7000000000000001E-2"/>
    <n v="15"/>
    <n v="23132.398349999996"/>
    <n v="12209.550000000001"/>
    <n v="10922.848349999995"/>
    <n v="0.4721883215364911"/>
    <s v="Q2-2023"/>
    <s v="Americas → USA → Austin"/>
    <s v="Medium"/>
    <n v="2023"/>
    <x v="5"/>
    <s v="No"/>
    <x v="0"/>
  </r>
  <r>
    <s v="ORD-2025-703623"/>
    <d v="2025-07-23T00:00:00"/>
    <d v="2025-08-19T00:00:00"/>
    <d v="2025-07-23T00:00:00"/>
    <d v="2025-08-19T00:00:00"/>
    <n v="27"/>
    <s v="7-2025"/>
    <x v="1"/>
    <s v="Japan"/>
    <s v="Nagoya"/>
    <s v="Consumer"/>
    <x v="2"/>
    <x v="5"/>
    <x v="6"/>
    <x v="454"/>
    <n v="896.09"/>
    <n v="744.27"/>
    <n v="8.3000000000000004E-2"/>
    <n v="11"/>
    <n v="7507.4514899999995"/>
    <n v="9856.99"/>
    <n v="-2349.5385100000003"/>
    <n v="-0.31296086469950679"/>
    <s v="Q3-2025"/>
    <s v="Asia → Japan → Nagoya"/>
    <s v="Low"/>
    <n v="2025"/>
    <x v="6"/>
    <s v="No"/>
    <x v="0"/>
  </r>
  <r>
    <s v="ORD-2025-650719"/>
    <d v="2025-02-12T00:00:00"/>
    <d v="2025-02-28T00:00:00"/>
    <d v="2025-02-12T00:00:00"/>
    <d v="2025-02-28T00:00:00"/>
    <n v="16"/>
    <s v="2-2025"/>
    <x v="2"/>
    <s v="Brazil"/>
    <s v="São Paulo"/>
    <s v="Non-Profit"/>
    <x v="4"/>
    <x v="5"/>
    <x v="5"/>
    <x v="455"/>
    <n v="414.95"/>
    <n v="1027.73"/>
    <n v="6.3E-2"/>
    <n v="8"/>
    <n v="7703.8640800000003"/>
    <n v="3319.6"/>
    <n v="4384.2640800000008"/>
    <n v="0.56909935513815568"/>
    <s v="Q1-2025"/>
    <s v="Americas → Brazil → São Paulo"/>
    <s v="Low"/>
    <n v="2025"/>
    <x v="2"/>
    <s v="No"/>
    <x v="0"/>
  </r>
  <r>
    <s v="ORD-2023-880296"/>
    <d v="2023-05-02T00:00:00"/>
    <d v="2023-05-19T00:00:00"/>
    <d v="2023-05-02T00:00:00"/>
    <d v="2023-05-19T00:00:00"/>
    <n v="17"/>
    <s v="5-2023"/>
    <x v="1"/>
    <s v="China"/>
    <s v="Shanghai"/>
    <s v="Non-Profit"/>
    <x v="4"/>
    <x v="1"/>
    <x v="5"/>
    <x v="456"/>
    <n v="714.28"/>
    <n v="757.59"/>
    <n v="0.13600000000000001"/>
    <n v="12"/>
    <n v="7854.6931199999999"/>
    <n v="8571.36"/>
    <n v="-716.66688000000067"/>
    <n v="-9.1240595787910383E-2"/>
    <s v="Q2-2023"/>
    <s v="Asia → China → Shanghai"/>
    <s v="Low"/>
    <n v="2023"/>
    <x v="5"/>
    <s v="No"/>
    <x v="0"/>
  </r>
  <r>
    <s v="ORD-2023-191563"/>
    <d v="2023-11-30T00:00:00"/>
    <d v="2023-12-10T00:00:00"/>
    <d v="2023-11-30T00:00:00"/>
    <d v="2023-12-10T00:00:00"/>
    <n v="10"/>
    <s v="11-2023"/>
    <x v="3"/>
    <s v="Germany"/>
    <s v="Munich"/>
    <s v="Small Business"/>
    <x v="4"/>
    <x v="9"/>
    <x v="4"/>
    <x v="457"/>
    <n v="174.74"/>
    <n v="415.96"/>
    <n v="0.125"/>
    <n v="21"/>
    <n v="7643.2649999999994"/>
    <n v="3669.54"/>
    <n v="3973.7249999999995"/>
    <n v="0.51989889137691803"/>
    <s v="Q4-2023"/>
    <s v="Europe → Germany → Munich"/>
    <s v="Low"/>
    <n v="2023"/>
    <x v="10"/>
    <s v="No"/>
    <x v="0"/>
  </r>
  <r>
    <s v="ORD-2024-202166"/>
    <d v="2024-05-05T00:00:00"/>
    <d v="2024-05-18T00:00:00"/>
    <d v="2024-05-05T00:00:00"/>
    <d v="2024-05-18T00:00:00"/>
    <n v="13"/>
    <s v="5-2024"/>
    <x v="3"/>
    <s v="France"/>
    <s v="Marseille"/>
    <s v="Corporate"/>
    <x v="2"/>
    <x v="14"/>
    <x v="0"/>
    <x v="458"/>
    <n v="1264.04"/>
    <n v="1870.89"/>
    <n v="0"/>
    <n v="13"/>
    <n v="24321.57"/>
    <n v="16432.52"/>
    <n v="7889.0499999999993"/>
    <n v="0.32436433996653996"/>
    <s v="Q2-2024"/>
    <s v="Europe → France → Marseille"/>
    <s v="Medium"/>
    <n v="2024"/>
    <x v="5"/>
    <s v="No"/>
    <x v="0"/>
  </r>
  <r>
    <s v="ORD-2023-539967"/>
    <d v="2023-07-09T00:00:00"/>
    <d v="2023-07-19T00:00:00"/>
    <d v="2023-07-09T00:00:00"/>
    <d v="2023-07-19T00:00:00"/>
    <n v="10"/>
    <s v="7-2023"/>
    <x v="1"/>
    <s v="Japan"/>
    <s v="Tokyo"/>
    <s v="Enterprise"/>
    <x v="3"/>
    <x v="10"/>
    <x v="0"/>
    <x v="459"/>
    <n v="141.26"/>
    <n v="206.88"/>
    <n v="0.107"/>
    <n v="9"/>
    <n v="1662.6945600000001"/>
    <n v="1271.3399999999999"/>
    <n v="391.35456000000022"/>
    <n v="0.23537369365062469"/>
    <s v="Q3-2023"/>
    <s v="Asia → Japan → Tokyo"/>
    <s v="Low"/>
    <n v="2023"/>
    <x v="6"/>
    <s v="No"/>
    <x v="0"/>
  </r>
  <r>
    <s v="ORD-2023-375011"/>
    <d v="2023-08-23T00:00:00"/>
    <d v="2023-09-22T00:00:00"/>
    <d v="2023-08-23T00:00:00"/>
    <d v="2023-09-22T00:00:00"/>
    <n v="30"/>
    <s v="8-2023"/>
    <x v="3"/>
    <s v="United Kingdom"/>
    <s v="London"/>
    <s v="Consumer"/>
    <x v="3"/>
    <x v="7"/>
    <x v="6"/>
    <x v="460"/>
    <n v="209.81"/>
    <n v="523"/>
    <n v="5.8999999999999997E-2"/>
    <n v="15"/>
    <n v="7382.1450000000004"/>
    <n v="3147.15"/>
    <n v="4234.9950000000008"/>
    <n v="0.57368082041195356"/>
    <s v="Q3-2023"/>
    <s v="Europe → United Kingdom → London"/>
    <s v="Low"/>
    <n v="2023"/>
    <x v="11"/>
    <s v="No"/>
    <x v="0"/>
  </r>
  <r>
    <s v="ORD-2024-356812"/>
    <d v="2024-03-07T00:00:00"/>
    <d v="2024-04-03T00:00:00"/>
    <d v="2024-03-07T00:00:00"/>
    <d v="2024-04-03T00:00:00"/>
    <n v="27"/>
    <s v="3-2024"/>
    <x v="3"/>
    <s v="Germany"/>
    <s v="Frankfurt"/>
    <s v="Corporate"/>
    <x v="4"/>
    <x v="13"/>
    <x v="1"/>
    <x v="461"/>
    <n v="738.16"/>
    <n v="956.49"/>
    <n v="0.152"/>
    <n v="5"/>
    <n v="4055.5175999999997"/>
    <n v="3690.7999999999997"/>
    <n v="364.71759999999995"/>
    <n v="8.9931208780847108E-2"/>
    <s v="Q1-2024"/>
    <s v="Europe → Germany → Frankfurt"/>
    <s v="Low"/>
    <n v="2024"/>
    <x v="0"/>
    <s v="No"/>
    <x v="0"/>
  </r>
  <r>
    <s v="ORD-2025-306251"/>
    <d v="2025-04-10T00:00:00"/>
    <d v="2025-04-19T00:00:00"/>
    <d v="2025-04-10T00:00:00"/>
    <d v="2025-04-19T00:00:00"/>
    <n v="9"/>
    <s v="4-2025"/>
    <x v="0"/>
    <s v="South Africa"/>
    <s v="Durban"/>
    <s v="Enterprise"/>
    <x v="5"/>
    <x v="3"/>
    <x v="2"/>
    <x v="462"/>
    <n v="113.74"/>
    <n v="165.7"/>
    <n v="0.124"/>
    <n v="13"/>
    <n v="1886.9915999999998"/>
    <n v="1478.62"/>
    <n v="408.37159999999994"/>
    <n v="0.21641410592394794"/>
    <s v="Q2-2025"/>
    <s v="Africa → South Africa → Durban"/>
    <s v="Low"/>
    <n v="2025"/>
    <x v="7"/>
    <s v="No"/>
    <x v="0"/>
  </r>
  <r>
    <s v="ORD-2025-496178"/>
    <d v="2025-07-27T00:00:00"/>
    <d v="2025-08-15T00:00:00"/>
    <d v="2025-07-27T00:00:00"/>
    <d v="2025-08-15T00:00:00"/>
    <n v="19"/>
    <s v="7-2025"/>
    <x v="1"/>
    <s v="Japan"/>
    <s v="Tokyo"/>
    <s v="Small Business"/>
    <x v="2"/>
    <x v="1"/>
    <x v="0"/>
    <x v="463"/>
    <n v="275.43"/>
    <n v="608.36"/>
    <n v="0.25700000000000001"/>
    <n v="4"/>
    <n v="1808.04592"/>
    <n v="1101.72"/>
    <n v="706.32592"/>
    <n v="0.39065706915231446"/>
    <s v="Q3-2025"/>
    <s v="Asia → Japan → Tokyo"/>
    <s v="Low"/>
    <n v="2025"/>
    <x v="6"/>
    <s v="No"/>
    <x v="1"/>
  </r>
  <r>
    <s v="ORD-2024-508213"/>
    <d v="2024-11-22T00:00:00"/>
    <d v="2024-12-15T00:00:00"/>
    <d v="2024-11-22T00:00:00"/>
    <d v="2024-12-15T00:00:00"/>
    <n v="23"/>
    <s v="11-2024"/>
    <x v="0"/>
    <s v="Kenya"/>
    <s v="Mombasa"/>
    <s v="Non-Profit"/>
    <x v="3"/>
    <x v="0"/>
    <x v="0"/>
    <x v="464"/>
    <n v="1335.76"/>
    <n v="2665.91"/>
    <n v="0.21099999999999999"/>
    <n v="40"/>
    <n v="84136.119600000005"/>
    <n v="53430.400000000001"/>
    <n v="30705.719600000004"/>
    <n v="0.36495288522909253"/>
    <s v="Q4-2024"/>
    <s v="Africa → Kenya → Mombasa"/>
    <s v="High"/>
    <n v="2024"/>
    <x v="10"/>
    <s v="No"/>
    <x v="1"/>
  </r>
  <r>
    <s v="ORD-2023-253245"/>
    <d v="2023-08-03T00:00:00"/>
    <d v="2023-08-14T00:00:00"/>
    <d v="2023-08-03T00:00:00"/>
    <d v="2023-08-14T00:00:00"/>
    <n v="11"/>
    <s v="8-2023"/>
    <x v="2"/>
    <s v="Brazil"/>
    <s v="Brasília"/>
    <s v="Corporate"/>
    <x v="4"/>
    <x v="1"/>
    <x v="6"/>
    <x v="465"/>
    <n v="232.73"/>
    <n v="334.19"/>
    <n v="0.13400000000000001"/>
    <n v="25"/>
    <n v="7235.2134999999998"/>
    <n v="5818.25"/>
    <n v="1416.9634999999998"/>
    <n v="0.1958426658729559"/>
    <s v="Q3-2023"/>
    <s v="Americas → Brazil → Brasília"/>
    <s v="Low"/>
    <n v="2023"/>
    <x v="11"/>
    <s v="No"/>
    <x v="0"/>
  </r>
  <r>
    <s v="ORD-2023-728177"/>
    <d v="2023-12-18T00:00:00"/>
    <d v="2024-01-14T00:00:00"/>
    <d v="2023-12-18T00:00:00"/>
    <d v="2024-01-14T00:00:00"/>
    <n v="27"/>
    <s v="12-2023"/>
    <x v="1"/>
    <s v="India"/>
    <s v="Mumbai"/>
    <s v="Consumer"/>
    <x v="3"/>
    <x v="8"/>
    <x v="2"/>
    <x v="466"/>
    <n v="1408.3"/>
    <n v="2193.13"/>
    <n v="7.0999999999999994E-2"/>
    <n v="7"/>
    <n v="14261.92439"/>
    <n v="9858.1"/>
    <n v="4403.8243899999998"/>
    <n v="0.30878191957656281"/>
    <s v="Q4-2023"/>
    <s v="Asia → India → Mumbai"/>
    <s v="High"/>
    <n v="2023"/>
    <x v="3"/>
    <s v="No"/>
    <x v="0"/>
  </r>
  <r>
    <s v="ORD-2025-795385"/>
    <d v="2025-06-01T00:00:00"/>
    <d v="2025-06-05T00:00:00"/>
    <d v="2025-06-01T00:00:00"/>
    <d v="2025-06-05T00:00:00"/>
    <n v="4"/>
    <s v="6-2025"/>
    <x v="3"/>
    <s v="Germany"/>
    <s v="Munich"/>
    <s v="Enterprise"/>
    <x v="4"/>
    <x v="13"/>
    <x v="0"/>
    <x v="467"/>
    <n v="1171.42"/>
    <n v="2187.8000000000002"/>
    <n v="0.23"/>
    <n v="15"/>
    <n v="25269.09"/>
    <n v="17571.300000000003"/>
    <n v="7697.7899999999972"/>
    <n v="0.30463265594447592"/>
    <s v="Q2-2025"/>
    <s v="Europe → Germany → Munich"/>
    <s v="High"/>
    <n v="2025"/>
    <x v="9"/>
    <s v="Yes"/>
    <x v="1"/>
  </r>
  <r>
    <s v="ORD-2025-947929"/>
    <d v="2025-03-23T00:00:00"/>
    <d v="2025-04-02T00:00:00"/>
    <d v="2025-03-23T00:00:00"/>
    <d v="2025-04-02T00:00:00"/>
    <n v="10"/>
    <s v="3-2025"/>
    <x v="3"/>
    <s v="Germany"/>
    <s v="Berlin"/>
    <s v="Enterprise"/>
    <x v="1"/>
    <x v="6"/>
    <x v="1"/>
    <x v="468"/>
    <n v="663.61"/>
    <n v="1002.11"/>
    <n v="4.5999999999999999E-2"/>
    <n v="17"/>
    <n v="16252.219979999998"/>
    <n v="11281.37"/>
    <n v="4970.8499799999972"/>
    <n v="0.30585667595670812"/>
    <s v="Q1-2025"/>
    <s v="Europe → Germany → Berlin"/>
    <s v="Low"/>
    <n v="2025"/>
    <x v="0"/>
    <s v="No"/>
    <x v="0"/>
  </r>
  <r>
    <s v="ORD-2023-931633"/>
    <d v="2023-05-14T00:00:00"/>
    <d v="2023-05-22T00:00:00"/>
    <d v="2023-05-14T00:00:00"/>
    <d v="2023-05-22T00:00:00"/>
    <n v="8"/>
    <s v="5-2023"/>
    <x v="0"/>
    <s v="Kenya"/>
    <s v="Mombasa"/>
    <s v="Small Business"/>
    <x v="3"/>
    <x v="9"/>
    <x v="1"/>
    <x v="469"/>
    <n v="432.01"/>
    <n v="913.78"/>
    <n v="4.9000000000000002E-2"/>
    <n v="12"/>
    <n v="10428.057360000001"/>
    <n v="5184.12"/>
    <n v="5243.9373600000008"/>
    <n v="0.50286809699711899"/>
    <s v="Q2-2023"/>
    <s v="Africa → Kenya → Mombasa"/>
    <s v="Low"/>
    <n v="2023"/>
    <x v="5"/>
    <s v="No"/>
    <x v="0"/>
  </r>
  <r>
    <s v="ORD-2023-243704"/>
    <d v="2023-08-29T00:00:00"/>
    <d v="2023-09-19T00:00:00"/>
    <d v="2023-08-29T00:00:00"/>
    <d v="2023-09-19T00:00:00"/>
    <n v="21"/>
    <s v="8-2023"/>
    <x v="3"/>
    <s v="France"/>
    <s v="Lyon"/>
    <s v="Small Business"/>
    <x v="4"/>
    <x v="5"/>
    <x v="1"/>
    <x v="470"/>
    <n v="784.46"/>
    <n v="1843.51"/>
    <n v="0.13800000000000001"/>
    <n v="23"/>
    <n v="36549.429260000004"/>
    <n v="18042.580000000002"/>
    <n v="18506.849260000003"/>
    <n v="0.50635125184441798"/>
    <s v="Q3-2023"/>
    <s v="Europe → France → Lyon"/>
    <s v="Medium"/>
    <n v="2023"/>
    <x v="11"/>
    <s v="No"/>
    <x v="0"/>
  </r>
  <r>
    <s v="ORD-2025-779659"/>
    <d v="2025-07-03T00:00:00"/>
    <d v="2025-07-23T00:00:00"/>
    <d v="2025-07-03T00:00:00"/>
    <d v="2025-07-23T00:00:00"/>
    <n v="20"/>
    <s v="7-2025"/>
    <x v="1"/>
    <s v="China"/>
    <s v="Beijing"/>
    <s v="Small Business"/>
    <x v="1"/>
    <x v="13"/>
    <x v="0"/>
    <x v="471"/>
    <n v="647.36"/>
    <n v="1383.6"/>
    <n v="7.3999999999999996E-2"/>
    <n v="12"/>
    <n v="15374.563199999999"/>
    <n v="7768.32"/>
    <n v="7606.243199999999"/>
    <n v="0.49472906000997802"/>
    <s v="Q3-2025"/>
    <s v="Asia → China → Beijing"/>
    <s v="Medium"/>
    <n v="2025"/>
    <x v="6"/>
    <s v="No"/>
    <x v="0"/>
  </r>
  <r>
    <s v="ORD-2024-647571"/>
    <d v="2024-02-06T00:00:00"/>
    <d v="2024-02-28T00:00:00"/>
    <d v="2024-02-06T00:00:00"/>
    <d v="2024-02-28T00:00:00"/>
    <n v="22"/>
    <s v="2-2024"/>
    <x v="0"/>
    <s v="Kenya"/>
    <s v="Kisumu"/>
    <s v="Non-Profit"/>
    <x v="1"/>
    <x v="12"/>
    <x v="5"/>
    <x v="472"/>
    <n v="834.93"/>
    <n v="1588.53"/>
    <n v="0.126"/>
    <n v="6"/>
    <n v="8330.2513199999994"/>
    <n v="5009.58"/>
    <n v="3320.6713199999995"/>
    <n v="0.39862798761274343"/>
    <s v="Q1-2024"/>
    <s v="Africa → Kenya → Kisumu"/>
    <s v="Medium"/>
    <n v="2024"/>
    <x v="2"/>
    <s v="No"/>
    <x v="0"/>
  </r>
  <r>
    <s v="ORD-2025-683043"/>
    <d v="2025-08-13T00:00:00"/>
    <d v="2025-09-03T00:00:00"/>
    <d v="2025-08-13T00:00:00"/>
    <d v="2025-09-03T00:00:00"/>
    <n v="21"/>
    <s v="8-2025"/>
    <x v="3"/>
    <s v="France"/>
    <s v="Paris"/>
    <s v="Education"/>
    <x v="0"/>
    <x v="2"/>
    <x v="3"/>
    <x v="473"/>
    <n v="603.47"/>
    <n v="1344.05"/>
    <n v="0.20499999999999999"/>
    <n v="18"/>
    <n v="19233.355499999998"/>
    <n v="10862.460000000001"/>
    <n v="8370.8954999999969"/>
    <n v="0.43522803392262976"/>
    <s v="Q3-2025"/>
    <s v="Europe → France → Paris"/>
    <s v="Medium"/>
    <n v="2025"/>
    <x v="11"/>
    <s v="No"/>
    <x v="1"/>
  </r>
  <r>
    <s v="ORD-2025-487261"/>
    <d v="2025-03-06T00:00:00"/>
    <d v="2025-03-31T00:00:00"/>
    <d v="2025-03-06T00:00:00"/>
    <d v="2025-03-31T00:00:00"/>
    <n v="25"/>
    <s v="3-2025"/>
    <x v="2"/>
    <s v="Brazil"/>
    <s v="Brasília"/>
    <s v="Non-Profit"/>
    <x v="1"/>
    <x v="1"/>
    <x v="0"/>
    <x v="474"/>
    <n v="331.57"/>
    <n v="548.4"/>
    <n v="9.4E-2"/>
    <n v="10"/>
    <n v="4968.5039999999999"/>
    <n v="3315.7"/>
    <n v="1652.8040000000001"/>
    <n v="0.33265626836568918"/>
    <s v="Q1-2025"/>
    <s v="Americas → Brazil → Brasília"/>
    <s v="Low"/>
    <n v="2025"/>
    <x v="0"/>
    <s v="No"/>
    <x v="0"/>
  </r>
  <r>
    <s v="ORD-2024-641220"/>
    <d v="2024-05-10T00:00:00"/>
    <d v="2024-05-16T00:00:00"/>
    <d v="2024-05-10T00:00:00"/>
    <d v="2024-05-16T00:00:00"/>
    <n v="6"/>
    <s v="5-2024"/>
    <x v="3"/>
    <s v="United Kingdom"/>
    <s v="Birmingham"/>
    <s v="Non-Profit"/>
    <x v="4"/>
    <x v="3"/>
    <x v="4"/>
    <x v="475"/>
    <n v="210.76"/>
    <n v="221.58"/>
    <n v="8.8999999999999996E-2"/>
    <n v="5"/>
    <n v="1009.2969000000002"/>
    <n v="1053.8"/>
    <n v="-44.50309999999979"/>
    <n v="-4.4093170205912434E-2"/>
    <s v="Q2-2024"/>
    <s v="Europe → United Kingdom → Birmingham"/>
    <s v="Low"/>
    <n v="2024"/>
    <x v="5"/>
    <s v="Yes"/>
    <x v="0"/>
  </r>
  <r>
    <s v="ORD-2023-799597"/>
    <d v="2023-03-14T00:00:00"/>
    <d v="2023-03-18T00:00:00"/>
    <d v="2023-03-14T00:00:00"/>
    <d v="2023-03-18T00:00:00"/>
    <n v="4"/>
    <s v="3-2023"/>
    <x v="3"/>
    <s v="Germany"/>
    <s v="Frankfurt"/>
    <s v="Enterprise"/>
    <x v="4"/>
    <x v="14"/>
    <x v="0"/>
    <x v="476"/>
    <n v="472.33"/>
    <n v="360.34"/>
    <n v="0.16500000000000001"/>
    <n v="14"/>
    <n v="4212.3745999999992"/>
    <n v="6612.62"/>
    <n v="-2400.2454000000007"/>
    <n v="-0.56980815523861561"/>
    <s v="Q1-2023"/>
    <s v="Europe → Germany → Frankfurt"/>
    <s v="Low"/>
    <n v="2023"/>
    <x v="0"/>
    <s v="Yes"/>
    <x v="0"/>
  </r>
  <r>
    <s v="ORD-2023-569862"/>
    <d v="2023-07-16T00:00:00"/>
    <d v="2023-08-13T00:00:00"/>
    <d v="2023-07-16T00:00:00"/>
    <d v="2023-08-13T00:00:00"/>
    <n v="28"/>
    <s v="7-2023"/>
    <x v="3"/>
    <s v="United Kingdom"/>
    <s v="Manchester"/>
    <s v="Non-Profit"/>
    <x v="1"/>
    <x v="1"/>
    <x v="4"/>
    <x v="477"/>
    <n v="1039.03"/>
    <n v="2545.81"/>
    <n v="0.216"/>
    <n v="21"/>
    <n v="41914.215840000004"/>
    <n v="21819.63"/>
    <n v="20094.585840000003"/>
    <n v="0.47942172929364774"/>
    <s v="Q3-2023"/>
    <s v="Europe → United Kingdom → Manchester"/>
    <s v="High"/>
    <n v="2023"/>
    <x v="6"/>
    <s v="No"/>
    <x v="1"/>
  </r>
  <r>
    <s v="ORD-2023-944052"/>
    <d v="2023-08-30T00:00:00"/>
    <d v="2023-09-03T00:00:00"/>
    <d v="2023-08-30T00:00:00"/>
    <d v="2023-09-03T00:00:00"/>
    <n v="4"/>
    <s v="8-2023"/>
    <x v="1"/>
    <s v="India"/>
    <s v="Delhi"/>
    <s v="Small Business"/>
    <x v="2"/>
    <x v="4"/>
    <x v="6"/>
    <x v="478"/>
    <n v="1082.25"/>
    <n v="2433.34"/>
    <n v="0.27"/>
    <n v="4"/>
    <n v="7105.3528000000006"/>
    <n v="4329"/>
    <n v="2776.3528000000006"/>
    <n v="0.3907410199251472"/>
    <s v="Q3-2023"/>
    <s v="Asia → India → Delhi"/>
    <s v="High"/>
    <n v="2023"/>
    <x v="11"/>
    <s v="Yes"/>
    <x v="1"/>
  </r>
  <r>
    <s v="ORD-2024-105586"/>
    <d v="2024-01-02T00:00:00"/>
    <d v="2024-01-15T00:00:00"/>
    <d v="2024-01-02T00:00:00"/>
    <d v="2024-01-15T00:00:00"/>
    <n v="13"/>
    <s v="1-2024"/>
    <x v="1"/>
    <s v="Japan"/>
    <s v="Nagoya"/>
    <s v="Small Business"/>
    <x v="2"/>
    <x v="3"/>
    <x v="2"/>
    <x v="479"/>
    <n v="1219.06"/>
    <n v="2738.69"/>
    <n v="7.5999999999999998E-2"/>
    <n v="16"/>
    <n v="40488.792960000006"/>
    <n v="19504.96"/>
    <n v="20983.832960000007"/>
    <n v="0.51826274447673737"/>
    <s v="Q1-2024"/>
    <s v="Asia → Japan → Nagoya"/>
    <s v="High"/>
    <n v="2024"/>
    <x v="4"/>
    <s v="No"/>
    <x v="0"/>
  </r>
  <r>
    <s v="ORD-2024-207792"/>
    <d v="2024-09-03T00:00:00"/>
    <d v="2024-09-07T00:00:00"/>
    <d v="2024-09-03T00:00:00"/>
    <d v="2024-09-07T00:00:00"/>
    <n v="4"/>
    <s v="9-2024"/>
    <x v="1"/>
    <s v="Japan"/>
    <s v="Tokyo"/>
    <s v="Small Business"/>
    <x v="3"/>
    <x v="10"/>
    <x v="1"/>
    <x v="480"/>
    <n v="43.23"/>
    <n v="94.78"/>
    <n v="9.0999999999999998E-2"/>
    <n v="55"/>
    <n v="4738.5261"/>
    <n v="2377.6499999999996"/>
    <n v="2360.8761000000004"/>
    <n v="0.49823005090127082"/>
    <s v="Q3-2024"/>
    <s v="Asia → Japan → Tokyo"/>
    <s v="Low"/>
    <n v="2024"/>
    <x v="8"/>
    <s v="Yes"/>
    <x v="0"/>
  </r>
  <r>
    <s v="ORD-2025-417336"/>
    <d v="2025-08-30T00:00:00"/>
    <d v="2025-09-03T00:00:00"/>
    <d v="2025-08-30T00:00:00"/>
    <d v="2025-09-03T00:00:00"/>
    <n v="4"/>
    <s v="8-2025"/>
    <x v="3"/>
    <s v="France"/>
    <s v="Marseille"/>
    <s v="Small Business"/>
    <x v="2"/>
    <x v="1"/>
    <x v="4"/>
    <x v="481"/>
    <n v="1286.56"/>
    <n v="2777.35"/>
    <n v="0.13200000000000001"/>
    <n v="15"/>
    <n v="36161.097000000002"/>
    <n v="19298.399999999998"/>
    <n v="16862.697000000004"/>
    <n v="0.46632150014696744"/>
    <s v="Q3-2025"/>
    <s v="Europe → France → Marseille"/>
    <s v="High"/>
    <n v="2025"/>
    <x v="11"/>
    <s v="Yes"/>
    <x v="0"/>
  </r>
  <r>
    <s v="ORD-2025-252117"/>
    <d v="2025-04-28T00:00:00"/>
    <d v="2025-05-19T00:00:00"/>
    <d v="2025-04-28T00:00:00"/>
    <d v="2025-05-19T00:00:00"/>
    <n v="21"/>
    <s v="4-2025"/>
    <x v="3"/>
    <s v="Germany"/>
    <s v="Berlin"/>
    <s v="Corporate"/>
    <x v="3"/>
    <x v="5"/>
    <x v="3"/>
    <x v="482"/>
    <n v="350.76"/>
    <n v="492.18"/>
    <n v="5.2999999999999999E-2"/>
    <n v="11"/>
    <n v="5127.0390600000001"/>
    <n v="3858.3599999999997"/>
    <n v="1268.6790600000004"/>
    <n v="0.24744868239798437"/>
    <s v="Q2-2025"/>
    <s v="Europe → Germany → Berlin"/>
    <s v="Low"/>
    <n v="2025"/>
    <x v="7"/>
    <s v="No"/>
    <x v="0"/>
  </r>
  <r>
    <s v="ORD-2025-680118"/>
    <d v="2025-03-10T00:00:00"/>
    <d v="2025-03-27T00:00:00"/>
    <d v="2025-03-10T00:00:00"/>
    <d v="2025-03-27T00:00:00"/>
    <n v="17"/>
    <s v="3-2025"/>
    <x v="2"/>
    <s v="Brazil"/>
    <s v="Rio de Janeiro"/>
    <s v="Enterprise"/>
    <x v="4"/>
    <x v="9"/>
    <x v="2"/>
    <x v="483"/>
    <n v="996.73"/>
    <n v="1217.43"/>
    <n v="7.0000000000000007E-2"/>
    <n v="9"/>
    <n v="10189.8891"/>
    <n v="8970.57"/>
    <n v="1219.3191000000006"/>
    <n v="0.11965970267527255"/>
    <s v="Q1-2025"/>
    <s v="Americas → Brazil → Rio de Janeiro"/>
    <s v="Medium"/>
    <n v="2025"/>
    <x v="0"/>
    <s v="No"/>
    <x v="0"/>
  </r>
  <r>
    <s v="ORD-2024-382152"/>
    <d v="2024-12-08T00:00:00"/>
    <d v="2024-12-08T00:00:00"/>
    <d v="2024-12-08T00:00:00"/>
    <d v="2024-12-08T00:00:00"/>
    <n v="0"/>
    <s v="12-2024"/>
    <x v="3"/>
    <s v="France"/>
    <s v="Lyon"/>
    <s v="Enterprise"/>
    <x v="0"/>
    <x v="11"/>
    <x v="0"/>
    <x v="484"/>
    <n v="257.44"/>
    <n v="290.33"/>
    <n v="9.1999999999999998E-2"/>
    <n v="23"/>
    <n v="6063.2517199999993"/>
    <n v="5921.12"/>
    <n v="142.1317199999994"/>
    <n v="2.3441500792581216E-2"/>
    <s v="Q4-2024"/>
    <s v="Europe → France → Lyon"/>
    <s v="Low"/>
    <n v="2024"/>
    <x v="3"/>
    <s v="Yes"/>
    <x v="0"/>
  </r>
  <r>
    <s v="ORD-2023-597666"/>
    <d v="2023-10-25T00:00:00"/>
    <d v="2023-11-24T00:00:00"/>
    <d v="2023-10-25T00:00:00"/>
    <d v="2023-11-24T00:00:00"/>
    <n v="30"/>
    <s v="10-2023"/>
    <x v="3"/>
    <s v="France"/>
    <s v="Paris"/>
    <s v="Enterprise"/>
    <x v="3"/>
    <x v="0"/>
    <x v="3"/>
    <x v="485"/>
    <n v="287.85000000000002"/>
    <n v="602.91999999999996"/>
    <n v="0.222"/>
    <n v="11"/>
    <n v="5159.7893599999998"/>
    <n v="3166.3500000000004"/>
    <n v="1993.4393599999994"/>
    <n v="0.38634122847216373"/>
    <s v="Q4-2023"/>
    <s v="Europe → France → Paris"/>
    <s v="Low"/>
    <n v="2023"/>
    <x v="1"/>
    <s v="No"/>
    <x v="1"/>
  </r>
  <r>
    <s v="ORD-2024-371409"/>
    <d v="2024-11-17T00:00:00"/>
    <d v="2024-11-28T00:00:00"/>
    <d v="2024-11-17T00:00:00"/>
    <d v="2024-11-28T00:00:00"/>
    <n v="11"/>
    <s v="11-2024"/>
    <x v="2"/>
    <s v="Canada"/>
    <s v="Unknown City"/>
    <s v="Consumer"/>
    <x v="3"/>
    <x v="14"/>
    <x v="1"/>
    <x v="486"/>
    <n v="1008.16"/>
    <n v="2077.5"/>
    <n v="7.3999999999999996E-2"/>
    <n v="15"/>
    <n v="28856.475000000002"/>
    <n v="15122.4"/>
    <n v="13734.075000000003"/>
    <n v="0.47594430712691005"/>
    <s v="Q4-2024"/>
    <s v="Americas → Canada → Unknown City"/>
    <s v="High"/>
    <n v="2024"/>
    <x v="10"/>
    <s v="No"/>
    <x v="0"/>
  </r>
  <r>
    <s v="ORD-2024-973420"/>
    <d v="2024-05-12T00:00:00"/>
    <d v="2024-05-24T00:00:00"/>
    <d v="2024-05-12T00:00:00"/>
    <d v="2024-05-24T00:00:00"/>
    <n v="12"/>
    <s v="5-2024"/>
    <x v="3"/>
    <s v="United Kingdom"/>
    <s v="Manchester"/>
    <s v="Education"/>
    <x v="2"/>
    <x v="12"/>
    <x v="1"/>
    <x v="487"/>
    <n v="111.02"/>
    <n v="172.88"/>
    <n v="0.19700000000000001"/>
    <n v="29"/>
    <n v="4025.8565599999993"/>
    <n v="3219.58"/>
    <n v="806.27655999999934"/>
    <n v="0.20027453735212053"/>
    <s v="Q2-2024"/>
    <s v="Europe → United Kingdom → Manchester"/>
    <s v="Low"/>
    <n v="2024"/>
    <x v="5"/>
    <s v="No"/>
    <x v="0"/>
  </r>
  <r>
    <s v="ORD-2025-254721"/>
    <d v="2025-05-15T00:00:00"/>
    <d v="2025-06-05T00:00:00"/>
    <d v="2025-05-15T00:00:00"/>
    <d v="2025-06-05T00:00:00"/>
    <n v="21"/>
    <s v="5-2025"/>
    <x v="1"/>
    <s v="Japan"/>
    <s v="Osaka"/>
    <s v="Enterprise"/>
    <x v="4"/>
    <x v="11"/>
    <x v="3"/>
    <x v="488"/>
    <n v="1466.5"/>
    <n v="2778.74"/>
    <n v="0.13500000000000001"/>
    <n v="4"/>
    <n v="9614.4403999999995"/>
    <n v="5866"/>
    <n v="3748.4403999999995"/>
    <n v="0.38987608680792279"/>
    <s v="Q2-2025"/>
    <s v="Asia → Japan → Osaka"/>
    <s v="High"/>
    <n v="2025"/>
    <x v="5"/>
    <s v="No"/>
    <x v="0"/>
  </r>
  <r>
    <s v="ORD-2023-173313"/>
    <d v="2023-06-15T00:00:00"/>
    <d v="2023-07-12T00:00:00"/>
    <d v="2023-06-15T00:00:00"/>
    <d v="2023-07-12T00:00:00"/>
    <n v="27"/>
    <s v="6-2023"/>
    <x v="3"/>
    <s v="United Kingdom"/>
    <s v="Manchester"/>
    <s v="Consumer"/>
    <x v="4"/>
    <x v="2"/>
    <x v="6"/>
    <x v="489"/>
    <n v="751.28"/>
    <n v="1111.8800000000001"/>
    <n v="0.13500000000000001"/>
    <n v="7"/>
    <n v="6732.4334000000008"/>
    <n v="5258.96"/>
    <n v="1473.4734000000008"/>
    <n v="0.21886193482433863"/>
    <s v="Q2-2023"/>
    <s v="Europe → United Kingdom → Manchester"/>
    <s v="Low"/>
    <n v="2023"/>
    <x v="9"/>
    <s v="No"/>
    <x v="0"/>
  </r>
  <r>
    <s v="ORD-2024-792353"/>
    <d v="2024-08-19T00:00:00"/>
    <d v="2024-09-07T00:00:00"/>
    <d v="2024-08-19T00:00:00"/>
    <d v="2024-09-07T00:00:00"/>
    <n v="19"/>
    <s v="8-2024"/>
    <x v="3"/>
    <s v="France"/>
    <s v="Lyon"/>
    <s v="Corporate"/>
    <x v="4"/>
    <x v="1"/>
    <x v="0"/>
    <x v="490"/>
    <n v="297.58999999999997"/>
    <n v="666.41"/>
    <n v="0"/>
    <n v="10"/>
    <n v="6664.0999999999995"/>
    <n v="2975.8999999999996"/>
    <n v="3688.2"/>
    <n v="0.55344307558409989"/>
    <s v="Q3-2024"/>
    <s v="Europe → France → Lyon"/>
    <s v="Low"/>
    <n v="2024"/>
    <x v="11"/>
    <s v="No"/>
    <x v="0"/>
  </r>
  <r>
    <s v="ORD-2025-678328"/>
    <d v="2025-06-24T00:00:00"/>
    <d v="2025-07-14T00:00:00"/>
    <d v="2025-06-24T00:00:00"/>
    <d v="2025-07-14T00:00:00"/>
    <n v="20"/>
    <s v="6-2025"/>
    <x v="3"/>
    <s v="Germany"/>
    <s v="Berlin"/>
    <s v="Corporate"/>
    <x v="4"/>
    <x v="7"/>
    <x v="6"/>
    <x v="491"/>
    <n v="385.08"/>
    <n v="893.19"/>
    <n v="0.151"/>
    <n v="8"/>
    <n v="6066.54648"/>
    <n v="3080.64"/>
    <n v="2985.9064800000001"/>
    <n v="0.49219213762621666"/>
    <s v="Q2-2025"/>
    <s v="Europe → Germany → Berlin"/>
    <s v="Low"/>
    <n v="2025"/>
    <x v="9"/>
    <s v="No"/>
    <x v="0"/>
  </r>
  <r>
    <s v="ORD-2025-752845"/>
    <d v="2025-03-30T00:00:00"/>
    <d v="2025-04-07T00:00:00"/>
    <d v="2025-03-30T00:00:00"/>
    <d v="2025-04-07T00:00:00"/>
    <n v="8"/>
    <s v="3-2025"/>
    <x v="2"/>
    <s v="Brazil"/>
    <s v="São Paulo"/>
    <s v="Non-Profit"/>
    <x v="4"/>
    <x v="4"/>
    <x v="1"/>
    <x v="492"/>
    <n v="71.62"/>
    <n v="118.37"/>
    <n v="0.156"/>
    <n v="11"/>
    <n v="1098.9470800000001"/>
    <n v="787.82"/>
    <n v="311.12708000000009"/>
    <n v="0.28311379652603474"/>
    <s v="Q1-2025"/>
    <s v="Americas → Brazil → São Paulo"/>
    <s v="Low"/>
    <n v="2025"/>
    <x v="0"/>
    <s v="No"/>
    <x v="0"/>
  </r>
  <r>
    <s v="ORD-2024-478165"/>
    <d v="2024-12-05T00:00:00"/>
    <d v="2024-12-28T00:00:00"/>
    <d v="2024-12-05T00:00:00"/>
    <d v="2024-12-28T00:00:00"/>
    <n v="23"/>
    <s v="12-2024"/>
    <x v="2"/>
    <s v="Canada"/>
    <s v="Vancouver"/>
    <s v="Corporate"/>
    <x v="4"/>
    <x v="9"/>
    <x v="6"/>
    <x v="493"/>
    <n v="107.03"/>
    <n v="242.29"/>
    <n v="0.18"/>
    <n v="30"/>
    <n v="5960.3340000000007"/>
    <n v="3210.9"/>
    <n v="2749.4340000000007"/>
    <n v="0.46128857879440988"/>
    <s v="Q4-2024"/>
    <s v="Americas → Canada → Vancouver"/>
    <s v="Low"/>
    <n v="2024"/>
    <x v="3"/>
    <s v="No"/>
    <x v="0"/>
  </r>
  <r>
    <s v="ORD-2024-433936"/>
    <d v="2024-08-04T00:00:00"/>
    <d v="2024-08-17T00:00:00"/>
    <d v="2024-08-04T00:00:00"/>
    <d v="2024-08-17T00:00:00"/>
    <n v="13"/>
    <s v="8-2024"/>
    <x v="2"/>
    <s v="USA"/>
    <s v="Austin"/>
    <s v="Consumer"/>
    <x v="0"/>
    <x v="8"/>
    <x v="5"/>
    <x v="494"/>
    <n v="352.79"/>
    <n v="754.22"/>
    <n v="0.113"/>
    <n v="7"/>
    <n v="4682.9519799999998"/>
    <n v="2469.5300000000002"/>
    <n v="2213.4219799999996"/>
    <n v="0.47265528014233443"/>
    <s v="Q3-2024"/>
    <s v="Americas → USA → Austin"/>
    <s v="Low"/>
    <n v="2024"/>
    <x v="11"/>
    <s v="No"/>
    <x v="0"/>
  </r>
  <r>
    <s v="ORD-2025-765220"/>
    <d v="2025-04-06T00:00:00"/>
    <d v="2025-04-30T00:00:00"/>
    <d v="2025-04-06T00:00:00"/>
    <d v="2025-04-30T00:00:00"/>
    <n v="24"/>
    <s v="4-2025"/>
    <x v="2"/>
    <s v="Brazil"/>
    <s v="Brasília"/>
    <s v="Education"/>
    <x v="1"/>
    <x v="12"/>
    <x v="5"/>
    <x v="495"/>
    <n v="855.78"/>
    <n v="977.38"/>
    <n v="0.14699999999999999"/>
    <n v="38"/>
    <n v="31680.795320000001"/>
    <n v="32519.64"/>
    <n v="-838.84467999999833"/>
    <n v="-2.6478018355506307E-2"/>
    <s v="Q2-2025"/>
    <s v="Americas → Brazil → Brasília"/>
    <s v="Low"/>
    <n v="2025"/>
    <x v="7"/>
    <s v="No"/>
    <x v="0"/>
  </r>
  <r>
    <s v="ORD-2024-728474"/>
    <d v="2024-09-09T00:00:00"/>
    <d v="2024-09-13T00:00:00"/>
    <d v="2024-09-09T00:00:00"/>
    <d v="2024-09-13T00:00:00"/>
    <n v="4"/>
    <s v="9-2024"/>
    <x v="3"/>
    <s v="United Kingdom"/>
    <s v="London"/>
    <s v="Consumer"/>
    <x v="2"/>
    <x v="9"/>
    <x v="2"/>
    <x v="496"/>
    <n v="1133.08"/>
    <n v="976.17"/>
    <n v="4.2000000000000003E-2"/>
    <n v="27"/>
    <n v="25249.613219999999"/>
    <n v="30593.159999999996"/>
    <n v="-5343.5467799999969"/>
    <n v="-0.21162885678452373"/>
    <s v="Q3-2024"/>
    <s v="Europe → United Kingdom → London"/>
    <s v="Low"/>
    <n v="2024"/>
    <x v="8"/>
    <s v="Yes"/>
    <x v="0"/>
  </r>
  <r>
    <s v="ORD-2025-640677"/>
    <d v="2025-04-09T00:00:00"/>
    <d v="2025-05-06T00:00:00"/>
    <d v="2025-04-09T00:00:00"/>
    <d v="2025-05-06T00:00:00"/>
    <n v="27"/>
    <s v="4-2025"/>
    <x v="2"/>
    <s v="Brazil"/>
    <s v="Brasília"/>
    <s v="Enterprise"/>
    <x v="2"/>
    <x v="9"/>
    <x v="4"/>
    <x v="497"/>
    <n v="264.19"/>
    <n v="620.92999999999995"/>
    <n v="0.14199999999999999"/>
    <n v="12"/>
    <n v="6393.0952799999995"/>
    <n v="3170.2799999999997"/>
    <n v="3222.8152799999998"/>
    <n v="0.50410875152794532"/>
    <s v="Q2-2025"/>
    <s v="Americas → Brazil → Brasília"/>
    <s v="Low"/>
    <n v="2025"/>
    <x v="7"/>
    <s v="No"/>
    <x v="0"/>
  </r>
  <r>
    <s v="ORD-2025-246692"/>
    <d v="2025-04-17T00:00:00"/>
    <d v="2025-04-17T00:00:00"/>
    <d v="2025-04-17T00:00:00"/>
    <d v="2025-04-17T00:00:00"/>
    <n v="0"/>
    <s v="4-2025"/>
    <x v="2"/>
    <s v="Brazil"/>
    <s v="São Paulo"/>
    <s v="Corporate"/>
    <x v="3"/>
    <x v="4"/>
    <x v="3"/>
    <x v="498"/>
    <n v="719.41"/>
    <n v="1125.99"/>
    <n v="4.1000000000000002E-2"/>
    <n v="21"/>
    <n v="22676.312610000001"/>
    <n v="15107.609999999999"/>
    <n v="7568.7026100000021"/>
    <n v="0.33377131194876403"/>
    <s v="Q2-2025"/>
    <s v="Americas → Brazil → São Paulo"/>
    <s v="Low"/>
    <n v="2025"/>
    <x v="7"/>
    <s v="Yes"/>
    <x v="0"/>
  </r>
  <r>
    <s v="ORD-2023-573656"/>
    <d v="2023-05-02T00:00:00"/>
    <d v="2023-05-16T00:00:00"/>
    <d v="2023-05-02T00:00:00"/>
    <d v="2023-05-16T00:00:00"/>
    <n v="14"/>
    <s v="5-2023"/>
    <x v="1"/>
    <s v="India"/>
    <s v="Bengaluru"/>
    <s v="Non-Profit"/>
    <x v="0"/>
    <x v="4"/>
    <x v="5"/>
    <x v="499"/>
    <n v="475.37"/>
    <n v="963.73"/>
    <n v="4.1000000000000002E-2"/>
    <n v="22"/>
    <n v="20332.775539999999"/>
    <n v="10458.14"/>
    <n v="9874.6355399999993"/>
    <n v="0.48565113604750881"/>
    <s v="Q2-2023"/>
    <s v="Asia → India → Bengaluru"/>
    <s v="Low"/>
    <n v="2023"/>
    <x v="5"/>
    <s v="No"/>
    <x v="0"/>
  </r>
  <r>
    <s v="ORD-2024-567435"/>
    <d v="2024-04-26T00:00:00"/>
    <d v="2024-04-24T00:00:00"/>
    <d v="2024-04-24T00:00:00"/>
    <d v="2024-04-26T00:00:00"/>
    <n v="2"/>
    <s v="4-2024"/>
    <x v="3"/>
    <s v="United Kingdom"/>
    <s v="London"/>
    <s v="Non-Profit"/>
    <x v="3"/>
    <x v="10"/>
    <x v="3"/>
    <x v="500"/>
    <n v="1232.77"/>
    <n v="891.73"/>
    <n v="0.16700000000000001"/>
    <n v="10"/>
    <n v="7428.1108999999988"/>
    <n v="12327.7"/>
    <n v="-4899.589100000002"/>
    <n v="-0.65960096260813805"/>
    <s v="Q2-2024"/>
    <s v="Europe → United Kingdom → London"/>
    <s v="Low"/>
    <n v="2024"/>
    <x v="7"/>
    <s v="Yes"/>
    <x v="0"/>
  </r>
  <r>
    <s v="ORD-2023-744942"/>
    <d v="2023-02-23T00:00:00"/>
    <d v="2023-03-18T00:00:00"/>
    <d v="2023-02-23T00:00:00"/>
    <d v="2023-03-18T00:00:00"/>
    <n v="23"/>
    <s v="2-2023"/>
    <x v="1"/>
    <s v="China"/>
    <s v="Beijing"/>
    <s v="Education"/>
    <x v="3"/>
    <x v="12"/>
    <x v="1"/>
    <x v="501"/>
    <n v="770.11"/>
    <n v="1667.82"/>
    <n v="6.9000000000000006E-2"/>
    <n v="7"/>
    <n v="10869.182940000001"/>
    <n v="5390.77"/>
    <n v="5478.4129400000002"/>
    <n v="0.50403171703355287"/>
    <s v="Q1-2023"/>
    <s v="Asia → China → Beijing"/>
    <s v="Medium"/>
    <n v="2023"/>
    <x v="2"/>
    <s v="No"/>
    <x v="0"/>
  </r>
  <r>
    <s v="ORD-2025-331237"/>
    <d v="2025-03-24T00:00:00"/>
    <d v="2025-03-25T00:00:00"/>
    <d v="2025-03-24T00:00:00"/>
    <d v="2025-03-25T00:00:00"/>
    <n v="1"/>
    <s v="3-2025"/>
    <x v="1"/>
    <s v="China"/>
    <s v="Beijing"/>
    <s v="Non-Profit"/>
    <x v="1"/>
    <x v="3"/>
    <x v="2"/>
    <x v="502"/>
    <n v="1133.03"/>
    <n v="1921.51"/>
    <n v="0.10100000000000001"/>
    <n v="5"/>
    <n v="8637.1874499999994"/>
    <n v="5665.15"/>
    <n v="2972.0374499999998"/>
    <n v="0.3440978289755654"/>
    <s v="Q1-2025"/>
    <s v="Asia → China → Beijing"/>
    <s v="High"/>
    <n v="2025"/>
    <x v="0"/>
    <s v="Yes"/>
    <x v="0"/>
  </r>
  <r>
    <s v="ORD-2025-907040"/>
    <d v="2025-04-17T00:00:00"/>
    <d v="2025-05-03T00:00:00"/>
    <d v="2025-04-17T00:00:00"/>
    <d v="2025-05-03T00:00:00"/>
    <n v="16"/>
    <s v="4-2025"/>
    <x v="2"/>
    <s v="Brazil"/>
    <s v="Rio de Janeiro"/>
    <s v="Consumer"/>
    <x v="2"/>
    <x v="1"/>
    <x v="2"/>
    <x v="503"/>
    <n v="168.68"/>
    <n v="413.34"/>
    <n v="0.186"/>
    <n v="7"/>
    <n v="2355.2113199999999"/>
    <n v="1180.76"/>
    <n v="1174.4513199999999"/>
    <n v="0.49866069767361682"/>
    <s v="Q2-2025"/>
    <s v="Americas → Brazil → Rio de Janeiro"/>
    <s v="Low"/>
    <n v="2025"/>
    <x v="7"/>
    <s v="No"/>
    <x v="0"/>
  </r>
  <r>
    <s v="ORD-2024-310809"/>
    <d v="2024-04-05T00:00:00"/>
    <d v="2024-04-09T00:00:00"/>
    <d v="2024-04-05T00:00:00"/>
    <d v="2024-04-09T00:00:00"/>
    <n v="4"/>
    <s v="4-2024"/>
    <x v="0"/>
    <s v="Nigeria"/>
    <s v="Lagos"/>
    <s v="Non-Profit"/>
    <x v="4"/>
    <x v="12"/>
    <x v="0"/>
    <x v="504"/>
    <n v="395.07"/>
    <n v="970.27"/>
    <n v="0.123"/>
    <n v="38"/>
    <n v="32335.21802"/>
    <n v="15012.66"/>
    <n v="17322.55802"/>
    <n v="0.53571799049833657"/>
    <s v="Q2-2024"/>
    <s v="Africa → Nigeria → Lagos"/>
    <s v="Low"/>
    <n v="2024"/>
    <x v="7"/>
    <s v="Yes"/>
    <x v="0"/>
  </r>
  <r>
    <s v="ORD-2025-474368"/>
    <d v="2025-04-27T00:00:00"/>
    <d v="2025-05-17T00:00:00"/>
    <d v="2025-04-27T00:00:00"/>
    <d v="2025-05-17T00:00:00"/>
    <n v="20"/>
    <s v="4-2025"/>
    <x v="2"/>
    <s v="USA"/>
    <s v="Austin"/>
    <s v="Corporate"/>
    <x v="4"/>
    <x v="10"/>
    <x v="3"/>
    <x v="505"/>
    <n v="932.26"/>
    <n v="1624.67"/>
    <n v="0.23499999999999999"/>
    <n v="28"/>
    <n v="34800.431400000001"/>
    <n v="26103.279999999999"/>
    <n v="8697.1514000000025"/>
    <n v="0.24991504559337163"/>
    <s v="Q2-2025"/>
    <s v="Americas → USA → Austin"/>
    <s v="Medium"/>
    <n v="2025"/>
    <x v="7"/>
    <s v="No"/>
    <x v="1"/>
  </r>
  <r>
    <s v="ORD-2024-732543"/>
    <d v="2024-10-24T00:00:00"/>
    <d v="2024-10-28T00:00:00"/>
    <d v="2024-10-24T00:00:00"/>
    <d v="2024-10-28T00:00:00"/>
    <n v="4"/>
    <s v="10-2024"/>
    <x v="1"/>
    <s v="China"/>
    <s v="Shanghai"/>
    <s v="Small Business"/>
    <x v="3"/>
    <x v="2"/>
    <x v="2"/>
    <x v="506"/>
    <n v="1331.77"/>
    <n v="2606.11"/>
    <n v="0.02"/>
    <n v="6"/>
    <n v="15323.926799999999"/>
    <n v="7990.62"/>
    <n v="7333.3067999999994"/>
    <n v="0.47855271665745619"/>
    <s v="Q4-2024"/>
    <s v="Asia → China → Shanghai"/>
    <s v="High"/>
    <n v="2024"/>
    <x v="1"/>
    <s v="Yes"/>
    <x v="0"/>
  </r>
  <r>
    <s v="ORD-2023-867166"/>
    <d v="2023-04-13T00:00:00"/>
    <d v="2023-04-20T00:00:00"/>
    <d v="2023-04-13T00:00:00"/>
    <d v="2023-04-20T00:00:00"/>
    <n v="7"/>
    <s v="4-2023"/>
    <x v="3"/>
    <s v="France"/>
    <s v="Lyon"/>
    <s v="Small Business"/>
    <x v="1"/>
    <x v="14"/>
    <x v="4"/>
    <x v="507"/>
    <n v="227.02"/>
    <n v="434.72"/>
    <n v="9.8000000000000004E-2"/>
    <n v="10"/>
    <n v="3921.1744000000008"/>
    <n v="2270.2000000000003"/>
    <n v="1650.9744000000005"/>
    <n v="0.42104079838938052"/>
    <s v="Q2-2023"/>
    <s v="Europe → France → Lyon"/>
    <s v="Low"/>
    <n v="2023"/>
    <x v="7"/>
    <s v="Yes"/>
    <x v="0"/>
  </r>
  <r>
    <s v="ORD-2024-776337"/>
    <d v="2024-11-12T00:00:00"/>
    <d v="2024-11-21T00:00:00"/>
    <d v="2024-11-12T00:00:00"/>
    <d v="2024-11-21T00:00:00"/>
    <n v="9"/>
    <s v="11-2024"/>
    <x v="1"/>
    <s v="India"/>
    <s v="Mumbai"/>
    <s v="Corporate"/>
    <x v="4"/>
    <x v="11"/>
    <x v="4"/>
    <x v="508"/>
    <n v="903.41"/>
    <n v="1860.41"/>
    <n v="0.108"/>
    <n v="5"/>
    <n v="8297.4286000000011"/>
    <n v="4517.05"/>
    <n v="3780.3786000000009"/>
    <n v="0.455608451996803"/>
    <s v="Q4-2024"/>
    <s v="Asia → India → Mumbai"/>
    <s v="Medium"/>
    <n v="2024"/>
    <x v="10"/>
    <s v="No"/>
    <x v="0"/>
  </r>
  <r>
    <s v="ORD-2023-913592"/>
    <d v="2023-05-10T00:00:00"/>
    <d v="2023-05-14T00:00:00"/>
    <d v="2023-05-10T00:00:00"/>
    <d v="2023-05-14T00:00:00"/>
    <n v="4"/>
    <s v="5-2023"/>
    <x v="1"/>
    <s v="India"/>
    <s v="Delhi"/>
    <s v="Non-Profit"/>
    <x v="3"/>
    <x v="0"/>
    <x v="5"/>
    <x v="509"/>
    <n v="622.6"/>
    <n v="833.69"/>
    <n v="0.20899999999999999"/>
    <n v="14"/>
    <n v="9232.2830599999998"/>
    <n v="8716.4"/>
    <n v="515.88306000000011"/>
    <n v="5.5878167582959715E-2"/>
    <s v="Q2-2023"/>
    <s v="Asia → India → Delhi"/>
    <s v="Low"/>
    <n v="2023"/>
    <x v="5"/>
    <s v="Yes"/>
    <x v="1"/>
  </r>
  <r>
    <s v="ORD-2024-961501"/>
    <d v="2024-03-02T00:00:00"/>
    <d v="2024-03-23T00:00:00"/>
    <d v="2024-03-02T00:00:00"/>
    <d v="2024-03-23T00:00:00"/>
    <n v="21"/>
    <s v="3-2024"/>
    <x v="2"/>
    <s v="USA"/>
    <s v="Chicago"/>
    <s v="Small Business"/>
    <x v="1"/>
    <x v="9"/>
    <x v="0"/>
    <x v="510"/>
    <n v="225.01"/>
    <n v="333.48"/>
    <n v="0.11899999999999999"/>
    <n v="12"/>
    <n v="3525.5505600000001"/>
    <n v="2700.12"/>
    <n v="825.43056000000024"/>
    <n v="0.23412813004729685"/>
    <s v="Q1-2024"/>
    <s v="Americas → USA → Chicago"/>
    <s v="Low"/>
    <n v="2024"/>
    <x v="0"/>
    <s v="No"/>
    <x v="0"/>
  </r>
  <r>
    <s v="ORD-2024-964950"/>
    <d v="2024-10-10T00:00:00"/>
    <d v="2024-10-11T00:00:00"/>
    <d v="2024-10-10T00:00:00"/>
    <d v="2024-10-11T00:00:00"/>
    <n v="1"/>
    <s v="10-2024"/>
    <x v="3"/>
    <s v="United Kingdom"/>
    <s v="Manchester"/>
    <s v="Non-Profit"/>
    <x v="3"/>
    <x v="4"/>
    <x v="0"/>
    <x v="511"/>
    <n v="1389.46"/>
    <n v="1784.7"/>
    <n v="0.14599999999999999"/>
    <n v="33"/>
    <n v="50296.415399999998"/>
    <n v="45852.18"/>
    <n v="4444.2353999999978"/>
    <n v="8.8360877503011831E-2"/>
    <s v="Q4-2024"/>
    <s v="Europe → United Kingdom → Manchester"/>
    <s v="Medium"/>
    <n v="2024"/>
    <x v="1"/>
    <s v="Yes"/>
    <x v="0"/>
  </r>
  <r>
    <s v="ORD-2023-349264"/>
    <d v="2023-06-01T00:00:00"/>
    <d v="2023-06-08T00:00:00"/>
    <d v="2023-06-01T00:00:00"/>
    <d v="2023-06-08T00:00:00"/>
    <n v="7"/>
    <s v="6-2023"/>
    <x v="3"/>
    <s v="Germany"/>
    <s v="Frankfurt"/>
    <s v="Consumer"/>
    <x v="1"/>
    <x v="14"/>
    <x v="3"/>
    <x v="512"/>
    <n v="804.17"/>
    <n v="1072.29"/>
    <n v="3.2000000000000001E-2"/>
    <n v="5"/>
    <n v="5189.8836000000001"/>
    <n v="4020.85"/>
    <n v="1169.0336000000002"/>
    <n v="0.2252523736755869"/>
    <s v="Q2-2023"/>
    <s v="Europe → Germany → Frankfurt"/>
    <s v="Low"/>
    <n v="2023"/>
    <x v="9"/>
    <s v="Yes"/>
    <x v="0"/>
  </r>
  <r>
    <s v="ORD-2025-137394"/>
    <d v="2025-01-04T00:00:00"/>
    <d v="2025-01-05T00:00:00"/>
    <d v="2025-01-04T00:00:00"/>
    <d v="2025-01-05T00:00:00"/>
    <n v="1"/>
    <s v="1-2025"/>
    <x v="1"/>
    <s v="India"/>
    <s v="Delhi"/>
    <s v="Education"/>
    <x v="0"/>
    <x v="2"/>
    <x v="0"/>
    <x v="513"/>
    <n v="1428.33"/>
    <n v="3028.05"/>
    <n v="0"/>
    <n v="11"/>
    <n v="33308.550000000003"/>
    <n v="15711.63"/>
    <n v="17596.920000000006"/>
    <n v="0.52830039134096207"/>
    <s v="Q1-2025"/>
    <s v="Asia → India → Delhi"/>
    <s v="High"/>
    <n v="2025"/>
    <x v="4"/>
    <s v="Yes"/>
    <x v="0"/>
  </r>
  <r>
    <s v="ORD-2025-635337"/>
    <d v="2025-08-05T00:00:00"/>
    <d v="2025-08-28T00:00:00"/>
    <d v="2025-08-05T00:00:00"/>
    <d v="2025-08-28T00:00:00"/>
    <n v="23"/>
    <s v="8-2025"/>
    <x v="1"/>
    <s v="India"/>
    <s v="Mumbai"/>
    <s v="Non-Profit"/>
    <x v="3"/>
    <x v="10"/>
    <x v="4"/>
    <x v="514"/>
    <n v="638.54"/>
    <n v="987.24"/>
    <n v="0"/>
    <n v="11"/>
    <n v="10859.64"/>
    <n v="7023.94"/>
    <n v="3835.7"/>
    <n v="0.35320692030306716"/>
    <s v="Q3-2025"/>
    <s v="Asia → India → Mumbai"/>
    <s v="Low"/>
    <n v="2025"/>
    <x v="11"/>
    <s v="No"/>
    <x v="0"/>
  </r>
  <r>
    <s v="ORD-2023-568013"/>
    <d v="2023-09-30T00:00:00"/>
    <d v="2023-10-30T00:00:00"/>
    <d v="2023-09-30T00:00:00"/>
    <d v="2023-10-30T00:00:00"/>
    <n v="30"/>
    <s v="9-2023"/>
    <x v="1"/>
    <s v="Japan"/>
    <s v="Tokyo"/>
    <s v="Enterprise"/>
    <x v="1"/>
    <x v="8"/>
    <x v="1"/>
    <x v="515"/>
    <n v="649.13"/>
    <n v="975.43"/>
    <n v="0.157"/>
    <n v="27"/>
    <n v="22201.762229999997"/>
    <n v="17526.509999999998"/>
    <n v="4675.2522299999982"/>
    <n v="0.21058023149543473"/>
    <s v="Q3-2023"/>
    <s v="Asia → Japan → Tokyo"/>
    <s v="Low"/>
    <n v="2023"/>
    <x v="8"/>
    <s v="No"/>
    <x v="0"/>
  </r>
  <r>
    <s v="ORD-2023-181257"/>
    <d v="2023-11-15T00:00:00"/>
    <d v="2023-12-06T00:00:00"/>
    <d v="2023-11-15T00:00:00"/>
    <d v="2023-12-06T00:00:00"/>
    <n v="21"/>
    <s v="11-2023"/>
    <x v="3"/>
    <s v="United Kingdom"/>
    <s v="Manchester"/>
    <s v="Education"/>
    <x v="4"/>
    <x v="11"/>
    <x v="6"/>
    <x v="516"/>
    <n v="1184.99"/>
    <n v="1154.3399999999999"/>
    <n v="2.8000000000000001E-2"/>
    <n v="5"/>
    <n v="5610.0923999999995"/>
    <n v="5924.95"/>
    <n v="-314.85760000000028"/>
    <n v="-5.6123424990290764E-2"/>
    <s v="Q4-2023"/>
    <s v="Europe → United Kingdom → Manchester"/>
    <s v="Low"/>
    <n v="2023"/>
    <x v="10"/>
    <s v="No"/>
    <x v="0"/>
  </r>
  <r>
    <s v="ORD-2024-402240"/>
    <d v="2024-05-01T00:00:00"/>
    <d v="2024-05-26T00:00:00"/>
    <d v="2024-05-01T00:00:00"/>
    <d v="2024-05-26T00:00:00"/>
    <n v="25"/>
    <s v="5-2024"/>
    <x v="3"/>
    <s v="Germany"/>
    <s v="Berlin"/>
    <s v="Non-Profit"/>
    <x v="0"/>
    <x v="5"/>
    <x v="2"/>
    <x v="517"/>
    <n v="930.71"/>
    <n v="1625.42"/>
    <n v="0.13800000000000001"/>
    <n v="7"/>
    <n v="9807.7842799999999"/>
    <n v="6514.97"/>
    <n v="3292.8142799999996"/>
    <n v="0.33573477821231196"/>
    <s v="Q2-2024"/>
    <s v="Europe → Germany → Berlin"/>
    <s v="Medium"/>
    <n v="2024"/>
    <x v="5"/>
    <s v="No"/>
    <x v="0"/>
  </r>
  <r>
    <s v="ORD-2023-125739"/>
    <d v="2023-05-01T00:00:00"/>
    <d v="2023-05-18T00:00:00"/>
    <d v="2023-05-01T00:00:00"/>
    <d v="2023-05-18T00:00:00"/>
    <n v="17"/>
    <s v="5-2023"/>
    <x v="0"/>
    <s v="Nigeria"/>
    <s v="Port Harcourt"/>
    <s v="Corporate"/>
    <x v="4"/>
    <x v="9"/>
    <x v="0"/>
    <x v="518"/>
    <n v="327.97"/>
    <n v="299.94"/>
    <n v="4.9000000000000002E-2"/>
    <n v="3"/>
    <n v="855.72881999999993"/>
    <n v="983.91000000000008"/>
    <n v="-128.18118000000015"/>
    <n v="-0.14979182306843442"/>
    <s v="Q2-2023"/>
    <s v="Africa → Nigeria → Port Harcourt"/>
    <s v="Low"/>
    <n v="2023"/>
    <x v="5"/>
    <s v="No"/>
    <x v="0"/>
  </r>
  <r>
    <s v="ORD-2024-892879"/>
    <d v="2024-07-09T00:00:00"/>
    <d v="2024-08-08T00:00:00"/>
    <d v="2024-07-09T00:00:00"/>
    <d v="2024-08-08T00:00:00"/>
    <n v="30"/>
    <s v="7-2024"/>
    <x v="3"/>
    <s v="France"/>
    <s v="Marseille"/>
    <s v="Corporate"/>
    <x v="4"/>
    <x v="1"/>
    <x v="0"/>
    <x v="519"/>
    <n v="1062.3800000000001"/>
    <n v="1503.96"/>
    <n v="0.18"/>
    <n v="6"/>
    <n v="7399.4832000000006"/>
    <n v="6374.2800000000007"/>
    <n v="1025.2031999999999"/>
    <n v="0.13855064905073369"/>
    <s v="Q3-2024"/>
    <s v="Europe → France → Marseille"/>
    <s v="Medium"/>
    <n v="2024"/>
    <x v="6"/>
    <s v="No"/>
    <x v="0"/>
  </r>
  <r>
    <s v="ORD-2023-472050"/>
    <d v="2023-05-10T00:00:00"/>
    <d v="2023-05-27T00:00:00"/>
    <d v="2023-05-10T00:00:00"/>
    <d v="2023-05-27T00:00:00"/>
    <n v="17"/>
    <s v="5-2023"/>
    <x v="1"/>
    <s v="India"/>
    <s v="Mumbai"/>
    <s v="Consumer"/>
    <x v="0"/>
    <x v="13"/>
    <x v="4"/>
    <x v="520"/>
    <n v="1286.1600000000001"/>
    <n v="3101.11"/>
    <n v="0.1"/>
    <n v="23"/>
    <n v="64192.976999999999"/>
    <n v="29581.68"/>
    <n v="34611.296999999999"/>
    <n v="0.53917575749758417"/>
    <s v="Q2-2023"/>
    <s v="Asia → India → Mumbai"/>
    <s v="High"/>
    <n v="2023"/>
    <x v="5"/>
    <s v="No"/>
    <x v="0"/>
  </r>
  <r>
    <s v="ORD-2023-302041"/>
    <d v="2023-10-04T00:00:00"/>
    <d v="2023-10-29T00:00:00"/>
    <d v="2023-10-04T00:00:00"/>
    <d v="2023-10-29T00:00:00"/>
    <n v="25"/>
    <s v="10-2023"/>
    <x v="2"/>
    <s v="USA"/>
    <s v="San Francisco"/>
    <s v="Small Business"/>
    <x v="3"/>
    <x v="7"/>
    <x v="6"/>
    <x v="521"/>
    <n v="1239.8399999999999"/>
    <n v="1482.75"/>
    <n v="6.7000000000000004E-2"/>
    <n v="4"/>
    <n v="5533.6230000000005"/>
    <n v="4959.3599999999997"/>
    <n v="574.26300000000083"/>
    <n v="0.10377703721413634"/>
    <s v="Q4-2023"/>
    <s v="Americas → USA → San Francisco"/>
    <s v="Medium"/>
    <n v="2023"/>
    <x v="1"/>
    <s v="No"/>
    <x v="0"/>
  </r>
  <r>
    <s v="ORD-2024-833375"/>
    <d v="2024-04-24T00:00:00"/>
    <d v="2024-05-10T00:00:00"/>
    <d v="2024-04-24T00:00:00"/>
    <d v="2024-05-10T00:00:00"/>
    <n v="16"/>
    <s v="4-2024"/>
    <x v="0"/>
    <s v="Kenya"/>
    <s v="Kisumu"/>
    <s v="Non-Profit"/>
    <x v="1"/>
    <x v="10"/>
    <x v="5"/>
    <x v="522"/>
    <n v="513.30999999999995"/>
    <n v="1186.26"/>
    <n v="9.4E-2"/>
    <n v="15"/>
    <n v="16121.273400000002"/>
    <n v="7699.65"/>
    <n v="8421.6234000000022"/>
    <n v="0.52239194702820446"/>
    <s v="Q2-2024"/>
    <s v="Africa → Kenya → Kisumu"/>
    <s v="Low"/>
    <n v="2024"/>
    <x v="7"/>
    <s v="No"/>
    <x v="0"/>
  </r>
  <r>
    <s v="ORD-2024-206311"/>
    <d v="2024-01-13T00:00:00"/>
    <d v="2024-01-15T00:00:00"/>
    <d v="2024-01-13T00:00:00"/>
    <d v="2024-01-15T00:00:00"/>
    <n v="2"/>
    <s v="1-2024"/>
    <x v="2"/>
    <s v="USA"/>
    <s v="San Francisco"/>
    <s v="Non-Profit"/>
    <x v="4"/>
    <x v="6"/>
    <x v="0"/>
    <x v="523"/>
    <n v="1061.3699999999999"/>
    <n v="1938.33"/>
    <n v="0.17"/>
    <n v="4"/>
    <n v="6435.2555999999995"/>
    <n v="4245.4799999999996"/>
    <n v="2189.7755999999999"/>
    <n v="0.34027795259600879"/>
    <s v="Q1-2024"/>
    <s v="Americas → USA → San Francisco"/>
    <s v="High"/>
    <n v="2024"/>
    <x v="4"/>
    <s v="Yes"/>
    <x v="0"/>
  </r>
  <r>
    <s v="ORD-2024-364080"/>
    <d v="2024-04-16T00:00:00"/>
    <d v="2024-04-27T00:00:00"/>
    <d v="2024-04-16T00:00:00"/>
    <d v="2024-04-27T00:00:00"/>
    <n v="11"/>
    <s v="4-2024"/>
    <x v="0"/>
    <s v="Kenya"/>
    <s v="Nakuru"/>
    <s v="Enterprise"/>
    <x v="1"/>
    <x v="8"/>
    <x v="1"/>
    <x v="524"/>
    <n v="401.3"/>
    <n v="826.47"/>
    <n v="0.22500000000000001"/>
    <n v="13"/>
    <n v="8326.6852500000005"/>
    <n v="5216.9000000000005"/>
    <n v="3109.7852499999999"/>
    <n v="0.37347217489696755"/>
    <s v="Q2-2024"/>
    <s v="Africa → Kenya → Nakuru"/>
    <s v="Low"/>
    <n v="2024"/>
    <x v="7"/>
    <s v="No"/>
    <x v="1"/>
  </r>
  <r>
    <s v="ORD-2025-460466"/>
    <d v="2025-02-07T00:00:00"/>
    <d v="2025-02-16T00:00:00"/>
    <d v="2025-02-07T00:00:00"/>
    <d v="2025-02-16T00:00:00"/>
    <n v="9"/>
    <s v="2-2025"/>
    <x v="0"/>
    <s v="Nigeria"/>
    <s v="Lagos"/>
    <s v="Small Business"/>
    <x v="3"/>
    <x v="0"/>
    <x v="1"/>
    <x v="525"/>
    <n v="90.68"/>
    <n v="118.17"/>
    <n v="0.13500000000000001"/>
    <n v="21"/>
    <n v="2146.5580500000001"/>
    <n v="1904.2800000000002"/>
    <n v="242.27804999999989"/>
    <n v="0.11286815653552899"/>
    <s v="Q1-2025"/>
    <s v="Africa → Nigeria → Lagos"/>
    <s v="Low"/>
    <n v="2025"/>
    <x v="2"/>
    <s v="No"/>
    <x v="0"/>
  </r>
  <r>
    <s v="ORD-2023-700699"/>
    <d v="2023-01-12T00:00:00"/>
    <d v="2023-01-26T00:00:00"/>
    <d v="2023-01-12T00:00:00"/>
    <d v="2023-01-26T00:00:00"/>
    <n v="14"/>
    <s v="1-2023"/>
    <x v="1"/>
    <s v="China"/>
    <s v="Shenzhen"/>
    <s v="Non-Profit"/>
    <x v="0"/>
    <x v="13"/>
    <x v="1"/>
    <x v="526"/>
    <n v="1083.0899999999999"/>
    <n v="1425.87"/>
    <n v="0"/>
    <n v="8"/>
    <n v="11406.96"/>
    <n v="8664.7199999999993"/>
    <n v="2742.24"/>
    <n v="0.24040059752992909"/>
    <s v="Q1-2023"/>
    <s v="Asia → China → Shenzhen"/>
    <s v="Medium"/>
    <n v="2023"/>
    <x v="4"/>
    <s v="No"/>
    <x v="0"/>
  </r>
  <r>
    <s v="ORD-2024-713332"/>
    <d v="2024-06-05T00:00:00"/>
    <d v="2024-06-23T00:00:00"/>
    <d v="2024-06-05T00:00:00"/>
    <d v="2024-06-23T00:00:00"/>
    <n v="18"/>
    <s v="6-2024"/>
    <x v="0"/>
    <s v="Kenya"/>
    <s v="Nairobi"/>
    <s v="Consumer"/>
    <x v="3"/>
    <x v="8"/>
    <x v="4"/>
    <x v="527"/>
    <n v="1208.74"/>
    <n v="1594.78"/>
    <n v="5.8999999999999997E-2"/>
    <n v="39"/>
    <n v="58526.83122"/>
    <n v="47140.86"/>
    <n v="11385.971219999999"/>
    <n v="0.1945427589817838"/>
    <s v="Q2-2024"/>
    <s v="Africa → Kenya → Nairobi"/>
    <s v="Medium"/>
    <n v="2024"/>
    <x v="9"/>
    <s v="No"/>
    <x v="0"/>
  </r>
  <r>
    <s v="ORD-2023-640022"/>
    <d v="2023-08-24T00:00:00"/>
    <d v="2023-09-20T00:00:00"/>
    <d v="2023-08-24T00:00:00"/>
    <d v="2023-09-20T00:00:00"/>
    <n v="27"/>
    <s v="8-2023"/>
    <x v="0"/>
    <s v="South Africa"/>
    <s v="Durban"/>
    <s v="Small Business"/>
    <x v="2"/>
    <x v="13"/>
    <x v="1"/>
    <x v="528"/>
    <n v="1399.64"/>
    <n v="3342.11"/>
    <n v="0"/>
    <n v="10"/>
    <n v="33421.1"/>
    <n v="13996.400000000001"/>
    <n v="19424.699999999997"/>
    <n v="0.58121067229983447"/>
    <s v="Q3-2023"/>
    <s v="Africa → South Africa → Durban"/>
    <s v="High"/>
    <n v="2023"/>
    <x v="11"/>
    <s v="No"/>
    <x v="0"/>
  </r>
  <r>
    <s v="ORD-2024-532184"/>
    <d v="2024-01-25T00:00:00"/>
    <d v="2024-02-08T00:00:00"/>
    <d v="2024-01-25T00:00:00"/>
    <d v="2024-02-08T00:00:00"/>
    <n v="14"/>
    <s v="1-2024"/>
    <x v="1"/>
    <s v="Japan"/>
    <s v="Osaka"/>
    <s v="Consumer"/>
    <x v="2"/>
    <x v="2"/>
    <x v="2"/>
    <x v="529"/>
    <n v="937.16"/>
    <n v="1069.77"/>
    <n v="3.7999999999999999E-2"/>
    <n v="9"/>
    <n v="9262.0686600000008"/>
    <n v="8434.44"/>
    <n v="827.62866000000031"/>
    <n v="8.9356783066645962E-2"/>
    <s v="Q1-2024"/>
    <s v="Asia → Japan → Osaka"/>
    <s v="Low"/>
    <n v="2024"/>
    <x v="4"/>
    <s v="No"/>
    <x v="0"/>
  </r>
  <r>
    <s v="ORD-2025-926547"/>
    <d v="2025-03-11T00:00:00"/>
    <d v="2025-03-26T00:00:00"/>
    <d v="2025-03-11T00:00:00"/>
    <d v="2025-03-26T00:00:00"/>
    <n v="15"/>
    <s v="3-2025"/>
    <x v="3"/>
    <s v="Germany"/>
    <s v="Berlin"/>
    <s v="Small Business"/>
    <x v="1"/>
    <x v="2"/>
    <x v="3"/>
    <x v="530"/>
    <n v="116.97"/>
    <n v="140.82"/>
    <n v="0.122"/>
    <n v="5"/>
    <n v="618.19979999999987"/>
    <n v="584.85"/>
    <n v="33.349799999999846"/>
    <n v="5.3946636669891926E-2"/>
    <s v="Q1-2025"/>
    <s v="Europe → Germany → Berlin"/>
    <s v="Low"/>
    <n v="2025"/>
    <x v="0"/>
    <s v="No"/>
    <x v="0"/>
  </r>
  <r>
    <s v="ORD-2025-778145"/>
    <d v="2025-04-22T00:00:00"/>
    <d v="2025-05-12T00:00:00"/>
    <d v="2025-04-22T00:00:00"/>
    <d v="2025-05-12T00:00:00"/>
    <n v="20"/>
    <s v="4-2025"/>
    <x v="3"/>
    <s v="France"/>
    <s v="Lyon"/>
    <s v="Enterprise"/>
    <x v="2"/>
    <x v="12"/>
    <x v="5"/>
    <x v="531"/>
    <n v="59.51"/>
    <n v="67.040000000000006"/>
    <n v="0.114"/>
    <n v="9"/>
    <n v="534.57695999999999"/>
    <n v="535.59"/>
    <n v="-1.0130400000000463"/>
    <n v="-1.8950311663264469E-3"/>
    <s v="Q2-2025"/>
    <s v="Europe → France → Lyon"/>
    <s v="Low"/>
    <n v="2025"/>
    <x v="7"/>
    <s v="No"/>
    <x v="0"/>
  </r>
  <r>
    <s v="ORD-2023-525643"/>
    <d v="2023-08-17T00:00:00"/>
    <d v="2023-09-03T00:00:00"/>
    <d v="2023-08-17T00:00:00"/>
    <d v="2023-09-03T00:00:00"/>
    <n v="17"/>
    <s v="8-2023"/>
    <x v="0"/>
    <s v="South Africa"/>
    <s v="Durban"/>
    <s v="Enterprise"/>
    <x v="0"/>
    <x v="14"/>
    <x v="3"/>
    <x v="532"/>
    <n v="676.37"/>
    <n v="1276.67"/>
    <n v="6.6000000000000003E-2"/>
    <n v="10"/>
    <n v="11924.0978"/>
    <n v="6763.7"/>
    <n v="5160.3977999999997"/>
    <n v="0.4327705027712872"/>
    <s v="Q3-2023"/>
    <s v="Africa → South Africa → Durban"/>
    <s v="Medium"/>
    <n v="2023"/>
    <x v="11"/>
    <s v="No"/>
    <x v="0"/>
  </r>
  <r>
    <s v="ORD-2025-312803"/>
    <d v="2025-06-24T00:00:00"/>
    <d v="2025-07-14T00:00:00"/>
    <d v="2025-06-24T00:00:00"/>
    <d v="2025-07-14T00:00:00"/>
    <n v="20"/>
    <s v="6-2025"/>
    <x v="0"/>
    <s v="South Africa"/>
    <s v="Johannesburg"/>
    <s v="Enterprise"/>
    <x v="2"/>
    <x v="1"/>
    <x v="4"/>
    <x v="533"/>
    <n v="1151.06"/>
    <n v="2821.36"/>
    <n v="0.248"/>
    <n v="20"/>
    <n v="42433.254400000005"/>
    <n v="23021.199999999997"/>
    <n v="19412.054400000008"/>
    <n v="0.45747267501594235"/>
    <s v="Q2-2025"/>
    <s v="Africa → South Africa → Johannesburg"/>
    <s v="High"/>
    <n v="2025"/>
    <x v="9"/>
    <s v="No"/>
    <x v="1"/>
  </r>
  <r>
    <s v="ORD-2025-757957"/>
    <d v="2025-04-24T00:00:00"/>
    <d v="2025-05-06T00:00:00"/>
    <d v="2025-04-24T00:00:00"/>
    <d v="2025-05-06T00:00:00"/>
    <n v="12"/>
    <s v="4-2025"/>
    <x v="2"/>
    <s v="Brazil"/>
    <s v="Brasília"/>
    <s v="Consumer"/>
    <x v="1"/>
    <x v="0"/>
    <x v="3"/>
    <x v="534"/>
    <n v="394.13"/>
    <n v="932.29"/>
    <n v="0.109"/>
    <n v="7"/>
    <n v="5814.6927299999998"/>
    <n v="2758.91"/>
    <n v="3055.7827299999999"/>
    <n v="0.5255278089303268"/>
    <s v="Q2-2025"/>
    <s v="Americas → Brazil → Brasília"/>
    <s v="Low"/>
    <n v="2025"/>
    <x v="7"/>
    <s v="No"/>
    <x v="0"/>
  </r>
  <r>
    <s v="ORD-2023-215819"/>
    <d v="2023-07-01T00:00:00"/>
    <d v="2023-07-11T00:00:00"/>
    <d v="2023-07-01T00:00:00"/>
    <d v="2023-07-11T00:00:00"/>
    <n v="10"/>
    <s v="7-2023"/>
    <x v="3"/>
    <s v="France"/>
    <s v="Paris"/>
    <s v="Corporate"/>
    <x v="4"/>
    <x v="9"/>
    <x v="2"/>
    <x v="535"/>
    <n v="479.5"/>
    <n v="656.66"/>
    <n v="0.14899999999999999"/>
    <n v="14"/>
    <n v="7823.4472399999995"/>
    <n v="6713"/>
    <n v="1110.4472399999995"/>
    <n v="0.14193835606412289"/>
    <s v="Q3-2023"/>
    <s v="Europe → France → Paris"/>
    <s v="Low"/>
    <n v="2023"/>
    <x v="6"/>
    <s v="No"/>
    <x v="0"/>
  </r>
  <r>
    <s v="ORD-2024-353078"/>
    <d v="2024-08-16T00:00:00"/>
    <d v="2024-08-26T00:00:00"/>
    <d v="2024-08-16T00:00:00"/>
    <d v="2024-08-26T00:00:00"/>
    <n v="10"/>
    <s v="8-2024"/>
    <x v="2"/>
    <s v="USA"/>
    <s v="Chicago"/>
    <s v="Corporate"/>
    <x v="3"/>
    <x v="4"/>
    <x v="4"/>
    <x v="387"/>
    <n v="1291.7"/>
    <n v="2657.84"/>
    <n v="8.6999999999999994E-2"/>
    <n v="21"/>
    <n v="50958.766320000002"/>
    <n v="27125.7"/>
    <n v="23833.066320000002"/>
    <n v="0.46769315745083367"/>
    <s v="Q3-2024"/>
    <s v="Americas → USA → Chicago"/>
    <s v="High"/>
    <n v="2024"/>
    <x v="11"/>
    <s v="No"/>
    <x v="0"/>
  </r>
  <r>
    <s v="ORD-2024-289089"/>
    <d v="2024-12-17T00:00:00"/>
    <d v="2024-12-18T00:00:00"/>
    <d v="2024-12-17T00:00:00"/>
    <d v="2024-12-18T00:00:00"/>
    <n v="1"/>
    <s v="12-2024"/>
    <x v="3"/>
    <s v="Germany"/>
    <s v="Munich"/>
    <s v="Education"/>
    <x v="0"/>
    <x v="4"/>
    <x v="6"/>
    <x v="536"/>
    <n v="346.82"/>
    <n v="701.95"/>
    <n v="0.14699999999999999"/>
    <n v="8"/>
    <n v="4790.1068000000005"/>
    <n v="2774.56"/>
    <n v="2015.5468000000005"/>
    <n v="0.42077283120284509"/>
    <s v="Q4-2024"/>
    <s v="Europe → Germany → Munich"/>
    <s v="Low"/>
    <n v="2024"/>
    <x v="3"/>
    <s v="Yes"/>
    <x v="0"/>
  </r>
  <r>
    <s v="ORD-2023-974506"/>
    <d v="2023-12-28T00:00:00"/>
    <d v="2024-01-01T00:00:00"/>
    <d v="2023-12-28T00:00:00"/>
    <d v="2024-01-01T00:00:00"/>
    <n v="4"/>
    <s v="12-2023"/>
    <x v="0"/>
    <s v="South Africa"/>
    <s v="Cape Town"/>
    <s v="Education"/>
    <x v="3"/>
    <x v="14"/>
    <x v="1"/>
    <x v="537"/>
    <n v="1141.8"/>
    <n v="2318.7399999999998"/>
    <n v="0.107"/>
    <n v="32"/>
    <n v="66260.314239999992"/>
    <n v="36537.599999999999"/>
    <n v="29722.714239999994"/>
    <n v="0.44857490612468304"/>
    <s v="Q4-2023"/>
    <s v="Africa → South Africa → Cape Town"/>
    <s v="High"/>
    <n v="2023"/>
    <x v="3"/>
    <s v="Yes"/>
    <x v="0"/>
  </r>
  <r>
    <s v="ORD-2023-811823"/>
    <d v="2023-01-26T00:00:00"/>
    <d v="2023-02-15T00:00:00"/>
    <d v="2023-01-26T00:00:00"/>
    <d v="2023-02-15T00:00:00"/>
    <n v="20"/>
    <s v="1-2023"/>
    <x v="3"/>
    <s v="Germany"/>
    <s v="Berlin"/>
    <s v="Small Business"/>
    <x v="1"/>
    <x v="7"/>
    <x v="2"/>
    <x v="538"/>
    <n v="492.62"/>
    <n v="366.7"/>
    <n v="8.8999999999999996E-2"/>
    <n v="10"/>
    <n v="3340.6370000000002"/>
    <n v="4926.2"/>
    <n v="-1585.5629999999996"/>
    <n v="-0.47462894052840809"/>
    <s v="Q1-2023"/>
    <s v="Europe → Germany → Berlin"/>
    <s v="Low"/>
    <n v="2023"/>
    <x v="4"/>
    <s v="No"/>
    <x v="0"/>
  </r>
  <r>
    <s v="ORD-2023-286720"/>
    <d v="2023-07-08T00:00:00"/>
    <d v="2023-07-09T00:00:00"/>
    <d v="2023-07-08T00:00:00"/>
    <d v="2023-07-09T00:00:00"/>
    <n v="1"/>
    <s v="7-2023"/>
    <x v="0"/>
    <s v="Kenya"/>
    <s v="Nairobi"/>
    <s v="Consumer"/>
    <x v="1"/>
    <x v="8"/>
    <x v="4"/>
    <x v="539"/>
    <n v="1258.72"/>
    <n v="2797.41"/>
    <n v="0"/>
    <n v="7"/>
    <n v="19581.87"/>
    <n v="8811.0400000000009"/>
    <n v="10770.829999999998"/>
    <n v="0.55004093071805704"/>
    <s v="Q3-2023"/>
    <s v="Africa → Kenya → Nairobi"/>
    <s v="High"/>
    <n v="2023"/>
    <x v="6"/>
    <s v="Yes"/>
    <x v="0"/>
  </r>
  <r>
    <s v="ORD-2024-626925"/>
    <d v="2024-06-07T00:00:00"/>
    <d v="2024-06-09T00:00:00"/>
    <d v="2024-06-07T00:00:00"/>
    <d v="2024-06-09T00:00:00"/>
    <n v="2"/>
    <s v="6-2024"/>
    <x v="1"/>
    <s v="China"/>
    <s v="Shanghai"/>
    <s v="Corporate"/>
    <x v="0"/>
    <x v="7"/>
    <x v="5"/>
    <x v="540"/>
    <n v="1370.28"/>
    <n v="2209.66"/>
    <n v="0.13300000000000001"/>
    <n v="16"/>
    <n v="30652.403519999996"/>
    <n v="21924.48"/>
    <n v="8727.9235199999966"/>
    <n v="0.28473863442079589"/>
    <s v="Q2-2024"/>
    <s v="Asia → China → Shanghai"/>
    <s v="High"/>
    <n v="2024"/>
    <x v="9"/>
    <s v="Yes"/>
    <x v="0"/>
  </r>
  <r>
    <s v="ORD-2023-960380"/>
    <d v="2023-02-11T00:00:00"/>
    <d v="2023-02-12T00:00:00"/>
    <d v="2023-02-11T00:00:00"/>
    <d v="2023-02-12T00:00:00"/>
    <n v="1"/>
    <s v="2-2023"/>
    <x v="0"/>
    <s v="Nigeria"/>
    <s v="Port Harcourt"/>
    <s v="Non-Profit"/>
    <x v="4"/>
    <x v="8"/>
    <x v="6"/>
    <x v="541"/>
    <n v="944.61"/>
    <n v="839.04"/>
    <n v="5.8999999999999997E-2"/>
    <n v="6"/>
    <n v="4737.2198399999997"/>
    <n v="5667.66"/>
    <n v="-930.44016000000011"/>
    <n v="-0.19641059343363726"/>
    <s v="Q1-2023"/>
    <s v="Africa → Nigeria → Port Harcourt"/>
    <s v="Low"/>
    <n v="2023"/>
    <x v="2"/>
    <s v="Yes"/>
    <x v="0"/>
  </r>
  <r>
    <s v="ORD-2023-453699"/>
    <d v="2023-07-01T00:00:00"/>
    <d v="2023-07-08T00:00:00"/>
    <d v="2023-07-01T00:00:00"/>
    <d v="2023-07-08T00:00:00"/>
    <n v="7"/>
    <s v="7-2023"/>
    <x v="3"/>
    <s v="Germany"/>
    <s v="Frankfurt"/>
    <s v="Small Business"/>
    <x v="3"/>
    <x v="10"/>
    <x v="4"/>
    <x v="542"/>
    <n v="460.21"/>
    <n v="1139.1500000000001"/>
    <n v="0.115"/>
    <n v="14"/>
    <n v="14114.068500000001"/>
    <n v="6442.94"/>
    <n v="7671.1285000000016"/>
    <n v="0.54350937151821255"/>
    <s v="Q3-2023"/>
    <s v="Europe → Germany → Frankfurt"/>
    <s v="Low"/>
    <n v="2023"/>
    <x v="6"/>
    <s v="Yes"/>
    <x v="0"/>
  </r>
  <r>
    <s v="ORD-2025-960931"/>
    <d v="2025-08-20T00:00:00"/>
    <d v="2025-08-26T00:00:00"/>
    <d v="2025-08-20T00:00:00"/>
    <d v="2025-08-26T00:00:00"/>
    <n v="6"/>
    <s v="8-2025"/>
    <x v="2"/>
    <s v="USA"/>
    <s v="New York"/>
    <s v="Corporate"/>
    <x v="0"/>
    <x v="13"/>
    <x v="2"/>
    <x v="543"/>
    <n v="1304.95"/>
    <n v="1712.03"/>
    <n v="0.21199999999999999"/>
    <n v="8"/>
    <n v="10792.637119999999"/>
    <n v="10439.6"/>
    <n v="353.03711999999905"/>
    <n v="3.2710922833287949E-2"/>
    <s v="Q3-2025"/>
    <s v="Americas → USA → New York"/>
    <s v="Medium"/>
    <n v="2025"/>
    <x v="11"/>
    <s v="Yes"/>
    <x v="1"/>
  </r>
  <r>
    <s v="ORD-2024-419248"/>
    <d v="2024-03-04T00:00:00"/>
    <d v="2024-03-16T00:00:00"/>
    <d v="2024-03-04T00:00:00"/>
    <d v="2024-03-16T00:00:00"/>
    <n v="12"/>
    <s v="3-2024"/>
    <x v="0"/>
    <s v="South Africa"/>
    <s v="Johannesburg"/>
    <s v="Enterprise"/>
    <x v="3"/>
    <x v="13"/>
    <x v="5"/>
    <x v="544"/>
    <n v="441.08"/>
    <n v="1054.29"/>
    <n v="0.23699999999999999"/>
    <n v="6"/>
    <n v="4826.5396199999996"/>
    <n v="2646.48"/>
    <n v="2180.0596199999995"/>
    <n v="0.45168169985932899"/>
    <s v="Q1-2024"/>
    <s v="Africa → South Africa → Johannesburg"/>
    <s v="Low"/>
    <n v="2024"/>
    <x v="0"/>
    <s v="No"/>
    <x v="1"/>
  </r>
  <r>
    <s v="ORD-2023-868460"/>
    <d v="2023-06-01T00:00:00"/>
    <d v="2023-06-01T00:00:00"/>
    <d v="2023-06-01T00:00:00"/>
    <d v="2023-06-01T00:00:00"/>
    <n v="0"/>
    <s v="6-2023"/>
    <x v="1"/>
    <s v="India"/>
    <s v="Bengaluru"/>
    <s v="Corporate"/>
    <x v="0"/>
    <x v="6"/>
    <x v="6"/>
    <x v="545"/>
    <n v="669.37"/>
    <n v="997.2"/>
    <n v="8.2000000000000003E-2"/>
    <n v="5"/>
    <n v="4577.1480000000001"/>
    <n v="3346.85"/>
    <n v="1230.2980000000002"/>
    <n v="0.26879139586484863"/>
    <s v="Q2-2023"/>
    <s v="Asia → India → Bengaluru"/>
    <s v="Low"/>
    <n v="2023"/>
    <x v="9"/>
    <s v="Yes"/>
    <x v="0"/>
  </r>
  <r>
    <s v="ORD-2023-472078"/>
    <d v="2023-02-28T00:00:00"/>
    <d v="2023-03-06T00:00:00"/>
    <d v="2023-02-28T00:00:00"/>
    <d v="2023-03-06T00:00:00"/>
    <n v="6"/>
    <s v="2-2023"/>
    <x v="3"/>
    <s v="Germany"/>
    <s v="Frankfurt"/>
    <s v="Small Business"/>
    <x v="2"/>
    <x v="8"/>
    <x v="1"/>
    <x v="546"/>
    <n v="880.02"/>
    <n v="1251.21"/>
    <n v="0.123"/>
    <n v="29"/>
    <n v="31822.023930000003"/>
    <n v="25520.579999999998"/>
    <n v="6301.4439300000049"/>
    <n v="0.19802146915172672"/>
    <s v="Q1-2023"/>
    <s v="Europe → Germany → Frankfurt"/>
    <s v="Medium"/>
    <n v="2023"/>
    <x v="2"/>
    <s v="Yes"/>
    <x v="0"/>
  </r>
  <r>
    <s v="ORD-2025-779530"/>
    <d v="2025-05-19T00:00:00"/>
    <d v="2025-05-17T00:00:00"/>
    <d v="2025-05-17T00:00:00"/>
    <d v="2025-05-19T00:00:00"/>
    <n v="2"/>
    <s v="5-2025"/>
    <x v="2"/>
    <s v="Brazil"/>
    <s v="São Paulo"/>
    <s v="Small Business"/>
    <x v="3"/>
    <x v="4"/>
    <x v="5"/>
    <x v="547"/>
    <n v="383.77"/>
    <n v="952.56"/>
    <n v="0.1186"/>
    <n v="10"/>
    <n v="8395.8638399999982"/>
    <n v="3837.7"/>
    <n v="4558.1638399999983"/>
    <n v="0.54290587923588807"/>
    <s v="Q2-2025"/>
    <s v="Americas → Brazil → São Paulo"/>
    <s v="Low"/>
    <n v="2025"/>
    <x v="5"/>
    <s v="Yes"/>
    <x v="0"/>
  </r>
  <r>
    <s v="ORD-2024-140633"/>
    <d v="2024-12-07T00:00:00"/>
    <d v="2024-12-26T00:00:00"/>
    <d v="2024-12-07T00:00:00"/>
    <d v="2024-12-26T00:00:00"/>
    <n v="19"/>
    <s v="12-2024"/>
    <x v="3"/>
    <s v="United Kingdom"/>
    <s v="London"/>
    <s v="Enterprise"/>
    <x v="1"/>
    <x v="8"/>
    <x v="2"/>
    <x v="548"/>
    <n v="1035.24"/>
    <n v="2383.41"/>
    <n v="0.17"/>
    <n v="15"/>
    <n v="29673.454499999993"/>
    <n v="15528.6"/>
    <n v="14144.854499999992"/>
    <n v="0.47668378145860962"/>
    <s v="Q4-2024"/>
    <s v="Europe → United Kingdom → London"/>
    <s v="High"/>
    <n v="2024"/>
    <x v="3"/>
    <s v="No"/>
    <x v="0"/>
  </r>
  <r>
    <s v="ORD-2025-997421"/>
    <d v="2025-05-21T00:00:00"/>
    <d v="2025-06-09T00:00:00"/>
    <d v="2025-05-21T00:00:00"/>
    <d v="2025-06-09T00:00:00"/>
    <n v="19"/>
    <s v="5-2025"/>
    <x v="2"/>
    <s v="Brazil"/>
    <s v="São Paulo"/>
    <s v="Non-Profit"/>
    <x v="1"/>
    <x v="14"/>
    <x v="0"/>
    <x v="549"/>
    <n v="1331.38"/>
    <n v="2309.56"/>
    <n v="0.14899999999999999"/>
    <n v="31"/>
    <n v="60928.502359999999"/>
    <n v="41272.780000000006"/>
    <n v="19655.722359999992"/>
    <n v="0.32260307735553528"/>
    <s v="Q2-2025"/>
    <s v="Americas → Brazil → São Paulo"/>
    <s v="High"/>
    <n v="2025"/>
    <x v="5"/>
    <s v="No"/>
    <x v="0"/>
  </r>
  <r>
    <s v="ORD-2023-139236"/>
    <d v="2023-03-03T00:00:00"/>
    <d v="2023-03-20T00:00:00"/>
    <d v="2023-03-03T00:00:00"/>
    <d v="2023-03-20T00:00:00"/>
    <n v="17"/>
    <s v="3-2023"/>
    <x v="1"/>
    <s v="Japan"/>
    <s v="Nagoya"/>
    <s v="Small Business"/>
    <x v="1"/>
    <x v="8"/>
    <x v="2"/>
    <x v="550"/>
    <n v="1171.17"/>
    <n v="2030.64"/>
    <n v="0.157"/>
    <n v="11"/>
    <n v="18830.12472"/>
    <n v="12882.87"/>
    <n v="5947.254719999999"/>
    <n v="0.31583724528830415"/>
    <s v="Q1-2023"/>
    <s v="Asia → Japan → Nagoya"/>
    <s v="High"/>
    <n v="2023"/>
    <x v="0"/>
    <s v="No"/>
    <x v="0"/>
  </r>
  <r>
    <s v="ORD-2025-762301"/>
    <d v="2025-05-02T00:00:00"/>
    <d v="2025-05-13T00:00:00"/>
    <d v="2025-05-02T00:00:00"/>
    <d v="2025-05-13T00:00:00"/>
    <n v="11"/>
    <s v="5-2025"/>
    <x v="0"/>
    <s v="Kenya"/>
    <s v="Nakuru"/>
    <s v="Small Business"/>
    <x v="1"/>
    <x v="14"/>
    <x v="6"/>
    <x v="551"/>
    <n v="1057.5999999999999"/>
    <n v="1437.06"/>
    <n v="0.20499999999999999"/>
    <n v="4"/>
    <n v="4569.8508000000002"/>
    <n v="4230.3999999999996"/>
    <n v="339.45080000000053"/>
    <n v="7.4280499485891424E-2"/>
    <s v="Q2-2025"/>
    <s v="Africa → Kenya → Nakuru"/>
    <s v="Medium"/>
    <n v="2025"/>
    <x v="5"/>
    <s v="No"/>
    <x v="1"/>
  </r>
  <r>
    <s v="ORD-2025-501927"/>
    <d v="2025-03-03T00:00:00"/>
    <d v="2025-03-24T00:00:00"/>
    <d v="2025-03-03T00:00:00"/>
    <d v="2025-03-24T00:00:00"/>
    <n v="21"/>
    <s v="3-2025"/>
    <x v="0"/>
    <s v="Nigeria"/>
    <s v="Abuja"/>
    <s v="Enterprise"/>
    <x v="4"/>
    <x v="11"/>
    <x v="6"/>
    <x v="552"/>
    <n v="555.95000000000005"/>
    <n v="468.09"/>
    <n v="0.14199999999999999"/>
    <n v="11"/>
    <n v="4417.8334199999999"/>
    <n v="6115.4500000000007"/>
    <n v="-1697.6165800000008"/>
    <n v="-0.38426450674095375"/>
    <s v="Q1-2025"/>
    <s v="Africa → Nigeria → Abuja"/>
    <s v="Low"/>
    <n v="2025"/>
    <x v="0"/>
    <s v="No"/>
    <x v="0"/>
  </r>
  <r>
    <s v="ORD-2024-536442"/>
    <d v="2024-08-31T00:00:00"/>
    <d v="2024-09-26T00:00:00"/>
    <d v="2024-08-31T00:00:00"/>
    <d v="2024-09-26T00:00:00"/>
    <n v="26"/>
    <s v="8-2024"/>
    <x v="1"/>
    <s v="Japan"/>
    <s v="Tokyo"/>
    <s v="Education"/>
    <x v="1"/>
    <x v="2"/>
    <x v="3"/>
    <x v="553"/>
    <n v="1189.03"/>
    <n v="2949.62"/>
    <n v="0.125"/>
    <n v="13"/>
    <n v="33551.927499999998"/>
    <n v="15457.39"/>
    <n v="18094.537499999999"/>
    <n v="0.53929949330034765"/>
    <s v="Q3-2024"/>
    <s v="Asia → Japan → Tokyo"/>
    <s v="High"/>
    <n v="2024"/>
    <x v="11"/>
    <s v="No"/>
    <x v="0"/>
  </r>
  <r>
    <s v="ORD-2024-961756"/>
    <d v="2024-11-25T00:00:00"/>
    <d v="2024-12-07T00:00:00"/>
    <d v="2024-11-25T00:00:00"/>
    <d v="2024-12-07T00:00:00"/>
    <n v="12"/>
    <s v="11-2024"/>
    <x v="1"/>
    <s v="China"/>
    <s v="Shanghai"/>
    <s v="Corporate"/>
    <x v="3"/>
    <x v="14"/>
    <x v="6"/>
    <x v="554"/>
    <n v="769.9"/>
    <n v="814.36"/>
    <n v="0"/>
    <n v="5"/>
    <n v="4071.8"/>
    <n v="3849.5"/>
    <n v="222.30000000000018"/>
    <n v="5.4595019401738831E-2"/>
    <s v="Q4-2024"/>
    <s v="Asia → China → Shanghai"/>
    <s v="Low"/>
    <n v="2024"/>
    <x v="10"/>
    <s v="No"/>
    <x v="0"/>
  </r>
  <r>
    <s v="ORD-2025-874124"/>
    <d v="2025-05-14T00:00:00"/>
    <d v="2025-05-12T00:00:00"/>
    <d v="2025-05-12T00:00:00"/>
    <d v="2025-05-14T00:00:00"/>
    <n v="2"/>
    <s v="5-2025"/>
    <x v="2"/>
    <s v="Canada"/>
    <s v="Vancouver"/>
    <s v="Non-Profit"/>
    <x v="3"/>
    <x v="9"/>
    <x v="1"/>
    <x v="555"/>
    <n v="883.5"/>
    <n v="1978.91"/>
    <n v="5.3999999999999999E-2"/>
    <n v="27"/>
    <n v="50545.319219999998"/>
    <n v="23854.5"/>
    <n v="26690.819219999998"/>
    <n v="0.52805718970390547"/>
    <s v="Q2-2025"/>
    <s v="Americas → Canada → Vancouver"/>
    <s v="High"/>
    <n v="2025"/>
    <x v="5"/>
    <s v="Yes"/>
    <x v="0"/>
  </r>
  <r>
    <s v="ORD-2024-687073"/>
    <d v="2024-03-11T00:00:00"/>
    <d v="2024-03-29T00:00:00"/>
    <d v="2024-03-11T00:00:00"/>
    <d v="2024-03-29T00:00:00"/>
    <n v="18"/>
    <s v="3-2024"/>
    <x v="2"/>
    <s v="USA"/>
    <s v="New York"/>
    <s v="Corporate"/>
    <x v="0"/>
    <x v="13"/>
    <x v="5"/>
    <x v="556"/>
    <n v="710.98"/>
    <n v="1481.45"/>
    <n v="0.21099999999999999"/>
    <n v="9"/>
    <n v="10519.776450000001"/>
    <n v="6398.82"/>
    <n v="4120.9564500000015"/>
    <n v="0.39173422264120461"/>
    <s v="Q1-2024"/>
    <s v="Americas → USA → New York"/>
    <s v="Medium"/>
    <n v="2024"/>
    <x v="0"/>
    <s v="No"/>
    <x v="1"/>
  </r>
  <r>
    <s v="ORD-2023-660608"/>
    <d v="2023-07-25T00:00:00"/>
    <d v="2023-08-10T00:00:00"/>
    <d v="2023-07-25T00:00:00"/>
    <d v="2023-08-10T00:00:00"/>
    <n v="16"/>
    <s v="7-2023"/>
    <x v="0"/>
    <s v="Nigeria"/>
    <s v="Port Harcourt"/>
    <s v="Corporate"/>
    <x v="3"/>
    <x v="2"/>
    <x v="6"/>
    <x v="557"/>
    <n v="506.83"/>
    <n v="441.74"/>
    <n v="0.24"/>
    <n v="9"/>
    <n v="3021.5016000000001"/>
    <n v="4561.47"/>
    <n v="-1539.9684000000002"/>
    <n v="-0.50966989393618067"/>
    <s v="Q3-2023"/>
    <s v="Africa → Nigeria → Port Harcourt"/>
    <s v="Low"/>
    <n v="2023"/>
    <x v="6"/>
    <s v="No"/>
    <x v="1"/>
  </r>
  <r>
    <s v="ORD-2024-872291"/>
    <d v="2024-01-08T00:00:00"/>
    <d v="2024-01-12T00:00:00"/>
    <d v="2024-01-08T00:00:00"/>
    <d v="2024-01-12T00:00:00"/>
    <n v="4"/>
    <s v="1-2024"/>
    <x v="1"/>
    <s v="India"/>
    <s v="Bengaluru"/>
    <s v="Corporate"/>
    <x v="4"/>
    <x v="6"/>
    <x v="1"/>
    <x v="558"/>
    <n v="802.32"/>
    <n v="602.34"/>
    <n v="0.12"/>
    <n v="25"/>
    <n v="13251.48"/>
    <n v="20058"/>
    <n v="-6806.52"/>
    <n v="-0.51364224977134632"/>
    <s v="Q1-2024"/>
    <s v="Asia → India → Bengaluru"/>
    <s v="Low"/>
    <n v="2024"/>
    <x v="4"/>
    <s v="Yes"/>
    <x v="0"/>
  </r>
  <r>
    <s v="ORD-2024-250862"/>
    <d v="2024-10-25T00:00:00"/>
    <d v="2024-11-05T00:00:00"/>
    <d v="2024-10-25T00:00:00"/>
    <d v="2024-11-05T00:00:00"/>
    <n v="11"/>
    <s v="10-2024"/>
    <x v="2"/>
    <s v="USA"/>
    <s v="New York"/>
    <s v="Corporate"/>
    <x v="3"/>
    <x v="10"/>
    <x v="0"/>
    <x v="559"/>
    <n v="446.66"/>
    <n v="527.64"/>
    <n v="0.14499999999999999"/>
    <n v="15"/>
    <n v="6766.9829999999993"/>
    <n v="6699.9000000000005"/>
    <n v="67.082999999998719"/>
    <n v="9.9132804087137105E-3"/>
    <s v="Q4-2024"/>
    <s v="Americas → USA → New York"/>
    <s v="Low"/>
    <n v="2024"/>
    <x v="1"/>
    <s v="No"/>
    <x v="0"/>
  </r>
  <r>
    <s v="ORD-2024-331226"/>
    <d v="2024-11-30T00:00:00"/>
    <d v="2024-12-19T00:00:00"/>
    <d v="2024-11-30T00:00:00"/>
    <d v="2024-12-19T00:00:00"/>
    <n v="19"/>
    <s v="11-2024"/>
    <x v="0"/>
    <s v="Kenya"/>
    <s v="Kisumu"/>
    <s v="Corporate"/>
    <x v="1"/>
    <x v="4"/>
    <x v="3"/>
    <x v="560"/>
    <n v="1195.98"/>
    <n v="1841.9"/>
    <n v="5.5E-2"/>
    <n v="19"/>
    <n v="33071.3145"/>
    <n v="22723.62"/>
    <n v="10347.694500000001"/>
    <n v="0.31289032977506842"/>
    <s v="Q4-2024"/>
    <s v="Africa → Kenya → Kisumu"/>
    <s v="Medium"/>
    <n v="2024"/>
    <x v="10"/>
    <s v="No"/>
    <x v="0"/>
  </r>
  <r>
    <s v="ORD-2023-356427"/>
    <d v="2023-04-13T00:00:00"/>
    <d v="2023-05-02T00:00:00"/>
    <d v="2023-04-13T00:00:00"/>
    <d v="2023-05-02T00:00:00"/>
    <n v="19"/>
    <s v="4-2023"/>
    <x v="2"/>
    <s v="Canada"/>
    <s v="Montreal"/>
    <s v="Consumer"/>
    <x v="3"/>
    <x v="6"/>
    <x v="5"/>
    <x v="561"/>
    <n v="671.05"/>
    <n v="1645.48"/>
    <n v="0.13700000000000001"/>
    <n v="6"/>
    <n v="8520.2954399999999"/>
    <n v="4026.2999999999997"/>
    <n v="4493.9954400000006"/>
    <n v="0.52744596377517172"/>
    <s v="Q2-2023"/>
    <s v="Americas → Canada → Montreal"/>
    <s v="Medium"/>
    <n v="2023"/>
    <x v="7"/>
    <s v="No"/>
    <x v="0"/>
  </r>
  <r>
    <s v="ORD-2025-659650"/>
    <d v="2025-02-04T00:00:00"/>
    <d v="2025-02-08T00:00:00"/>
    <d v="2025-02-04T00:00:00"/>
    <d v="2025-02-08T00:00:00"/>
    <n v="4"/>
    <s v="2-2025"/>
    <x v="3"/>
    <s v="United Kingdom"/>
    <s v="Manchester"/>
    <s v="Enterprise"/>
    <x v="2"/>
    <x v="4"/>
    <x v="2"/>
    <x v="562"/>
    <n v="586.21"/>
    <n v="727.22"/>
    <n v="6.8000000000000005E-2"/>
    <n v="15"/>
    <n v="10166.535600000001"/>
    <n v="8793.1500000000015"/>
    <n v="1373.3855999999996"/>
    <n v="0.13508884973559721"/>
    <s v="Q1-2025"/>
    <s v="Europe → United Kingdom → Manchester"/>
    <s v="Low"/>
    <n v="2025"/>
    <x v="2"/>
    <s v="Yes"/>
    <x v="0"/>
  </r>
  <r>
    <s v="ORD-2024-207669"/>
    <d v="2024-01-24T00:00:00"/>
    <d v="2024-02-04T00:00:00"/>
    <d v="2024-01-24T00:00:00"/>
    <d v="2024-02-04T00:00:00"/>
    <n v="11"/>
    <s v="1-2024"/>
    <x v="3"/>
    <s v="United Kingdom"/>
    <s v="Manchester"/>
    <s v="Consumer"/>
    <x v="0"/>
    <x v="5"/>
    <x v="4"/>
    <x v="563"/>
    <n v="525.34"/>
    <n v="1233.79"/>
    <n v="0.14299999999999999"/>
    <n v="4"/>
    <n v="4229.4321199999995"/>
    <n v="2101.36"/>
    <n v="2128.0721199999994"/>
    <n v="0.50315788494082736"/>
    <s v="Q1-2024"/>
    <s v="Europe → United Kingdom → Manchester"/>
    <s v="Medium"/>
    <n v="2024"/>
    <x v="4"/>
    <s v="No"/>
    <x v="0"/>
  </r>
  <r>
    <s v="ORD-2024-979401"/>
    <d v="2024-02-08T00:00:00"/>
    <d v="2024-02-09T00:00:00"/>
    <d v="2024-02-08T00:00:00"/>
    <d v="2024-02-09T00:00:00"/>
    <n v="1"/>
    <s v="2-2024"/>
    <x v="0"/>
    <s v="Kenya"/>
    <s v="Mombasa"/>
    <s v="Corporate"/>
    <x v="4"/>
    <x v="9"/>
    <x v="0"/>
    <x v="564"/>
    <n v="1233.52"/>
    <n v="1543.76"/>
    <n v="0.126"/>
    <n v="13"/>
    <n v="17540.201120000002"/>
    <n v="16035.76"/>
    <n v="1504.4411200000013"/>
    <n v="8.5771030201277493E-2"/>
    <s v="Q1-2024"/>
    <s v="Africa → Kenya → Mombasa"/>
    <s v="Medium"/>
    <n v="2024"/>
    <x v="2"/>
    <s v="Yes"/>
    <x v="0"/>
  </r>
  <r>
    <s v="ORD-2025-929414"/>
    <d v="2025-06-26T00:00:00"/>
    <d v="2025-07-11T00:00:00"/>
    <d v="2025-06-26T00:00:00"/>
    <d v="2025-07-11T00:00:00"/>
    <n v="15"/>
    <s v="6-2025"/>
    <x v="0"/>
    <s v="Nigeria"/>
    <s v="Port Harcourt"/>
    <s v="Small Business"/>
    <x v="1"/>
    <x v="14"/>
    <x v="4"/>
    <x v="565"/>
    <n v="1170.1500000000001"/>
    <n v="2115.19"/>
    <n v="9.1999999999999998E-2"/>
    <n v="23"/>
    <n v="44173.627960000005"/>
    <n v="26913.45"/>
    <n v="17260.177960000005"/>
    <n v="0.39073489674946776"/>
    <s v="Q2-2025"/>
    <s v="Africa → Nigeria → Port Harcourt"/>
    <s v="High"/>
    <n v="2025"/>
    <x v="9"/>
    <s v="No"/>
    <x v="0"/>
  </r>
  <r>
    <s v="ORD-2024-766980"/>
    <d v="2024-11-04T00:00:00"/>
    <d v="2024-11-07T00:00:00"/>
    <d v="2024-11-04T00:00:00"/>
    <d v="2024-11-07T00:00:00"/>
    <n v="3"/>
    <s v="11-2024"/>
    <x v="3"/>
    <s v="France"/>
    <s v="Lyon"/>
    <s v="Corporate"/>
    <x v="1"/>
    <x v="7"/>
    <x v="5"/>
    <x v="566"/>
    <n v="740.68"/>
    <n v="1837.19"/>
    <n v="0.19700000000000001"/>
    <n v="17"/>
    <n v="25079.480689999997"/>
    <n v="12591.56"/>
    <n v="12487.920689999997"/>
    <n v="0.4979337827748298"/>
    <s v="Q4-2024"/>
    <s v="Europe → France → Lyon"/>
    <s v="Medium"/>
    <n v="2024"/>
    <x v="10"/>
    <s v="Yes"/>
    <x v="0"/>
  </r>
  <r>
    <s v="ORD-2024-437164"/>
    <d v="2024-02-20T00:00:00"/>
    <d v="2024-02-20T00:00:00"/>
    <d v="2024-02-20T00:00:00"/>
    <d v="2024-02-20T00:00:00"/>
    <n v="0"/>
    <s v="2-2024"/>
    <x v="2"/>
    <s v="USA"/>
    <s v="New York"/>
    <s v="Enterprise"/>
    <x v="1"/>
    <x v="0"/>
    <x v="2"/>
    <x v="567"/>
    <n v="1407.05"/>
    <n v="2858.93"/>
    <n v="0"/>
    <n v="12"/>
    <n v="34307.159999999996"/>
    <n v="16884.599999999999"/>
    <n v="17422.559999999998"/>
    <n v="0.50784034586366222"/>
    <s v="Q1-2024"/>
    <s v="Americas → USA → New York"/>
    <s v="High"/>
    <n v="2024"/>
    <x v="2"/>
    <s v="Yes"/>
    <x v="0"/>
  </r>
  <r>
    <s v="ORD-2025-169093"/>
    <d v="2025-04-13T00:00:00"/>
    <d v="2025-04-14T00:00:00"/>
    <d v="2025-04-13T00:00:00"/>
    <d v="2025-04-14T00:00:00"/>
    <n v="1"/>
    <s v="4-2025"/>
    <x v="1"/>
    <s v="Japan"/>
    <s v="Osaka"/>
    <s v="Enterprise"/>
    <x v="1"/>
    <x v="3"/>
    <x v="0"/>
    <x v="568"/>
    <n v="138.9"/>
    <n v="289.92"/>
    <n v="2.9000000000000001E-2"/>
    <n v="12"/>
    <n v="3378.1478400000001"/>
    <n v="1666.8000000000002"/>
    <n v="1711.3478399999999"/>
    <n v="0.50659353025828491"/>
    <s v="Q2-2025"/>
    <s v="Asia → Japan → Osaka"/>
    <s v="Low"/>
    <n v="2025"/>
    <x v="7"/>
    <s v="Yes"/>
    <x v="0"/>
  </r>
  <r>
    <s v="ORD-2024-787018"/>
    <d v="2024-06-23T00:00:00"/>
    <d v="2024-06-28T00:00:00"/>
    <d v="2024-06-23T00:00:00"/>
    <d v="2024-06-28T00:00:00"/>
    <n v="5"/>
    <s v="6-2024"/>
    <x v="0"/>
    <s v="Nigeria"/>
    <s v="Port Harcourt"/>
    <s v="Non-Profit"/>
    <x v="4"/>
    <x v="13"/>
    <x v="6"/>
    <x v="569"/>
    <n v="242.31"/>
    <n v="587.95000000000005"/>
    <n v="0.22900000000000001"/>
    <n v="6"/>
    <n v="2719.8567000000003"/>
    <n v="1453.8600000000001"/>
    <n v="1265.9967000000001"/>
    <n v="0.46546448568411714"/>
    <s v="Q2-2024"/>
    <s v="Africa → Nigeria → Port Harcourt"/>
    <s v="Low"/>
    <n v="2024"/>
    <x v="9"/>
    <s v="Yes"/>
    <x v="1"/>
  </r>
  <r>
    <s v="ORD-2025-177994"/>
    <d v="2025-03-24T00:00:00"/>
    <d v="2025-04-04T00:00:00"/>
    <d v="2025-03-24T00:00:00"/>
    <d v="2025-04-04T00:00:00"/>
    <n v="11"/>
    <s v="3-2025"/>
    <x v="1"/>
    <s v="India"/>
    <s v="Mumbai"/>
    <s v="Education"/>
    <x v="2"/>
    <x v="1"/>
    <x v="3"/>
    <x v="570"/>
    <n v="23.83"/>
    <n v="47.29"/>
    <n v="6.4000000000000001E-2"/>
    <n v="19"/>
    <n v="841.00536"/>
    <n v="452.77"/>
    <n v="388.23536000000001"/>
    <n v="0.46163244429262618"/>
    <s v="Q1-2025"/>
    <s v="Asia → India → Mumbai"/>
    <s v="Low"/>
    <n v="2025"/>
    <x v="0"/>
    <s v="No"/>
    <x v="0"/>
  </r>
  <r>
    <s v="ORD-2024-355095"/>
    <d v="2024-01-02T00:00:00"/>
    <d v="2024-01-02T00:00:00"/>
    <d v="2024-01-02T00:00:00"/>
    <d v="2024-01-02T00:00:00"/>
    <n v="0"/>
    <s v="1-2024"/>
    <x v="2"/>
    <s v="Canada"/>
    <s v="Vancouver"/>
    <s v="Education"/>
    <x v="4"/>
    <x v="14"/>
    <x v="4"/>
    <x v="571"/>
    <n v="444.41"/>
    <n v="754.24"/>
    <n v="0.20699999999999999"/>
    <n v="32"/>
    <n v="19139.594240000002"/>
    <n v="14221.12"/>
    <n v="4918.4742400000014"/>
    <n v="0.25697902360546598"/>
    <s v="Q1-2024"/>
    <s v="Americas → Canada → Vancouver"/>
    <s v="Low"/>
    <n v="2024"/>
    <x v="4"/>
    <s v="Yes"/>
    <x v="1"/>
  </r>
  <r>
    <s v="ORD-2023-126505"/>
    <d v="2023-12-19T00:00:00"/>
    <d v="2024-01-01T00:00:00"/>
    <d v="2023-12-19T00:00:00"/>
    <d v="2024-01-01T00:00:00"/>
    <n v="13"/>
    <s v="12-2023"/>
    <x v="2"/>
    <s v="Canada"/>
    <s v="Toronto"/>
    <s v="Enterprise"/>
    <x v="0"/>
    <x v="12"/>
    <x v="5"/>
    <x v="572"/>
    <n v="856.1"/>
    <n v="901.48"/>
    <n v="5.6000000000000001E-2"/>
    <n v="17"/>
    <n v="14466.95104"/>
    <n v="14553.7"/>
    <n v="-86.748960000000807"/>
    <n v="-5.9963540182134192E-3"/>
    <s v="Q4-2023"/>
    <s v="Americas → Canada → Toronto"/>
    <s v="Low"/>
    <n v="2023"/>
    <x v="3"/>
    <s v="No"/>
    <x v="0"/>
  </r>
  <r>
    <s v="ORD-2023-340056"/>
    <d v="2023-04-26T00:00:00"/>
    <d v="2023-04-26T00:00:00"/>
    <d v="2023-04-26T00:00:00"/>
    <d v="2023-04-26T00:00:00"/>
    <n v="0"/>
    <s v="4-2023"/>
    <x v="3"/>
    <s v="France"/>
    <s v="Marseille"/>
    <s v="Consumer"/>
    <x v="4"/>
    <x v="13"/>
    <x v="0"/>
    <x v="573"/>
    <n v="81.489999999999995"/>
    <n v="113.08"/>
    <n v="0.121"/>
    <n v="5"/>
    <n v="496.98660000000001"/>
    <n v="407.45"/>
    <n v="89.536600000000021"/>
    <n v="0.18015898215364362"/>
    <s v="Q2-2023"/>
    <s v="Europe → France → Marseille"/>
    <s v="Low"/>
    <n v="2023"/>
    <x v="7"/>
    <s v="Yes"/>
    <x v="0"/>
  </r>
  <r>
    <s v="ORD-2025-281413"/>
    <d v="2025-08-03T00:00:00"/>
    <d v="2025-08-16T00:00:00"/>
    <d v="2025-08-03T00:00:00"/>
    <d v="2025-08-16T00:00:00"/>
    <n v="13"/>
    <s v="8-2025"/>
    <x v="2"/>
    <s v="Canada"/>
    <s v="Montreal"/>
    <s v="Enterprise"/>
    <x v="3"/>
    <x v="7"/>
    <x v="2"/>
    <x v="574"/>
    <n v="698.66"/>
    <n v="868.62"/>
    <n v="7.1999999999999995E-2"/>
    <n v="15"/>
    <n v="12091.190399999999"/>
    <n v="10479.9"/>
    <n v="1611.2903999999999"/>
    <n v="0.13326151906432637"/>
    <s v="Q3-2025"/>
    <s v="Americas → Canada → Montreal"/>
    <s v="Low"/>
    <n v="2025"/>
    <x v="11"/>
    <s v="No"/>
    <x v="0"/>
  </r>
  <r>
    <s v="ORD-2023-713614"/>
    <d v="2023-08-02T00:00:00"/>
    <d v="2023-08-19T00:00:00"/>
    <d v="2023-08-02T00:00:00"/>
    <d v="2023-08-19T00:00:00"/>
    <n v="17"/>
    <s v="8-2023"/>
    <x v="2"/>
    <s v="Canada"/>
    <s v="Vancouver"/>
    <s v="Corporate"/>
    <x v="1"/>
    <x v="9"/>
    <x v="2"/>
    <x v="575"/>
    <n v="175.38"/>
    <n v="347.9"/>
    <n v="7.1999999999999995E-2"/>
    <n v="43"/>
    <n v="13882.6016"/>
    <n v="7541.34"/>
    <n v="6341.2615999999998"/>
    <n v="0.45677761148169804"/>
    <s v="Q3-2023"/>
    <s v="Americas → Canada → Vancouver"/>
    <s v="Low"/>
    <n v="2023"/>
    <x v="11"/>
    <s v="No"/>
    <x v="0"/>
  </r>
  <r>
    <s v="ORD-2025-649239"/>
    <d v="2025-01-17T00:00:00"/>
    <d v="2025-01-24T00:00:00"/>
    <d v="2025-01-17T00:00:00"/>
    <d v="2025-01-24T00:00:00"/>
    <n v="7"/>
    <s v="1-2025"/>
    <x v="2"/>
    <s v="USA"/>
    <s v="Austin"/>
    <s v="Enterprise"/>
    <x v="1"/>
    <x v="3"/>
    <x v="6"/>
    <x v="576"/>
    <n v="142.09"/>
    <n v="218.5"/>
    <n v="0.11899999999999999"/>
    <n v="11"/>
    <n v="2117.4834999999998"/>
    <n v="1562.99"/>
    <n v="554.49349999999981"/>
    <n v="0.26186437816398561"/>
    <s v="Q1-2025"/>
    <s v="Americas → USA → Austin"/>
    <s v="Low"/>
    <n v="2025"/>
    <x v="4"/>
    <s v="Yes"/>
    <x v="0"/>
  </r>
  <r>
    <s v="ORD-2024-496601"/>
    <d v="2024-11-11T00:00:00"/>
    <d v="2024-11-24T00:00:00"/>
    <d v="2024-11-11T00:00:00"/>
    <d v="2024-11-24T00:00:00"/>
    <n v="13"/>
    <s v="11-2024"/>
    <x v="3"/>
    <s v="United Kingdom"/>
    <s v="London"/>
    <s v="Corporate"/>
    <x v="0"/>
    <x v="6"/>
    <x v="2"/>
    <x v="577"/>
    <n v="164.53"/>
    <n v="327.72"/>
    <n v="6.7000000000000004E-2"/>
    <n v="14"/>
    <n v="4280.6786400000001"/>
    <n v="2303.42"/>
    <n v="1977.25864"/>
    <n v="0.46190307805960412"/>
    <s v="Q4-2024"/>
    <s v="Europe → United Kingdom → London"/>
    <s v="Low"/>
    <n v="2024"/>
    <x v="10"/>
    <s v="No"/>
    <x v="0"/>
  </r>
  <r>
    <s v="ORD-2025-155182"/>
    <d v="2025-07-11T00:00:00"/>
    <d v="2025-08-03T00:00:00"/>
    <d v="2025-07-11T00:00:00"/>
    <d v="2025-08-03T00:00:00"/>
    <n v="23"/>
    <s v="7-2025"/>
    <x v="0"/>
    <s v="Kenya"/>
    <s v="Nakuru"/>
    <s v="Small Business"/>
    <x v="0"/>
    <x v="0"/>
    <x v="3"/>
    <x v="578"/>
    <n v="389.93"/>
    <n v="486.13"/>
    <n v="0.13200000000000001"/>
    <n v="17"/>
    <n v="7173.3342799999991"/>
    <n v="6628.81"/>
    <n v="544.52427999999873"/>
    <n v="7.5909508569562828E-2"/>
    <s v="Q3-2025"/>
    <s v="Africa → Kenya → Nakuru"/>
    <s v="Low"/>
    <n v="2025"/>
    <x v="6"/>
    <s v="No"/>
    <x v="0"/>
  </r>
  <r>
    <s v="ORD-2024-247032"/>
    <d v="2024-04-21T00:00:00"/>
    <d v="2024-05-19T00:00:00"/>
    <d v="2024-04-21T00:00:00"/>
    <d v="2024-05-19T00:00:00"/>
    <n v="28"/>
    <s v="4-2024"/>
    <x v="0"/>
    <s v="Nigeria"/>
    <s v="Lagos"/>
    <s v="Corporate"/>
    <x v="3"/>
    <x v="14"/>
    <x v="6"/>
    <x v="579"/>
    <n v="187.22"/>
    <n v="309.47000000000003"/>
    <n v="0"/>
    <n v="5"/>
    <n v="1547.3500000000001"/>
    <n v="936.1"/>
    <n v="611.25000000000011"/>
    <n v="0.39503021294471197"/>
    <s v="Q2-2024"/>
    <s v="Africa → Nigeria → Lagos"/>
    <s v="Low"/>
    <n v="2024"/>
    <x v="7"/>
    <s v="No"/>
    <x v="0"/>
  </r>
  <r>
    <s v="ORD-2025-419532"/>
    <d v="2025-08-06T00:00:00"/>
    <d v="2025-08-23T00:00:00"/>
    <d v="2025-08-06T00:00:00"/>
    <d v="2025-08-23T00:00:00"/>
    <n v="17"/>
    <s v="8-2025"/>
    <x v="2"/>
    <s v="Brazil"/>
    <s v="Brasília"/>
    <s v="Consumer"/>
    <x v="3"/>
    <x v="14"/>
    <x v="5"/>
    <x v="580"/>
    <n v="86.64"/>
    <n v="213.06"/>
    <n v="0.21199999999999999"/>
    <n v="11"/>
    <n v="1846.8040799999999"/>
    <n v="953.04"/>
    <n v="893.76407999999992"/>
    <n v="0.48395175735154322"/>
    <s v="Q3-2025"/>
    <s v="Americas → Brazil → Brasília"/>
    <s v="Low"/>
    <n v="2025"/>
    <x v="11"/>
    <s v="No"/>
    <x v="1"/>
  </r>
  <r>
    <s v="ORD-2024-594527"/>
    <d v="2024-09-06T00:00:00"/>
    <d v="2024-09-04T00:00:00"/>
    <d v="2024-09-04T00:00:00"/>
    <d v="2024-09-06T00:00:00"/>
    <n v="2"/>
    <s v="9-2024"/>
    <x v="1"/>
    <s v="Japan"/>
    <s v="Osaka"/>
    <s v="Corporate"/>
    <x v="4"/>
    <x v="14"/>
    <x v="4"/>
    <x v="581"/>
    <n v="1368.17"/>
    <n v="2307.75"/>
    <n v="0.16300000000000001"/>
    <n v="21"/>
    <n v="40563.321749999996"/>
    <n v="28731.57"/>
    <n v="11831.751749999996"/>
    <n v="0.29168596750831921"/>
    <s v="Q3-2024"/>
    <s v="Asia → Japan → Osaka"/>
    <s v="High"/>
    <n v="2024"/>
    <x v="8"/>
    <s v="Yes"/>
    <x v="0"/>
  </r>
  <r>
    <s v="ORD-2024-689872"/>
    <d v="2024-08-03T00:00:00"/>
    <d v="2024-08-09T00:00:00"/>
    <d v="2024-08-03T00:00:00"/>
    <d v="2024-08-09T00:00:00"/>
    <n v="6"/>
    <s v="8-2024"/>
    <x v="0"/>
    <s v="Kenya"/>
    <s v="Mombasa"/>
    <s v="Consumer"/>
    <x v="2"/>
    <x v="11"/>
    <x v="4"/>
    <x v="582"/>
    <n v="643.21"/>
    <n v="1112.81"/>
    <n v="0.14099999999999999"/>
    <n v="4"/>
    <n v="3823.6151599999998"/>
    <n v="2572.84"/>
    <n v="1250.7751599999997"/>
    <n v="0.32711847496702562"/>
    <s v="Q3-2024"/>
    <s v="Africa → Kenya → Mombasa"/>
    <s v="Low"/>
    <n v="2024"/>
    <x v="11"/>
    <s v="Yes"/>
    <x v="0"/>
  </r>
  <r>
    <s v="ORD-2025-949776"/>
    <d v="2025-08-14T00:00:00"/>
    <d v="2025-09-11T00:00:00"/>
    <d v="2025-08-14T00:00:00"/>
    <d v="2025-09-11T00:00:00"/>
    <n v="28"/>
    <s v="8-2025"/>
    <x v="2"/>
    <s v="Brazil"/>
    <s v="São Paulo"/>
    <s v="Non-Profit"/>
    <x v="4"/>
    <x v="9"/>
    <x v="1"/>
    <x v="583"/>
    <n v="1203.02"/>
    <n v="2439.33"/>
    <n v="0"/>
    <n v="18"/>
    <n v="43907.94"/>
    <n v="21654.36"/>
    <n v="22253.58"/>
    <n v="0.50682359500354612"/>
    <s v="Q3-2025"/>
    <s v="Americas → Brazil → São Paulo"/>
    <s v="High"/>
    <n v="2025"/>
    <x v="11"/>
    <s v="No"/>
    <x v="0"/>
  </r>
  <r>
    <s v="ORD-2023-378676"/>
    <d v="2023-05-03T00:00:00"/>
    <d v="2023-05-16T00:00:00"/>
    <d v="2023-05-03T00:00:00"/>
    <d v="2023-05-16T00:00:00"/>
    <n v="13"/>
    <s v="5-2023"/>
    <x v="2"/>
    <s v="USA"/>
    <s v="New York"/>
    <s v="Corporate"/>
    <x v="2"/>
    <x v="4"/>
    <x v="3"/>
    <x v="584"/>
    <n v="64.5"/>
    <n v="123.62"/>
    <n v="0"/>
    <n v="3"/>
    <n v="370.86"/>
    <n v="193.5"/>
    <n v="177.36"/>
    <n v="0.47823976702798904"/>
    <s v="Q2-2023"/>
    <s v="Americas → USA → New York"/>
    <s v="Low"/>
    <n v="2023"/>
    <x v="5"/>
    <s v="No"/>
    <x v="0"/>
  </r>
  <r>
    <s v="ORD-2024-243988"/>
    <d v="2024-03-13T00:00:00"/>
    <d v="2024-04-06T00:00:00"/>
    <d v="2024-03-13T00:00:00"/>
    <d v="2024-04-06T00:00:00"/>
    <n v="24"/>
    <s v="3-2024"/>
    <x v="0"/>
    <s v="Nigeria"/>
    <s v="Abuja"/>
    <s v="Consumer"/>
    <x v="3"/>
    <x v="4"/>
    <x v="0"/>
    <x v="585"/>
    <n v="1232.78"/>
    <n v="1731.75"/>
    <n v="9.2999999999999999E-2"/>
    <n v="16"/>
    <n v="25131.155999999999"/>
    <n v="19724.48"/>
    <n v="5406.6759999999995"/>
    <n v="0.21513837246484005"/>
    <s v="Q1-2024"/>
    <s v="Africa → Nigeria → Abuja"/>
    <s v="Medium"/>
    <n v="2024"/>
    <x v="0"/>
    <s v="No"/>
    <x v="0"/>
  </r>
  <r>
    <s v="ORD-2024-572312"/>
    <d v="2024-06-16T00:00:00"/>
    <d v="2024-06-21T00:00:00"/>
    <d v="2024-06-16T00:00:00"/>
    <d v="2024-06-21T00:00:00"/>
    <n v="5"/>
    <s v="6-2024"/>
    <x v="1"/>
    <s v="Japan"/>
    <s v="Tokyo"/>
    <s v="Small Business"/>
    <x v="3"/>
    <x v="9"/>
    <x v="3"/>
    <x v="586"/>
    <n v="1367.13"/>
    <n v="3062.01"/>
    <n v="0.10299999999999999"/>
    <n v="25"/>
    <n v="68665.574250000005"/>
    <n v="34178.25"/>
    <n v="34487.324250000005"/>
    <n v="0.50225057645971705"/>
    <s v="Q2-2024"/>
    <s v="Asia → Japan → Tokyo"/>
    <s v="High"/>
    <n v="2024"/>
    <x v="9"/>
    <s v="Yes"/>
    <x v="0"/>
  </r>
  <r>
    <s v="ORD-2024-232632"/>
    <d v="2024-02-14T00:00:00"/>
    <d v="2024-02-14T00:00:00"/>
    <d v="2024-02-14T00:00:00"/>
    <d v="2024-02-14T00:00:00"/>
    <n v="0"/>
    <s v="2-2024"/>
    <x v="1"/>
    <s v="China"/>
    <s v="Beijing"/>
    <s v="Corporate"/>
    <x v="3"/>
    <x v="4"/>
    <x v="6"/>
    <x v="587"/>
    <n v="65.930000000000007"/>
    <n v="84.9"/>
    <n v="0.25900000000000001"/>
    <n v="23"/>
    <n v="1446.9507000000001"/>
    <n v="1516.39"/>
    <n v="-69.439300000000003"/>
    <n v="-4.7990093926489688E-2"/>
    <s v="Q1-2024"/>
    <s v="Asia → China → Beijing"/>
    <s v="Low"/>
    <n v="2024"/>
    <x v="2"/>
    <s v="Yes"/>
    <x v="1"/>
  </r>
  <r>
    <s v="ORD-2023-755337"/>
    <d v="2023-09-08T00:00:00"/>
    <d v="2023-09-14T00:00:00"/>
    <d v="2023-09-08T00:00:00"/>
    <d v="2023-09-14T00:00:00"/>
    <n v="6"/>
    <s v="9-2023"/>
    <x v="0"/>
    <s v="Kenya"/>
    <s v="Nakuru"/>
    <s v="Education"/>
    <x v="4"/>
    <x v="2"/>
    <x v="6"/>
    <x v="588"/>
    <n v="251.03"/>
    <n v="411.48"/>
    <n v="0.16500000000000001"/>
    <n v="3"/>
    <n v="1030.7574"/>
    <n v="753.09"/>
    <n v="277.66739999999993"/>
    <n v="0.26938191275658069"/>
    <s v="Q3-2023"/>
    <s v="Africa → Kenya → Nakuru"/>
    <s v="Low"/>
    <n v="2023"/>
    <x v="8"/>
    <s v="Yes"/>
    <x v="0"/>
  </r>
  <r>
    <s v="ORD-2025-993993"/>
    <d v="2025-08-30T00:00:00"/>
    <d v="2025-09-22T00:00:00"/>
    <d v="2025-08-30T00:00:00"/>
    <d v="2025-09-22T00:00:00"/>
    <n v="23"/>
    <s v="8-2025"/>
    <x v="3"/>
    <s v="France"/>
    <s v="Marseille"/>
    <s v="Corporate"/>
    <x v="4"/>
    <x v="6"/>
    <x v="0"/>
    <x v="589"/>
    <n v="663.9"/>
    <n v="947.77"/>
    <n v="0.17399999999999999"/>
    <n v="15"/>
    <n v="11742.8703"/>
    <n v="9958.5"/>
    <n v="1784.3703000000005"/>
    <n v="0.1519535049280073"/>
    <s v="Q3-2025"/>
    <s v="Europe → France → Marseille"/>
    <s v="Low"/>
    <n v="2025"/>
    <x v="11"/>
    <s v="No"/>
    <x v="0"/>
  </r>
  <r>
    <s v="ORD-2023-619493"/>
    <d v="2023-02-27T00:00:00"/>
    <d v="2023-02-26T00:00:00"/>
    <d v="2023-02-26T00:00:00"/>
    <d v="2023-02-27T00:00:00"/>
    <n v="1"/>
    <s v="2-2023"/>
    <x v="2"/>
    <s v="USA"/>
    <s v="San Francisco"/>
    <s v="Non-Profit"/>
    <x v="1"/>
    <x v="4"/>
    <x v="2"/>
    <x v="590"/>
    <n v="1015.91"/>
    <n v="2331.48"/>
    <n v="0.14599999999999999"/>
    <n v="26"/>
    <n v="51768.181920000003"/>
    <n v="26413.66"/>
    <n v="25354.521920000003"/>
    <n v="0.48977037592669626"/>
    <s v="Q1-2023"/>
    <s v="Americas → USA → San Francisco"/>
    <s v="High"/>
    <n v="2023"/>
    <x v="2"/>
    <s v="Yes"/>
    <x v="0"/>
  </r>
  <r>
    <s v="ORD-2024-947056"/>
    <d v="2024-07-31T00:00:00"/>
    <d v="2024-08-15T00:00:00"/>
    <d v="2024-07-31T00:00:00"/>
    <d v="2024-08-15T00:00:00"/>
    <n v="15"/>
    <s v="7-2024"/>
    <x v="1"/>
    <s v="Japan"/>
    <s v="Tokyo"/>
    <s v="Corporate"/>
    <x v="2"/>
    <x v="9"/>
    <x v="5"/>
    <x v="591"/>
    <n v="1252.52"/>
    <n v="1417.24"/>
    <n v="0.192"/>
    <n v="5"/>
    <n v="5725.6496000000006"/>
    <n v="6262.6"/>
    <n v="-536.95039999999972"/>
    <n v="-9.3779821943696953E-2"/>
    <s v="Q3-2024"/>
    <s v="Asia → Japan → Tokyo"/>
    <s v="Medium"/>
    <n v="2024"/>
    <x v="6"/>
    <s v="No"/>
    <x v="0"/>
  </r>
  <r>
    <s v="ORD-2025-828263"/>
    <d v="2025-05-17T00:00:00"/>
    <d v="2025-05-30T00:00:00"/>
    <d v="2025-05-17T00:00:00"/>
    <d v="2025-05-30T00:00:00"/>
    <n v="13"/>
    <s v="5-2025"/>
    <x v="0"/>
    <s v="Nigeria"/>
    <s v="Lagos"/>
    <s v="Consumer"/>
    <x v="3"/>
    <x v="9"/>
    <x v="6"/>
    <x v="592"/>
    <n v="66.400000000000006"/>
    <n v="141.43"/>
    <n v="0.107"/>
    <n v="8"/>
    <n v="1010.3759200000001"/>
    <n v="531.20000000000005"/>
    <n v="479.17592000000002"/>
    <n v="0.47425508715607551"/>
    <s v="Q2-2025"/>
    <s v="Africa → Nigeria → Lagos"/>
    <s v="Low"/>
    <n v="2025"/>
    <x v="5"/>
    <s v="No"/>
    <x v="0"/>
  </r>
  <r>
    <s v="ORD-2024-442776"/>
    <d v="2024-06-30T00:00:00"/>
    <d v="2024-07-21T00:00:00"/>
    <d v="2024-06-30T00:00:00"/>
    <d v="2024-07-21T00:00:00"/>
    <n v="21"/>
    <s v="6-2024"/>
    <x v="0"/>
    <s v="Kenya"/>
    <s v="Kisumu"/>
    <s v="Small Business"/>
    <x v="0"/>
    <x v="12"/>
    <x v="4"/>
    <x v="593"/>
    <n v="753.43"/>
    <n v="1787.2"/>
    <n v="7.2999999999999995E-2"/>
    <n v="9"/>
    <n v="14910.609600000002"/>
    <n v="6780.87"/>
    <n v="8129.7396000000017"/>
    <n v="0.54523187301476939"/>
    <s v="Q2-2024"/>
    <s v="Africa → Kenya → Kisumu"/>
    <s v="Medium"/>
    <n v="2024"/>
    <x v="9"/>
    <s v="No"/>
    <x v="0"/>
  </r>
  <r>
    <s v="ORD-2025-705398"/>
    <d v="2025-02-17T00:00:00"/>
    <d v="2025-02-15T00:00:00"/>
    <d v="2025-02-15T00:00:00"/>
    <d v="2025-02-17T00:00:00"/>
    <n v="2"/>
    <s v="2-2025"/>
    <x v="2"/>
    <s v="Canada"/>
    <s v="Toronto"/>
    <s v="Small Business"/>
    <x v="0"/>
    <x v="8"/>
    <x v="0"/>
    <x v="594"/>
    <n v="1133.47"/>
    <n v="1698.75"/>
    <n v="4.2999999999999997E-2"/>
    <n v="5"/>
    <n v="8128.5187499999993"/>
    <n v="5667.35"/>
    <n v="2461.1687499999989"/>
    <n v="0.30278194904821976"/>
    <s v="Q1-2025"/>
    <s v="Americas → Canada → Toronto"/>
    <s v="Medium"/>
    <n v="2025"/>
    <x v="2"/>
    <s v="Yes"/>
    <x v="0"/>
  </r>
  <r>
    <s v="ORD-2023-689428"/>
    <d v="2023-01-07T00:00:00"/>
    <d v="2023-01-30T00:00:00"/>
    <d v="2023-01-07T00:00:00"/>
    <d v="2023-01-30T00:00:00"/>
    <n v="23"/>
    <s v="1-2023"/>
    <x v="0"/>
    <s v="South Africa"/>
    <s v="Cape Town"/>
    <s v="Consumer"/>
    <x v="1"/>
    <x v="14"/>
    <x v="1"/>
    <x v="595"/>
    <n v="299.02"/>
    <n v="724.7"/>
    <n v="0.14000000000000001"/>
    <n v="5"/>
    <n v="3116.21"/>
    <n v="1495.1"/>
    <n v="1621.1100000000001"/>
    <n v="0.52021847051386139"/>
    <s v="Q1-2023"/>
    <s v="Africa → South Africa → Cape Town"/>
    <s v="Low"/>
    <n v="2023"/>
    <x v="4"/>
    <s v="No"/>
    <x v="0"/>
  </r>
  <r>
    <s v="ORD-2025-683247"/>
    <d v="2025-03-10T00:00:00"/>
    <d v="2025-04-04T00:00:00"/>
    <d v="2025-03-10T00:00:00"/>
    <d v="2025-04-04T00:00:00"/>
    <n v="25"/>
    <s v="3-2025"/>
    <x v="1"/>
    <s v="Japan"/>
    <s v="Osaka"/>
    <s v="Corporate"/>
    <x v="4"/>
    <x v="11"/>
    <x v="1"/>
    <x v="596"/>
    <n v="783.72"/>
    <n v="1355.94"/>
    <n v="0.187"/>
    <n v="4"/>
    <n v="4409.5168800000001"/>
    <n v="3134.88"/>
    <n v="1274.63688"/>
    <n v="0.28906497348525856"/>
    <s v="Q1-2025"/>
    <s v="Asia → Japan → Osaka"/>
    <s v="Medium"/>
    <n v="2025"/>
    <x v="0"/>
    <s v="No"/>
    <x v="0"/>
  </r>
  <r>
    <s v="ORD-2023-704111"/>
    <d v="2023-05-17T00:00:00"/>
    <d v="2023-06-15T00:00:00"/>
    <d v="2023-05-17T00:00:00"/>
    <d v="2023-06-15T00:00:00"/>
    <n v="29"/>
    <s v="5-2023"/>
    <x v="0"/>
    <s v="South Africa"/>
    <s v="Durban"/>
    <s v="Enterprise"/>
    <x v="0"/>
    <x v="12"/>
    <x v="6"/>
    <x v="597"/>
    <n v="40.89"/>
    <n v="62.82"/>
    <n v="0.129"/>
    <n v="17"/>
    <n v="930.17574000000002"/>
    <n v="695.13"/>
    <n v="235.04574000000002"/>
    <n v="0.25268960465470752"/>
    <s v="Q2-2023"/>
    <s v="Africa → South Africa → Durban"/>
    <s v="Low"/>
    <n v="2023"/>
    <x v="5"/>
    <s v="No"/>
    <x v="0"/>
  </r>
  <r>
    <s v="ORD-2024-907733"/>
    <d v="2024-03-09T00:00:00"/>
    <d v="2024-03-22T00:00:00"/>
    <d v="2024-03-09T00:00:00"/>
    <d v="2024-03-22T00:00:00"/>
    <n v="13"/>
    <s v="3-2024"/>
    <x v="3"/>
    <s v="United Kingdom"/>
    <s v="Manchester"/>
    <s v="Consumer"/>
    <x v="1"/>
    <x v="6"/>
    <x v="4"/>
    <x v="598"/>
    <n v="985.45"/>
    <n v="1802.44"/>
    <n v="8.9999999999999993E-3"/>
    <n v="19"/>
    <n v="33938.142760000002"/>
    <n v="18723.55"/>
    <n v="15214.592760000003"/>
    <n v="0.44830363486867486"/>
    <s v="Q1-2024"/>
    <s v="Europe → United Kingdom → Manchester"/>
    <s v="Medium"/>
    <n v="2024"/>
    <x v="0"/>
    <s v="No"/>
    <x v="0"/>
  </r>
  <r>
    <s v="ORD-2024-550400"/>
    <d v="2024-08-19T00:00:00"/>
    <d v="2024-09-02T00:00:00"/>
    <d v="2024-08-19T00:00:00"/>
    <d v="2024-09-02T00:00:00"/>
    <n v="14"/>
    <s v="8-2024"/>
    <x v="2"/>
    <s v="Canada"/>
    <s v="Toronto"/>
    <s v="Consumer"/>
    <x v="3"/>
    <x v="0"/>
    <x v="1"/>
    <x v="599"/>
    <n v="1337.01"/>
    <n v="1269.78"/>
    <n v="0.16"/>
    <n v="7"/>
    <n v="7466.3063999999986"/>
    <n v="9359.07"/>
    <n v="-1892.7636000000011"/>
    <n v="-0.25350735672996244"/>
    <s v="Q3-2024"/>
    <s v="Americas → Canada → Toronto"/>
    <s v="Medium"/>
    <n v="2024"/>
    <x v="11"/>
    <s v="No"/>
    <x v="0"/>
  </r>
  <r>
    <s v="ORD-2025-189846"/>
    <d v="2025-08-11T00:00:00"/>
    <d v="2025-08-28T00:00:00"/>
    <d v="2025-08-11T00:00:00"/>
    <d v="2025-08-28T00:00:00"/>
    <n v="17"/>
    <s v="8-2025"/>
    <x v="3"/>
    <s v="France"/>
    <s v="Paris"/>
    <s v="Education"/>
    <x v="1"/>
    <x v="9"/>
    <x v="2"/>
    <x v="600"/>
    <n v="416.16"/>
    <n v="571.9"/>
    <n v="7.0999999999999994E-2"/>
    <n v="2"/>
    <n v="1062.5902000000001"/>
    <n v="832.32"/>
    <n v="230.27020000000005"/>
    <n v="0.21670649701079497"/>
    <s v="Q3-2025"/>
    <s v="Europe → France → Paris"/>
    <s v="Low"/>
    <n v="2025"/>
    <x v="11"/>
    <s v="No"/>
    <x v="0"/>
  </r>
  <r>
    <s v="ORD-2025-752192"/>
    <d v="2025-05-16T00:00:00"/>
    <d v="2025-05-18T00:00:00"/>
    <d v="2025-05-16T00:00:00"/>
    <d v="2025-05-18T00:00:00"/>
    <n v="2"/>
    <s v="5-2025"/>
    <x v="1"/>
    <s v="Japan"/>
    <s v="Tokyo"/>
    <s v="Enterprise"/>
    <x v="0"/>
    <x v="1"/>
    <x v="1"/>
    <x v="601"/>
    <n v="1144.3800000000001"/>
    <n v="2755.04"/>
    <n v="0.15"/>
    <n v="17"/>
    <n v="39810.328000000001"/>
    <n v="19454.460000000003"/>
    <n v="20355.867999999999"/>
    <n v="0.51132128326096682"/>
    <s v="Q2-2025"/>
    <s v="Asia → Japan → Tokyo"/>
    <s v="High"/>
    <n v="2025"/>
    <x v="5"/>
    <s v="Yes"/>
    <x v="0"/>
  </r>
  <r>
    <s v="ORD-2023-294716"/>
    <d v="2023-04-10T00:00:00"/>
    <d v="2023-04-25T00:00:00"/>
    <d v="2023-04-10T00:00:00"/>
    <d v="2023-04-25T00:00:00"/>
    <n v="15"/>
    <s v="4-2023"/>
    <x v="3"/>
    <s v="United Kingdom"/>
    <s v="London"/>
    <s v="Small Business"/>
    <x v="0"/>
    <x v="8"/>
    <x v="1"/>
    <x v="602"/>
    <n v="405.66"/>
    <n v="962.51"/>
    <n v="0.19"/>
    <n v="7"/>
    <n v="5457.4317000000001"/>
    <n v="2839.6200000000003"/>
    <n v="2617.8116999999997"/>
    <n v="0.47967832561239376"/>
    <s v="Q2-2023"/>
    <s v="Europe → United Kingdom → London"/>
    <s v="Low"/>
    <n v="2023"/>
    <x v="7"/>
    <s v="No"/>
    <x v="0"/>
  </r>
  <r>
    <s v="ORD-2025-823055"/>
    <d v="2025-09-08T00:00:00"/>
    <d v="2025-10-05T00:00:00"/>
    <d v="2025-09-08T00:00:00"/>
    <d v="2025-10-05T00:00:00"/>
    <n v="27"/>
    <s v="9-2025"/>
    <x v="2"/>
    <s v="Brazil"/>
    <s v="Rio de Janeiro"/>
    <s v="Education"/>
    <x v="1"/>
    <x v="0"/>
    <x v="5"/>
    <x v="603"/>
    <n v="660.78"/>
    <n v="1630.39"/>
    <n v="0.218"/>
    <n v="13"/>
    <n v="16574.544740000001"/>
    <n v="8590.14"/>
    <n v="7984.4047400000018"/>
    <n v="0.48172694123724097"/>
    <s v="Q3-2025"/>
    <s v="Americas → Brazil → Rio de Janeiro"/>
    <s v="Medium"/>
    <n v="2025"/>
    <x v="8"/>
    <s v="No"/>
    <x v="1"/>
  </r>
  <r>
    <s v="ORD-2023-271918"/>
    <d v="2023-09-25T00:00:00"/>
    <d v="2023-10-02T00:00:00"/>
    <d v="2023-09-25T00:00:00"/>
    <d v="2023-10-02T00:00:00"/>
    <n v="7"/>
    <s v="9-2023"/>
    <x v="2"/>
    <s v="USA"/>
    <s v="New York"/>
    <s v="Education"/>
    <x v="2"/>
    <x v="2"/>
    <x v="6"/>
    <x v="604"/>
    <n v="145.58000000000001"/>
    <n v="228.15"/>
    <n v="0.20399999999999999"/>
    <n v="5"/>
    <n v="908.03700000000003"/>
    <n v="727.90000000000009"/>
    <n v="180.13699999999994"/>
    <n v="0.19838068272548359"/>
    <s v="Q3-2023"/>
    <s v="Americas → USA → New York"/>
    <s v="Low"/>
    <n v="2023"/>
    <x v="8"/>
    <s v="Yes"/>
    <x v="1"/>
  </r>
  <r>
    <s v="ORD-2025-262434"/>
    <d v="2025-06-19T00:00:00"/>
    <d v="2025-06-21T00:00:00"/>
    <d v="2025-06-19T00:00:00"/>
    <d v="2025-06-21T00:00:00"/>
    <n v="2"/>
    <s v="6-2025"/>
    <x v="0"/>
    <s v="South Africa"/>
    <s v="Johannesburg"/>
    <s v="Small Business"/>
    <x v="5"/>
    <x v="11"/>
    <x v="3"/>
    <x v="605"/>
    <n v="1466.27"/>
    <n v="3589.89"/>
    <n v="9.7000000000000003E-2"/>
    <n v="9"/>
    <n v="29175.036029999999"/>
    <n v="13196.43"/>
    <n v="15978.606029999999"/>
    <n v="0.54768076425234147"/>
    <s v="Q2-2025"/>
    <s v="Africa → South Africa → Johannesburg"/>
    <s v="High"/>
    <n v="2025"/>
    <x v="9"/>
    <s v="Yes"/>
    <x v="0"/>
  </r>
  <r>
    <s v="ORD-2024-266562"/>
    <d v="2024-11-27T00:00:00"/>
    <d v="2024-12-24T00:00:00"/>
    <d v="2024-11-27T00:00:00"/>
    <d v="2024-12-24T00:00:00"/>
    <n v="27"/>
    <s v="11-2024"/>
    <x v="0"/>
    <s v="Kenya"/>
    <s v="Mombasa"/>
    <s v="Corporate"/>
    <x v="3"/>
    <x v="5"/>
    <x v="1"/>
    <x v="606"/>
    <n v="143.33000000000001"/>
    <n v="233.51"/>
    <n v="0.16300000000000001"/>
    <n v="14"/>
    <n v="2736.27018"/>
    <n v="2006.6200000000001"/>
    <n v="729.65017999999986"/>
    <n v="0.26665867476580835"/>
    <s v="Q4-2024"/>
    <s v="Africa → Kenya → Mombasa"/>
    <s v="Low"/>
    <n v="2024"/>
    <x v="10"/>
    <s v="No"/>
    <x v="0"/>
  </r>
  <r>
    <s v="ORD-2024-838925"/>
    <d v="2024-01-28T00:00:00"/>
    <d v="2024-01-27T00:00:00"/>
    <d v="2024-01-27T00:00:00"/>
    <d v="2024-01-28T00:00:00"/>
    <n v="1"/>
    <s v="1-2024"/>
    <x v="0"/>
    <s v="South Africa"/>
    <s v="Cape Town"/>
    <s v="Enterprise"/>
    <x v="4"/>
    <x v="7"/>
    <x v="0"/>
    <x v="607"/>
    <n v="109.75"/>
    <n v="124.25"/>
    <n v="0.12"/>
    <n v="19"/>
    <n v="2077.46"/>
    <n v="2085.25"/>
    <n v="-7.7899999999999636"/>
    <n v="-3.7497713554051405E-3"/>
    <s v="Q1-2024"/>
    <s v="Africa → South Africa → Cape Town"/>
    <s v="Low"/>
    <n v="2024"/>
    <x v="4"/>
    <s v="Yes"/>
    <x v="0"/>
  </r>
  <r>
    <s v="ORD-2023-664790"/>
    <d v="2023-04-16T00:00:00"/>
    <d v="2023-04-23T00:00:00"/>
    <d v="2023-04-16T00:00:00"/>
    <d v="2023-04-23T00:00:00"/>
    <n v="7"/>
    <s v="4-2023"/>
    <x v="2"/>
    <s v="USA"/>
    <s v="Austin"/>
    <s v="Corporate"/>
    <x v="3"/>
    <x v="7"/>
    <x v="1"/>
    <x v="608"/>
    <n v="1099.1500000000001"/>
    <n v="1431.37"/>
    <n v="0.104"/>
    <n v="8"/>
    <n v="10260.060159999999"/>
    <n v="8793.2000000000007"/>
    <n v="1466.8601599999984"/>
    <n v="0.14296798821109433"/>
    <s v="Q2-2023"/>
    <s v="Americas → USA → Austin"/>
    <s v="Medium"/>
    <n v="2023"/>
    <x v="7"/>
    <s v="Yes"/>
    <x v="0"/>
  </r>
  <r>
    <s v="ORD-2024-331408"/>
    <d v="2024-02-01T00:00:00"/>
    <d v="2024-02-01T00:00:00"/>
    <d v="2024-02-01T00:00:00"/>
    <d v="2024-02-01T00:00:00"/>
    <n v="0"/>
    <s v="2-2024"/>
    <x v="2"/>
    <s v="USA"/>
    <s v="Austin"/>
    <s v="Consumer"/>
    <x v="3"/>
    <x v="11"/>
    <x v="1"/>
    <x v="609"/>
    <n v="714.43"/>
    <n v="1595.52"/>
    <n v="0.19400000000000001"/>
    <n v="14"/>
    <n v="18003.847679999999"/>
    <n v="10002.019999999999"/>
    <n v="8001.8276800000003"/>
    <n v="0.44445097638151093"/>
    <s v="Q1-2024"/>
    <s v="Americas → USA → Austin"/>
    <s v="Medium"/>
    <n v="2024"/>
    <x v="2"/>
    <s v="Yes"/>
    <x v="0"/>
  </r>
  <r>
    <s v="ORD-2024-741404"/>
    <d v="2024-10-19T00:00:00"/>
    <d v="2024-11-06T00:00:00"/>
    <d v="2024-10-19T00:00:00"/>
    <d v="2024-11-06T00:00:00"/>
    <n v="18"/>
    <s v="10-2024"/>
    <x v="2"/>
    <s v="USA"/>
    <s v="Chicago"/>
    <s v="Education"/>
    <x v="5"/>
    <x v="0"/>
    <x v="5"/>
    <x v="610"/>
    <n v="942.02"/>
    <n v="1028.46"/>
    <n v="0"/>
    <n v="9"/>
    <n v="9256.14"/>
    <n v="8478.18"/>
    <n v="777.95999999999913"/>
    <n v="8.4047994088248354E-2"/>
    <s v="Q4-2024"/>
    <s v="Americas → USA → Chicago"/>
    <s v="Low"/>
    <n v="2024"/>
    <x v="1"/>
    <s v="No"/>
    <x v="0"/>
  </r>
  <r>
    <s v="ORD-2024-341535"/>
    <d v="2024-06-25T00:00:00"/>
    <d v="2024-06-30T00:00:00"/>
    <d v="2024-06-25T00:00:00"/>
    <d v="2024-06-30T00:00:00"/>
    <n v="5"/>
    <s v="6-2024"/>
    <x v="0"/>
    <s v="Kenya"/>
    <s v="Kisumu"/>
    <s v="Education"/>
    <x v="4"/>
    <x v="13"/>
    <x v="2"/>
    <x v="611"/>
    <n v="1323.55"/>
    <n v="3230.35"/>
    <n v="2.1999999999999999E-2"/>
    <n v="26"/>
    <n v="82141.339799999987"/>
    <n v="34412.299999999996"/>
    <n v="47729.039799999991"/>
    <n v="0.58105991351263542"/>
    <s v="Q2-2024"/>
    <s v="Africa → Kenya → Kisumu"/>
    <s v="High"/>
    <n v="2024"/>
    <x v="9"/>
    <s v="Yes"/>
    <x v="0"/>
  </r>
  <r>
    <s v="ORD-2023-451931"/>
    <d v="2023-07-30T00:00:00"/>
    <d v="2023-08-19T00:00:00"/>
    <d v="2023-07-30T00:00:00"/>
    <d v="2023-08-19T00:00:00"/>
    <n v="20"/>
    <s v="7-2023"/>
    <x v="3"/>
    <s v="France"/>
    <s v="Paris"/>
    <s v="Enterprise"/>
    <x v="2"/>
    <x v="3"/>
    <x v="2"/>
    <x v="612"/>
    <n v="1418.51"/>
    <n v="2789.61"/>
    <n v="0.17100000000000001"/>
    <n v="8"/>
    <n v="18500.693520000001"/>
    <n v="11348.08"/>
    <n v="7152.6135200000008"/>
    <n v="0.38661326464695689"/>
    <s v="Q3-2023"/>
    <s v="Europe → France → Paris"/>
    <s v="High"/>
    <n v="2023"/>
    <x v="6"/>
    <s v="No"/>
    <x v="0"/>
  </r>
  <r>
    <s v="ORD-2025-532859"/>
    <d v="2025-03-11T00:00:00"/>
    <d v="2025-03-27T00:00:00"/>
    <d v="2025-03-11T00:00:00"/>
    <d v="2025-03-27T00:00:00"/>
    <n v="16"/>
    <s v="3-2025"/>
    <x v="1"/>
    <s v="Japan"/>
    <s v="Tokyo"/>
    <s v="Enterprise"/>
    <x v="3"/>
    <x v="5"/>
    <x v="1"/>
    <x v="613"/>
    <n v="1317.58"/>
    <n v="1897.74"/>
    <n v="8.1000000000000003E-2"/>
    <n v="6"/>
    <n v="10464.138360000001"/>
    <n v="7905.48"/>
    <n v="2558.6583600000013"/>
    <n v="0.24451687009230266"/>
    <s v="Q1-2025"/>
    <s v="Asia → Japan → Tokyo"/>
    <s v="Medium"/>
    <n v="2025"/>
    <x v="0"/>
    <s v="No"/>
    <x v="0"/>
  </r>
  <r>
    <s v="ORD-2023-502205"/>
    <d v="2023-10-09T00:00:00"/>
    <d v="2023-10-11T00:00:00"/>
    <d v="2023-10-09T00:00:00"/>
    <d v="2023-10-11T00:00:00"/>
    <n v="2"/>
    <s v="10-2023"/>
    <x v="0"/>
    <s v="Nigeria"/>
    <s v="Port Harcourt"/>
    <s v="Education"/>
    <x v="2"/>
    <x v="12"/>
    <x v="2"/>
    <x v="614"/>
    <n v="391.16"/>
    <n v="902.47"/>
    <n v="4.0000000000000001E-3"/>
    <n v="12"/>
    <n v="10786.32144"/>
    <n v="4693.92"/>
    <n v="6092.4014399999996"/>
    <n v="0.56482661618139207"/>
    <s v="Q4-2023"/>
    <s v="Africa → Nigeria → Port Harcourt"/>
    <s v="Low"/>
    <n v="2023"/>
    <x v="1"/>
    <s v="Yes"/>
    <x v="0"/>
  </r>
  <r>
    <s v="ORD-2024-930679"/>
    <d v="2024-12-17T00:00:00"/>
    <d v="2025-01-16T00:00:00"/>
    <d v="2024-12-17T00:00:00"/>
    <d v="2025-01-16T00:00:00"/>
    <n v="30"/>
    <s v="12-2024"/>
    <x v="3"/>
    <s v="United Kingdom"/>
    <s v="Manchester"/>
    <s v="Corporate"/>
    <x v="0"/>
    <x v="8"/>
    <x v="5"/>
    <x v="615"/>
    <n v="722.87"/>
    <n v="33.659999999999997"/>
    <n v="0.10199999999999999"/>
    <n v="28"/>
    <n v="846.34703999999988"/>
    <n v="20240.36"/>
    <n v="-19394.01296"/>
    <n v="-22.914965189693348"/>
    <s v="Q4-2024"/>
    <s v="Europe → United Kingdom → Manchester"/>
    <s v="Low"/>
    <n v="2024"/>
    <x v="3"/>
    <s v="No"/>
    <x v="0"/>
  </r>
  <r>
    <s v="ORD-2025-150713"/>
    <d v="2025-07-11T00:00:00"/>
    <d v="2025-07-16T00:00:00"/>
    <d v="2025-07-11T00:00:00"/>
    <d v="2025-07-16T00:00:00"/>
    <n v="5"/>
    <s v="7-2025"/>
    <x v="3"/>
    <s v="United Kingdom"/>
    <s v="London"/>
    <s v="Enterprise"/>
    <x v="1"/>
    <x v="12"/>
    <x v="1"/>
    <x v="616"/>
    <n v="930.03"/>
    <n v="1086.68"/>
    <n v="0.109"/>
    <n v="26"/>
    <n v="25174.028880000002"/>
    <n v="24180.78"/>
    <n v="993.24888000000283"/>
    <n v="3.9455300728168656E-2"/>
    <s v="Q3-2025"/>
    <s v="Europe → United Kingdom → London"/>
    <s v="Low"/>
    <n v="2025"/>
    <x v="6"/>
    <s v="Yes"/>
    <x v="0"/>
  </r>
  <r>
    <s v="ORD-2024-756884"/>
    <d v="2024-10-13T00:00:00"/>
    <d v="2024-10-24T00:00:00"/>
    <d v="2024-10-13T00:00:00"/>
    <d v="2024-10-24T00:00:00"/>
    <n v="11"/>
    <s v="10-2024"/>
    <x v="3"/>
    <s v="France"/>
    <s v="Paris"/>
    <s v="Education"/>
    <x v="3"/>
    <x v="9"/>
    <x v="0"/>
    <x v="617"/>
    <n v="816.7"/>
    <n v="1010.75"/>
    <n v="4.7E-2"/>
    <n v="43"/>
    <n v="41419.524249999995"/>
    <n v="35118.1"/>
    <n v="6301.4242499999964"/>
    <n v="0.15213656757537472"/>
    <s v="Q4-2024"/>
    <s v="Europe → France → Paris"/>
    <s v="Low"/>
    <n v="2024"/>
    <x v="1"/>
    <s v="No"/>
    <x v="0"/>
  </r>
  <r>
    <s v="ORD-2024-166150"/>
    <d v="2024-06-02T00:00:00"/>
    <d v="2024-06-08T00:00:00"/>
    <d v="2024-06-02T00:00:00"/>
    <d v="2024-06-08T00:00:00"/>
    <n v="6"/>
    <s v="6-2024"/>
    <x v="0"/>
    <s v="Kenya"/>
    <s v="Kisumu"/>
    <s v="Consumer"/>
    <x v="2"/>
    <x v="14"/>
    <x v="6"/>
    <x v="618"/>
    <n v="292.94"/>
    <n v="356.55"/>
    <n v="0.22900000000000001"/>
    <n v="2"/>
    <n v="549.80010000000004"/>
    <n v="585.88"/>
    <n v="-36.079899999999952"/>
    <n v="-6.5623669402751925E-2"/>
    <s v="Q2-2024"/>
    <s v="Africa → Kenya → Kisumu"/>
    <s v="Low"/>
    <n v="2024"/>
    <x v="9"/>
    <s v="Yes"/>
    <x v="1"/>
  </r>
  <r>
    <s v="ORD-2025-639542"/>
    <d v="2025-06-09T00:00:00"/>
    <d v="2025-06-18T00:00:00"/>
    <d v="2025-06-09T00:00:00"/>
    <d v="2025-06-18T00:00:00"/>
    <n v="9"/>
    <s v="6-2025"/>
    <x v="3"/>
    <s v="France"/>
    <s v="Marseille"/>
    <s v="Small Business"/>
    <x v="2"/>
    <x v="11"/>
    <x v="6"/>
    <x v="619"/>
    <n v="1225.5"/>
    <n v="5.27"/>
    <n v="7.4999999999999997E-2"/>
    <n v="56"/>
    <n v="272.98599999999999"/>
    <n v="68628"/>
    <n v="-68355.013999999996"/>
    <n v="-250.39750756449047"/>
    <s v="Q2-2025"/>
    <s v="Europe → France → Marseille"/>
    <s v="Low"/>
    <n v="2025"/>
    <x v="9"/>
    <s v="No"/>
    <x v="0"/>
  </r>
  <r>
    <s v="ORD-2024-817997"/>
    <d v="2024-07-28T00:00:00"/>
    <d v="2024-08-23T00:00:00"/>
    <d v="2024-07-28T00:00:00"/>
    <d v="2024-08-23T00:00:00"/>
    <n v="26"/>
    <s v="7-2024"/>
    <x v="1"/>
    <s v="India"/>
    <s v="Hyderabad"/>
    <s v="Corporate"/>
    <x v="0"/>
    <x v="1"/>
    <x v="2"/>
    <x v="620"/>
    <n v="1339.24"/>
    <n v="1558.89"/>
    <n v="0.192"/>
    <n v="24"/>
    <n v="30229.994880000002"/>
    <n v="32141.760000000002"/>
    <n v="-1911.76512"/>
    <n v="-6.3240669659021781E-2"/>
    <s v="Q3-2024"/>
    <s v="Asia → India → Hyderabad"/>
    <s v="Medium"/>
    <n v="2024"/>
    <x v="6"/>
    <s v="No"/>
    <x v="0"/>
  </r>
  <r>
    <s v="ORD-2025-667201"/>
    <d v="2025-09-15T00:00:00"/>
    <d v="2025-09-18T00:00:00"/>
    <d v="2025-09-15T00:00:00"/>
    <d v="2025-09-18T00:00:00"/>
    <n v="3"/>
    <s v="9-2025"/>
    <x v="2"/>
    <s v="Brazil"/>
    <s v="Rio de Janeiro"/>
    <s v="Non-Profit"/>
    <x v="4"/>
    <x v="4"/>
    <x v="6"/>
    <x v="621"/>
    <n v="5.5"/>
    <n v="5.92"/>
    <n v="0.21199999999999999"/>
    <n v="4"/>
    <n v="18.659839999999999"/>
    <n v="22"/>
    <n v="-3.3401600000000009"/>
    <n v="-0.17900260666758133"/>
    <s v="Q3-2025"/>
    <s v="Americas → Brazil → Rio de Janeiro"/>
    <s v="Low"/>
    <n v="2025"/>
    <x v="8"/>
    <s v="Yes"/>
    <x v="1"/>
  </r>
  <r>
    <s v="ORD-2023-885216"/>
    <d v="2023-08-03T00:00:00"/>
    <d v="2023-08-02T00:00:00"/>
    <d v="2023-08-02T00:00:00"/>
    <d v="2023-08-03T00:00:00"/>
    <n v="1"/>
    <s v="8-2023"/>
    <x v="1"/>
    <s v="China"/>
    <s v="Shanghai"/>
    <s v="Non-Profit"/>
    <x v="4"/>
    <x v="1"/>
    <x v="2"/>
    <x v="622"/>
    <n v="1021.97"/>
    <n v="2296.25"/>
    <n v="0.161"/>
    <n v="26"/>
    <n v="50090.397499999999"/>
    <n v="26571.22"/>
    <n v="23519.177499999998"/>
    <n v="0.46953465482081669"/>
    <s v="Q3-2023"/>
    <s v="Asia → China → Shanghai"/>
    <s v="High"/>
    <n v="2023"/>
    <x v="11"/>
    <s v="Yes"/>
    <x v="0"/>
  </r>
  <r>
    <s v="ORD-2023-561823"/>
    <d v="2023-11-19T00:00:00"/>
    <d v="2023-12-12T00:00:00"/>
    <d v="2023-11-19T00:00:00"/>
    <d v="2023-12-12T00:00:00"/>
    <n v="23"/>
    <s v="11-2023"/>
    <x v="1"/>
    <s v="India"/>
    <s v="Delhi"/>
    <s v="Small Business"/>
    <x v="4"/>
    <x v="0"/>
    <x v="2"/>
    <x v="623"/>
    <n v="1349.04"/>
    <n v="2636.6"/>
    <n v="0.114"/>
    <n v="14"/>
    <n v="32704.386400000003"/>
    <n v="18886.559999999998"/>
    <n v="13817.826400000005"/>
    <n v="0.42250682312143928"/>
    <s v="Q4-2023"/>
    <s v="Asia → India → Delhi"/>
    <s v="High"/>
    <n v="2023"/>
    <x v="10"/>
    <s v="No"/>
    <x v="0"/>
  </r>
  <r>
    <s v="ORD-2023-249805"/>
    <d v="2023-12-22T00:00:00"/>
    <d v="2024-01-16T00:00:00"/>
    <d v="2023-12-22T00:00:00"/>
    <d v="2024-01-16T00:00:00"/>
    <n v="25"/>
    <s v="12-2023"/>
    <x v="1"/>
    <s v="India"/>
    <s v="Hyderabad"/>
    <s v="Small Business"/>
    <x v="0"/>
    <x v="14"/>
    <x v="0"/>
    <x v="624"/>
    <n v="1346.81"/>
    <n v="978.09"/>
    <n v="0.159"/>
    <n v="17"/>
    <n v="13983.752729999998"/>
    <n v="22895.77"/>
    <n v="-8912.0172700000021"/>
    <n v="-0.6373122753293996"/>
    <s v="Q4-2023"/>
    <s v="Asia → India → Hyderabad"/>
    <s v="Low"/>
    <n v="2023"/>
    <x v="3"/>
    <s v="No"/>
    <x v="0"/>
  </r>
  <r>
    <s v="ORD-2023-548934"/>
    <d v="2023-08-03T00:00:00"/>
    <d v="2023-08-30T00:00:00"/>
    <d v="2023-08-03T00:00:00"/>
    <d v="2023-08-30T00:00:00"/>
    <n v="27"/>
    <s v="8-2023"/>
    <x v="1"/>
    <s v="China"/>
    <s v="Shanghai"/>
    <s v="Consumer"/>
    <x v="3"/>
    <x v="10"/>
    <x v="5"/>
    <x v="625"/>
    <n v="226.04"/>
    <n v="545.72"/>
    <n v="0.151"/>
    <n v="11"/>
    <n v="5096.4790800000001"/>
    <n v="2486.44"/>
    <n v="2610.03908"/>
    <n v="0.51212592831834014"/>
    <s v="Q3-2023"/>
    <s v="Asia → China → Shanghai"/>
    <s v="Low"/>
    <n v="2023"/>
    <x v="11"/>
    <s v="No"/>
    <x v="0"/>
  </r>
  <r>
    <s v="ORD-2023-921939"/>
    <d v="2023-06-23T00:00:00"/>
    <d v="2023-07-18T00:00:00"/>
    <d v="2023-06-23T00:00:00"/>
    <d v="2023-07-18T00:00:00"/>
    <n v="25"/>
    <s v="6-2023"/>
    <x v="2"/>
    <s v="Canada"/>
    <s v="Vancouver"/>
    <s v="Enterprise"/>
    <x v="1"/>
    <x v="10"/>
    <x v="3"/>
    <x v="626"/>
    <n v="807.02"/>
    <n v="1435.54"/>
    <n v="0"/>
    <n v="23"/>
    <n v="33017.42"/>
    <n v="18561.46"/>
    <n v="14455.96"/>
    <n v="0.43782827368098415"/>
    <s v="Q2-2023"/>
    <s v="Americas → Canada → Vancouver"/>
    <s v="Medium"/>
    <n v="2023"/>
    <x v="9"/>
    <s v="No"/>
    <x v="0"/>
  </r>
  <r>
    <s v="ORD-2023-961864"/>
    <d v="2023-12-07T00:00:00"/>
    <d v="2024-01-02T00:00:00"/>
    <d v="2023-12-07T00:00:00"/>
    <d v="2024-01-02T00:00:00"/>
    <n v="26"/>
    <s v="12-2023"/>
    <x v="3"/>
    <s v="Germany"/>
    <s v="Frankfurt"/>
    <s v="Enterprise"/>
    <x v="3"/>
    <x v="6"/>
    <x v="0"/>
    <x v="627"/>
    <n v="1071.99"/>
    <n v="2397.3000000000002"/>
    <n v="6.2E-2"/>
    <n v="18"/>
    <n v="40476.013200000001"/>
    <n v="19295.82"/>
    <n v="21180.193200000002"/>
    <n v="0.52327765324476183"/>
    <s v="Q4-2023"/>
    <s v="Europe → Germany → Frankfurt"/>
    <s v="High"/>
    <n v="2023"/>
    <x v="3"/>
    <s v="No"/>
    <x v="0"/>
  </r>
  <r>
    <s v="ORD-2023-455933"/>
    <d v="2023-11-19T00:00:00"/>
    <d v="2023-12-19T00:00:00"/>
    <d v="2023-11-19T00:00:00"/>
    <d v="2023-12-19T00:00:00"/>
    <n v="30"/>
    <s v="11-2023"/>
    <x v="1"/>
    <s v="Japan"/>
    <s v="Nagoya"/>
    <s v="Consumer"/>
    <x v="0"/>
    <x v="15"/>
    <x v="3"/>
    <x v="628"/>
    <n v="807.11"/>
    <n v="1853.86"/>
    <n v="0.13900000000000001"/>
    <n v="8"/>
    <n v="12769.38768"/>
    <n v="6456.88"/>
    <n v="6312.5076799999997"/>
    <n v="0.49434693645388639"/>
    <s v="Q4-2023"/>
    <s v="Asia → Japan → Nagoya"/>
    <s v="Medium"/>
    <n v="2023"/>
    <x v="10"/>
    <s v="No"/>
    <x v="0"/>
  </r>
  <r>
    <s v="ORD-2025-728935"/>
    <d v="2025-02-28T00:00:00"/>
    <d v="2025-03-10T00:00:00"/>
    <d v="2025-02-28T00:00:00"/>
    <d v="2025-03-10T00:00:00"/>
    <n v="10"/>
    <s v="2-2025"/>
    <x v="1"/>
    <s v="Japan"/>
    <s v="Osaka"/>
    <s v="Education"/>
    <x v="3"/>
    <x v="10"/>
    <x v="4"/>
    <x v="629"/>
    <n v="51.86"/>
    <n v="45.98"/>
    <n v="0.17299999999999999"/>
    <n v="7"/>
    <n v="266.17821999999995"/>
    <n v="363.02"/>
    <n v="-96.841780000000028"/>
    <n v="-0.3638230806412337"/>
    <s v="Q1-2025"/>
    <s v="Asia → Japan → Osaka"/>
    <s v="Low"/>
    <n v="2025"/>
    <x v="2"/>
    <s v="No"/>
    <x v="0"/>
  </r>
</pivotCacheRecords>
</file>

<file path=xl/pivotCache/pivotCacheRecords2.xml><?xml version="1.0" encoding="utf-8"?>
<pivotCacheRecords xmlns="http://schemas.openxmlformats.org/spreadsheetml/2006/main" xmlns:r="http://schemas.openxmlformats.org/officeDocument/2006/relationships" count="632">
  <r>
    <s v="ORD-2024-275203"/>
    <d v="2024-03-11T00:00:00"/>
    <d v="2024-04-06T00:00:00"/>
    <d v="2024-03-11T00:00:00"/>
    <d v="2024-04-06T00:00:00"/>
    <n v="26"/>
    <s v="3-2024"/>
    <x v="0"/>
    <x v="0"/>
    <s v="Kisumu"/>
    <s v="Corporate"/>
    <x v="0"/>
    <s v="C. Otieno"/>
    <s v="Components"/>
    <s v="CMP-8270"/>
    <n v="279.24"/>
    <n v="608.9"/>
    <n v="0.112"/>
    <n v="9"/>
    <n v="4866.3287999999993"/>
    <n v="2513.16"/>
    <n v="2353.1687999999995"/>
    <n v="0.48356140670149533"/>
    <s v="Q1-2024"/>
    <s v="Africa → Kenya → Kisumu"/>
    <s v="Low"/>
    <n v="2024"/>
    <n v="3"/>
    <s v="No"/>
    <s v="No"/>
    <n v="0.1"/>
    <n v="293.202"/>
    <n v="9.36"/>
    <n v="5129.373599999999"/>
    <n v="2744.3707199999999"/>
    <n v="2385.0028799999991"/>
  </r>
  <r>
    <s v="ORD-2024-358795"/>
    <d v="2024-10-23T00:00:00"/>
    <d v="2024-10-22T00:00:00"/>
    <d v="2024-10-22T00:00:00"/>
    <d v="2024-10-23T00:00:00"/>
    <n v="1"/>
    <s v="10-2024"/>
    <x v="0"/>
    <x v="1"/>
    <s v="Port Harcourt"/>
    <s v="Education"/>
    <x v="1"/>
    <s v="J. Njeri"/>
    <s v="Printers"/>
    <s v="PRN-9322"/>
    <n v="1084.3900000000001"/>
    <n v="759.33"/>
    <n v="0.23699999999999999"/>
    <n v="31"/>
    <n v="17960.432489999999"/>
    <n v="33616.090000000004"/>
    <n v="-15655.657510000005"/>
    <n v="-0.87167486187856302"/>
    <s v="Q4-2024"/>
    <s v="Africa → Nigeria → Port Harcourt"/>
    <s v="Low"/>
    <n v="2024"/>
    <n v="10"/>
    <s v="Yes"/>
    <s v="Yes"/>
    <n v="0.1"/>
    <n v="1138.6095000000003"/>
    <n v="32.24"/>
    <n v="22032.719280000001"/>
    <n v="36708.770280000012"/>
    <n v="-14676.05100000001"/>
  </r>
  <r>
    <s v="ORD-2023-373538"/>
    <d v="2023-02-28T00:00:00"/>
    <d v="2023-03-25T00:00:00"/>
    <d v="2023-02-28T00:00:00"/>
    <d v="2023-03-25T00:00:00"/>
    <n v="25"/>
    <s v="2-2023"/>
    <x v="0"/>
    <x v="0"/>
    <s v="Nairobi"/>
    <s v="Corporate"/>
    <x v="0"/>
    <s v="I. Johnson"/>
    <s v="Networking"/>
    <s v="NET-9666"/>
    <n v="1460.76"/>
    <n v="30.66"/>
    <n v="0.13100000000000001"/>
    <n v="12"/>
    <n v="319.72248000000002"/>
    <n v="17529.12"/>
    <n v="-17209.397519999999"/>
    <n v="-53.826047890032626"/>
    <s v="Q1-2023"/>
    <s v="Africa → Kenya → Nairobi"/>
    <s v="Low"/>
    <n v="2023"/>
    <n v="2"/>
    <s v="No"/>
    <s v="No"/>
    <n v="0.1"/>
    <n v="1533.798"/>
    <n v="12.48"/>
    <n v="344.37312000000003"/>
    <n v="19141.799040000002"/>
    <n v="-18797.425920000001"/>
  </r>
  <r>
    <s v="ORD-2025-168148"/>
    <d v="2025-03-29T00:00:00"/>
    <d v="2025-04-02T00:00:00"/>
    <d v="2025-03-29T00:00:00"/>
    <d v="2025-04-02T00:00:00"/>
    <n v="4"/>
    <s v="3-2025"/>
    <x v="0"/>
    <x v="1"/>
    <s v="Lagos"/>
    <s v="Non-Profit"/>
    <x v="2"/>
    <s v="G. Dubois"/>
    <s v="Phones"/>
    <s v="PHN-4556"/>
    <n v="259.93"/>
    <n v="255.94"/>
    <n v="7.1999999999999995E-2"/>
    <n v="22"/>
    <n v="5225.2710400000005"/>
    <n v="5718.46"/>
    <n v="-493.1889599999995"/>
    <n v="-9.4385335463861311E-2"/>
    <s v="Q1-2025"/>
    <s v="Africa → Nigeria → Lagos"/>
    <s v="Low"/>
    <n v="2025"/>
    <n v="3"/>
    <s v="Yes"/>
    <s v="No"/>
    <n v="7.1999999999999995E-2"/>
    <n v="272.92650000000003"/>
    <n v="22.880000000000003"/>
    <n v="5434.2818816000008"/>
    <n v="6244.558320000001"/>
    <n v="-810.27643840000019"/>
  </r>
  <r>
    <s v="ORD-2023-824839"/>
    <d v="2023-12-06T00:00:00"/>
    <d v="2023-12-31T00:00:00"/>
    <d v="2023-12-06T00:00:00"/>
    <d v="2023-12-31T00:00:00"/>
    <n v="25"/>
    <s v="12-2023"/>
    <x v="1"/>
    <x v="2"/>
    <s v="Osaka"/>
    <s v="Consumer"/>
    <x v="0"/>
    <s v="L. Okafor"/>
    <s v="Printers"/>
    <s v="PRN-8041"/>
    <n v="663.03"/>
    <n v="813.51"/>
    <n v="0.10199999999999999"/>
    <n v="15"/>
    <n v="10957.9797"/>
    <n v="9945.4499999999989"/>
    <n v="1012.529700000001"/>
    <n v="9.2401129379715952E-2"/>
    <s v="Q4-2023"/>
    <s v="Asia → Japan → Osaka"/>
    <s v="Low"/>
    <n v="2023"/>
    <n v="12"/>
    <s v="No"/>
    <s v="No"/>
    <n v="0.1"/>
    <n v="696.18150000000003"/>
    <n v="15.600000000000001"/>
    <n v="11421.680400000001"/>
    <n v="10860.431400000001"/>
    <n v="561.2489999999998"/>
  </r>
  <r>
    <s v="ORD-2023-723587"/>
    <d v="2023-01-02T00:00:00"/>
    <d v="2023-01-05T00:00:00"/>
    <d v="2023-01-02T00:00:00"/>
    <d v="2023-01-05T00:00:00"/>
    <n v="3"/>
    <s v="1-2023"/>
    <x v="2"/>
    <x v="3"/>
    <s v="Toronto"/>
    <s v="Corporate"/>
    <x v="3"/>
    <s v="B. Chen"/>
    <s v="Laptops"/>
    <s v="LAP-8555"/>
    <n v="315.87"/>
    <n v="591.67999999999995"/>
    <n v="0"/>
    <n v="7"/>
    <n v="4141.7599999999993"/>
    <n v="2211.09"/>
    <n v="1930.6699999999992"/>
    <n v="0.46614724175229844"/>
    <s v="Q1-2023"/>
    <s v="Americas → Canada → Toronto"/>
    <s v="Low"/>
    <n v="2023"/>
    <n v="1"/>
    <s v="Yes"/>
    <s v="No"/>
    <n v="0"/>
    <n v="331.6635"/>
    <n v="7.28"/>
    <n v="4307.4304000000002"/>
    <n v="2414.51028"/>
    <n v="1892.9201200000002"/>
  </r>
  <r>
    <s v="ORD-2024-336584"/>
    <d v="2024-12-27T00:00:00"/>
    <d v="2025-01-14T00:00:00"/>
    <d v="2024-12-27T00:00:00"/>
    <d v="2025-01-14T00:00:00"/>
    <n v="18"/>
    <s v="12-2024"/>
    <x v="1"/>
    <x v="4"/>
    <s v="Bengaluru"/>
    <s v="Small Business"/>
    <x v="2"/>
    <s v="E. Garcia"/>
    <s v="Monitors"/>
    <s v="MON-8629"/>
    <n v="586.07000000000005"/>
    <n v="845.97"/>
    <n v="0.14699999999999999"/>
    <n v="4"/>
    <n v="2886.4496399999998"/>
    <n v="2344.2800000000002"/>
    <n v="542.16963999999962"/>
    <n v="0.18783270370862928"/>
    <s v="Q4-2024"/>
    <s v="Asia → India → Bengaluru"/>
    <s v="Low"/>
    <n v="2024"/>
    <n v="12"/>
    <s v="No"/>
    <s v="No"/>
    <n v="0.1"/>
    <n v="615.37350000000004"/>
    <n v="4.16"/>
    <n v="3167.3116800000003"/>
    <n v="2559.9537600000003"/>
    <n v="607.35791999999992"/>
  </r>
  <r>
    <s v="ORD-2023-112666"/>
    <d v="2023-01-15T00:00:00"/>
    <d v="2023-01-13T00:00:00"/>
    <d v="2023-01-13T00:00:00"/>
    <d v="2023-01-15T00:00:00"/>
    <n v="2"/>
    <s v="1-2023"/>
    <x v="0"/>
    <x v="1"/>
    <s v="Abuja"/>
    <s v="Education"/>
    <x v="1"/>
    <s v="O. Wang"/>
    <s v="Printers"/>
    <s v="PRN-6276"/>
    <n v="28.38"/>
    <n v="47.22"/>
    <n v="0.19400000000000001"/>
    <n v="18"/>
    <n v="685.06776000000002"/>
    <n v="510.84"/>
    <n v="174.22776000000005"/>
    <n v="0.25432193743871417"/>
    <s v="Q1-2023"/>
    <s v="Africa → Nigeria → Abuja"/>
    <s v="Low"/>
    <n v="2023"/>
    <n v="1"/>
    <s v="Yes"/>
    <s v="No"/>
    <n v="0.1"/>
    <n v="29.798999999999999"/>
    <n v="18.72"/>
    <n v="795.56255999999985"/>
    <n v="557.83727999999996"/>
    <n v="237.72527999999988"/>
  </r>
  <r>
    <s v="ORD-2024-589570"/>
    <d v="2024-05-04T00:00:00"/>
    <d v="2024-05-29T00:00:00"/>
    <d v="2024-05-04T00:00:00"/>
    <d v="2024-05-29T00:00:00"/>
    <n v="25"/>
    <s v="5-2024"/>
    <x v="0"/>
    <x v="1"/>
    <s v="Abuja"/>
    <s v="Non-Profit"/>
    <x v="2"/>
    <s v="O. Wang"/>
    <s v="Monitors"/>
    <s v="MON-6892"/>
    <n v="1295.3399999999999"/>
    <n v="2530.81"/>
    <n v="3.1E-2"/>
    <n v="6"/>
    <n v="14714.12934"/>
    <n v="7772.0399999999991"/>
    <n v="6942.0893400000004"/>
    <n v="0.4717974933880798"/>
    <s v="Q2-2024"/>
    <s v="Africa → Nigeria → Abuja"/>
    <s v="High"/>
    <n v="2024"/>
    <n v="5"/>
    <s v="No"/>
    <s v="No"/>
    <n v="3.1E-2"/>
    <n v="1360.107"/>
    <n v="6.24"/>
    <n v="15302.694513599999"/>
    <n v="8487.0676800000001"/>
    <n v="6815.6268335999994"/>
  </r>
  <r>
    <s v="ORD-2023-856322"/>
    <d v="2023-01-29T00:00:00"/>
    <d v="2023-02-06T00:00:00"/>
    <d v="2023-01-29T00:00:00"/>
    <d v="2023-02-06T00:00:00"/>
    <n v="8"/>
    <s v="1-2023"/>
    <x v="2"/>
    <x v="5"/>
    <s v="Brasília"/>
    <s v="Corporate"/>
    <x v="2"/>
    <s v="D. Smith"/>
    <s v="Monitors"/>
    <s v="MON-7207"/>
    <n v="41.84"/>
    <n v="86.2"/>
    <n v="0.22600000000000001"/>
    <n v="27"/>
    <n v="1801.4076000000002"/>
    <n v="1129.68"/>
    <n v="671.72760000000017"/>
    <n v="0.37289039970742882"/>
    <s v="Q1-2023"/>
    <s v="Americas → Brazil → Brasília"/>
    <s v="Low"/>
    <n v="2023"/>
    <n v="1"/>
    <s v="No"/>
    <s v="Yes"/>
    <n v="0.1"/>
    <n v="43.932000000000002"/>
    <n v="28.080000000000002"/>
    <n v="2178.4464000000003"/>
    <n v="1233.6105600000001"/>
    <n v="944.83584000000019"/>
  </r>
  <r>
    <s v="ORD-2024-901115"/>
    <d v="2024-07-25T00:00:00"/>
    <d v="2024-08-02T00:00:00"/>
    <d v="2024-07-25T00:00:00"/>
    <d v="2024-08-02T00:00:00"/>
    <n v="8"/>
    <s v="7-2024"/>
    <x v="2"/>
    <x v="3"/>
    <s v="Montreal"/>
    <s v="Consumer"/>
    <x v="4"/>
    <s v="J. Njeri"/>
    <s v="Accessories"/>
    <s v="ACC-6626"/>
    <n v="986.81"/>
    <n v="2050.31"/>
    <n v="0.10299999999999999"/>
    <n v="43"/>
    <n v="79082.507010000001"/>
    <n v="42432.829999999994"/>
    <n v="36649.677010000007"/>
    <n v="0.46343595310358138"/>
    <s v="Q3-2024"/>
    <s v="Americas → Canada → Montreal"/>
    <s v="High"/>
    <n v="2024"/>
    <n v="7"/>
    <s v="No"/>
    <s v="No"/>
    <n v="0.1"/>
    <n v="1036.1505"/>
    <n v="44.72"/>
    <n v="82520.876879999996"/>
    <n v="46336.65036"/>
    <n v="36184.226519999997"/>
  </r>
  <r>
    <s v="ORD-2025-515515"/>
    <d v="2025-01-03T00:00:00"/>
    <d v="2025-01-23T00:00:00"/>
    <d v="2025-01-03T00:00:00"/>
    <d v="2025-01-23T00:00:00"/>
    <n v="20"/>
    <s v="1-2025"/>
    <x v="1"/>
    <x v="2"/>
    <s v="Osaka"/>
    <s v="Corporate"/>
    <x v="3"/>
    <s v="F. Müller"/>
    <s v="Phones"/>
    <s v="PHN-7019"/>
    <n v="908.6"/>
    <n v="691.37"/>
    <n v="0.25"/>
    <n v="20"/>
    <n v="10370.549999999999"/>
    <n v="18172"/>
    <n v="-7801.4500000000007"/>
    <n v="-0.75226964818645115"/>
    <s v="Q1-2025"/>
    <s v="Asia → Japan → Osaka"/>
    <s v="Low"/>
    <n v="2025"/>
    <n v="1"/>
    <s v="No"/>
    <s v="Yes"/>
    <n v="0.1"/>
    <n v="954.03000000000009"/>
    <n v="20.8"/>
    <n v="12942.446400000001"/>
    <n v="19843.824000000004"/>
    <n v="-6901.3776000000034"/>
  </r>
  <r>
    <s v="ORD-2023-271836"/>
    <d v="2023-02-07T00:00:00"/>
    <d v="2023-02-12T00:00:00"/>
    <d v="2023-02-07T00:00:00"/>
    <d v="2023-02-12T00:00:00"/>
    <n v="5"/>
    <s v="2-2023"/>
    <x v="2"/>
    <x v="5"/>
    <s v="São Paulo"/>
    <s v="Education"/>
    <x v="1"/>
    <s v="N. Brown"/>
    <s v="Components"/>
    <s v="CMP-2693"/>
    <n v="948.55"/>
    <n v="2089.16"/>
    <n v="7.0000000000000001E-3"/>
    <n v="12"/>
    <n v="24894.430559999997"/>
    <n v="11382.599999999999"/>
    <n v="13511.830559999999"/>
    <n v="0.54276519912492427"/>
    <s v="Q1-2023"/>
    <s v="Americas → Brazil → São Paulo"/>
    <s v="High"/>
    <n v="2023"/>
    <n v="2"/>
    <s v="Yes"/>
    <s v="No"/>
    <n v="7.0000000000000001E-3"/>
    <n v="995.97749999999996"/>
    <n v="12.48"/>
    <n v="25890.207782399997"/>
    <n v="12429.799199999999"/>
    <n v="13460.408582399998"/>
  </r>
  <r>
    <s v="ORD-2024-890180"/>
    <d v="2024-01-20T00:00:00"/>
    <d v="2024-02-13T00:00:00"/>
    <d v="2024-01-20T00:00:00"/>
    <d v="2024-02-13T00:00:00"/>
    <n v="24"/>
    <s v="1-2024"/>
    <x v="3"/>
    <x v="6"/>
    <s v="Marseille"/>
    <s v="Corporate"/>
    <x v="0"/>
    <s v="H. Kim"/>
    <s v="Printers"/>
    <s v="PRN-8392"/>
    <n v="643.53"/>
    <n v="1439.01"/>
    <n v="0"/>
    <n v="15"/>
    <n v="21585.15"/>
    <n v="9652.9499999999989"/>
    <n v="11932.200000000003"/>
    <n v="0.55279671440782208"/>
    <s v="Q1-2024"/>
    <s v="Europe → France → Marseille"/>
    <s v="Medium"/>
    <n v="2024"/>
    <n v="1"/>
    <s v="No"/>
    <s v="No"/>
    <n v="0"/>
    <n v="675.70650000000001"/>
    <n v="15.600000000000001"/>
    <n v="22448.556"/>
    <n v="10541.021400000001"/>
    <n v="11907.534599999999"/>
  </r>
  <r>
    <s v="ORD-2023-869884"/>
    <d v="2023-03-02T00:00:00"/>
    <d v="2023-03-05T00:00:00"/>
    <d v="2023-03-02T00:00:00"/>
    <d v="2023-03-05T00:00:00"/>
    <n v="3"/>
    <s v="3-2023"/>
    <x v="2"/>
    <x v="5"/>
    <s v="Brasília"/>
    <s v="Enterprise"/>
    <x v="4"/>
    <s v="G. Dubois"/>
    <s v="Monitors"/>
    <s v="MON-2828"/>
    <n v="1473.58"/>
    <n v="3436.52"/>
    <n v="0.108"/>
    <n v="8"/>
    <n v="24523.006720000001"/>
    <n v="11788.64"/>
    <n v="12734.366720000002"/>
    <n v="0.51928243813652564"/>
    <s v="Q1-2023"/>
    <s v="Americas → Brazil → Brasília"/>
    <s v="High"/>
    <n v="2023"/>
    <n v="3"/>
    <s v="Yes"/>
    <s v="No"/>
    <n v="0.1"/>
    <n v="1547.259"/>
    <n v="8.32"/>
    <n v="25732.661760000003"/>
    <n v="12873.194880000001"/>
    <n v="12859.466880000002"/>
  </r>
  <r>
    <s v="ORD-2023-937291"/>
    <d v="2023-04-23T00:00:00"/>
    <d v="2023-04-22T00:00:00"/>
    <d v="2023-04-22T00:00:00"/>
    <d v="2023-04-23T00:00:00"/>
    <n v="1"/>
    <s v="4-2023"/>
    <x v="0"/>
    <x v="0"/>
    <s v="Nairobi"/>
    <s v="Small Business"/>
    <x v="4"/>
    <s v="E. Garcia"/>
    <s v="Laptops"/>
    <s v="LAP-1698"/>
    <n v="756.51"/>
    <n v="850.8"/>
    <n v="7.3999999999999996E-2"/>
    <n v="9"/>
    <n v="7090.5672000000004"/>
    <n v="6808.59"/>
    <n v="281.97720000000027"/>
    <n v="3.9767932810791252E-2"/>
    <s v="Q2-2023"/>
    <s v="Africa → Kenya → Nairobi"/>
    <s v="Low"/>
    <n v="2023"/>
    <n v="4"/>
    <s v="Yes"/>
    <s v="No"/>
    <n v="7.3999999999999996E-2"/>
    <n v="794.33550000000002"/>
    <n v="9.36"/>
    <n v="7374.1898879999999"/>
    <n v="7434.9802799999998"/>
    <n v="-60.790391999999883"/>
  </r>
  <r>
    <s v="ORD-2024-206081"/>
    <d v="2024-12-10T00:00:00"/>
    <d v="2025-01-08T00:00:00"/>
    <d v="2024-12-10T00:00:00"/>
    <d v="2025-01-08T00:00:00"/>
    <n v="29"/>
    <s v="12-2024"/>
    <x v="3"/>
    <x v="6"/>
    <s v="Marseille"/>
    <s v="Small Business"/>
    <x v="0"/>
    <s v="K. Singh"/>
    <s v="Printers"/>
    <s v="PRN-6791"/>
    <n v="891.08"/>
    <n v="1040.0999999999999"/>
    <n v="0.109"/>
    <n v="28"/>
    <n v="25948.414799999995"/>
    <n v="24950.240000000002"/>
    <n v="998.17479999999341"/>
    <n v="3.8467660074556598E-2"/>
    <s v="Q4-2024"/>
    <s v="Europe → France → Marseille"/>
    <s v="Low"/>
    <n v="2024"/>
    <n v="12"/>
    <s v="No"/>
    <s v="No"/>
    <n v="0.1"/>
    <n v="935.63400000000013"/>
    <n v="29.12"/>
    <n v="27258.9408"/>
    <n v="27245.662080000006"/>
    <n v="13.278719999994792"/>
  </r>
  <r>
    <s v="ORD-2025-233883"/>
    <d v="2025-09-08T00:00:00"/>
    <d v="2025-09-16T00:00:00"/>
    <d v="2025-09-08T00:00:00"/>
    <d v="2025-09-16T00:00:00"/>
    <n v="8"/>
    <s v="9-2025"/>
    <x v="1"/>
    <x v="2"/>
    <s v="Osaka"/>
    <s v="Corporate"/>
    <x v="3"/>
    <s v="C. Otieno"/>
    <s v="Phones"/>
    <s v="PHN-1197"/>
    <n v="1225.57"/>
    <n v="2705.57"/>
    <n v="0.183"/>
    <n v="16"/>
    <n v="35367.211040000002"/>
    <n v="19609.12"/>
    <n v="15758.091040000003"/>
    <n v="0.44555650775453404"/>
    <s v="Q3-2025"/>
    <s v="Asia → Japan → Osaka"/>
    <s v="High"/>
    <n v="2025"/>
    <n v="9"/>
    <s v="No"/>
    <s v="No"/>
    <n v="0.1"/>
    <n v="1286.8485000000001"/>
    <n v="16.64"/>
    <n v="40518.616320000001"/>
    <n v="21413.159040000002"/>
    <n v="19105.457279999999"/>
  </r>
  <r>
    <s v="ORD-2023-747341"/>
    <d v="2023-04-19T00:00:00"/>
    <d v="2023-04-28T00:00:00"/>
    <d v="2023-04-19T00:00:00"/>
    <d v="2023-04-28T00:00:00"/>
    <n v="9"/>
    <s v="4-2023"/>
    <x v="2"/>
    <x v="5"/>
    <s v="Rio de Janeiro"/>
    <s v="Corporate"/>
    <x v="3"/>
    <s v="M. Rossi"/>
    <s v="Phones"/>
    <s v="PHN-7132"/>
    <n v="1013.54"/>
    <n v="927.93"/>
    <n v="0.17499999999999999"/>
    <n v="16"/>
    <n v="12248.675999999999"/>
    <n v="16216.64"/>
    <n v="-3967.9639999999999"/>
    <n v="-0.32395044166406234"/>
    <s v="Q2-2023"/>
    <s v="Americas → Brazil → Rio de Janeiro"/>
    <s v="Low"/>
    <n v="2023"/>
    <n v="4"/>
    <s v="No"/>
    <s v="No"/>
    <n v="0.1"/>
    <n v="1064.2170000000001"/>
    <n v="16.64"/>
    <n v="13896.679679999999"/>
    <n v="17708.570880000003"/>
    <n v="-3811.8912000000037"/>
  </r>
  <r>
    <s v="ORD-2025-745263"/>
    <d v="2025-05-21T00:00:00"/>
    <d v="2025-05-19T00:00:00"/>
    <d v="2025-05-19T00:00:00"/>
    <d v="2025-05-21T00:00:00"/>
    <n v="2"/>
    <s v="5-2025"/>
    <x v="3"/>
    <x v="7"/>
    <s v="Birmingham"/>
    <s v="Enterprise"/>
    <x v="1"/>
    <s v="M. Rossi"/>
    <s v="Laptops"/>
    <s v="LAP-3385"/>
    <n v="1015.16"/>
    <n v="2148.14"/>
    <n v="3.7999999999999999E-2"/>
    <n v="19"/>
    <n v="39263.702919999996"/>
    <n v="19288.04"/>
    <n v="19975.662919999995"/>
    <n v="0.50875647059322227"/>
    <s v="Q2-2025"/>
    <s v="Europe → United Kingdom → Birmingham"/>
    <s v="High"/>
    <n v="2025"/>
    <n v="5"/>
    <s v="Yes"/>
    <s v="No"/>
    <n v="3.7999999999999999E-2"/>
    <n v="1065.9180000000001"/>
    <n v="19.760000000000002"/>
    <n v="40834.2510368"/>
    <n v="21062.539680000005"/>
    <n v="19771.711356799995"/>
  </r>
  <r>
    <s v="ORD-2024-798002"/>
    <d v="2024-07-25T00:00:00"/>
    <d v="2024-07-24T00:00:00"/>
    <d v="2024-07-24T00:00:00"/>
    <d v="2024-07-25T00:00:00"/>
    <n v="1"/>
    <s v="7-2024"/>
    <x v="0"/>
    <x v="0"/>
    <s v="Mombasa"/>
    <s v="Non-Profit"/>
    <x v="4"/>
    <s v="J. Njeri"/>
    <s v="Laptops"/>
    <s v="LAP-9815"/>
    <n v="1494.4"/>
    <n v="3661.07"/>
    <n v="7.1999999999999995E-2"/>
    <n v="7"/>
    <n v="23782.310720000001"/>
    <n v="10460.800000000001"/>
    <n v="13321.51072"/>
    <n v="0.56014366630897339"/>
    <s v="Q3-2024"/>
    <s v="Africa → Kenya → Mombasa"/>
    <s v="High"/>
    <n v="2024"/>
    <n v="7"/>
    <s v="Yes"/>
    <s v="No"/>
    <n v="7.1999999999999995E-2"/>
    <n v="1569.1200000000001"/>
    <n v="7.28"/>
    <n v="24733.603148800004"/>
    <n v="11423.193600000001"/>
    <n v="13310.409548800004"/>
  </r>
  <r>
    <s v="ORD-2023-867836"/>
    <d v="2023-05-11T00:00:00"/>
    <d v="2023-05-28T00:00:00"/>
    <d v="2023-05-11T00:00:00"/>
    <d v="2023-05-28T00:00:00"/>
    <n v="17"/>
    <s v="5-2023"/>
    <x v="1"/>
    <x v="8"/>
    <s v="Shenzhen"/>
    <s v="Enterprise"/>
    <x v="2"/>
    <s v="E. Garcia"/>
    <s v="Networking"/>
    <s v="NET-3255"/>
    <n v="1331.19"/>
    <n v="2903.09"/>
    <n v="0.14299999999999999"/>
    <n v="8"/>
    <n v="19903.585040000002"/>
    <n v="10649.52"/>
    <n v="9254.0650400000013"/>
    <n v="0.46494463290920784"/>
    <s v="Q2-2023"/>
    <s v="Asia → China → Shenzhen"/>
    <s v="High"/>
    <n v="2023"/>
    <n v="5"/>
    <s v="No"/>
    <s v="No"/>
    <n v="0.1"/>
    <n v="1397.7495000000001"/>
    <n v="8.32"/>
    <n v="21738.337920000002"/>
    <n v="11629.275840000002"/>
    <n v="10109.06208"/>
  </r>
  <r>
    <s v="ORD-2023-835010"/>
    <d v="2023-03-23T00:00:00"/>
    <d v="2023-04-15T00:00:00"/>
    <d v="2023-03-23T00:00:00"/>
    <d v="2023-04-15T00:00:00"/>
    <n v="23"/>
    <s v="3-2023"/>
    <x v="0"/>
    <x v="0"/>
    <s v="Mombasa"/>
    <s v="Small Business"/>
    <x v="0"/>
    <s v="C. Otieno"/>
    <s v="Accessories"/>
    <s v="ACC-2988"/>
    <n v="875.36"/>
    <n v="1178.6199999999999"/>
    <n v="0.151"/>
    <n v="53"/>
    <n v="53034.364139999991"/>
    <n v="46394.080000000002"/>
    <n v="6640.2841399999888"/>
    <n v="0.12520719815685888"/>
    <s v="Q1-2023"/>
    <s v="Africa → Kenya → Mombasa"/>
    <s v="Low"/>
    <n v="2023"/>
    <n v="3"/>
    <s v="No"/>
    <s v="No"/>
    <n v="0.1"/>
    <n v="919.12800000000004"/>
    <n v="55.120000000000005"/>
    <n v="58468.980960000001"/>
    <n v="50662.335360000005"/>
    <n v="7806.6455999999962"/>
  </r>
  <r>
    <s v="ORD-2024-500109"/>
    <d v="2024-05-18T00:00:00"/>
    <d v="2024-05-23T00:00:00"/>
    <d v="2024-05-18T00:00:00"/>
    <d v="2024-05-23T00:00:00"/>
    <n v="5"/>
    <s v="5-2024"/>
    <x v="2"/>
    <x v="9"/>
    <s v="Chicago"/>
    <s v="Enterprise"/>
    <x v="0"/>
    <s v="H. Kim"/>
    <s v="Laptops"/>
    <s v="LAP-4987"/>
    <n v="1274.5899999999999"/>
    <n v="2553.69"/>
    <n v="0.01"/>
    <n v="8"/>
    <n v="20225.2248"/>
    <n v="10196.719999999999"/>
    <n v="10028.504800000001"/>
    <n v="0.49584145042481803"/>
    <s v="Q2-2024"/>
    <s v="Americas → USA → Chicago"/>
    <s v="High"/>
    <n v="2024"/>
    <n v="5"/>
    <s v="Yes"/>
    <s v="No"/>
    <n v="0.01"/>
    <n v="1338.3195000000001"/>
    <n v="8.32"/>
    <n v="21034.233792000003"/>
    <n v="11134.818240000001"/>
    <n v="9899.4155520000022"/>
  </r>
  <r>
    <s v="ORD-2023-588455"/>
    <d v="2023-05-23T00:00:00"/>
    <d v="2023-05-25T00:00:00"/>
    <d v="2023-05-23T00:00:00"/>
    <d v="2023-05-25T00:00:00"/>
    <n v="2"/>
    <s v="5-2023"/>
    <x v="2"/>
    <x v="5"/>
    <s v="Rio de Janeiro"/>
    <s v="Enterprise"/>
    <x v="0"/>
    <s v="M. Rossi"/>
    <s v="Printers"/>
    <s v="PRN-1271"/>
    <n v="690.49"/>
    <n v="1290.29"/>
    <n v="4.2000000000000003E-2"/>
    <n v="22"/>
    <n v="27194.152039999997"/>
    <n v="15190.78"/>
    <n v="12003.372039999997"/>
    <n v="0.44139534199647718"/>
    <s v="Q2-2023"/>
    <s v="Americas → Brazil → Rio de Janeiro"/>
    <s v="Medium"/>
    <n v="2023"/>
    <n v="5"/>
    <s v="Yes"/>
    <s v="No"/>
    <n v="4.2000000000000003E-2"/>
    <n v="725.0145"/>
    <n v="22.880000000000003"/>
    <n v="28281.9181216"/>
    <n v="16588.331760000001"/>
    <n v="11693.586361599999"/>
  </r>
  <r>
    <s v="ORD-2023-244375"/>
    <d v="2023-06-03T00:00:00"/>
    <d v="2023-07-01T00:00:00"/>
    <d v="2023-06-03T00:00:00"/>
    <d v="2023-07-01T00:00:00"/>
    <n v="28"/>
    <s v="6-2023"/>
    <x v="2"/>
    <x v="5"/>
    <s v="Brasília"/>
    <s v="Small Business"/>
    <x v="2"/>
    <s v="A. Patel"/>
    <s v="Components"/>
    <s v="CMP-1223"/>
    <n v="860.4"/>
    <n v="2066.6"/>
    <n v="0.01"/>
    <n v="3"/>
    <n v="6137.8019999999988"/>
    <n v="2581.1999999999998"/>
    <n v="3556.601999999999"/>
    <n v="0.57945857491004105"/>
    <s v="Q2-2023"/>
    <s v="Americas → Brazil → Brasília"/>
    <s v="High"/>
    <n v="2023"/>
    <n v="6"/>
    <s v="No"/>
    <s v="No"/>
    <n v="0.01"/>
    <n v="903.42"/>
    <n v="3.12"/>
    <n v="6383.3140800000001"/>
    <n v="2818.6704"/>
    <n v="3564.6436800000001"/>
  </r>
  <r>
    <s v="ORD-2024-788105"/>
    <d v="2024-11-30T00:00:00"/>
    <d v="2024-12-30T00:00:00"/>
    <d v="2024-11-30T00:00:00"/>
    <d v="2024-12-30T00:00:00"/>
    <n v="30"/>
    <s v="11-2024"/>
    <x v="3"/>
    <x v="6"/>
    <s v="Marseille"/>
    <s v="Consumer"/>
    <x v="2"/>
    <s v="F. Müller"/>
    <s v="Printers"/>
    <s v="PRN-4170"/>
    <n v="117.64"/>
    <n v="175.67"/>
    <n v="0"/>
    <n v="10"/>
    <n v="1756.6999999999998"/>
    <n v="1176.4000000000001"/>
    <n v="580.29999999999973"/>
    <n v="0.33033528775545046"/>
    <s v="Q4-2024"/>
    <s v="Europe → France → Marseille"/>
    <s v="Low"/>
    <n v="2024"/>
    <n v="11"/>
    <s v="No"/>
    <s v="No"/>
    <n v="0"/>
    <n v="123.52200000000001"/>
    <n v="10.4"/>
    <n v="1826.9679999999998"/>
    <n v="1284.6288000000002"/>
    <n v="542.33919999999966"/>
  </r>
  <r>
    <s v="ORD-2024-855073"/>
    <d v="2024-07-19T00:00:00"/>
    <d v="2024-07-19T00:00:00"/>
    <d v="2024-07-19T00:00:00"/>
    <d v="2024-07-19T00:00:00"/>
    <n v="0"/>
    <s v="7-2024"/>
    <x v="0"/>
    <x v="0"/>
    <s v="Kisumu"/>
    <s v="Small Business"/>
    <x v="0"/>
    <s v="A. Patel"/>
    <s v="Phones"/>
    <s v="PHN-6854"/>
    <n v="857.24"/>
    <n v="758.23"/>
    <n v="0.125"/>
    <n v="6"/>
    <n v="3980.7075"/>
    <n v="5143.4400000000005"/>
    <n v="-1162.7325000000005"/>
    <n v="-0.29209192084572921"/>
    <s v="Q3-2024"/>
    <s v="Africa → Kenya → Kisumu"/>
    <s v="Low"/>
    <n v="2024"/>
    <n v="7"/>
    <s v="Yes"/>
    <s v="No"/>
    <n v="0.1"/>
    <n v="900.10200000000009"/>
    <n v="6.24"/>
    <n v="4258.2196800000002"/>
    <n v="5616.636480000001"/>
    <n v="-1358.4168000000009"/>
  </r>
  <r>
    <s v="ORD-2023-897079"/>
    <d v="2023-04-14T00:00:00"/>
    <d v="2023-05-14T00:00:00"/>
    <d v="2023-04-14T00:00:00"/>
    <d v="2023-05-14T00:00:00"/>
    <n v="30"/>
    <s v="4-2023"/>
    <x v="0"/>
    <x v="0"/>
    <s v="Nakuru"/>
    <s v="Consumer"/>
    <x v="2"/>
    <s v="M. Rossi"/>
    <s v="Phones"/>
    <s v="PHN-1784"/>
    <n v="209.25"/>
    <n v="434.8"/>
    <n v="0"/>
    <n v="9"/>
    <n v="3913.2000000000003"/>
    <n v="1883.25"/>
    <n v="2029.9500000000003"/>
    <n v="0.51874425022999082"/>
    <s v="Q2-2023"/>
    <s v="Africa → Kenya → Nakuru"/>
    <s v="Low"/>
    <n v="2023"/>
    <n v="4"/>
    <s v="No"/>
    <s v="No"/>
    <n v="0"/>
    <n v="219.71250000000001"/>
    <n v="9.36"/>
    <n v="4069.7280000000001"/>
    <n v="2056.509"/>
    <n v="2013.2190000000001"/>
  </r>
  <r>
    <s v="ORD-2025-548982"/>
    <d v="2025-04-07T00:00:00"/>
    <d v="2025-04-11T00:00:00"/>
    <d v="2025-04-07T00:00:00"/>
    <d v="2025-04-11T00:00:00"/>
    <n v="4"/>
    <s v="4-2025"/>
    <x v="3"/>
    <x v="6"/>
    <s v="Lyon"/>
    <s v="Education"/>
    <x v="0"/>
    <s v="E. Garcia"/>
    <s v="Networking"/>
    <s v="NET-9716"/>
    <n v="754.77"/>
    <n v="1666.18"/>
    <n v="0.13900000000000001"/>
    <n v="14"/>
    <n v="20084.133720000002"/>
    <n v="10566.779999999999"/>
    <n v="9517.3537200000028"/>
    <n v="0.47387424584424653"/>
    <s v="Q2-2025"/>
    <s v="Europe → France → Lyon"/>
    <s v="Medium"/>
    <n v="2025"/>
    <n v="4"/>
    <s v="Yes"/>
    <s v="No"/>
    <n v="0.1"/>
    <n v="792.50850000000003"/>
    <n v="14.56"/>
    <n v="21833.622720000003"/>
    <n v="11538.923760000001"/>
    <n v="10294.698960000002"/>
  </r>
  <r>
    <s v="ORD-2024-170313"/>
    <d v="2024-12-27T00:00:00"/>
    <d v="2025-01-15T00:00:00"/>
    <d v="2024-12-27T00:00:00"/>
    <d v="2025-01-15T00:00:00"/>
    <n v="19"/>
    <s v="12-2024"/>
    <x v="1"/>
    <x v="4"/>
    <s v="Delhi"/>
    <s v="Non-Profit"/>
    <x v="3"/>
    <s v="G. Dubois"/>
    <s v="Components"/>
    <s v="CMP-6919"/>
    <n v="495.59"/>
    <n v="631.78"/>
    <n v="8.6999999999999994E-2"/>
    <n v="17"/>
    <n v="9805.8573800000013"/>
    <n v="8425.0299999999988"/>
    <n v="1380.8273800000024"/>
    <n v="0.14081658813601899"/>
    <s v="Q4-2024"/>
    <s v="Asia → India → Delhi"/>
    <s v="Low"/>
    <n v="2024"/>
    <n v="12"/>
    <s v="No"/>
    <s v="No"/>
    <n v="8.6999999999999994E-2"/>
    <n v="520.36950000000002"/>
    <n v="17.68"/>
    <n v="10198.091675199999"/>
    <n v="9200.1327600000004"/>
    <n v="997.95891519999896"/>
  </r>
  <r>
    <s v="ORD-2023-562894"/>
    <d v="2023-02-23T00:00:00"/>
    <d v="2023-03-25T00:00:00"/>
    <d v="2023-02-23T00:00:00"/>
    <d v="2023-03-25T00:00:00"/>
    <n v="30"/>
    <s v="2-2023"/>
    <x v="2"/>
    <x v="3"/>
    <s v="Montreal"/>
    <s v="Enterprise"/>
    <x v="1"/>
    <s v="D. Smith"/>
    <s v="Phones"/>
    <s v="PHN-4854"/>
    <n v="1242.6600000000001"/>
    <n v="1794.07"/>
    <n v="8.8999999999999996E-2"/>
    <n v="16"/>
    <n v="26150.364320000001"/>
    <n v="19882.560000000001"/>
    <n v="6267.8043199999993"/>
    <n v="0.23968325042440553"/>
    <s v="Q1-2023"/>
    <s v="Americas → Canada → Montreal"/>
    <s v="Medium"/>
    <n v="2023"/>
    <n v="2"/>
    <s v="No"/>
    <s v="No"/>
    <n v="8.8999999999999996E-2"/>
    <n v="1304.7930000000001"/>
    <n v="16.64"/>
    <n v="27196.378892799999"/>
    <n v="21711.755520000002"/>
    <n v="5484.623372799997"/>
  </r>
  <r>
    <s v="ORD-2025-474710"/>
    <d v="2025-07-24T00:00:00"/>
    <d v="2025-08-06T00:00:00"/>
    <d v="2025-07-24T00:00:00"/>
    <d v="2025-08-06T00:00:00"/>
    <n v="13"/>
    <s v="7-2025"/>
    <x v="0"/>
    <x v="10"/>
    <s v="Johannesburg"/>
    <s v="Education"/>
    <x v="2"/>
    <s v="D. Smith"/>
    <s v="Networking"/>
    <s v="NET-7966"/>
    <n v="1463.9"/>
    <n v="2633.02"/>
    <n v="8.4000000000000005E-2"/>
    <n v="4"/>
    <n v="9647.3852800000004"/>
    <n v="5855.6"/>
    <n v="3791.7852800000001"/>
    <n v="0.39303761277791527"/>
    <s v="Q3-2025"/>
    <s v="Africa → South Africa → Johannesburg"/>
    <s v="High"/>
    <n v="2025"/>
    <n v="7"/>
    <s v="No"/>
    <s v="No"/>
    <n v="8.4000000000000005E-2"/>
    <n v="1537.0950000000003"/>
    <n v="4.16"/>
    <n v="10033.2806912"/>
    <n v="6394.3152000000009"/>
    <n v="3638.9654911999987"/>
  </r>
  <r>
    <s v="ORD-2024-629525"/>
    <d v="2024-04-18T00:00:00"/>
    <d v="2024-05-08T00:00:00"/>
    <d v="2024-04-18T00:00:00"/>
    <d v="2024-05-08T00:00:00"/>
    <n v="20"/>
    <s v="4-2024"/>
    <x v="3"/>
    <x v="7"/>
    <s v="London"/>
    <s v="Non-Profit"/>
    <x v="5"/>
    <s v="D. Smith"/>
    <s v="Laptops"/>
    <s v="LAP-9932"/>
    <n v="645.33000000000004"/>
    <n v="1321.85"/>
    <n v="0"/>
    <n v="10"/>
    <n v="13218.5"/>
    <n v="6453.3"/>
    <n v="6765.2"/>
    <n v="0.51179785906116426"/>
    <s v="Q2-2024"/>
    <s v="Europe → United Kingdom → London"/>
    <s v="Medium"/>
    <n v="2024"/>
    <n v="4"/>
    <s v="No"/>
    <s v="No"/>
    <n v="0"/>
    <n v="677.59650000000011"/>
    <n v="10.4"/>
    <n v="13747.24"/>
    <n v="7047.0036000000009"/>
    <n v="6700.2363999999989"/>
  </r>
  <r>
    <s v="ORD-2024-167215"/>
    <d v="2024-08-23T00:00:00"/>
    <d v="2024-08-21T00:00:00"/>
    <d v="2024-08-21T00:00:00"/>
    <d v="2024-08-23T00:00:00"/>
    <n v="2"/>
    <s v="8-2024"/>
    <x v="0"/>
    <x v="10"/>
    <s v="Johannesburg"/>
    <s v="Education"/>
    <x v="0"/>
    <s v="E. Garcia"/>
    <s v="Components"/>
    <s v="CMP-1559"/>
    <n v="1432.52"/>
    <n v="3036.87"/>
    <n v="0"/>
    <n v="9"/>
    <n v="27331.829999999998"/>
    <n v="12892.68"/>
    <n v="14439.149999999998"/>
    <n v="0.52829064135112791"/>
    <s v="Q3-2024"/>
    <s v="Africa → South Africa → Johannesburg"/>
    <s v="High"/>
    <n v="2024"/>
    <n v="8"/>
    <s v="Yes"/>
    <s v="No"/>
    <n v="0"/>
    <n v="1504.146"/>
    <n v="9.36"/>
    <n v="28425.103199999998"/>
    <n v="14078.806559999999"/>
    <n v="14346.296639999999"/>
  </r>
  <r>
    <s v="ORD-2023-864121"/>
    <d v="2023-03-27T00:00:00"/>
    <d v="2023-04-22T00:00:00"/>
    <d v="2023-03-27T00:00:00"/>
    <d v="2023-04-22T00:00:00"/>
    <n v="26"/>
    <s v="3-2023"/>
    <x v="1"/>
    <x v="4"/>
    <s v="Delhi"/>
    <s v="Non-Profit"/>
    <x v="2"/>
    <s v="J. Njeri"/>
    <s v="Printers"/>
    <s v="PRN-4506"/>
    <n v="178.53"/>
    <n v="199.37"/>
    <n v="0.10100000000000001"/>
    <n v="37"/>
    <n v="6631.6443100000006"/>
    <n v="6605.61"/>
    <n v="26.034310000000914"/>
    <n v="3.9257699573457538E-3"/>
    <s v="Q1-2023"/>
    <s v="Asia → India → Delhi"/>
    <s v="Low"/>
    <n v="2023"/>
    <n v="3"/>
    <s v="No"/>
    <s v="No"/>
    <n v="0.1"/>
    <n v="187.45650000000001"/>
    <n v="38.480000000000004"/>
    <n v="6904.5818400000007"/>
    <n v="7213.3261200000006"/>
    <n v="-308.74427999999989"/>
  </r>
  <r>
    <s v="ORD-2024-692673"/>
    <d v="2024-03-07T00:00:00"/>
    <d v="2024-03-25T00:00:00"/>
    <d v="2024-03-07T00:00:00"/>
    <d v="2024-03-25T00:00:00"/>
    <n v="18"/>
    <s v="3-2024"/>
    <x v="3"/>
    <x v="11"/>
    <s v="Munich"/>
    <s v="Corporate"/>
    <x v="1"/>
    <s v="B. Chen"/>
    <s v="Components"/>
    <s v="CMP-7617"/>
    <n v="712.84"/>
    <n v="927.51"/>
    <n v="0.24299999999999999"/>
    <n v="27"/>
    <n v="18957.37689"/>
    <n v="19246.68"/>
    <n v="-289.30311000000074"/>
    <n v="-1.5260714163076427E-2"/>
    <s v="Q1-2024"/>
    <s v="Europe → Germany → Munich"/>
    <s v="Low"/>
    <n v="2024"/>
    <n v="3"/>
    <s v="No"/>
    <s v="Yes"/>
    <n v="0.1"/>
    <n v="748.48200000000008"/>
    <n v="28.080000000000002"/>
    <n v="23440.032720000003"/>
    <n v="21017.374560000004"/>
    <n v="2422.658159999999"/>
  </r>
  <r>
    <s v="ORD-2025-718992"/>
    <d v="2025-06-24T00:00:00"/>
    <d v="2025-07-10T00:00:00"/>
    <d v="2025-06-24T00:00:00"/>
    <d v="2025-07-10T00:00:00"/>
    <n v="16"/>
    <s v="6-2025"/>
    <x v="1"/>
    <x v="8"/>
    <s v="Shanghai"/>
    <s v="Enterprise"/>
    <x v="4"/>
    <s v="N. Brown"/>
    <s v="Components"/>
    <s v="CMP-8390"/>
    <n v="757.19"/>
    <n v="1735.41"/>
    <n v="0.13600000000000001"/>
    <n v="8"/>
    <n v="11995.153920000001"/>
    <n v="6057.52"/>
    <n v="5937.6339200000002"/>
    <n v="0.4950027285685718"/>
    <s v="Q2-2025"/>
    <s v="Asia → China → Shanghai"/>
    <s v="Medium"/>
    <n v="2025"/>
    <n v="6"/>
    <s v="No"/>
    <s v="No"/>
    <n v="0.1"/>
    <n v="795.04950000000008"/>
    <n v="8.32"/>
    <n v="12994.750080000002"/>
    <n v="6614.8118400000012"/>
    <n v="6379.9382400000004"/>
  </r>
  <r>
    <s v="ORD-2024-599522"/>
    <d v="2024-04-19T00:00:00"/>
    <d v="2024-05-06T00:00:00"/>
    <d v="2024-04-19T00:00:00"/>
    <d v="2024-05-06T00:00:00"/>
    <n v="17"/>
    <s v="4-2024"/>
    <x v="0"/>
    <x v="1"/>
    <s v="Port Harcourt"/>
    <s v="Non-Profit"/>
    <x v="1"/>
    <s v="A. Patel"/>
    <s v="Printers"/>
    <s v="PRN-7303"/>
    <n v="865.33"/>
    <n v="1395.64"/>
    <n v="0.17499999999999999"/>
    <n v="13"/>
    <n v="14968.239"/>
    <n v="11249.29"/>
    <n v="3718.9489999999987"/>
    <n v="0.24845601409758347"/>
    <s v="Q2-2024"/>
    <s v="Africa → Nigeria → Port Harcourt"/>
    <s v="Medium"/>
    <n v="2024"/>
    <n v="4"/>
    <s v="No"/>
    <s v="No"/>
    <n v="0.1"/>
    <n v="908.59650000000011"/>
    <n v="13.52"/>
    <n v="16982.147520000002"/>
    <n v="12284.224680000001"/>
    <n v="4697.9228400000011"/>
  </r>
  <r>
    <s v="ORD-2023-651638"/>
    <d v="2023-06-17T00:00:00"/>
    <d v="2023-06-24T00:00:00"/>
    <d v="2023-06-17T00:00:00"/>
    <d v="2023-06-24T00:00:00"/>
    <n v="7"/>
    <s v="6-2023"/>
    <x v="2"/>
    <x v="9"/>
    <s v="San Francisco"/>
    <s v="Corporate"/>
    <x v="0"/>
    <s v="I. Johnson"/>
    <s v="Printers"/>
    <s v="PRN-6536"/>
    <n v="313.99"/>
    <n v="454.42"/>
    <n v="0.129"/>
    <n v="9"/>
    <n v="3562.1983800000003"/>
    <n v="2825.91"/>
    <n v="736.28838000000042"/>
    <n v="0.20669493988147858"/>
    <s v="Q2-2023"/>
    <s v="Americas → USA → San Francisco"/>
    <s v="Low"/>
    <n v="2023"/>
    <n v="6"/>
    <s v="Yes"/>
    <s v="No"/>
    <n v="0.1"/>
    <n v="329.68950000000001"/>
    <n v="9.36"/>
    <n v="3828.0340799999999"/>
    <n v="3085.89372"/>
    <n v="742.14035999999987"/>
  </r>
  <r>
    <s v="ORD-2024-635626"/>
    <d v="2024-08-27T00:00:00"/>
    <d v="2024-09-19T00:00:00"/>
    <d v="2024-08-27T00:00:00"/>
    <d v="2024-09-19T00:00:00"/>
    <n v="23"/>
    <s v="8-2024"/>
    <x v="3"/>
    <x v="11"/>
    <s v="Berlin"/>
    <s v="Small Business"/>
    <x v="4"/>
    <s v="D. Smith"/>
    <s v="Monitors"/>
    <s v="MON-9967"/>
    <n v="1024.01"/>
    <n v="1580.97"/>
    <n v="3.6999999999999998E-2"/>
    <n v="27"/>
    <n v="41106.800970000004"/>
    <n v="27648.27"/>
    <n v="13458.530970000003"/>
    <n v="0.3274039976942531"/>
    <s v="Q3-2024"/>
    <s v="Europe → Germany → Berlin"/>
    <s v="Medium"/>
    <n v="2024"/>
    <n v="8"/>
    <s v="No"/>
    <s v="No"/>
    <n v="3.6999999999999998E-2"/>
    <n v="1075.2105000000001"/>
    <n v="28.080000000000002"/>
    <n v="42751.073008799998"/>
    <n v="30191.910840000004"/>
    <n v="12559.162168799994"/>
  </r>
  <r>
    <s v="ORD-2024-296582"/>
    <d v="2024-01-11T00:00:00"/>
    <d v="2024-02-02T00:00:00"/>
    <d v="2024-01-11T00:00:00"/>
    <d v="2024-02-02T00:00:00"/>
    <n v="22"/>
    <s v="1-2024"/>
    <x v="0"/>
    <x v="10"/>
    <s v="Durban"/>
    <s v="Consumer"/>
    <x v="1"/>
    <s v="K. Singh"/>
    <s v="Networking"/>
    <s v="NET-1412"/>
    <n v="1206.2"/>
    <n v="1759.79"/>
    <n v="0"/>
    <n v="6"/>
    <n v="10558.74"/>
    <n v="7237.2000000000007"/>
    <n v="3321.5399999999991"/>
    <n v="0.31457730751964713"/>
    <s v="Q1-2024"/>
    <s v="Africa → South Africa → Durban"/>
    <s v="Medium"/>
    <n v="2024"/>
    <n v="1"/>
    <s v="No"/>
    <s v="No"/>
    <n v="0"/>
    <n v="1266.51"/>
    <n v="6.24"/>
    <n v="10981.089599999999"/>
    <n v="7903.0223999999998"/>
    <n v="3078.0671999999995"/>
  </r>
  <r>
    <s v="ORD-2024-998320"/>
    <d v="2024-10-25T00:00:00"/>
    <d v="2024-11-14T00:00:00"/>
    <d v="2024-10-25T00:00:00"/>
    <d v="2024-11-14T00:00:00"/>
    <n v="20"/>
    <s v="10-2024"/>
    <x v="0"/>
    <x v="0"/>
    <s v="Mombasa"/>
    <s v="Corporate"/>
    <x v="4"/>
    <s v="H. Kim"/>
    <s v="Printers"/>
    <s v="PRN-3143"/>
    <n v="1396.48"/>
    <n v="3204.5"/>
    <n v="0.1186"/>
    <n v="14"/>
    <n v="39542.248200000002"/>
    <n v="19550.72"/>
    <n v="19991.528200000001"/>
    <n v="0.50557388894240973"/>
    <s v="Q4-2024"/>
    <s v="Africa → Kenya → Mombasa"/>
    <s v="High"/>
    <n v="2024"/>
    <n v="10"/>
    <s v="No"/>
    <s v="No"/>
    <n v="0.1"/>
    <n v="1466.3040000000001"/>
    <n v="14.56"/>
    <n v="41991.768000000004"/>
    <n v="21349.386240000003"/>
    <n v="20642.38176"/>
  </r>
  <r>
    <s v="ORD-2025-820255"/>
    <d v="2025-05-29T00:00:00"/>
    <d v="2025-06-20T00:00:00"/>
    <d v="2025-05-29T00:00:00"/>
    <d v="2025-06-20T00:00:00"/>
    <n v="22"/>
    <s v="5-2025"/>
    <x v="3"/>
    <x v="11"/>
    <s v="Berlin"/>
    <s v="Corporate"/>
    <x v="4"/>
    <s v="A. Patel"/>
    <s v="Printers"/>
    <s v="PRN-9787"/>
    <n v="483.47"/>
    <n v="1135.43"/>
    <n v="0.14599999999999999"/>
    <n v="11"/>
    <n v="10666.229420000001"/>
    <n v="5318.17"/>
    <n v="5348.0594200000014"/>
    <n v="0.50140112399719983"/>
    <s v="Q2-2025"/>
    <s v="Europe → Germany → Berlin"/>
    <s v="Low"/>
    <n v="2025"/>
    <n v="5"/>
    <s v="No"/>
    <s v="No"/>
    <n v="0.1"/>
    <n v="507.64350000000007"/>
    <n v="11.440000000000001"/>
    <n v="11690.387280000003"/>
    <n v="5807.4416400000018"/>
    <n v="5882.9456400000008"/>
  </r>
  <r>
    <s v="ORD-2024-389336"/>
    <d v="2024-05-20T00:00:00"/>
    <d v="2024-06-02T00:00:00"/>
    <d v="2024-05-20T00:00:00"/>
    <d v="2024-06-02T00:00:00"/>
    <n v="13"/>
    <s v="5-2024"/>
    <x v="2"/>
    <x v="3"/>
    <s v="Vancouver"/>
    <s v="Enterprise"/>
    <x v="2"/>
    <s v="K. Singh"/>
    <s v="Components"/>
    <s v="CMP-5946"/>
    <n v="675.43"/>
    <n v="996.36"/>
    <n v="0.182"/>
    <n v="22"/>
    <n v="17930.494560000003"/>
    <n v="14859.46"/>
    <n v="3071.0345600000037"/>
    <n v="0.17127439233332575"/>
    <s v="Q2-2024"/>
    <s v="Americas → Canada → Vancouver"/>
    <s v="Low"/>
    <n v="2024"/>
    <n v="5"/>
    <s v="No"/>
    <s v="No"/>
    <n v="0.1"/>
    <n v="709.20150000000001"/>
    <n v="22.880000000000003"/>
    <n v="20517.045120000002"/>
    <n v="16226.530320000002"/>
    <n v="4290.5148000000008"/>
  </r>
  <r>
    <s v="ORD-2023-308124"/>
    <d v="2023-04-19T00:00:00"/>
    <d v="2023-04-30T00:00:00"/>
    <d v="2023-04-19T00:00:00"/>
    <d v="2023-04-30T00:00:00"/>
    <n v="11"/>
    <s v="4-2023"/>
    <x v="1"/>
    <x v="4"/>
    <s v="Delhi"/>
    <s v="Small Business"/>
    <x v="0"/>
    <s v="A. Patel"/>
    <s v="Networking"/>
    <s v="NET-2062"/>
    <n v="826.55"/>
    <n v="1397.05"/>
    <n v="0.16900000000000001"/>
    <n v="28"/>
    <n v="32506.559399999998"/>
    <n v="23143.399999999998"/>
    <n v="9363.1594000000005"/>
    <n v="0.28803907804527601"/>
    <s v="Q2-2023"/>
    <s v="Asia → India → Delhi"/>
    <s v="Medium"/>
    <n v="2023"/>
    <n v="4"/>
    <s v="No"/>
    <s v="No"/>
    <n v="0.1"/>
    <n v="867.87749999999994"/>
    <n v="29.12"/>
    <n v="36613.886399999996"/>
    <n v="25272.592799999999"/>
    <n v="11341.293599999997"/>
  </r>
  <r>
    <s v="ORD-2023-128295"/>
    <d v="2023-06-23T00:00:00"/>
    <d v="2023-07-03T00:00:00"/>
    <d v="2023-06-23T00:00:00"/>
    <d v="2023-07-03T00:00:00"/>
    <n v="10"/>
    <s v="6-2023"/>
    <x v="0"/>
    <x v="1"/>
    <s v="Abuja"/>
    <s v="Consumer"/>
    <x v="1"/>
    <s v="J. Njeri"/>
    <s v="Printers"/>
    <s v="PRN-2542"/>
    <n v="337.75"/>
    <n v="548.89"/>
    <n v="0"/>
    <n v="13"/>
    <n v="7135.57"/>
    <n v="4390.75"/>
    <n v="2744.8199999999997"/>
    <n v="0.38466723751571352"/>
    <s v="Q2-2023"/>
    <s v="Africa → Nigeria → Abuja"/>
    <s v="Low"/>
    <n v="2023"/>
    <n v="6"/>
    <s v="No"/>
    <s v="No"/>
    <n v="0"/>
    <n v="354.63749999999999"/>
    <n v="13.52"/>
    <n v="7420.9928"/>
    <n v="4794.6989999999996"/>
    <n v="2626.2938000000004"/>
  </r>
  <r>
    <s v="ORD-2024-548345"/>
    <d v="2024-05-14T00:00:00"/>
    <d v="2024-05-28T00:00:00"/>
    <d v="2024-05-14T00:00:00"/>
    <d v="2024-05-28T00:00:00"/>
    <n v="14"/>
    <s v="5-2024"/>
    <x v="3"/>
    <x v="7"/>
    <s v="Birmingham"/>
    <s v="Consumer"/>
    <x v="0"/>
    <s v="B. Chen"/>
    <s v="Networking"/>
    <s v="NET-2365"/>
    <n v="1421.14"/>
    <n v="3524"/>
    <n v="0"/>
    <n v="31"/>
    <n v="109244"/>
    <n v="44055.340000000004"/>
    <n v="65188.659999999996"/>
    <n v="0.59672531214528945"/>
    <s v="Q2-2024"/>
    <s v="Europe → United Kingdom → Birmingham"/>
    <s v="High"/>
    <n v="2024"/>
    <n v="5"/>
    <s v="No"/>
    <s v="No"/>
    <n v="0"/>
    <n v="1492.1970000000001"/>
    <n v="32.24"/>
    <n v="113613.76000000001"/>
    <n v="48108.431280000004"/>
    <n v="65505.328720000005"/>
  </r>
  <r>
    <s v="ORD-2024-966651"/>
    <d v="2024-10-14T00:00:00"/>
    <d v="2024-11-08T00:00:00"/>
    <d v="2024-10-14T00:00:00"/>
    <d v="2024-11-08T00:00:00"/>
    <n v="25"/>
    <s v="10-2024"/>
    <x v="0"/>
    <x v="1"/>
    <s v="Lagos"/>
    <s v="Enterprise"/>
    <x v="1"/>
    <s v="O. Wang"/>
    <s v="Networking"/>
    <s v="NET-5268"/>
    <n v="859.35"/>
    <n v="1825.61"/>
    <n v="0.187"/>
    <n v="24"/>
    <n v="35621.302319999995"/>
    <n v="20624.400000000001"/>
    <n v="14996.902319999994"/>
    <n v="0.42100937762681989"/>
    <s v="Q4-2024"/>
    <s v="Africa → Nigeria → Lagos"/>
    <s v="Medium"/>
    <n v="2024"/>
    <n v="10"/>
    <s v="No"/>
    <s v="No"/>
    <n v="0.1"/>
    <n v="902.31750000000011"/>
    <n v="24.96"/>
    <n v="41010.503039999996"/>
    <n v="22521.844800000003"/>
    <n v="18488.658239999993"/>
  </r>
  <r>
    <s v="ORD-2023-292714"/>
    <d v="2023-07-10T00:00:00"/>
    <d v="2023-08-01T00:00:00"/>
    <d v="2023-07-10T00:00:00"/>
    <d v="2023-08-01T00:00:00"/>
    <n v="22"/>
    <s v="7-2023"/>
    <x v="3"/>
    <x v="6"/>
    <s v="Marseille"/>
    <s v="Consumer"/>
    <x v="2"/>
    <s v="B. Chen"/>
    <s v="Printers"/>
    <s v="PRN-1504"/>
    <n v="1303.56"/>
    <n v="1791.37"/>
    <n v="0.126"/>
    <n v="22"/>
    <n v="34444.462359999998"/>
    <n v="28678.32"/>
    <n v="5766.142359999998"/>
    <n v="0.16740404596055358"/>
    <s v="Q3-2023"/>
    <s v="Europe → France → Marseille"/>
    <s v="Medium"/>
    <n v="2023"/>
    <n v="7"/>
    <s v="No"/>
    <s v="No"/>
    <n v="0.1"/>
    <n v="1368.7380000000001"/>
    <n v="22.880000000000003"/>
    <n v="36887.891040000002"/>
    <n v="31316.725440000006"/>
    <n v="5571.1655999999966"/>
  </r>
  <r>
    <s v="ORD-2023-957692"/>
    <d v="2023-05-07T00:00:00"/>
    <d v="2023-05-20T00:00:00"/>
    <d v="2023-05-07T00:00:00"/>
    <d v="2023-05-20T00:00:00"/>
    <n v="13"/>
    <s v="5-2023"/>
    <x v="1"/>
    <x v="4"/>
    <s v="Mumbai"/>
    <s v="Enterprise"/>
    <x v="0"/>
    <s v="D. Smith"/>
    <s v="Accessories"/>
    <s v="ACC-9283"/>
    <n v="1443.28"/>
    <n v="2580.5700000000002"/>
    <n v="0"/>
    <n v="18"/>
    <n v="46450.26"/>
    <n v="25979.040000000001"/>
    <n v="20471.22"/>
    <n v="0.4407127107577008"/>
    <s v="Q2-2023"/>
    <s v="Asia → India → Mumbai"/>
    <s v="High"/>
    <n v="2023"/>
    <n v="5"/>
    <s v="No"/>
    <s v="No"/>
    <n v="0"/>
    <n v="1515.444"/>
    <n v="18.72"/>
    <n v="48308.270400000001"/>
    <n v="28369.111679999998"/>
    <n v="19939.158720000003"/>
  </r>
  <r>
    <s v="ORD-2024-260775"/>
    <d v="2024-10-17T00:00:00"/>
    <d v="2024-11-06T00:00:00"/>
    <d v="2024-10-17T00:00:00"/>
    <d v="2024-11-06T00:00:00"/>
    <n v="20"/>
    <s v="10-2024"/>
    <x v="1"/>
    <x v="4"/>
    <s v="Bengaluru"/>
    <s v="Enterprise"/>
    <x v="3"/>
    <s v="O. Wang"/>
    <s v="Monitors"/>
    <s v="MON-4330"/>
    <n v="72.94"/>
    <n v="106.3"/>
    <n v="0.29499999999999998"/>
    <n v="8"/>
    <n v="599.53200000000004"/>
    <n v="583.52"/>
    <n v="16.012000000000057"/>
    <n v="2.6707498515508857E-2"/>
    <s v="Q4-2024"/>
    <s v="Asia → India → Bengaluru"/>
    <s v="Low"/>
    <n v="2024"/>
    <n v="10"/>
    <s v="No"/>
    <s v="Yes"/>
    <n v="0.1"/>
    <n v="76.587000000000003"/>
    <n v="8.32"/>
    <n v="795.97440000000006"/>
    <n v="637.20384000000001"/>
    <n v="158.77056000000005"/>
  </r>
  <r>
    <s v="ORD-2023-419187"/>
    <d v="2023-03-31T00:00:00"/>
    <d v="2023-04-05T00:00:00"/>
    <d v="2023-03-31T00:00:00"/>
    <d v="2023-04-05T00:00:00"/>
    <n v="5"/>
    <s v="3-2023"/>
    <x v="0"/>
    <x v="0"/>
    <s v="Nakuru"/>
    <s v="Education"/>
    <x v="2"/>
    <s v="B. Chen"/>
    <s v="Laptops"/>
    <s v="LAP-7819"/>
    <n v="533.26"/>
    <n v="385.72"/>
    <n v="0"/>
    <n v="15"/>
    <n v="5785.8"/>
    <n v="7998.9"/>
    <n v="-2213.0999999999995"/>
    <n v="-0.38250544436378708"/>
    <s v="Q1-2023"/>
    <s v="Africa → Kenya → Nakuru"/>
    <s v="Low"/>
    <n v="2023"/>
    <n v="3"/>
    <s v="Yes"/>
    <s v="No"/>
    <n v="0"/>
    <n v="559.923"/>
    <n v="15.600000000000001"/>
    <n v="6017.2320000000009"/>
    <n v="8734.7988000000005"/>
    <n v="-2717.5667999999996"/>
  </r>
  <r>
    <s v="ORD-2025-578007"/>
    <d v="2025-01-21T00:00:00"/>
    <d v="2025-02-16T00:00:00"/>
    <d v="2025-01-21T00:00:00"/>
    <d v="2025-02-16T00:00:00"/>
    <n v="26"/>
    <s v="1-2025"/>
    <x v="3"/>
    <x v="6"/>
    <s v="Lyon"/>
    <s v="Corporate"/>
    <x v="3"/>
    <s v="O. Wang"/>
    <s v="Laptops"/>
    <s v="LAP-3779"/>
    <n v="204.11"/>
    <n v="236.87"/>
    <n v="0.182"/>
    <n v="13"/>
    <n v="2518.8755800000004"/>
    <n v="2653.4300000000003"/>
    <n v="-134.55441999999994"/>
    <n v="-5.3418446337075494E-2"/>
    <s v="Q1-2025"/>
    <s v="Europe → France → Lyon"/>
    <s v="Low"/>
    <n v="2025"/>
    <n v="1"/>
    <s v="No"/>
    <s v="No"/>
    <n v="0.1"/>
    <n v="214.31550000000001"/>
    <n v="13.52"/>
    <n v="2882.23416"/>
    <n v="2897.54556"/>
    <n v="-15.311400000000049"/>
  </r>
  <r>
    <s v="ORD-2023-235230"/>
    <d v="2023-08-30T00:00:00"/>
    <d v="2023-09-01T00:00:00"/>
    <d v="2023-08-30T00:00:00"/>
    <d v="2023-09-01T00:00:00"/>
    <n v="2"/>
    <s v="8-2023"/>
    <x v="3"/>
    <x v="11"/>
    <s v="Munich"/>
    <s v="Corporate"/>
    <x v="4"/>
    <s v="N. Brown"/>
    <s v="Networking"/>
    <s v="NET-9989"/>
    <n v="44.42"/>
    <n v="41.9"/>
    <n v="0.14399999999999999"/>
    <n v="6"/>
    <n v="215.19839999999996"/>
    <n v="266.52"/>
    <n v="-51.321600000000018"/>
    <n v="-0.23848504449847224"/>
    <s v="Q3-2023"/>
    <s v="Europe → Germany → Munich"/>
    <s v="Low"/>
    <n v="2023"/>
    <n v="8"/>
    <s v="Yes"/>
    <s v="No"/>
    <n v="0.1"/>
    <n v="46.641000000000005"/>
    <n v="6.24"/>
    <n v="235.31040000000002"/>
    <n v="291.03984000000003"/>
    <n v="-55.729440000000011"/>
  </r>
  <r>
    <s v="ORD-2023-434071"/>
    <d v="2023-06-20T00:00:00"/>
    <d v="2023-07-04T00:00:00"/>
    <d v="2023-06-20T00:00:00"/>
    <d v="2023-07-04T00:00:00"/>
    <n v="14"/>
    <s v="6-2023"/>
    <x v="2"/>
    <x v="5"/>
    <s v="Brasília"/>
    <s v="Non-Profit"/>
    <x v="4"/>
    <s v="C. Otieno"/>
    <s v="Networking"/>
    <s v="NET-1228"/>
    <n v="1292.8599999999999"/>
    <n v="2981.01"/>
    <n v="0.14199999999999999"/>
    <n v="12"/>
    <n v="30692.47896"/>
    <n v="15514.32"/>
    <n v="15178.158960000001"/>
    <n v="0.49452372288927687"/>
    <s v="Q2-2023"/>
    <s v="Americas → Brazil → Brasília"/>
    <s v="High"/>
    <n v="2023"/>
    <n v="6"/>
    <s v="No"/>
    <s v="No"/>
    <n v="0.1"/>
    <n v="1357.5029999999999"/>
    <n v="12.48"/>
    <n v="33482.704320000004"/>
    <n v="16941.637439999999"/>
    <n v="16541.066880000006"/>
  </r>
  <r>
    <s v="ORD-2023-374486"/>
    <d v="2023-06-24T00:00:00"/>
    <d v="2023-06-23T00:00:00"/>
    <d v="2023-06-23T00:00:00"/>
    <d v="2023-06-24T00:00:00"/>
    <n v="1"/>
    <s v="6-2023"/>
    <x v="2"/>
    <x v="5"/>
    <s v="Rio de Janeiro"/>
    <s v="Non-Profit"/>
    <x v="0"/>
    <s v="E. Garcia"/>
    <s v="Printers"/>
    <s v="PRN-6490"/>
    <n v="804.01"/>
    <n v="1405.07"/>
    <n v="9.6000000000000002E-2"/>
    <n v="8"/>
    <n v="10161.46624"/>
    <n v="6432.08"/>
    <n v="3729.3862399999998"/>
    <n v="0.36701260939287439"/>
    <s v="Q2-2023"/>
    <s v="Americas → Brazil → Rio de Janeiro"/>
    <s v="Medium"/>
    <n v="2023"/>
    <n v="6"/>
    <s v="Yes"/>
    <s v="No"/>
    <n v="9.6000000000000002E-2"/>
    <n v="844.21050000000002"/>
    <n v="8.32"/>
    <n v="10567.924889600001"/>
    <n v="7023.8313600000001"/>
    <n v="3544.0935296000007"/>
  </r>
  <r>
    <s v="ORD-2025-944081"/>
    <d v="2025-03-25T00:00:00"/>
    <d v="2025-03-26T00:00:00"/>
    <d v="2025-03-25T00:00:00"/>
    <d v="2025-03-26T00:00:00"/>
    <n v="1"/>
    <s v="3-2025"/>
    <x v="0"/>
    <x v="1"/>
    <s v="Lagos"/>
    <s v="Education"/>
    <x v="3"/>
    <s v="G. Dubois"/>
    <s v="Accessories"/>
    <s v="ACC-9533"/>
    <n v="1450.43"/>
    <n v="1994.67"/>
    <n v="0.1"/>
    <n v="24"/>
    <n v="43084.872000000003"/>
    <n v="34810.32"/>
    <n v="8274.5520000000033"/>
    <n v="0.19205237513529116"/>
    <s v="Q1-2025"/>
    <s v="Africa → Nigeria → Lagos"/>
    <s v="High"/>
    <n v="2025"/>
    <n v="3"/>
    <s v="Yes"/>
    <s v="No"/>
    <n v="0.1"/>
    <n v="1522.9515000000001"/>
    <n v="24.96"/>
    <n v="44808.266880000003"/>
    <n v="38012.869440000002"/>
    <n v="6795.3974400000006"/>
  </r>
  <r>
    <s v="ORD-2025-843974"/>
    <d v="2025-07-20T00:00:00"/>
    <d v="2025-08-05T00:00:00"/>
    <d v="2025-07-20T00:00:00"/>
    <d v="2025-08-05T00:00:00"/>
    <n v="16"/>
    <s v="7-2025"/>
    <x v="2"/>
    <x v="5"/>
    <s v="Brasília"/>
    <s v="Enterprise"/>
    <x v="2"/>
    <s v="G. Dubois"/>
    <s v="Accessories"/>
    <s v="ACC-8098"/>
    <n v="1068.17"/>
    <n v="2375.37"/>
    <n v="0.109"/>
    <n v="18"/>
    <n v="38096.18406"/>
    <n v="19227.060000000001"/>
    <n v="18869.124059999998"/>
    <n v="0.49530220744108822"/>
    <s v="Q3-2025"/>
    <s v="Americas → Brazil → Brasília"/>
    <s v="High"/>
    <n v="2025"/>
    <n v="7"/>
    <s v="No"/>
    <s v="No"/>
    <n v="0.1"/>
    <n v="1121.5785000000001"/>
    <n v="18.72"/>
    <n v="40020.233759999996"/>
    <n v="20995.949520000002"/>
    <n v="19024.284239999994"/>
  </r>
  <r>
    <s v="ORD-2024-446699"/>
    <d v="2024-08-28T00:00:00"/>
    <d v="2024-09-25T00:00:00"/>
    <d v="2024-08-28T00:00:00"/>
    <d v="2024-09-25T00:00:00"/>
    <n v="28"/>
    <s v="8-2024"/>
    <x v="2"/>
    <x v="5"/>
    <s v="Rio de Janeiro"/>
    <s v="Non-Profit"/>
    <x v="1"/>
    <s v="Unknown Salesperson"/>
    <s v="Accessories"/>
    <s v="ACC-4490"/>
    <n v="1394.65"/>
    <n v="3144.1"/>
    <n v="0.13400000000000001"/>
    <n v="13"/>
    <n v="35396.277799999996"/>
    <n v="18130.45"/>
    <n v="17265.827799999995"/>
    <n v="0.4877865378263021"/>
    <s v="Q3-2024"/>
    <s v="Americas → Brazil → Rio de Janeiro"/>
    <s v="High"/>
    <n v="2024"/>
    <n v="8"/>
    <s v="No"/>
    <s v="No"/>
    <n v="0.1"/>
    <n v="1464.3825000000002"/>
    <n v="13.52"/>
    <n v="38257.408799999997"/>
    <n v="19798.451400000002"/>
    <n v="18458.957399999996"/>
  </r>
  <r>
    <s v="ORD-2024-906395"/>
    <d v="2024-03-10T00:00:00"/>
    <d v="2024-04-09T00:00:00"/>
    <d v="2024-03-10T00:00:00"/>
    <d v="2024-04-09T00:00:00"/>
    <n v="30"/>
    <s v="3-2024"/>
    <x v="3"/>
    <x v="6"/>
    <s v="Lyon"/>
    <s v="Corporate"/>
    <x v="4"/>
    <s v="I. Johnson"/>
    <s v="Components"/>
    <s v="CMP-8002"/>
    <n v="1176.56"/>
    <n v="1911.89"/>
    <n v="0.11899999999999999"/>
    <n v="20"/>
    <n v="33687.501800000005"/>
    <n v="23531.199999999997"/>
    <n v="10156.301800000008"/>
    <n v="0.30148575160892477"/>
    <s v="Q1-2024"/>
    <s v="Europe → France → Lyon"/>
    <s v="Medium"/>
    <n v="2024"/>
    <n v="3"/>
    <s v="No"/>
    <s v="No"/>
    <n v="0.1"/>
    <n v="1235.3879999999999"/>
    <n v="20.8"/>
    <n v="35790.580800000003"/>
    <n v="25696.070400000001"/>
    <n v="10094.510400000003"/>
  </r>
  <r>
    <s v="ORD-2025-779574"/>
    <d v="2025-09-10T00:00:00"/>
    <d v="2025-09-12T00:00:00"/>
    <d v="2025-09-10T00:00:00"/>
    <d v="2025-09-12T00:00:00"/>
    <n v="2"/>
    <s v="9-2025"/>
    <x v="1"/>
    <x v="2"/>
    <s v="Tokyo"/>
    <s v="Consumer"/>
    <x v="1"/>
    <s v="O. Wang"/>
    <s v="Components"/>
    <s v="CMP-6971"/>
    <n v="1470.15"/>
    <n v="2593.7800000000002"/>
    <n v="0.11"/>
    <n v="12"/>
    <n v="27701.570400000001"/>
    <n v="17641.800000000003"/>
    <n v="10059.770399999998"/>
    <n v="0.36314801849645306"/>
    <s v="Q3-2025"/>
    <s v="Asia → Japan → Tokyo"/>
    <s v="High"/>
    <n v="2025"/>
    <n v="9"/>
    <s v="Yes"/>
    <s v="No"/>
    <n v="0.1"/>
    <n v="1543.6575000000003"/>
    <n v="12.48"/>
    <n v="29133.336960000004"/>
    <n v="19264.845600000004"/>
    <n v="9868.49136"/>
  </r>
  <r>
    <s v="ORD-2025-526650"/>
    <d v="2025-04-27T00:00:00"/>
    <d v="2025-05-25T00:00:00"/>
    <d v="2025-04-27T00:00:00"/>
    <d v="2025-05-25T00:00:00"/>
    <n v="28"/>
    <s v="4-2025"/>
    <x v="3"/>
    <x v="6"/>
    <s v="Paris"/>
    <s v="Small Business"/>
    <x v="2"/>
    <s v="I. Johnson"/>
    <s v="Phones"/>
    <s v="PHN-8350"/>
    <n v="603.45000000000005"/>
    <n v="1244.08"/>
    <n v="0.2"/>
    <n v="11"/>
    <n v="10947.904"/>
    <n v="6637.9500000000007"/>
    <n v="4309.9539999999997"/>
    <n v="0.39367846119220623"/>
    <s v="Q2-2025"/>
    <s v="Europe → France → Paris"/>
    <s v="Medium"/>
    <n v="2025"/>
    <n v="4"/>
    <s v="No"/>
    <s v="No"/>
    <n v="0.1"/>
    <n v="633.62250000000006"/>
    <n v="11.440000000000001"/>
    <n v="12809.04768"/>
    <n v="7248.6414000000013"/>
    <n v="5560.4062799999983"/>
  </r>
  <r>
    <s v="ORD-2024-247979"/>
    <d v="2024-11-02T00:00:00"/>
    <d v="2024-11-18T00:00:00"/>
    <d v="2024-11-02T00:00:00"/>
    <d v="2024-11-18T00:00:00"/>
    <n v="16"/>
    <s v="11-2024"/>
    <x v="1"/>
    <x v="4"/>
    <s v="Mumbai"/>
    <s v="Small Business"/>
    <x v="3"/>
    <s v="O. Wang"/>
    <s v="Monitors"/>
    <s v="MON-5188"/>
    <n v="1233.58"/>
    <n v="1912.51"/>
    <n v="0.255"/>
    <n v="51"/>
    <n v="72665.817450000002"/>
    <n v="62912.579999999994"/>
    <n v="9753.2374500000078"/>
    <n v="0.134220432553601"/>
    <s v="Q4-2024"/>
    <s v="Asia → India → Mumbai"/>
    <s v="High"/>
    <n v="2024"/>
    <n v="11"/>
    <s v="No"/>
    <s v="Yes"/>
    <n v="0.1"/>
    <n v="1295.259"/>
    <n v="53.04"/>
    <n v="91295.57736000001"/>
    <n v="68700.537360000002"/>
    <n v="22595.040000000008"/>
  </r>
  <r>
    <s v="ORD-2023-480975"/>
    <d v="2023-02-15T00:00:00"/>
    <d v="2023-02-26T00:00:00"/>
    <d v="2023-02-15T00:00:00"/>
    <d v="2023-02-26T00:00:00"/>
    <n v="11"/>
    <s v="2-2023"/>
    <x v="0"/>
    <x v="10"/>
    <s v="Johannesburg"/>
    <s v="Non-Profit"/>
    <x v="0"/>
    <s v="K. Singh"/>
    <s v="Laptops"/>
    <s v="LAP-3393"/>
    <n v="498.5"/>
    <n v="755.87"/>
    <n v="0.13"/>
    <n v="40"/>
    <n v="26304.275999999998"/>
    <n v="19940"/>
    <n v="6364.275999999998"/>
    <n v="0.24194834330357537"/>
    <s v="Q1-2023"/>
    <s v="Africa → South Africa → Johannesburg"/>
    <s v="Low"/>
    <n v="2023"/>
    <n v="2"/>
    <s v="No"/>
    <s v="No"/>
    <n v="0.1"/>
    <n v="523.42500000000007"/>
    <n v="41.6"/>
    <n v="28299.772800000002"/>
    <n v="21774.480000000003"/>
    <n v="6525.2927999999993"/>
  </r>
  <r>
    <s v="ORD-2023-309373"/>
    <d v="2023-07-05T00:00:00"/>
    <d v="2023-07-14T00:00:00"/>
    <d v="2023-07-05T00:00:00"/>
    <d v="2023-07-14T00:00:00"/>
    <n v="9"/>
    <s v="7-2023"/>
    <x v="2"/>
    <x v="5"/>
    <s v="Brasília"/>
    <s v="Enterprise"/>
    <x v="4"/>
    <s v="B. Chen"/>
    <s v="Networking"/>
    <s v="NET-2394"/>
    <n v="578.85"/>
    <n v="998.76"/>
    <n v="8.2000000000000003E-2"/>
    <n v="28"/>
    <n v="25672.127039999999"/>
    <n v="16207.800000000001"/>
    <n v="9464.3270399999983"/>
    <n v="0.36866158480960831"/>
    <s v="Q3-2023"/>
    <s v="Americas → Brazil → Brasília"/>
    <s v="Low"/>
    <n v="2023"/>
    <n v="7"/>
    <s v="No"/>
    <s v="No"/>
    <n v="8.2000000000000003E-2"/>
    <n v="607.79250000000002"/>
    <n v="29.12"/>
    <n v="26699.012121600004"/>
    <n v="17698.917600000001"/>
    <n v="9000.0945216000036"/>
  </r>
  <r>
    <s v="ORD-2024-704056"/>
    <d v="2024-06-23T00:00:00"/>
    <d v="2024-06-25T00:00:00"/>
    <d v="2024-06-23T00:00:00"/>
    <d v="2024-06-25T00:00:00"/>
    <n v="2"/>
    <s v="6-2024"/>
    <x v="3"/>
    <x v="7"/>
    <s v="Birmingham"/>
    <s v="Small Business"/>
    <x v="2"/>
    <s v="L. Okafor"/>
    <s v="Accessories"/>
    <s v="ACC-7838"/>
    <n v="951.44"/>
    <n v="1646.43"/>
    <n v="0.11"/>
    <n v="24"/>
    <n v="35167.7448"/>
    <n v="22834.560000000001"/>
    <n v="12333.184799999999"/>
    <n v="0.35069592520473475"/>
    <s v="Q2-2024"/>
    <s v="Europe → United Kingdom → Birmingham"/>
    <s v="Medium"/>
    <n v="2024"/>
    <n v="6"/>
    <s v="Yes"/>
    <s v="No"/>
    <n v="0.1"/>
    <n v="999.01200000000006"/>
    <n v="24.96"/>
    <n v="36985.40352"/>
    <n v="24935.339520000001"/>
    <n v="12050.063999999998"/>
  </r>
  <r>
    <s v="ORD-2024-347736"/>
    <d v="2024-05-22T00:00:00"/>
    <d v="2024-06-06T00:00:00"/>
    <d v="2024-05-22T00:00:00"/>
    <d v="2024-06-06T00:00:00"/>
    <n v="15"/>
    <s v="5-2024"/>
    <x v="1"/>
    <x v="2"/>
    <s v="Nagoya"/>
    <s v="Corporate"/>
    <x v="3"/>
    <s v="C. Otieno"/>
    <s v="Monitors"/>
    <s v="MON-6870"/>
    <n v="673.88"/>
    <n v="1228.01"/>
    <n v="0.105"/>
    <n v="13"/>
    <n v="14287.896349999999"/>
    <n v="8760.44"/>
    <n v="5527.4563499999986"/>
    <n v="0.38686285332689996"/>
    <s v="Q2-2024"/>
    <s v="Asia → Japan → Nagoya"/>
    <s v="Medium"/>
    <n v="2024"/>
    <n v="5"/>
    <s v="No"/>
    <s v="No"/>
    <n v="0.1"/>
    <n v="707.57400000000007"/>
    <n v="13.52"/>
    <n v="14942.425679999998"/>
    <n v="9566.4004800000002"/>
    <n v="5376.0251999999982"/>
  </r>
  <r>
    <s v="ORD-2023-749324"/>
    <d v="2023-08-19T00:00:00"/>
    <d v="2023-09-07T00:00:00"/>
    <d v="2023-08-19T00:00:00"/>
    <d v="2023-09-07T00:00:00"/>
    <n v="19"/>
    <s v="8-2023"/>
    <x v="0"/>
    <x v="10"/>
    <s v="Johannesburg"/>
    <s v="Enterprise"/>
    <x v="0"/>
    <s v="D. Smith"/>
    <s v="Monitors"/>
    <s v="MON-2296"/>
    <n v="494.61"/>
    <n v="605.23"/>
    <n v="0.20399999999999999"/>
    <n v="18"/>
    <n v="8671.7354400000004"/>
    <n v="8902.98"/>
    <n v="-231.24455999999918"/>
    <n v="-2.6666468505639647E-2"/>
    <s v="Q3-2023"/>
    <s v="Africa → South Africa → Johannesburg"/>
    <s v="Low"/>
    <n v="2023"/>
    <n v="8"/>
    <s v="No"/>
    <s v="Yes"/>
    <n v="0.1"/>
    <n v="519.34050000000002"/>
    <n v="18.72"/>
    <n v="10196.91504"/>
    <n v="9722.0541599999997"/>
    <n v="474.86088000000018"/>
  </r>
  <r>
    <s v="ORD-2023-809913"/>
    <d v="2023-04-21T00:00:00"/>
    <d v="2023-05-10T00:00:00"/>
    <d v="2023-04-21T00:00:00"/>
    <d v="2023-05-10T00:00:00"/>
    <n v="19"/>
    <s v="4-2023"/>
    <x v="1"/>
    <x v="8"/>
    <s v="Shanghai"/>
    <s v="Corporate"/>
    <x v="0"/>
    <s v="A. Patel"/>
    <s v="Components"/>
    <s v="CMP-7371"/>
    <n v="882.33"/>
    <n v="1880.15"/>
    <n v="0.05"/>
    <n v="5"/>
    <n v="8930.7124999999996"/>
    <n v="4411.6500000000005"/>
    <n v="4519.0624999999991"/>
    <n v="0.50601365792482955"/>
    <s v="Q2-2023"/>
    <s v="Asia → China → Shanghai"/>
    <s v="Medium"/>
    <n v="2023"/>
    <n v="4"/>
    <s v="No"/>
    <s v="No"/>
    <n v="0.05"/>
    <n v="926.44650000000013"/>
    <n v="5.2"/>
    <n v="9287.9410000000007"/>
    <n v="4817.5218000000004"/>
    <n v="4470.4192000000003"/>
  </r>
  <r>
    <s v="ORD-2023-261081"/>
    <d v="2023-07-24T00:00:00"/>
    <d v="2023-08-19T00:00:00"/>
    <d v="2023-07-24T00:00:00"/>
    <d v="2023-08-19T00:00:00"/>
    <n v="26"/>
    <s v="7-2023"/>
    <x v="0"/>
    <x v="0"/>
    <s v="Nairobi"/>
    <s v="Enterprise"/>
    <x v="3"/>
    <s v="M. Rossi"/>
    <s v="Accessories"/>
    <s v="ACC-1238"/>
    <n v="661.45"/>
    <n v="1634.86"/>
    <n v="0.1186"/>
    <n v="24"/>
    <n v="34583.174496"/>
    <n v="15874.800000000001"/>
    <n v="18708.374495999997"/>
    <n v="0.54096753027007016"/>
    <s v="Q3-2023"/>
    <s v="Africa → Kenya → Nairobi"/>
    <s v="Medium"/>
    <n v="2023"/>
    <n v="7"/>
    <s v="No"/>
    <s v="No"/>
    <n v="0.1"/>
    <n v="694.52250000000004"/>
    <n v="24.96"/>
    <n v="36725.495039999994"/>
    <n v="17335.281600000002"/>
    <n v="19390.213439999992"/>
  </r>
  <r>
    <s v="ORD-2023-594700"/>
    <d v="2023-07-18T00:00:00"/>
    <d v="2023-07-22T00:00:00"/>
    <d v="2023-07-18T00:00:00"/>
    <d v="2023-07-22T00:00:00"/>
    <n v="4"/>
    <s v="7-2023"/>
    <x v="2"/>
    <x v="5"/>
    <s v="São Paulo"/>
    <s v="Consumer"/>
    <x v="4"/>
    <s v="F. Müller"/>
    <s v="Networking"/>
    <s v="NET-1699"/>
    <n v="1269.55"/>
    <n v="2071.1"/>
    <n v="0.129"/>
    <n v="22"/>
    <n v="39686.4182"/>
    <n v="27930.1"/>
    <n v="11756.318200000002"/>
    <n v="0.29623026549672354"/>
    <s v="Q3-2023"/>
    <s v="Americas → Brazil → São Paulo"/>
    <s v="High"/>
    <n v="2023"/>
    <n v="7"/>
    <s v="Yes"/>
    <s v="No"/>
    <n v="0.1"/>
    <n v="1333.0274999999999"/>
    <n v="22.880000000000003"/>
    <n v="42648.091200000003"/>
    <n v="30499.6692"/>
    <n v="12148.422000000002"/>
  </r>
  <r>
    <s v="ORD-2024-939873"/>
    <d v="2024-04-12T00:00:00"/>
    <d v="2024-05-07T00:00:00"/>
    <d v="2024-04-12T00:00:00"/>
    <d v="2024-05-07T00:00:00"/>
    <n v="25"/>
    <s v="4-2024"/>
    <x v="0"/>
    <x v="10"/>
    <s v="Johannesburg"/>
    <s v="Education"/>
    <x v="3"/>
    <s v="A. Patel"/>
    <s v="Laptops"/>
    <s v="LAP-8489"/>
    <n v="1376.51"/>
    <n v="1455.91"/>
    <n v="0.185"/>
    <n v="17"/>
    <n v="20171.63305"/>
    <n v="23400.67"/>
    <n v="-3229.0369499999979"/>
    <n v="-0.1600781127634085"/>
    <s v="Q2-2024"/>
    <s v="Africa → South Africa → Johannesburg"/>
    <s v="Medium"/>
    <n v="2024"/>
    <n v="4"/>
    <s v="No"/>
    <s v="No"/>
    <n v="0.1"/>
    <n v="1445.3355000000001"/>
    <n v="17.68"/>
    <n v="23166.439920000004"/>
    <n v="25553.531640000001"/>
    <n v="-2387.0917199999967"/>
  </r>
  <r>
    <s v="ORD-2024-800947"/>
    <d v="2024-12-15T00:00:00"/>
    <d v="2024-12-20T00:00:00"/>
    <d v="2024-12-15T00:00:00"/>
    <d v="2024-12-20T00:00:00"/>
    <n v="5"/>
    <s v="12-2024"/>
    <x v="1"/>
    <x v="8"/>
    <s v="Shenzhen"/>
    <s v="Small Business"/>
    <x v="4"/>
    <s v="J. Njeri"/>
    <s v="Networking"/>
    <s v="NET-1846"/>
    <n v="717.55"/>
    <n v="546.42999999999995"/>
    <n v="4.7E-2"/>
    <n v="18"/>
    <n v="9373.460219999999"/>
    <n v="12915.9"/>
    <n v="-3542.4397800000006"/>
    <n v="-0.37792231437026369"/>
    <s v="Q4-2024"/>
    <s v="Asia → China → Shenzhen"/>
    <s v="Low"/>
    <n v="2024"/>
    <n v="12"/>
    <s v="Yes"/>
    <s v="No"/>
    <n v="4.7E-2"/>
    <n v="753.42750000000001"/>
    <n v="18.72"/>
    <n v="9748.3986287999996"/>
    <n v="14104.1628"/>
    <n v="-4355.7641712000004"/>
  </r>
  <r>
    <s v="ORD-2023-382272"/>
    <d v="2023-05-20T00:00:00"/>
    <d v="2023-05-18T00:00:00"/>
    <d v="2023-05-18T00:00:00"/>
    <d v="2023-05-20T00:00:00"/>
    <n v="2"/>
    <s v="5-2023"/>
    <x v="0"/>
    <x v="10"/>
    <s v="Durban"/>
    <s v="Corporate"/>
    <x v="3"/>
    <s v="A. Patel"/>
    <s v="Components"/>
    <s v="CMP-5208"/>
    <n v="917.88"/>
    <n v="1347.92"/>
    <n v="0.1186"/>
    <n v="5"/>
    <n v="5940.2834400000002"/>
    <n v="4589.3999999999996"/>
    <n v="1350.8834400000005"/>
    <n v="0.22741060315465358"/>
    <s v="Q2-2023"/>
    <s v="Africa → South Africa → Durban"/>
    <s v="Medium"/>
    <n v="2023"/>
    <n v="5"/>
    <s v="Yes"/>
    <s v="No"/>
    <n v="0.1"/>
    <n v="963.774"/>
    <n v="5.2"/>
    <n v="6308.2656000000006"/>
    <n v="5011.6248000000005"/>
    <n v="1296.6408000000001"/>
  </r>
  <r>
    <s v="ORD-2023-722117"/>
    <d v="2023-09-18T00:00:00"/>
    <d v="2023-10-08T00:00:00"/>
    <d v="2023-09-18T00:00:00"/>
    <d v="2023-10-08T00:00:00"/>
    <n v="20"/>
    <s v="9-2023"/>
    <x v="1"/>
    <x v="4"/>
    <s v="Delhi"/>
    <s v="Small Business"/>
    <x v="4"/>
    <s v="B. Chen"/>
    <s v="Components"/>
    <s v="CMP-1009"/>
    <n v="825.64"/>
    <n v="1108.43"/>
    <n v="0.114"/>
    <n v="7"/>
    <n v="6874.4828600000001"/>
    <n v="5779.48"/>
    <n v="1095.0028600000005"/>
    <n v="0.15928512475773349"/>
    <s v="Q3-2023"/>
    <s v="Asia → India → Delhi"/>
    <s v="Low"/>
    <n v="2023"/>
    <n v="9"/>
    <s v="No"/>
    <s v="No"/>
    <n v="0.1"/>
    <n v="866.92200000000003"/>
    <n v="7.28"/>
    <n v="7262.4333600000009"/>
    <n v="6311.1921600000005"/>
    <n v="951.24120000000039"/>
  </r>
  <r>
    <s v="ORD-2023-825836"/>
    <d v="2023-07-19T00:00:00"/>
    <d v="2023-07-31T00:00:00"/>
    <d v="2023-07-19T00:00:00"/>
    <d v="2023-07-31T00:00:00"/>
    <n v="12"/>
    <s v="7-2023"/>
    <x v="2"/>
    <x v="5"/>
    <s v="Rio de Janeiro"/>
    <s v="Corporate"/>
    <x v="0"/>
    <s v="C. Otieno"/>
    <s v="Monitors"/>
    <s v="MON-7869"/>
    <n v="1334.64"/>
    <n v="2273.42"/>
    <n v="0.11799999999999999"/>
    <n v="14"/>
    <n v="28072.190160000002"/>
    <n v="18684.960000000003"/>
    <n v="9387.2301599999992"/>
    <n v="0.33439607335575267"/>
    <s v="Q3-2023"/>
    <s v="Americas → Brazil → Rio de Janeiro"/>
    <s v="High"/>
    <n v="2023"/>
    <n v="7"/>
    <s v="No"/>
    <s v="No"/>
    <n v="0.1"/>
    <n v="1401.3720000000001"/>
    <n v="14.56"/>
    <n v="29790.895680000005"/>
    <n v="20403.976320000002"/>
    <n v="9386.9193600000035"/>
  </r>
  <r>
    <s v="ORD-2024-638884"/>
    <d v="2024-05-28T00:00:00"/>
    <d v="2024-05-26T00:00:00"/>
    <d v="2024-05-26T00:00:00"/>
    <d v="2024-05-28T00:00:00"/>
    <n v="2"/>
    <s v="5-2024"/>
    <x v="0"/>
    <x v="1"/>
    <s v="Abuja"/>
    <s v="Enterprise"/>
    <x v="1"/>
    <s v="F. Müller"/>
    <s v="Accessories"/>
    <s v="ACC-5177"/>
    <n v="1227.08"/>
    <n v="1896.62"/>
    <n v="0"/>
    <n v="18"/>
    <n v="34139.159999999996"/>
    <n v="22087.439999999999"/>
    <n v="12051.719999999998"/>
    <n v="0.353017473189147"/>
    <s v="Q2-2024"/>
    <s v="Africa → Nigeria → Abuja"/>
    <s v="Medium"/>
    <n v="2024"/>
    <n v="5"/>
    <s v="Yes"/>
    <s v="No"/>
    <n v="0"/>
    <n v="1288.434"/>
    <n v="18.72"/>
    <n v="35504.726399999992"/>
    <n v="24119.484479999999"/>
    <n v="11385.241919999993"/>
  </r>
  <r>
    <s v="ORD-2023-290279"/>
    <d v="2023-06-14T00:00:00"/>
    <d v="2023-06-16T00:00:00"/>
    <d v="2023-06-14T00:00:00"/>
    <d v="2023-06-16T00:00:00"/>
    <n v="2"/>
    <s v="6-2023"/>
    <x v="3"/>
    <x v="7"/>
    <s v="Manchester"/>
    <s v="Non-Profit"/>
    <x v="4"/>
    <s v="K. Singh"/>
    <s v="Components"/>
    <s v="CMP-5820"/>
    <n v="357.36"/>
    <n v="703.62"/>
    <n v="0.25700000000000001"/>
    <n v="20"/>
    <n v="10455.7932"/>
    <n v="7147.2000000000007"/>
    <n v="3308.5931999999993"/>
    <n v="0.31643636563125593"/>
    <s v="Q2-2023"/>
    <s v="Europe → United Kingdom → Manchester"/>
    <s v="Low"/>
    <n v="2023"/>
    <n v="6"/>
    <s v="Yes"/>
    <s v="Yes"/>
    <n v="0.1"/>
    <n v="375.22800000000001"/>
    <n v="20.8"/>
    <n v="13171.7664"/>
    <n v="7804.7424000000001"/>
    <n v="5367.0240000000003"/>
  </r>
  <r>
    <s v="ORD-2024-192263"/>
    <d v="2024-11-21T00:00:00"/>
    <d v="2024-12-21T00:00:00"/>
    <d v="2024-11-21T00:00:00"/>
    <d v="2024-12-21T00:00:00"/>
    <n v="30"/>
    <s v="11-2024"/>
    <x v="3"/>
    <x v="6"/>
    <s v="Marseille"/>
    <s v="Small Business"/>
    <x v="4"/>
    <s v="I. Johnson"/>
    <s v="Monitors"/>
    <s v="MON-7943"/>
    <n v="1122.68"/>
    <n v="1997.19"/>
    <n v="0.186"/>
    <n v="3"/>
    <n v="4877.1379800000004"/>
    <n v="3368.04"/>
    <n v="1509.0979800000005"/>
    <n v="0.30942285951073306"/>
    <s v="Q4-2024"/>
    <s v="Europe → France → Marseille"/>
    <s v="High"/>
    <n v="2024"/>
    <n v="11"/>
    <s v="No"/>
    <s v="No"/>
    <n v="0.1"/>
    <n v="1178.8140000000001"/>
    <n v="3.12"/>
    <n v="5608.1095200000009"/>
    <n v="3677.8996800000004"/>
    <n v="1930.2098400000004"/>
  </r>
  <r>
    <s v="ORD-2023-159379"/>
    <d v="2023-02-08T00:00:00"/>
    <d v="2023-02-11T00:00:00"/>
    <d v="2023-02-08T00:00:00"/>
    <d v="2023-02-11T00:00:00"/>
    <n v="3"/>
    <s v="2-2023"/>
    <x v="0"/>
    <x v="10"/>
    <s v="Cape Town"/>
    <s v="Corporate"/>
    <x v="4"/>
    <s v="M. Rossi"/>
    <s v="Networking"/>
    <s v="NET-5018"/>
    <n v="1410.05"/>
    <n v="2763.95"/>
    <n v="0.161"/>
    <n v="26"/>
    <n v="60292.805299999993"/>
    <n v="36661.299999999996"/>
    <n v="23631.505299999997"/>
    <n v="0.39194569206750779"/>
    <s v="Q1-2023"/>
    <s v="Africa → South Africa → Cape Town"/>
    <s v="High"/>
    <n v="2023"/>
    <n v="2"/>
    <s v="Yes"/>
    <s v="No"/>
    <n v="0.1"/>
    <n v="1480.5525"/>
    <n v="27.04"/>
    <n v="67263.487200000003"/>
    <n v="40034.139600000002"/>
    <n v="27229.347600000001"/>
  </r>
  <r>
    <s v="ORD-2023-343322"/>
    <d v="2023-08-19T00:00:00"/>
    <d v="2023-09-12T00:00:00"/>
    <d v="2023-08-19T00:00:00"/>
    <d v="2023-09-12T00:00:00"/>
    <n v="24"/>
    <s v="8-2023"/>
    <x v="2"/>
    <x v="3"/>
    <s v="Vancouver"/>
    <s v="Enterprise"/>
    <x v="0"/>
    <s v="I. Johnson"/>
    <s v="Printers"/>
    <s v="PRN-9669"/>
    <n v="1183.95"/>
    <n v="1503.53"/>
    <n v="0.24099999999999999"/>
    <n v="16"/>
    <n v="18258.868320000001"/>
    <n v="18943.2"/>
    <n v="-684.33167999999932"/>
    <n v="-3.7479413729623705E-2"/>
    <s v="Q3-2023"/>
    <s v="Americas → Canada → Vancouver"/>
    <s v="Medium"/>
    <n v="2023"/>
    <n v="8"/>
    <s v="No"/>
    <s v="Yes"/>
    <n v="0.1"/>
    <n v="1243.1475"/>
    <n v="16.64"/>
    <n v="22516.865280000002"/>
    <n v="20685.974400000003"/>
    <n v="1830.890879999999"/>
  </r>
  <r>
    <s v="ORD-2025-114382"/>
    <d v="2025-05-14T00:00:00"/>
    <d v="2025-05-24T00:00:00"/>
    <d v="2025-05-14T00:00:00"/>
    <d v="2025-05-24T00:00:00"/>
    <n v="10"/>
    <s v="5-2025"/>
    <x v="3"/>
    <x v="6"/>
    <s v="Paris"/>
    <s v="Small Business"/>
    <x v="2"/>
    <s v="K. Singh"/>
    <s v="Components"/>
    <s v="CMP-2865"/>
    <n v="170.39"/>
    <n v="388.04"/>
    <n v="8.4000000000000005E-2"/>
    <n v="15"/>
    <n v="5331.6696000000002"/>
    <n v="2555.85"/>
    <n v="2775.8196000000003"/>
    <n v="0.52062858508711796"/>
    <s v="Q2-2025"/>
    <s v="Europe → France → Paris"/>
    <s v="Low"/>
    <n v="2025"/>
    <n v="5"/>
    <s v="No"/>
    <s v="No"/>
    <n v="8.4000000000000005E-2"/>
    <n v="178.90949999999998"/>
    <n v="15.600000000000001"/>
    <n v="5544.9363840000015"/>
    <n v="2790.9881999999998"/>
    <n v="2753.9481840000017"/>
  </r>
  <r>
    <s v="ORD-2025-488349"/>
    <d v="2025-04-23T00:00:00"/>
    <d v="2025-04-22T00:00:00"/>
    <d v="2025-04-22T00:00:00"/>
    <d v="2025-04-23T00:00:00"/>
    <n v="1"/>
    <s v="4-2025"/>
    <x v="2"/>
    <x v="9"/>
    <s v="San Francisco"/>
    <s v="Non-Profit"/>
    <x v="3"/>
    <s v="D. Smith"/>
    <s v="Monitors"/>
    <s v="MON-3371"/>
    <n v="23.24"/>
    <n v="44.57"/>
    <n v="0.215"/>
    <n v="15"/>
    <n v="524.81174999999996"/>
    <n v="348.59999999999997"/>
    <n v="176.21174999999999"/>
    <n v="0.33576182316802167"/>
    <s v="Q2-2025"/>
    <s v="Americas → USA → San Francisco"/>
    <s v="Low"/>
    <n v="2025"/>
    <n v="4"/>
    <s v="Yes"/>
    <s v="Yes"/>
    <n v="0.1"/>
    <n v="24.402000000000001"/>
    <n v="15.600000000000001"/>
    <n v="625.76280000000008"/>
    <n v="380.67120000000006"/>
    <n v="245.09160000000003"/>
  </r>
  <r>
    <s v="ORD-2025-330203"/>
    <d v="2025-03-25T00:00:00"/>
    <d v="2025-04-17T00:00:00"/>
    <d v="2025-03-25T00:00:00"/>
    <d v="2025-04-17T00:00:00"/>
    <n v="23"/>
    <s v="3-2025"/>
    <x v="3"/>
    <x v="7"/>
    <s v="London"/>
    <s v="Consumer"/>
    <x v="0"/>
    <s v="H. Kim"/>
    <s v="Networking"/>
    <s v="NET-7166"/>
    <n v="1421.19"/>
    <n v="1808.26"/>
    <n v="0.104"/>
    <n v="13"/>
    <n v="21062.61248"/>
    <n v="18475.47"/>
    <n v="2587.1424799999986"/>
    <n v="0.12283103449093123"/>
    <s v="Q1-2025"/>
    <s v="Europe → United Kingdom → London"/>
    <s v="Medium"/>
    <n v="2025"/>
    <n v="3"/>
    <s v="No"/>
    <s v="No"/>
    <n v="0.1"/>
    <n v="1492.2495000000001"/>
    <n v="13.52"/>
    <n v="22002.90768"/>
    <n v="20175.213240000001"/>
    <n v="1827.6944399999993"/>
  </r>
  <r>
    <s v="ORD-2023-841426"/>
    <d v="2023-12-22T00:00:00"/>
    <d v="2023-12-23T00:00:00"/>
    <d v="2023-12-22T00:00:00"/>
    <d v="2023-12-23T00:00:00"/>
    <n v="1"/>
    <s v="12-2023"/>
    <x v="0"/>
    <x v="10"/>
    <s v="Cape Town"/>
    <s v="Non-Profit"/>
    <x v="2"/>
    <s v="D. Smith"/>
    <s v="Components"/>
    <s v="CMP-4531"/>
    <n v="1186.18"/>
    <n v="1285.0899999999999"/>
    <n v="7.0000000000000007E-2"/>
    <n v="11"/>
    <n v="13146.470699999998"/>
    <n v="13047.980000000001"/>
    <n v="98.49069999999665"/>
    <n v="7.4917977796121861E-3"/>
    <s v="Q4-2023"/>
    <s v="Africa → South Africa → Cape Town"/>
    <s v="Medium"/>
    <n v="2023"/>
    <n v="12"/>
    <s v="Yes"/>
    <s v="No"/>
    <n v="7.0000000000000007E-2"/>
    <n v="1245.489"/>
    <n v="11.440000000000001"/>
    <n v="13672.329528"/>
    <n v="14248.394160000002"/>
    <n v="-576.06463200000144"/>
  </r>
  <r>
    <s v="ORD-2024-594592"/>
    <d v="2024-04-06T00:00:00"/>
    <d v="2024-04-25T00:00:00"/>
    <d v="2024-04-06T00:00:00"/>
    <d v="2024-04-25T00:00:00"/>
    <n v="19"/>
    <s v="4-2024"/>
    <x v="1"/>
    <x v="8"/>
    <s v="Shanghai"/>
    <s v="Corporate"/>
    <x v="0"/>
    <s v="K. Singh"/>
    <s v="Components"/>
    <s v="CMP-8196"/>
    <n v="1366.48"/>
    <n v="1678.14"/>
    <n v="0.154"/>
    <n v="10"/>
    <n v="14197.064400000001"/>
    <n v="13664.8"/>
    <n v="532.26440000000184"/>
    <n v="3.7491159087790132E-2"/>
    <s v="Q2-2024"/>
    <s v="Asia → China → Shanghai"/>
    <s v="Medium"/>
    <n v="2024"/>
    <n v="4"/>
    <s v="No"/>
    <s v="No"/>
    <n v="0.1"/>
    <n v="1434.8040000000001"/>
    <n v="10.4"/>
    <n v="15707.390400000002"/>
    <n v="14921.961600000001"/>
    <n v="785.4288000000015"/>
  </r>
  <r>
    <s v="ORD-2025-863978"/>
    <d v="2025-08-07T00:00:00"/>
    <d v="2025-08-19T00:00:00"/>
    <d v="2025-08-07T00:00:00"/>
    <d v="2025-08-19T00:00:00"/>
    <n v="12"/>
    <s v="8-2025"/>
    <x v="0"/>
    <x v="0"/>
    <s v="Nakuru"/>
    <s v="Corporate"/>
    <x v="5"/>
    <s v="M. Rossi"/>
    <s v="Components"/>
    <s v="CMP-2854"/>
    <n v="601.51"/>
    <n v="679.35"/>
    <n v="0.188"/>
    <n v="3"/>
    <n v="1654.8966000000003"/>
    <n v="1804.53"/>
    <n v="-149.63339999999971"/>
    <n v="-9.0418579626062243E-2"/>
    <s v="Q3-2025"/>
    <s v="Africa → Kenya → Nakuru"/>
    <s v="Low"/>
    <n v="2025"/>
    <n v="8"/>
    <s v="No"/>
    <s v="No"/>
    <n v="0.1"/>
    <n v="631.58550000000002"/>
    <n v="3.12"/>
    <n v="1907.6148000000001"/>
    <n v="1970.5467600000002"/>
    <n v="-62.931960000000117"/>
  </r>
  <r>
    <s v="ORD-2024-604471"/>
    <d v="2024-01-21T00:00:00"/>
    <d v="2024-01-25T00:00:00"/>
    <d v="2024-01-21T00:00:00"/>
    <d v="2024-01-25T00:00:00"/>
    <n v="4"/>
    <s v="1-2024"/>
    <x v="1"/>
    <x v="4"/>
    <s v="Delhi"/>
    <s v="Consumer"/>
    <x v="4"/>
    <s v="C. Otieno"/>
    <s v="Monitors"/>
    <s v="MON-8973"/>
    <n v="523.70000000000005"/>
    <n v="1109.92"/>
    <n v="0.03"/>
    <n v="11"/>
    <n v="11842.8464"/>
    <n v="5760.7000000000007"/>
    <n v="6082.1463999999996"/>
    <n v="0.51357133197302973"/>
    <s v="Q1-2024"/>
    <s v="Asia → India → Delhi"/>
    <s v="Low"/>
    <n v="2024"/>
    <n v="1"/>
    <s v="Yes"/>
    <s v="No"/>
    <n v="0.03"/>
    <n v="549.8850000000001"/>
    <n v="11.440000000000001"/>
    <n v="12316.560256000002"/>
    <n v="6290.6844000000019"/>
    <n v="6025.8758560000006"/>
  </r>
  <r>
    <s v="ORD-2023-258768"/>
    <d v="2023-06-29T00:00:00"/>
    <d v="2023-07-02T00:00:00"/>
    <d v="2023-06-29T00:00:00"/>
    <d v="2023-07-02T00:00:00"/>
    <n v="3"/>
    <s v="6-2023"/>
    <x v="1"/>
    <x v="2"/>
    <s v="Nagoya"/>
    <s v="Education"/>
    <x v="2"/>
    <s v="F. Müller"/>
    <s v="Monitors"/>
    <s v="MON-2990"/>
    <n v="55.65"/>
    <n v="83.57"/>
    <n v="6.6000000000000003E-2"/>
    <n v="8"/>
    <n v="624.43503999999996"/>
    <n v="445.2"/>
    <n v="179.23503999999997"/>
    <n v="0.2870355257449998"/>
    <s v="Q2-2023"/>
    <s v="Asia → Japan → Nagoya"/>
    <s v="Low"/>
    <n v="2023"/>
    <n v="6"/>
    <s v="Yes"/>
    <s v="No"/>
    <n v="6.6000000000000003E-2"/>
    <n v="58.432499999999997"/>
    <n v="8.32"/>
    <n v="649.41244159999985"/>
    <n v="486.15839999999997"/>
    <n v="163.25404159999988"/>
  </r>
  <r>
    <s v="ORD-2025-626047"/>
    <d v="2025-04-28T00:00:00"/>
    <d v="2025-05-15T00:00:00"/>
    <d v="2025-04-28T00:00:00"/>
    <d v="2025-05-15T00:00:00"/>
    <n v="17"/>
    <s v="4-2025"/>
    <x v="1"/>
    <x v="2"/>
    <s v="Nagoya"/>
    <s v="Education"/>
    <x v="4"/>
    <s v="N. Brown"/>
    <s v="Networking"/>
    <s v="NET-1966"/>
    <n v="691.19"/>
    <n v="1284.3"/>
    <n v="7.3999999999999996E-2"/>
    <n v="7"/>
    <n v="8324.8326000000015"/>
    <n v="4838.33"/>
    <n v="3486.5026000000016"/>
    <n v="0.41880753253825198"/>
    <s v="Q2-2025"/>
    <s v="Asia → Japan → Nagoya"/>
    <s v="Medium"/>
    <n v="2025"/>
    <n v="4"/>
    <s v="No"/>
    <s v="No"/>
    <n v="7.3999999999999996E-2"/>
    <n v="725.74950000000013"/>
    <n v="7.28"/>
    <n v="8657.8259039999994"/>
    <n v="5283.456360000001"/>
    <n v="3374.3695439999983"/>
  </r>
  <r>
    <s v="ORD-2025-526752"/>
    <d v="2025-06-09T00:00:00"/>
    <d v="2025-06-25T00:00:00"/>
    <d v="2025-06-09T00:00:00"/>
    <d v="2025-06-25T00:00:00"/>
    <n v="16"/>
    <s v="6-2025"/>
    <x v="1"/>
    <x v="4"/>
    <s v="Hyderabad"/>
    <s v="Enterprise"/>
    <x v="3"/>
    <s v="M. Rossi"/>
    <s v="Phones"/>
    <s v="PHN-3482"/>
    <n v="527.33000000000004"/>
    <n v="911.72"/>
    <n v="0.14399999999999999"/>
    <n v="25"/>
    <n v="19510.808000000001"/>
    <n v="13183.250000000002"/>
    <n v="6327.5579999999991"/>
    <n v="0.32431040272652978"/>
    <s v="Q2-2025"/>
    <s v="Asia → India → Hyderabad"/>
    <s v="Low"/>
    <n v="2025"/>
    <n v="6"/>
    <s v="No"/>
    <s v="No"/>
    <n v="0.1"/>
    <n v="553.69650000000001"/>
    <n v="26"/>
    <n v="21334.248000000003"/>
    <n v="14396.109"/>
    <n v="6938.1390000000029"/>
  </r>
  <r>
    <s v="ORD-2023-630430"/>
    <d v="2023-08-04T00:00:00"/>
    <d v="2023-08-24T00:00:00"/>
    <d v="2023-08-04T00:00:00"/>
    <d v="2023-08-24T00:00:00"/>
    <n v="20"/>
    <s v="8-2023"/>
    <x v="2"/>
    <x v="5"/>
    <s v="Brasília"/>
    <s v="Non-Profit"/>
    <x v="4"/>
    <s v="Unknown Salesperson"/>
    <s v="Networking"/>
    <s v="NET-9125"/>
    <n v="582.88"/>
    <n v="1044.1400000000001"/>
    <n v="0.216"/>
    <n v="10"/>
    <n v="8186.057600000001"/>
    <n v="5828.8"/>
    <n v="2357.2576000000008"/>
    <n v="0.28796005539956138"/>
    <s v="Q3-2023"/>
    <s v="Americas → Brazil → Brasília"/>
    <s v="Low"/>
    <n v="2023"/>
    <n v="8"/>
    <s v="No"/>
    <s v="Yes"/>
    <n v="0.1"/>
    <n v="612.024"/>
    <n v="10.4"/>
    <n v="9773.1504000000023"/>
    <n v="6365.0496000000003"/>
    <n v="3408.100800000002"/>
  </r>
  <r>
    <s v="ORD-2024-451005"/>
    <d v="2024-06-30T00:00:00"/>
    <d v="2024-06-28T00:00:00"/>
    <d v="2024-06-28T00:00:00"/>
    <d v="2024-06-30T00:00:00"/>
    <n v="2"/>
    <s v="6-2024"/>
    <x v="2"/>
    <x v="5"/>
    <s v="Rio de Janeiro"/>
    <s v="Small Business"/>
    <x v="4"/>
    <s v="L. Okafor"/>
    <s v="Accessories"/>
    <s v="ACC-9162"/>
    <n v="1112.98"/>
    <n v="2095.73"/>
    <n v="7.1999999999999995E-2"/>
    <n v="17"/>
    <n v="33062.236480000007"/>
    <n v="18920.66"/>
    <n v="14141.576480000007"/>
    <n v="0.42772594916724777"/>
    <s v="Q2-2024"/>
    <s v="Americas → Brazil → Rio de Janeiro"/>
    <s v="High"/>
    <n v="2024"/>
    <n v="6"/>
    <s v="Yes"/>
    <s v="No"/>
    <n v="7.1999999999999995E-2"/>
    <n v="1168.6290000000001"/>
    <n v="17.68"/>
    <n v="34384.725939199998"/>
    <n v="20661.360720000001"/>
    <n v="13723.365219199997"/>
  </r>
  <r>
    <s v="ORD-2025-725646"/>
    <d v="2025-09-10T00:00:00"/>
    <d v="2025-09-30T00:00:00"/>
    <d v="2025-09-10T00:00:00"/>
    <d v="2025-09-30T00:00:00"/>
    <n v="20"/>
    <s v="9-2025"/>
    <x v="0"/>
    <x v="0"/>
    <s v="Mombasa"/>
    <s v="Corporate"/>
    <x v="4"/>
    <s v="L. Okafor"/>
    <s v="Phones"/>
    <s v="PHN-6954"/>
    <n v="1009.48"/>
    <n v="1088.81"/>
    <n v="0.16"/>
    <n v="6"/>
    <n v="5487.6023999999998"/>
    <n v="6056.88"/>
    <n v="-569.27760000000035"/>
    <n v="-0.10373885688219693"/>
    <s v="Q3-2025"/>
    <s v="Africa → Kenya → Mombasa"/>
    <s v="Low"/>
    <n v="2025"/>
    <n v="9"/>
    <s v="No"/>
    <s v="No"/>
    <n v="0.1"/>
    <n v="1059.954"/>
    <n v="6.24"/>
    <n v="6114.7569599999997"/>
    <n v="6614.1129599999995"/>
    <n v="-499.35599999999977"/>
  </r>
  <r>
    <s v="ORD-2023-868734"/>
    <d v="2023-04-06T00:00:00"/>
    <d v="2023-04-27T00:00:00"/>
    <d v="2023-04-06T00:00:00"/>
    <d v="2023-04-27T00:00:00"/>
    <n v="21"/>
    <s v="4-2023"/>
    <x v="3"/>
    <x v="7"/>
    <s v="Manchester"/>
    <s v="Enterprise"/>
    <x v="3"/>
    <s v="I. Johnson"/>
    <s v="Printers"/>
    <s v="PRN-8970"/>
    <n v="1084.79"/>
    <n v="2484.9899999999998"/>
    <n v="3.4000000000000002E-2"/>
    <n v="18"/>
    <n v="43209.006119999991"/>
    <n v="19526.22"/>
    <n v="23682.78611999999"/>
    <n v="0.54809837685755114"/>
    <s v="Q2-2023"/>
    <s v="Europe → United Kingdom → Manchester"/>
    <s v="High"/>
    <n v="2023"/>
    <n v="4"/>
    <s v="No"/>
    <s v="No"/>
    <n v="3.4000000000000002E-2"/>
    <n v="1139.0295000000001"/>
    <n v="18.72"/>
    <n v="44937.366364799986"/>
    <n v="21322.632239999999"/>
    <n v="23614.734124799987"/>
  </r>
  <r>
    <s v="ORD-2025-262491"/>
    <d v="2025-08-01T00:00:00"/>
    <d v="2025-08-16T00:00:00"/>
    <d v="2025-08-01T00:00:00"/>
    <d v="2025-08-16T00:00:00"/>
    <n v="15"/>
    <s v="8-2025"/>
    <x v="1"/>
    <x v="4"/>
    <s v="Unknown City"/>
    <s v="Enterprise"/>
    <x v="4"/>
    <s v="O. Wang"/>
    <s v="Monitors"/>
    <s v="MON-1822"/>
    <n v="24.44"/>
    <n v="28.69"/>
    <n v="0.14599999999999999"/>
    <n v="6"/>
    <n v="147.00756000000001"/>
    <n v="146.64000000000001"/>
    <n v="0.36755999999999744"/>
    <n v="2.5002795774584476E-3"/>
    <s v="Q3-2025"/>
    <s v="Asia → India → Unknown City"/>
    <s v="Low"/>
    <n v="2025"/>
    <n v="8"/>
    <s v="No"/>
    <s v="No"/>
    <n v="0.1"/>
    <n v="25.662000000000003"/>
    <n v="6.24"/>
    <n v="161.12304000000003"/>
    <n v="160.13088000000002"/>
    <n v="0.99216000000001259"/>
  </r>
  <r>
    <s v="ORD-2023-912395"/>
    <d v="2023-07-26T00:00:00"/>
    <d v="2023-08-25T00:00:00"/>
    <d v="2023-07-26T00:00:00"/>
    <d v="2023-08-25T00:00:00"/>
    <n v="30"/>
    <s v="7-2023"/>
    <x v="2"/>
    <x v="9"/>
    <s v="New York"/>
    <s v="Consumer"/>
    <x v="0"/>
    <s v="M. Rossi"/>
    <s v="Accessories"/>
    <s v="ACC-7078"/>
    <n v="1261.48"/>
    <n v="1643.18"/>
    <n v="0.151"/>
    <n v="23"/>
    <n v="32086.37586"/>
    <n v="29014.04"/>
    <n v="3072.3358599999992"/>
    <n v="9.5752037357079045E-2"/>
    <s v="Q3-2023"/>
    <s v="Americas → USA → New York"/>
    <s v="Medium"/>
    <n v="2023"/>
    <n v="7"/>
    <s v="No"/>
    <s v="No"/>
    <n v="0.1"/>
    <n v="1324.5540000000001"/>
    <n v="23.92"/>
    <n v="35374.379040000007"/>
    <n v="31683.331680000003"/>
    <n v="3691.0473600000041"/>
  </r>
  <r>
    <s v="ORD-2025-541501"/>
    <d v="2025-07-22T00:00:00"/>
    <d v="2025-08-18T00:00:00"/>
    <d v="2025-07-22T00:00:00"/>
    <d v="2025-08-18T00:00:00"/>
    <n v="27"/>
    <s v="7-2025"/>
    <x v="1"/>
    <x v="8"/>
    <s v="Shenzhen"/>
    <s v="Non-Profit"/>
    <x v="2"/>
    <s v="M. Rossi"/>
    <s v="Networking"/>
    <s v="NET-1804"/>
    <n v="547.32000000000005"/>
    <n v="419.17"/>
    <n v="9.1999999999999998E-2"/>
    <n v="14"/>
    <n v="5328.4890400000004"/>
    <n v="7662.4800000000005"/>
    <n v="-2333.9909600000001"/>
    <n v="-0.43802116181137907"/>
    <s v="Q3-2025"/>
    <s v="Asia → China → Shenzhen"/>
    <s v="Low"/>
    <n v="2025"/>
    <n v="7"/>
    <s v="No"/>
    <s v="No"/>
    <n v="9.1999999999999998E-2"/>
    <n v="574.68600000000004"/>
    <n v="14.56"/>
    <n v="5541.6286016000004"/>
    <n v="8367.4281600000013"/>
    <n v="-2825.7995584000009"/>
  </r>
  <r>
    <s v="ORD-2023-422918"/>
    <d v="2023-02-28T00:00:00"/>
    <d v="2023-03-20T00:00:00"/>
    <d v="2023-02-28T00:00:00"/>
    <d v="2023-03-20T00:00:00"/>
    <n v="20"/>
    <s v="2-2023"/>
    <x v="3"/>
    <x v="11"/>
    <s v="Berlin"/>
    <s v="Small Business"/>
    <x v="4"/>
    <s v="H. Kim"/>
    <s v="Laptops"/>
    <s v="LAP-3679"/>
    <n v="1200.78"/>
    <n v="2001.17"/>
    <n v="0.29199999999999998"/>
    <n v="18"/>
    <n v="25502.910479999999"/>
    <n v="21614.04"/>
    <n v="3888.8704799999978"/>
    <n v="0.15248732034132906"/>
    <s v="Q1-2023"/>
    <s v="Europe → Germany → Berlin"/>
    <s v="High"/>
    <n v="2023"/>
    <n v="2"/>
    <s v="No"/>
    <s v="Yes"/>
    <n v="0.1"/>
    <n v="1260.819"/>
    <n v="18.72"/>
    <n v="33715.712160000003"/>
    <n v="23602.531679999996"/>
    <n v="10113.180480000006"/>
  </r>
  <r>
    <s v="ORD-2025-328504"/>
    <d v="2025-01-27T00:00:00"/>
    <d v="2025-02-15T00:00:00"/>
    <d v="2025-01-27T00:00:00"/>
    <d v="2025-02-15T00:00:00"/>
    <n v="19"/>
    <s v="1-2025"/>
    <x v="1"/>
    <x v="8"/>
    <s v="Shenzhen"/>
    <s v="Non-Profit"/>
    <x v="4"/>
    <s v="L. Okafor"/>
    <s v="Phones"/>
    <s v="PHN-8368"/>
    <n v="1253.22"/>
    <n v="3104.71"/>
    <n v="0"/>
    <n v="17"/>
    <n v="52780.07"/>
    <n v="21304.74"/>
    <n v="31475.329999999998"/>
    <n v="0.59634877331538205"/>
    <s v="Q1-2025"/>
    <s v="Asia → China → Shenzhen"/>
    <s v="High"/>
    <n v="2025"/>
    <n v="1"/>
    <s v="No"/>
    <s v="No"/>
    <n v="0"/>
    <n v="1315.8810000000001"/>
    <n v="17.68"/>
    <n v="54891.272799999999"/>
    <n v="23264.77608"/>
    <n v="31626.496719999999"/>
  </r>
  <r>
    <s v="ORD-2024-851883"/>
    <d v="2024-01-13T00:00:00"/>
    <d v="2024-01-22T00:00:00"/>
    <d v="2024-01-13T00:00:00"/>
    <d v="2024-01-22T00:00:00"/>
    <n v="9"/>
    <s v="1-2024"/>
    <x v="1"/>
    <x v="4"/>
    <s v="Mumbai"/>
    <s v="Enterprise"/>
    <x v="2"/>
    <s v="J. Njeri"/>
    <s v="Components"/>
    <s v="CMP-8141"/>
    <n v="313.60000000000002"/>
    <n v="334.28"/>
    <n v="0.14000000000000001"/>
    <n v="22"/>
    <n v="6324.5775999999996"/>
    <n v="6899.2000000000007"/>
    <n v="-574.62240000000111"/>
    <n v="-9.0855458868905517E-2"/>
    <s v="Q1-2024"/>
    <s v="Asia → India → Mumbai"/>
    <s v="Low"/>
    <n v="2024"/>
    <n v="1"/>
    <s v="No"/>
    <s v="No"/>
    <n v="0.1"/>
    <n v="329.28000000000003"/>
    <n v="22.880000000000003"/>
    <n v="6883.4937600000003"/>
    <n v="7533.9264000000012"/>
    <n v="-650.4326400000009"/>
  </r>
  <r>
    <s v="ORD-2025-662997"/>
    <d v="2025-03-31T00:00:00"/>
    <d v="2025-04-04T00:00:00"/>
    <d v="2025-03-31T00:00:00"/>
    <d v="2025-04-04T00:00:00"/>
    <n v="4"/>
    <s v="3-2025"/>
    <x v="0"/>
    <x v="0"/>
    <s v="Nakuru"/>
    <s v="Corporate"/>
    <x v="4"/>
    <s v="C. Otieno"/>
    <s v="Laptops"/>
    <s v="LAP-7136"/>
    <n v="862.08"/>
    <n v="1952.83"/>
    <n v="0"/>
    <n v="7"/>
    <n v="13669.81"/>
    <n v="6034.56"/>
    <n v="7635.2499999999991"/>
    <n v="0.5585483631447693"/>
    <s v="Q1-2025"/>
    <s v="Africa → Kenya → Nakuru"/>
    <s v="High"/>
    <n v="2025"/>
    <n v="3"/>
    <s v="Yes"/>
    <s v="No"/>
    <n v="0"/>
    <n v="905.18400000000008"/>
    <n v="7.28"/>
    <n v="14216.6024"/>
    <n v="6589.739520000001"/>
    <n v="7626.8628799999988"/>
  </r>
  <r>
    <s v="ORD-2023-842820"/>
    <d v="2023-09-20T00:00:00"/>
    <d v="2023-09-28T00:00:00"/>
    <d v="2023-09-20T00:00:00"/>
    <d v="2023-09-28T00:00:00"/>
    <n v="8"/>
    <s v="9-2023"/>
    <x v="1"/>
    <x v="4"/>
    <s v="Unknown City"/>
    <s v="Corporate"/>
    <x v="5"/>
    <s v="B. Chen"/>
    <s v="Accessories"/>
    <s v="ACC-1375"/>
    <n v="1362.06"/>
    <n v="3398.37"/>
    <n v="0.157"/>
    <n v="11"/>
    <n v="31513.085009999999"/>
    <n v="14982.66"/>
    <n v="16530.425009999999"/>
    <n v="0.52455749745714919"/>
    <s v="Q3-2023"/>
    <s v="Asia → India → Unknown City"/>
    <s v="High"/>
    <n v="2023"/>
    <n v="9"/>
    <s v="No"/>
    <s v="No"/>
    <n v="0.1"/>
    <n v="1430.163"/>
    <n v="11.440000000000001"/>
    <n v="34989.61752"/>
    <n v="16361.064720000002"/>
    <n v="18628.552799999998"/>
  </r>
  <r>
    <s v="ORD-2024-771210"/>
    <d v="2024-09-14T00:00:00"/>
    <d v="2024-10-05T00:00:00"/>
    <d v="2024-09-14T00:00:00"/>
    <d v="2024-10-05T00:00:00"/>
    <n v="21"/>
    <s v="9-2024"/>
    <x v="1"/>
    <x v="8"/>
    <s v="Shanghai"/>
    <s v="Small Business"/>
    <x v="1"/>
    <s v="H. Kim"/>
    <s v="Laptops"/>
    <s v="LAP-5150"/>
    <n v="1405.56"/>
    <n v="2968.87"/>
    <n v="0.16900000000000001"/>
    <n v="5"/>
    <n v="12335.654849999999"/>
    <n v="7027.7999999999993"/>
    <n v="5307.8548499999997"/>
    <n v="0.4302856163327235"/>
    <s v="Q3-2024"/>
    <s v="Asia → China → Shanghai"/>
    <s v="High"/>
    <n v="2024"/>
    <n v="9"/>
    <s v="No"/>
    <s v="No"/>
    <n v="0.1"/>
    <n v="1475.838"/>
    <n v="5.2"/>
    <n v="13894.311600000001"/>
    <n v="7674.3576000000003"/>
    <n v="6219.9540000000006"/>
  </r>
  <r>
    <s v="ORD-2024-155337"/>
    <d v="2024-05-21T00:00:00"/>
    <d v="2024-05-27T00:00:00"/>
    <d v="2024-05-21T00:00:00"/>
    <d v="2024-05-27T00:00:00"/>
    <n v="6"/>
    <s v="5-2024"/>
    <x v="0"/>
    <x v="10"/>
    <s v="Johannesburg"/>
    <s v="Non-Profit"/>
    <x v="1"/>
    <s v="M. Rossi"/>
    <s v="Components"/>
    <s v="CMP-8101"/>
    <n v="1157.51"/>
    <n v="1394.3"/>
    <n v="0.27800000000000002"/>
    <n v="12"/>
    <n v="12080.215199999999"/>
    <n v="13890.119999999999"/>
    <n v="-1809.9048000000003"/>
    <n v="-0.14982388724333326"/>
    <s v="Q2-2024"/>
    <s v="Africa → South Africa → Johannesburg"/>
    <s v="Medium"/>
    <n v="2024"/>
    <n v="5"/>
    <s v="Yes"/>
    <s v="Yes"/>
    <n v="0.1"/>
    <n v="1215.3855000000001"/>
    <n v="12.48"/>
    <n v="15660.777600000001"/>
    <n v="15168.011040000001"/>
    <n v="492.76656000000003"/>
  </r>
  <r>
    <s v="ORD-2023-251563"/>
    <d v="2023-05-11T00:00:00"/>
    <d v="2023-06-07T00:00:00"/>
    <d v="2023-05-11T00:00:00"/>
    <d v="2023-06-07T00:00:00"/>
    <n v="27"/>
    <s v="5-2023"/>
    <x v="0"/>
    <x v="0"/>
    <s v="Mombasa"/>
    <s v="Corporate"/>
    <x v="1"/>
    <s v="J. Njeri"/>
    <s v="Phones"/>
    <s v="PHN-8970"/>
    <n v="12.85"/>
    <n v="15.41"/>
    <n v="0.13700000000000001"/>
    <n v="39"/>
    <n v="518.65436999999997"/>
    <n v="501.15"/>
    <n v="17.504369999999994"/>
    <n v="3.3749585489851353E-2"/>
    <s v="Q2-2023"/>
    <s v="Africa → Kenya → Mombasa"/>
    <s v="Low"/>
    <n v="2023"/>
    <n v="5"/>
    <s v="No"/>
    <s v="No"/>
    <n v="0.1"/>
    <n v="13.4925"/>
    <n v="40.56"/>
    <n v="562.52664000000004"/>
    <n v="547.25580000000002"/>
    <n v="15.270840000000021"/>
  </r>
  <r>
    <s v="ORD-2024-286833"/>
    <d v="2024-08-14T00:00:00"/>
    <d v="2024-09-04T00:00:00"/>
    <d v="2024-08-14T00:00:00"/>
    <d v="2024-09-04T00:00:00"/>
    <n v="21"/>
    <s v="8-2024"/>
    <x v="3"/>
    <x v="7"/>
    <s v="Manchester"/>
    <s v="Non-Profit"/>
    <x v="1"/>
    <s v="J. Njeri"/>
    <s v="Phones"/>
    <s v="PHN-2341"/>
    <n v="1138.8"/>
    <n v="2250.81"/>
    <n v="0.123"/>
    <n v="12"/>
    <n v="23687.524440000001"/>
    <n v="13665.599999999999"/>
    <n v="10021.924440000003"/>
    <n v="0.42308872188756258"/>
    <s v="Q3-2024"/>
    <s v="Europe → United Kingdom → Manchester"/>
    <s v="High"/>
    <n v="2024"/>
    <n v="8"/>
    <s v="No"/>
    <s v="No"/>
    <n v="0.1"/>
    <n v="1195.74"/>
    <n v="12.48"/>
    <n v="25281.097920000004"/>
    <n v="14922.835200000001"/>
    <n v="10358.262720000002"/>
  </r>
  <r>
    <s v="ORD-2024-792558"/>
    <d v="2024-10-16T00:00:00"/>
    <d v="2024-11-08T00:00:00"/>
    <d v="2024-10-16T00:00:00"/>
    <d v="2024-11-08T00:00:00"/>
    <n v="23"/>
    <s v="10-2024"/>
    <x v="1"/>
    <x v="2"/>
    <s v="Osaka"/>
    <s v="Small Business"/>
    <x v="0"/>
    <s v="J. Njeri"/>
    <s v="Networking"/>
    <s v="NET-6387"/>
    <n v="82.14"/>
    <n v="166.04"/>
    <n v="0"/>
    <n v="10"/>
    <n v="1660.3999999999999"/>
    <n v="821.4"/>
    <n v="838.99999999999989"/>
    <n v="0.50529992772825827"/>
    <s v="Q4-2024"/>
    <s v="Asia → Japan → Osaka"/>
    <s v="Low"/>
    <n v="2024"/>
    <n v="10"/>
    <s v="No"/>
    <s v="No"/>
    <n v="0"/>
    <n v="86.247"/>
    <n v="10.4"/>
    <n v="1726.816"/>
    <n v="896.96879999999999"/>
    <n v="829.84720000000004"/>
  </r>
  <r>
    <s v="ORD-2025-146850"/>
    <d v="2025-01-21T00:00:00"/>
    <d v="2025-02-14T00:00:00"/>
    <d v="2025-01-21T00:00:00"/>
    <d v="2025-02-14T00:00:00"/>
    <n v="24"/>
    <s v="1-2025"/>
    <x v="0"/>
    <x v="0"/>
    <s v="Nairobi"/>
    <s v="Small Business"/>
    <x v="0"/>
    <s v="J. Njeri"/>
    <s v="Accessories"/>
    <s v="ACC-1659"/>
    <n v="1030.44"/>
    <n v="2562.84"/>
    <n v="0.14799999999999999"/>
    <n v="13"/>
    <n v="28386.015839999996"/>
    <n v="13395.720000000001"/>
    <n v="14990.295839999995"/>
    <n v="0.52808734852027039"/>
    <s v="Q1-2025"/>
    <s v="Africa → Kenya → Nairobi"/>
    <s v="High"/>
    <n v="2025"/>
    <n v="1"/>
    <s v="No"/>
    <s v="No"/>
    <n v="0.1"/>
    <n v="1081.9620000000002"/>
    <n v="13.52"/>
    <n v="31184.637119999999"/>
    <n v="14628.126240000003"/>
    <n v="16556.510879999994"/>
  </r>
  <r>
    <s v="ORD-2024-909942"/>
    <d v="2024-06-09T00:00:00"/>
    <d v="2024-07-07T00:00:00"/>
    <d v="2024-06-09T00:00:00"/>
    <d v="2024-07-07T00:00:00"/>
    <n v="28"/>
    <s v="6-2024"/>
    <x v="1"/>
    <x v="8"/>
    <s v="Shenzhen"/>
    <s v="Corporate"/>
    <x v="1"/>
    <s v="J. Njeri"/>
    <s v="Components"/>
    <s v="CMP-6392"/>
    <n v="550.22"/>
    <n v="1025.05"/>
    <n v="0"/>
    <n v="27"/>
    <n v="27676.35"/>
    <n v="14855.94"/>
    <n v="12820.409999999998"/>
    <n v="0.46322618408858102"/>
    <s v="Q2-2024"/>
    <s v="Asia → China → Shenzhen"/>
    <s v="Low"/>
    <n v="2024"/>
    <n v="6"/>
    <s v="No"/>
    <s v="No"/>
    <n v="0"/>
    <n v="577.73100000000011"/>
    <n v="28.080000000000002"/>
    <n v="28783.404000000002"/>
    <n v="16222.686480000004"/>
    <n v="12560.717519999998"/>
  </r>
  <r>
    <s v="ORD-2024-223618"/>
    <d v="2024-06-10T00:00:00"/>
    <d v="2024-06-11T00:00:00"/>
    <d v="2024-06-10T00:00:00"/>
    <d v="2024-06-11T00:00:00"/>
    <n v="1"/>
    <s v="6-2024"/>
    <x v="3"/>
    <x v="7"/>
    <s v="Birmingham"/>
    <s v="Small Business"/>
    <x v="2"/>
    <s v="M. Rossi"/>
    <s v="Laptops"/>
    <s v="LAP-9230"/>
    <n v="1187.1300000000001"/>
    <n v="1795.17"/>
    <n v="1.2E-2"/>
    <n v="17"/>
    <n v="30151.675319999998"/>
    <n v="20181.210000000003"/>
    <n v="9970.4653199999957"/>
    <n v="0.33067699271046663"/>
    <s v="Q2-2024"/>
    <s v="Europe → United Kingdom → Birmingham"/>
    <s v="Medium"/>
    <n v="2024"/>
    <n v="6"/>
    <s v="Yes"/>
    <s v="No"/>
    <n v="1.2E-2"/>
    <n v="1246.4865000000002"/>
    <n v="17.68"/>
    <n v="31357.7423328"/>
    <n v="22037.881320000004"/>
    <n v="9319.8610127999964"/>
  </r>
  <r>
    <s v="ORD-2024-919471"/>
    <d v="2024-06-29T00:00:00"/>
    <d v="2024-07-26T00:00:00"/>
    <d v="2024-06-29T00:00:00"/>
    <d v="2024-07-26T00:00:00"/>
    <n v="27"/>
    <s v="6-2024"/>
    <x v="0"/>
    <x v="10"/>
    <s v="Durban"/>
    <s v="Enterprise"/>
    <x v="3"/>
    <s v="B. Chen"/>
    <s v="Networking"/>
    <s v="NET-4241"/>
    <n v="5.36"/>
    <n v="4.37"/>
    <n v="0.11799999999999999"/>
    <n v="9"/>
    <n v="34.689059999999998"/>
    <n v="48.24"/>
    <n v="-13.550940000000004"/>
    <n v="-0.39064016148030545"/>
    <s v="Q2-2024"/>
    <s v="Africa → South Africa → Durban"/>
    <s v="Low"/>
    <n v="2024"/>
    <n v="6"/>
    <s v="No"/>
    <s v="No"/>
    <n v="0.1"/>
    <n v="5.628000000000001"/>
    <n v="9.36"/>
    <n v="36.81288"/>
    <n v="52.678080000000008"/>
    <n v="-15.865200000000009"/>
  </r>
  <r>
    <s v="ORD-2024-277241"/>
    <d v="2024-01-28T00:00:00"/>
    <d v="2024-01-30T00:00:00"/>
    <d v="2024-01-28T00:00:00"/>
    <d v="2024-01-30T00:00:00"/>
    <n v="2"/>
    <s v="1-2024"/>
    <x v="0"/>
    <x v="10"/>
    <s v="Cape Town"/>
    <s v="Consumer"/>
    <x v="4"/>
    <s v="F. Müller"/>
    <s v="Accessories"/>
    <s v="ACC-6223"/>
    <n v="798.45"/>
    <n v="1592.02"/>
    <n v="6.6000000000000003E-2"/>
    <n v="18"/>
    <n v="26765.040239999998"/>
    <n v="14372.1"/>
    <n v="12392.940239999998"/>
    <n v="0.46302714768494585"/>
    <s v="Q1-2024"/>
    <s v="Africa → South Africa → Cape Town"/>
    <s v="Medium"/>
    <n v="2024"/>
    <n v="1"/>
    <s v="Yes"/>
    <s v="No"/>
    <n v="6.6000000000000003E-2"/>
    <n v="838.37250000000006"/>
    <n v="18.72"/>
    <n v="27835.641849599997"/>
    <n v="15694.333200000001"/>
    <n v="12141.308649599996"/>
  </r>
  <r>
    <s v="ORD-2023-975863"/>
    <d v="2023-11-20T00:00:00"/>
    <d v="2023-12-05T00:00:00"/>
    <d v="2023-11-20T00:00:00"/>
    <d v="2023-12-05T00:00:00"/>
    <n v="15"/>
    <s v="11-2023"/>
    <x v="1"/>
    <x v="2"/>
    <s v="Tokyo"/>
    <s v="Enterprise"/>
    <x v="0"/>
    <s v="L. Okafor"/>
    <s v="Networking"/>
    <s v="NET-3033"/>
    <n v="354.24"/>
    <n v="249.87"/>
    <n v="0"/>
    <n v="6"/>
    <n v="1499.22"/>
    <n v="2125.44"/>
    <n v="-626.22"/>
    <n v="-0.41769720254532355"/>
    <s v="Q4-2023"/>
    <s v="Asia → Japan → Tokyo"/>
    <s v="Low"/>
    <n v="2023"/>
    <n v="11"/>
    <s v="No"/>
    <s v="No"/>
    <n v="0"/>
    <n v="371.952"/>
    <n v="6.24"/>
    <n v="1559.1888000000001"/>
    <n v="2320.9804800000002"/>
    <n v="-761.79168000000004"/>
  </r>
  <r>
    <s v="ORD-2023-867175"/>
    <d v="2023-08-10T00:00:00"/>
    <d v="2023-08-15T00:00:00"/>
    <d v="2023-08-10T00:00:00"/>
    <d v="2023-08-15T00:00:00"/>
    <n v="5"/>
    <s v="8-2023"/>
    <x v="2"/>
    <x v="5"/>
    <s v="São Paulo"/>
    <s v="Education"/>
    <x v="4"/>
    <s v="G. Dubois"/>
    <s v="Networking"/>
    <s v="NET-2894"/>
    <n v="1307.52"/>
    <n v="1921.65"/>
    <n v="0.123"/>
    <n v="13"/>
    <n v="21908.731650000002"/>
    <n v="16997.759999999998"/>
    <n v="4910.9716500000031"/>
    <n v="0.22415590863289445"/>
    <s v="Q3-2023"/>
    <s v="Americas → Brazil → São Paulo"/>
    <s v="High"/>
    <n v="2023"/>
    <n v="8"/>
    <s v="Yes"/>
    <s v="No"/>
    <n v="0.1"/>
    <n v="1372.896"/>
    <n v="13.52"/>
    <n v="23382.637200000001"/>
    <n v="18561.553919999998"/>
    <n v="4821.0832800000026"/>
  </r>
  <r>
    <s v="ORD-2025-698069"/>
    <d v="2025-06-03T00:00:00"/>
    <d v="2025-06-10T00:00:00"/>
    <d v="2025-06-03T00:00:00"/>
    <d v="2025-06-10T00:00:00"/>
    <n v="7"/>
    <s v="6-2025"/>
    <x v="2"/>
    <x v="3"/>
    <s v="Toronto"/>
    <s v="Consumer"/>
    <x v="3"/>
    <s v="O. Wang"/>
    <s v="Printers"/>
    <s v="PRN-6429"/>
    <n v="75.180000000000007"/>
    <n v="53.45"/>
    <n v="0.157"/>
    <n v="17"/>
    <n v="765.99195000000009"/>
    <n v="1278.0600000000002"/>
    <n v="-512.06805000000008"/>
    <n v="-0.66850317421743144"/>
    <s v="Q2-2025"/>
    <s v="Americas → Canada → Toronto"/>
    <s v="Low"/>
    <n v="2025"/>
    <n v="6"/>
    <s v="Yes"/>
    <s v="No"/>
    <n v="0.1"/>
    <n v="78.939000000000007"/>
    <n v="17.68"/>
    <n v="850.49639999999999"/>
    <n v="1395.6415200000001"/>
    <n v="-545.14512000000013"/>
  </r>
  <r>
    <s v="ORD-2024-474999"/>
    <d v="2024-12-27T00:00:00"/>
    <d v="2025-01-02T00:00:00"/>
    <d v="2024-12-27T00:00:00"/>
    <d v="2025-01-02T00:00:00"/>
    <n v="6"/>
    <s v="12-2024"/>
    <x v="3"/>
    <x v="11"/>
    <s v="Frankfurt"/>
    <s v="Education"/>
    <x v="4"/>
    <s v="F. Müller"/>
    <s v="Laptops"/>
    <s v="LAP-8214"/>
    <n v="1391.99"/>
    <n v="3469.7"/>
    <n v="0.184"/>
    <n v="23"/>
    <n v="65119.329599999997"/>
    <n v="32015.77"/>
    <n v="33103.559599999993"/>
    <n v="0.50835227886006973"/>
    <s v="Q4-2024"/>
    <s v="Europe → Germany → Frankfurt"/>
    <s v="High"/>
    <n v="2024"/>
    <n v="12"/>
    <s v="Yes"/>
    <s v="No"/>
    <n v="0.1"/>
    <n v="1461.5895"/>
    <n v="23.92"/>
    <n v="74695.7016"/>
    <n v="34961.220840000002"/>
    <n v="39734.480759999999"/>
  </r>
  <r>
    <s v="ORD-2023-427304"/>
    <d v="2023-06-09T00:00:00"/>
    <d v="2023-06-19T00:00:00"/>
    <d v="2023-06-09T00:00:00"/>
    <d v="2023-06-19T00:00:00"/>
    <n v="10"/>
    <s v="6-2023"/>
    <x v="1"/>
    <x v="8"/>
    <s v="Beijing"/>
    <s v="Enterprise"/>
    <x v="0"/>
    <s v="F. Müller"/>
    <s v="Monitors"/>
    <s v="MON-9194"/>
    <n v="339.61"/>
    <n v="621.02"/>
    <n v="7.0999999999999994E-2"/>
    <n v="10"/>
    <n v="5769.2758000000003"/>
    <n v="3396.1000000000004"/>
    <n v="2373.1758"/>
    <n v="0.41134726129750981"/>
    <s v="Q2-2023"/>
    <s v="Asia → China → Beijing"/>
    <s v="Low"/>
    <n v="2023"/>
    <n v="6"/>
    <s v="No"/>
    <s v="No"/>
    <n v="7.0999999999999994E-2"/>
    <n v="356.59050000000002"/>
    <n v="10.4"/>
    <n v="6000.0468320000009"/>
    <n v="3708.5412000000001"/>
    <n v="2291.5056320000008"/>
  </r>
  <r>
    <s v="ORD-2025-956101"/>
    <d v="2025-07-09T00:00:00"/>
    <d v="2025-07-18T00:00:00"/>
    <d v="2025-07-09T00:00:00"/>
    <d v="2025-07-18T00:00:00"/>
    <n v="9"/>
    <s v="7-2025"/>
    <x v="2"/>
    <x v="3"/>
    <s v="Vancouver"/>
    <s v="Education"/>
    <x v="3"/>
    <s v="I. Johnson"/>
    <s v="Laptops"/>
    <s v="LAP-2218"/>
    <n v="57.96"/>
    <n v="88.51"/>
    <n v="4.2999999999999997E-2"/>
    <n v="7"/>
    <n v="592.92849000000001"/>
    <n v="405.72"/>
    <n v="187.20848999999998"/>
    <n v="0.3157353595877978"/>
    <s v="Q3-2025"/>
    <s v="Americas → Canada → Vancouver"/>
    <s v="Low"/>
    <n v="2025"/>
    <n v="7"/>
    <s v="No"/>
    <s v="No"/>
    <n v="4.2999999999999997E-2"/>
    <n v="60.858000000000004"/>
    <n v="7.28"/>
    <n v="616.64562960000012"/>
    <n v="443.04624000000007"/>
    <n v="173.59938960000005"/>
  </r>
  <r>
    <s v="ORD-2025-184082"/>
    <d v="2025-06-19T00:00:00"/>
    <d v="2025-07-12T00:00:00"/>
    <d v="2025-06-19T00:00:00"/>
    <d v="2025-07-12T00:00:00"/>
    <n v="23"/>
    <s v="6-2025"/>
    <x v="3"/>
    <x v="7"/>
    <s v="Unknown City"/>
    <s v="Non-Profit"/>
    <x v="4"/>
    <s v="Unknown Salesperson"/>
    <s v="Networking"/>
    <s v="NET-6370"/>
    <n v="801.24"/>
    <n v="1959.09"/>
    <n v="0.123"/>
    <n v="23"/>
    <n v="39516.804389999998"/>
    <n v="18428.52"/>
    <n v="21088.284389999997"/>
    <n v="0.53365358650651762"/>
    <s v="Q2-2025"/>
    <s v="Europe → United Kingdom → Unknown City"/>
    <s v="High"/>
    <n v="2025"/>
    <n v="6"/>
    <s v="No"/>
    <s v="No"/>
    <n v="0.1"/>
    <n v="841.30200000000002"/>
    <n v="23.92"/>
    <n v="42175.289520000006"/>
    <n v="20123.943840000004"/>
    <n v="22051.345680000002"/>
  </r>
  <r>
    <s v="ORD-2023-576840"/>
    <d v="2023-11-19T00:00:00"/>
    <d v="2023-12-13T00:00:00"/>
    <d v="2023-11-19T00:00:00"/>
    <d v="2023-12-13T00:00:00"/>
    <n v="24"/>
    <s v="11-2023"/>
    <x v="3"/>
    <x v="6"/>
    <s v="Lyon"/>
    <s v="Non-Profit"/>
    <x v="4"/>
    <s v="H. Kim"/>
    <s v="Monitors"/>
    <s v="MON-3745"/>
    <n v="1297.42"/>
    <n v="2742.97"/>
    <n v="6.9000000000000006E-2"/>
    <n v="9"/>
    <n v="22983.34563"/>
    <n v="11676.78"/>
    <n v="11306.565629999999"/>
    <n v="0.49194602961727291"/>
    <s v="Q4-2023"/>
    <s v="Europe → France → Lyon"/>
    <s v="High"/>
    <n v="2023"/>
    <n v="11"/>
    <s v="No"/>
    <s v="No"/>
    <n v="6.9000000000000006E-2"/>
    <n v="1362.2910000000002"/>
    <n v="9.36"/>
    <n v="23902.679455199996"/>
    <n v="12751.04376"/>
    <n v="11151.635695199995"/>
  </r>
  <r>
    <s v="ORD-2023-178249"/>
    <d v="2023-12-29T00:00:00"/>
    <d v="2024-01-20T00:00:00"/>
    <d v="2023-12-29T00:00:00"/>
    <d v="2024-01-20T00:00:00"/>
    <n v="22"/>
    <s v="12-2023"/>
    <x v="0"/>
    <x v="0"/>
    <s v="Kisumu"/>
    <s v="Corporate"/>
    <x v="4"/>
    <s v="L. Okafor"/>
    <s v="Phones"/>
    <s v="PHN-7924"/>
    <n v="1395.49"/>
    <n v="1679.42"/>
    <n v="0.20300000000000001"/>
    <n v="12"/>
    <n v="16061.972879999999"/>
    <n v="16745.88"/>
    <n v="-683.90712000000167"/>
    <n v="-4.2579272490964493E-2"/>
    <s v="Q4-2023"/>
    <s v="Africa → Kenya → Kisumu"/>
    <s v="Medium"/>
    <n v="2023"/>
    <n v="12"/>
    <s v="No"/>
    <s v="Yes"/>
    <n v="0.1"/>
    <n v="1465.2645"/>
    <n v="12.48"/>
    <n v="18863.245440000002"/>
    <n v="18286.500960000001"/>
    <n v="576.7444800000012"/>
  </r>
  <r>
    <s v="ORD-2023-552115"/>
    <d v="2023-09-17T00:00:00"/>
    <d v="2023-10-02T00:00:00"/>
    <d v="2023-09-17T00:00:00"/>
    <d v="2023-10-02T00:00:00"/>
    <n v="15"/>
    <s v="9-2023"/>
    <x v="2"/>
    <x v="5"/>
    <s v="Rio de Janeiro"/>
    <s v="Small Business"/>
    <x v="0"/>
    <s v="B. Chen"/>
    <s v="Laptops"/>
    <s v="LAP-4932"/>
    <n v="689.33"/>
    <n v="668.27"/>
    <n v="0.186"/>
    <n v="13"/>
    <n v="7071.6331400000008"/>
    <n v="8961.2900000000009"/>
    <n v="-1889.6568600000001"/>
    <n v="-0.26721647214861033"/>
    <s v="Q3-2023"/>
    <s v="Americas → Brazil → Rio de Janeiro"/>
    <s v="Low"/>
    <n v="2023"/>
    <n v="9"/>
    <s v="No"/>
    <s v="No"/>
    <n v="0.1"/>
    <n v="723.79650000000004"/>
    <n v="13.52"/>
    <n v="8131.5093599999991"/>
    <n v="9785.7286800000002"/>
    <n v="-1654.2193200000011"/>
  </r>
  <r>
    <s v="ORD-2023-603238"/>
    <d v="2023-08-21T00:00:00"/>
    <d v="2023-09-04T00:00:00"/>
    <d v="2023-08-21T00:00:00"/>
    <d v="2023-09-04T00:00:00"/>
    <n v="14"/>
    <s v="8-2023"/>
    <x v="2"/>
    <x v="3"/>
    <s v="Montreal"/>
    <s v="Education"/>
    <x v="3"/>
    <s v="F. Müller"/>
    <s v="Components"/>
    <s v="CMP-2136"/>
    <n v="178.19"/>
    <n v="284.43"/>
    <n v="8.8999999999999996E-2"/>
    <n v="8"/>
    <n v="2072.9258400000003"/>
    <n v="1425.52"/>
    <n v="647.40584000000035"/>
    <n v="0.31231500302972742"/>
    <s v="Q3-2023"/>
    <s v="Americas → Canada → Montreal"/>
    <s v="Low"/>
    <n v="2023"/>
    <n v="8"/>
    <s v="No"/>
    <s v="No"/>
    <n v="8.8999999999999996E-2"/>
    <n v="187.09950000000001"/>
    <n v="8.32"/>
    <n v="2155.8428736000001"/>
    <n v="1556.6678400000001"/>
    <n v="599.17503360000001"/>
  </r>
  <r>
    <s v="ORD-2023-883066"/>
    <d v="2023-08-12T00:00:00"/>
    <d v="2023-09-06T00:00:00"/>
    <d v="2023-08-12T00:00:00"/>
    <d v="2023-09-06T00:00:00"/>
    <n v="25"/>
    <s v="8-2023"/>
    <x v="1"/>
    <x v="8"/>
    <s v="Shanghai"/>
    <s v="Small Business"/>
    <x v="0"/>
    <s v="B. Chen"/>
    <s v="Components"/>
    <s v="CMP-6352"/>
    <n v="950.77"/>
    <n v="694.78"/>
    <n v="8.4000000000000005E-2"/>
    <n v="14"/>
    <n v="8909.8587200000002"/>
    <n v="13310.779999999999"/>
    <n v="-4400.9212799999987"/>
    <n v="-0.49393839097821279"/>
    <s v="Q3-2023"/>
    <s v="Asia → China → Shanghai"/>
    <s v="Low"/>
    <n v="2023"/>
    <n v="8"/>
    <s v="No"/>
    <s v="No"/>
    <n v="8.4000000000000005E-2"/>
    <n v="998.30849999999998"/>
    <n v="14.56"/>
    <n v="9266.2530688000006"/>
    <n v="14535.37176"/>
    <n v="-5269.1186911999994"/>
  </r>
  <r>
    <s v="ORD-2024-584090"/>
    <d v="2024-06-07T00:00:00"/>
    <d v="2024-06-26T00:00:00"/>
    <d v="2024-06-07T00:00:00"/>
    <d v="2024-06-26T00:00:00"/>
    <n v="19"/>
    <s v="6-2024"/>
    <x v="3"/>
    <x v="11"/>
    <s v="Berlin"/>
    <s v="Non-Profit"/>
    <x v="2"/>
    <s v="M. Rossi"/>
    <s v="Components"/>
    <s v="CMP-2040"/>
    <n v="1064.32"/>
    <n v="1848.39"/>
    <n v="7.2999999999999995E-2"/>
    <n v="38"/>
    <n v="65111.38614000001"/>
    <n v="40444.159999999996"/>
    <n v="24667.226140000013"/>
    <n v="0.3788465827921631"/>
    <s v="Q2-2024"/>
    <s v="Europe → Germany → Berlin"/>
    <s v="Medium"/>
    <n v="2024"/>
    <n v="6"/>
    <s v="No"/>
    <s v="No"/>
    <n v="7.2999999999999995E-2"/>
    <n v="1117.5360000000001"/>
    <n v="39.520000000000003"/>
    <n v="67715.841585600021"/>
    <n v="44165.022720000008"/>
    <n v="23550.818865600013"/>
  </r>
  <r>
    <s v="ORD-2025-537785"/>
    <d v="2025-08-05T00:00:00"/>
    <d v="2025-08-14T00:00:00"/>
    <d v="2025-08-05T00:00:00"/>
    <d v="2025-08-14T00:00:00"/>
    <n v="9"/>
    <s v="8-2025"/>
    <x v="3"/>
    <x v="7"/>
    <s v="London"/>
    <s v="Non-Profit"/>
    <x v="4"/>
    <s v="E. Garcia"/>
    <s v="Components"/>
    <s v="CMP-6346"/>
    <n v="41.76"/>
    <n v="45.19"/>
    <n v="0.17899999999999999"/>
    <n v="23"/>
    <n v="853.32276999999988"/>
    <n v="960.4799999999999"/>
    <n v="-107.15723000000003"/>
    <n v="-0.12557643340514638"/>
    <s v="Q3-2025"/>
    <s v="Europe → United Kingdom → London"/>
    <s v="Low"/>
    <n v="2025"/>
    <n v="8"/>
    <s v="No"/>
    <s v="No"/>
    <n v="0.1"/>
    <n v="43.847999999999999"/>
    <n v="23.92"/>
    <n v="972.85032000000001"/>
    <n v="1048.8441600000001"/>
    <n v="-75.993840000000091"/>
  </r>
  <r>
    <s v="ORD-2024-605518"/>
    <d v="2024-05-30T00:00:00"/>
    <d v="2024-06-13T00:00:00"/>
    <d v="2024-05-30T00:00:00"/>
    <d v="2024-06-13T00:00:00"/>
    <n v="14"/>
    <s v="5-2024"/>
    <x v="2"/>
    <x v="9"/>
    <s v="San Francisco"/>
    <s v="Small Business"/>
    <x v="0"/>
    <s v="F. Müller"/>
    <s v="Phones"/>
    <s v="PHN-4356"/>
    <n v="157.78"/>
    <n v="361.1"/>
    <n v="0.187"/>
    <n v="9"/>
    <n v="2642.1686999999997"/>
    <n v="1420.02"/>
    <n v="1222.1486999999997"/>
    <n v="0.46255513510549112"/>
    <s v="Q2-2024"/>
    <s v="Americas → USA → San Francisco"/>
    <s v="Low"/>
    <n v="2024"/>
    <n v="5"/>
    <s v="No"/>
    <s v="No"/>
    <n v="0.1"/>
    <n v="165.66900000000001"/>
    <n v="9.36"/>
    <n v="3041.9064000000003"/>
    <n v="1550.66184"/>
    <n v="1491.2445600000003"/>
  </r>
  <r>
    <s v="ORD-2023-521818"/>
    <d v="2023-01-22T00:00:00"/>
    <d v="2023-01-30T00:00:00"/>
    <d v="2023-01-22T00:00:00"/>
    <d v="2023-01-30T00:00:00"/>
    <n v="8"/>
    <s v="1-2023"/>
    <x v="2"/>
    <x v="9"/>
    <s v="San Francisco"/>
    <s v="Small Business"/>
    <x v="1"/>
    <s v="A. Patel"/>
    <s v="Networking"/>
    <s v="NET-4155"/>
    <n v="413.52"/>
    <n v="1004.34"/>
    <n v="0.111"/>
    <n v="18"/>
    <n v="16071.44868"/>
    <n v="7443.36"/>
    <n v="8628.0886800000007"/>
    <n v="0.53685817948304593"/>
    <s v="Q1-2023"/>
    <s v="Americas → USA → San Francisco"/>
    <s v="Low"/>
    <n v="2023"/>
    <n v="1"/>
    <s v="No"/>
    <s v="No"/>
    <n v="0.1"/>
    <n v="434.19600000000003"/>
    <n v="18.72"/>
    <n v="16921.120320000002"/>
    <n v="8128.14912"/>
    <n v="8792.9712000000018"/>
  </r>
  <r>
    <s v="ORD-2023-521818"/>
    <d v="2023-01-29T00:00:00"/>
    <d v="2023-02-28T00:00:00"/>
    <d v="2023-01-29T00:00:00"/>
    <d v="2023-02-28T00:00:00"/>
    <n v="30"/>
    <s v="1-2023"/>
    <x v="1"/>
    <x v="4"/>
    <s v="Bengaluru"/>
    <s v="Non-Profit"/>
    <x v="0"/>
    <s v="B. Chen"/>
    <s v="Accessories"/>
    <s v="ACC-4631"/>
    <n v="1262.0999999999999"/>
    <n v="1395.53"/>
    <n v="0.23300000000000001"/>
    <n v="25"/>
    <n v="26759.28775"/>
    <n v="31552.499999999996"/>
    <n v="-4793.2122499999969"/>
    <n v="-0.17912331205452198"/>
    <s v="Q1-2023"/>
    <s v="Asia → India → Bengaluru"/>
    <s v="Medium"/>
    <n v="2023"/>
    <n v="1"/>
    <s v="No"/>
    <s v="Yes"/>
    <n v="0.1"/>
    <n v="1325.2049999999999"/>
    <n v="26"/>
    <n v="32655.401999999998"/>
    <n v="34455.33"/>
    <n v="-1799.9280000000035"/>
  </r>
  <r>
    <s v="ORD-2023-479747"/>
    <d v="2023-07-14T00:00:00"/>
    <d v="2023-07-14T00:00:00"/>
    <d v="2023-07-14T00:00:00"/>
    <d v="2023-07-14T00:00:00"/>
    <n v="0"/>
    <s v="7-2023"/>
    <x v="0"/>
    <x v="1"/>
    <s v="Lagos"/>
    <s v="Education"/>
    <x v="0"/>
    <s v="I. Johnson"/>
    <s v="Accessories"/>
    <s v="ACC-5334"/>
    <n v="956.38"/>
    <n v="1454.22"/>
    <n v="3.9E-2"/>
    <n v="19"/>
    <n v="26552.60298"/>
    <n v="18171.22"/>
    <n v="8381.3829799999985"/>
    <n v="0.31565202802576603"/>
    <s v="Q3-2023"/>
    <s v="Africa → Nigeria → Lagos"/>
    <s v="Medium"/>
    <n v="2023"/>
    <n v="7"/>
    <s v="Yes"/>
    <s v="No"/>
    <n v="3.9E-2"/>
    <n v="1004.1990000000001"/>
    <n v="19.760000000000002"/>
    <n v="27614.707099200001"/>
    <n v="19842.972240000003"/>
    <n v="7771.734859199998"/>
  </r>
  <r>
    <s v="ORD-2023-430904"/>
    <d v="2023-01-27T00:00:00"/>
    <d v="2023-01-31T00:00:00"/>
    <d v="2023-01-27T00:00:00"/>
    <d v="2023-01-31T00:00:00"/>
    <n v="4"/>
    <s v="1-2023"/>
    <x v="3"/>
    <x v="7"/>
    <s v="Manchester"/>
    <s v="Enterprise"/>
    <x v="1"/>
    <s v="N. Brown"/>
    <s v="Laptops"/>
    <s v="LAP-9782"/>
    <n v="941.2"/>
    <n v="668.02"/>
    <n v="0.22"/>
    <n v="16"/>
    <n v="8336.8896000000004"/>
    <n v="15059.2"/>
    <n v="-6722.3104000000003"/>
    <n v="-0.80633314371825193"/>
    <s v="Q1-2023"/>
    <s v="Europe → United Kingdom → Manchester"/>
    <s v="Low"/>
    <n v="2023"/>
    <n v="1"/>
    <s v="Yes"/>
    <s v="Yes"/>
    <n v="0.1"/>
    <n v="988.2600000000001"/>
    <n v="16.64"/>
    <n v="10004.267520000001"/>
    <n v="16444.646400000001"/>
    <n v="-6440.3788800000002"/>
  </r>
  <r>
    <s v="ORD-2025-354346"/>
    <d v="2025-01-09T00:00:00"/>
    <d v="2025-01-15T00:00:00"/>
    <d v="2025-01-09T00:00:00"/>
    <d v="2025-01-15T00:00:00"/>
    <n v="6"/>
    <s v="1-2025"/>
    <x v="1"/>
    <x v="8"/>
    <s v="Beijing"/>
    <s v="Education"/>
    <x v="1"/>
    <s v="C. Otieno"/>
    <s v="Phones"/>
    <s v="PHN-2875"/>
    <n v="304.77999999999997"/>
    <n v="537.27"/>
    <n v="0.187"/>
    <n v="8"/>
    <n v="3494.4040799999998"/>
    <n v="2438.2399999999998"/>
    <n v="1056.16408"/>
    <n v="0.3022444044307549"/>
    <s v="Q1-2025"/>
    <s v="Asia → China → Beijing"/>
    <s v="Low"/>
    <n v="2025"/>
    <n v="1"/>
    <s v="Yes"/>
    <s v="No"/>
    <n v="0.1"/>
    <n v="320.01900000000001"/>
    <n v="8.32"/>
    <n v="4023.0777600000001"/>
    <n v="2662.5580800000002"/>
    <n v="1360.5196799999999"/>
  </r>
  <r>
    <s v="ORD-2024-164288"/>
    <d v="2024-12-21T00:00:00"/>
    <d v="2024-12-26T00:00:00"/>
    <d v="2024-12-21T00:00:00"/>
    <d v="2024-12-26T00:00:00"/>
    <n v="5"/>
    <s v="12-2024"/>
    <x v="2"/>
    <x v="9"/>
    <s v="San Francisco"/>
    <s v="Consumer"/>
    <x v="2"/>
    <s v="M. Rossi"/>
    <s v="Printers"/>
    <s v="PRN-4788"/>
    <n v="699.57"/>
    <n v="572.71"/>
    <n v="0.192"/>
    <n v="26"/>
    <n v="12031.491680000001"/>
    <n v="18188.82"/>
    <n v="-6157.3283199999987"/>
    <n v="-0.51176765805651114"/>
    <s v="Q4-2024"/>
    <s v="Americas → USA → San Francisco"/>
    <s v="Low"/>
    <n v="2024"/>
    <n v="12"/>
    <s v="Yes"/>
    <s v="No"/>
    <n v="0.1"/>
    <n v="734.5485000000001"/>
    <n v="27.04"/>
    <n v="13937.47056"/>
    <n v="19862.191440000002"/>
    <n v="-5924.7208800000026"/>
  </r>
  <r>
    <s v="ORD-2023-867285"/>
    <d v="2023-04-12T00:00:00"/>
    <d v="2023-04-17T00:00:00"/>
    <d v="2023-04-12T00:00:00"/>
    <d v="2023-04-17T00:00:00"/>
    <n v="5"/>
    <s v="4-2023"/>
    <x v="3"/>
    <x v="6"/>
    <s v="Lyon"/>
    <s v="Enterprise"/>
    <x v="4"/>
    <s v="E. Garcia"/>
    <s v="Monitors"/>
    <s v="MON-3043"/>
    <n v="1087.81"/>
    <n v="2323.87"/>
    <n v="9.4E-2"/>
    <n v="13"/>
    <n v="27370.540859999997"/>
    <n v="14141.529999999999"/>
    <n v="13229.010859999999"/>
    <n v="0.48333026839572651"/>
    <s v="Q2-2023"/>
    <s v="Europe → France → Lyon"/>
    <s v="High"/>
    <n v="2023"/>
    <n v="4"/>
    <s v="Yes"/>
    <s v="No"/>
    <n v="9.4E-2"/>
    <n v="1142.2004999999999"/>
    <n v="13.52"/>
    <n v="28465.3624944"/>
    <n v="15442.550759999998"/>
    <n v="13022.811734400002"/>
  </r>
  <r>
    <s v="ORD-2024-836421"/>
    <d v="2024-12-14T00:00:00"/>
    <d v="2025-01-12T00:00:00"/>
    <d v="2024-12-14T00:00:00"/>
    <d v="2025-01-12T00:00:00"/>
    <n v="29"/>
    <s v="12-2024"/>
    <x v="1"/>
    <x v="8"/>
    <s v="Shenzhen"/>
    <s v="Education"/>
    <x v="1"/>
    <s v="J. Njeri"/>
    <s v="Components"/>
    <s v="CMP-3720"/>
    <n v="1412.15"/>
    <n v="1631.04"/>
    <n v="8.9999999999999993E-3"/>
    <n v="6"/>
    <n v="9698.1638399999993"/>
    <n v="8472.9000000000015"/>
    <n v="1225.2638399999978"/>
    <n v="0.12633977526203535"/>
    <s v="Q4-2024"/>
    <s v="Asia → China → Shenzhen"/>
    <s v="Medium"/>
    <n v="2024"/>
    <n v="12"/>
    <s v="No"/>
    <s v="No"/>
    <n v="8.9999999999999993E-3"/>
    <n v="1482.7575000000002"/>
    <n v="6.24"/>
    <n v="10086.0903936"/>
    <n v="9252.4068000000007"/>
    <n v="833.68359359999886"/>
  </r>
  <r>
    <s v="ORD-2023-613287"/>
    <d v="2023-03-31T00:00:00"/>
    <d v="2023-04-12T00:00:00"/>
    <d v="2023-03-31T00:00:00"/>
    <d v="2023-04-12T00:00:00"/>
    <n v="12"/>
    <s v="3-2023"/>
    <x v="0"/>
    <x v="0"/>
    <s v="Mombasa"/>
    <s v="Small Business"/>
    <x v="1"/>
    <s v="C. Otieno"/>
    <s v="Phones"/>
    <s v="PHN-8014"/>
    <n v="304.22000000000003"/>
    <n v="393.31"/>
    <n v="0.26500000000000001"/>
    <n v="15"/>
    <n v="4336.2427499999994"/>
    <n v="4563.3"/>
    <n v="-227.05725000000075"/>
    <n v="-5.2362670424759034E-2"/>
    <s v="Q1-2023"/>
    <s v="Africa → Kenya → Mombasa"/>
    <s v="Low"/>
    <n v="2023"/>
    <n v="3"/>
    <s v="No"/>
    <s v="Yes"/>
    <n v="0.1"/>
    <n v="319.43100000000004"/>
    <n v="15.600000000000001"/>
    <n v="5522.0724000000009"/>
    <n v="4983.1236000000008"/>
    <n v="538.94880000000012"/>
  </r>
  <r>
    <s v="ORD-2024-783321"/>
    <d v="2024-11-20T00:00:00"/>
    <d v="2024-12-15T00:00:00"/>
    <d v="2024-11-20T00:00:00"/>
    <d v="2024-12-15T00:00:00"/>
    <n v="25"/>
    <s v="11-2024"/>
    <x v="3"/>
    <x v="6"/>
    <s v="Paris"/>
    <s v="Corporate"/>
    <x v="1"/>
    <s v="G. Dubois"/>
    <s v="Printers"/>
    <s v="PRN-4911"/>
    <n v="1203.58"/>
    <n v="1856.16"/>
    <n v="0.129"/>
    <n v="22"/>
    <n v="35567.737920000007"/>
    <n v="26478.76"/>
    <n v="9088.9779200000085"/>
    <n v="0.25553994860295032"/>
    <s v="Q4-2024"/>
    <s v="Europe → France → Paris"/>
    <s v="Medium"/>
    <n v="2024"/>
    <n v="11"/>
    <s v="No"/>
    <s v="No"/>
    <n v="0.1"/>
    <n v="1263.759"/>
    <n v="22.880000000000003"/>
    <n v="38222.046720000006"/>
    <n v="28914.805920000003"/>
    <n v="9307.2408000000032"/>
  </r>
  <r>
    <s v="ORD-2023-808024"/>
    <d v="2023-12-30T00:00:00"/>
    <d v="2024-01-08T00:00:00"/>
    <d v="2023-12-30T00:00:00"/>
    <d v="2024-01-08T00:00:00"/>
    <n v="9"/>
    <s v="12-2023"/>
    <x v="3"/>
    <x v="6"/>
    <s v="Marseille"/>
    <s v="Consumer"/>
    <x v="2"/>
    <s v="L. Okafor"/>
    <s v="Accessories"/>
    <s v="ACC-6594"/>
    <n v="861.1"/>
    <n v="1224.72"/>
    <n v="0.17399999999999999"/>
    <n v="24"/>
    <n v="24278.849280000002"/>
    <n v="20666.400000000001"/>
    <n v="3612.4492800000007"/>
    <n v="0.14878997098827909"/>
    <s v="Q4-2023"/>
    <s v="Europe → France → Marseille"/>
    <s v="Medium"/>
    <n v="2023"/>
    <n v="12"/>
    <s v="No"/>
    <s v="No"/>
    <n v="0.1"/>
    <n v="904.15500000000009"/>
    <n v="24.96"/>
    <n v="27512.110080000002"/>
    <n v="22567.708800000004"/>
    <n v="4944.4012799999982"/>
  </r>
  <r>
    <s v="ORD-2023-906481"/>
    <d v="2023-05-02T00:00:00"/>
    <d v="2023-05-18T00:00:00"/>
    <d v="2023-05-02T00:00:00"/>
    <d v="2023-05-18T00:00:00"/>
    <n v="16"/>
    <s v="5-2023"/>
    <x v="1"/>
    <x v="4"/>
    <s v="Delhi"/>
    <s v="Small Business"/>
    <x v="2"/>
    <s v="K. Singh"/>
    <s v="Monitors"/>
    <s v="MON-2266"/>
    <n v="1463.92"/>
    <n v="2252.2399999999998"/>
    <n v="0.11799999999999999"/>
    <n v="44"/>
    <n v="87404.929919999995"/>
    <n v="64412.480000000003"/>
    <n v="22992.449919999992"/>
    <n v="0.26305667130040061"/>
    <s v="Q2-2023"/>
    <s v="Asia → India → Delhi"/>
    <s v="High"/>
    <n v="2023"/>
    <n v="5"/>
    <s v="No"/>
    <s v="No"/>
    <n v="0.1"/>
    <n v="1537.1160000000002"/>
    <n v="45.760000000000005"/>
    <n v="92756.252160000004"/>
    <n v="70338.42816000001"/>
    <n v="22417.823999999993"/>
  </r>
  <r>
    <s v="ORD-2024-902741"/>
    <d v="2024-12-23T00:00:00"/>
    <d v="2025-01-11T00:00:00"/>
    <d v="2024-12-23T00:00:00"/>
    <d v="2025-01-11T00:00:00"/>
    <n v="19"/>
    <s v="12-2024"/>
    <x v="3"/>
    <x v="11"/>
    <s v="Berlin"/>
    <s v="Education"/>
    <x v="0"/>
    <s v="K. Singh"/>
    <s v="Phones"/>
    <s v="PHN-8057"/>
    <n v="501.81"/>
    <n v="921.62"/>
    <n v="0.01"/>
    <n v="9"/>
    <n v="8211.6342000000004"/>
    <n v="4516.29"/>
    <n v="3695.3442000000005"/>
    <n v="0.45001325071202031"/>
    <s v="Q4-2024"/>
    <s v="Europe → Germany → Berlin"/>
    <s v="Low"/>
    <n v="2024"/>
    <n v="12"/>
    <s v="No"/>
    <s v="No"/>
    <n v="0.01"/>
    <n v="526.90050000000008"/>
    <n v="9.36"/>
    <n v="8540.0995679999996"/>
    <n v="4931.7886800000006"/>
    <n v="3608.3108879999991"/>
  </r>
  <r>
    <s v="ORD-2023-674887"/>
    <d v="2023-12-16T00:00:00"/>
    <d v="2023-12-19T00:00:00"/>
    <d v="2023-12-16T00:00:00"/>
    <d v="2023-12-19T00:00:00"/>
    <n v="3"/>
    <s v="12-2023"/>
    <x v="1"/>
    <x v="8"/>
    <s v="Beijing"/>
    <s v="Education"/>
    <x v="0"/>
    <s v="A. Patel"/>
    <s v="Accessories"/>
    <s v="ACC-9644"/>
    <n v="1415.05"/>
    <n v="1972.38"/>
    <n v="0"/>
    <n v="12"/>
    <n v="23668.560000000001"/>
    <n v="16980.599999999999"/>
    <n v="6687.9600000000028"/>
    <n v="0.28256725377462771"/>
    <s v="Q4-2023"/>
    <s v="Asia → China → Beijing"/>
    <s v="High"/>
    <n v="2023"/>
    <n v="12"/>
    <s v="Yes"/>
    <s v="No"/>
    <n v="0"/>
    <n v="1485.8025"/>
    <n v="12.48"/>
    <n v="24615.3024"/>
    <n v="18542.815200000001"/>
    <n v="6072.4871999999996"/>
  </r>
  <r>
    <s v="ORD-2024-389102"/>
    <d v="2024-06-15T00:00:00"/>
    <d v="2024-07-06T00:00:00"/>
    <d v="2024-06-15T00:00:00"/>
    <d v="2024-07-06T00:00:00"/>
    <n v="21"/>
    <s v="6-2024"/>
    <x v="2"/>
    <x v="3"/>
    <s v="Toronto"/>
    <s v="Enterprise"/>
    <x v="3"/>
    <s v="L. Okafor"/>
    <s v="Printers"/>
    <s v="PRN-4453"/>
    <n v="817.23"/>
    <n v="1467.17"/>
    <n v="0.245"/>
    <n v="9"/>
    <n v="9969.4201499999999"/>
    <n v="7355.07"/>
    <n v="2614.3501500000002"/>
    <n v="0.26223693160328893"/>
    <s v="Q2-2024"/>
    <s v="Americas → Canada → Toronto"/>
    <s v="Medium"/>
    <n v="2024"/>
    <n v="6"/>
    <s v="No"/>
    <s v="Yes"/>
    <n v="0.1"/>
    <n v="858.09150000000011"/>
    <n v="9.36"/>
    <n v="12359.44008"/>
    <n v="8031.7364400000006"/>
    <n v="4327.7036399999997"/>
  </r>
  <r>
    <s v="ORD-2023-667815"/>
    <d v="2023-10-21T00:00:00"/>
    <d v="2023-11-09T00:00:00"/>
    <d v="2023-10-21T00:00:00"/>
    <d v="2023-11-09T00:00:00"/>
    <n v="19"/>
    <s v="10-2023"/>
    <x v="3"/>
    <x v="7"/>
    <s v="London"/>
    <s v="Non-Profit"/>
    <x v="4"/>
    <s v="A. Patel"/>
    <s v="Accessories"/>
    <s v="ACC-8557"/>
    <n v="1142.48"/>
    <n v="2105.5300000000002"/>
    <n v="0.20699999999999999"/>
    <n v="14"/>
    <n v="23375.594060000003"/>
    <n v="15994.720000000001"/>
    <n v="7380.8740600000019"/>
    <n v="0.31575129346680658"/>
    <s v="Q4-2023"/>
    <s v="Europe → United Kingdom → London"/>
    <s v="High"/>
    <n v="2023"/>
    <n v="10"/>
    <s v="No"/>
    <s v="Yes"/>
    <n v="0.1"/>
    <n v="1199.604"/>
    <n v="14.56"/>
    <n v="27590.865120000006"/>
    <n v="17466.234240000002"/>
    <n v="10124.630880000004"/>
  </r>
  <r>
    <s v="ORD-2023-825495"/>
    <d v="2023-11-30T00:00:00"/>
    <d v="2023-11-29T00:00:00"/>
    <d v="2023-11-29T00:00:00"/>
    <d v="2023-11-30T00:00:00"/>
    <n v="1"/>
    <s v="11-2023"/>
    <x v="0"/>
    <x v="10"/>
    <s v="Durban"/>
    <s v="Small Business"/>
    <x v="2"/>
    <s v="E. Garcia"/>
    <s v="Laptops"/>
    <s v="LAP-1525"/>
    <n v="275.56"/>
    <n v="630.72"/>
    <n v="0.107"/>
    <n v="23"/>
    <n v="12954.358080000002"/>
    <n v="6337.88"/>
    <n v="6616.4780800000017"/>
    <n v="0.5107530638831933"/>
    <s v="Q4-2023"/>
    <s v="Africa → South Africa → Durban"/>
    <s v="Low"/>
    <n v="2023"/>
    <n v="11"/>
    <s v="Yes"/>
    <s v="No"/>
    <n v="0.1"/>
    <n v="289.33800000000002"/>
    <n v="23.92"/>
    <n v="13578.140160000001"/>
    <n v="6920.9649600000012"/>
    <n v="6657.1751999999997"/>
  </r>
  <r>
    <s v="ORD-2025-244832"/>
    <d v="2025-09-11T00:00:00"/>
    <d v="2025-09-28T00:00:00"/>
    <d v="2025-09-11T00:00:00"/>
    <d v="2025-09-28T00:00:00"/>
    <n v="17"/>
    <s v="9-2025"/>
    <x v="0"/>
    <x v="0"/>
    <s v="Nairobi"/>
    <s v="Non-Profit"/>
    <x v="3"/>
    <s v="J. Njeri"/>
    <s v="Laptops"/>
    <s v="LAP-3278"/>
    <n v="891.46"/>
    <n v="728.61"/>
    <n v="0.185"/>
    <n v="6"/>
    <n v="3562.9028999999996"/>
    <n v="5348.76"/>
    <n v="-1785.8571000000006"/>
    <n v="-0.50123653383874167"/>
    <s v="Q3-2025"/>
    <s v="Africa → Kenya → Nairobi"/>
    <s v="Low"/>
    <n v="2025"/>
    <n v="9"/>
    <s v="No"/>
    <s v="No"/>
    <n v="0.1"/>
    <n v="936.03300000000013"/>
    <n v="6.24"/>
    <n v="4091.8737600000009"/>
    <n v="5840.8459200000007"/>
    <n v="-1748.9721599999998"/>
  </r>
  <r>
    <s v="ORD-2024-921935"/>
    <d v="2024-01-01T00:00:00"/>
    <d v="2024-01-27T00:00:00"/>
    <d v="2024-01-01T00:00:00"/>
    <d v="2024-01-27T00:00:00"/>
    <n v="26"/>
    <s v="1-2024"/>
    <x v="3"/>
    <x v="7"/>
    <s v="Manchester"/>
    <s v="Education"/>
    <x v="3"/>
    <s v="D. Smith"/>
    <s v="Accessories"/>
    <s v="ACC-3103"/>
    <n v="657.45"/>
    <n v="1325.96"/>
    <n v="0.16700000000000001"/>
    <n v="21"/>
    <n v="23195.01828"/>
    <n v="13806.45"/>
    <n v="9388.5682799999995"/>
    <n v="0.40476658249048808"/>
    <s v="Q1-2024"/>
    <s v="Europe → United Kingdom → Manchester"/>
    <s v="Medium"/>
    <n v="2024"/>
    <n v="1"/>
    <s v="No"/>
    <s v="No"/>
    <n v="0.1"/>
    <n v="690.3225000000001"/>
    <n v="21.84"/>
    <n v="26063.069760000002"/>
    <n v="15076.643400000003"/>
    <n v="10986.426359999999"/>
  </r>
  <r>
    <s v="ORD-2023-192324"/>
    <d v="2023-09-14T00:00:00"/>
    <d v="2023-09-16T00:00:00"/>
    <d v="2023-09-14T00:00:00"/>
    <d v="2023-09-16T00:00:00"/>
    <n v="2"/>
    <s v="9-2023"/>
    <x v="3"/>
    <x v="6"/>
    <s v="Lyon"/>
    <s v="Non-Profit"/>
    <x v="4"/>
    <s v="B. Chen"/>
    <s v="Printers"/>
    <s v="PRN-4432"/>
    <n v="376.83"/>
    <n v="732.88"/>
    <n v="0.188"/>
    <n v="25"/>
    <n v="14877.464000000002"/>
    <n v="9420.75"/>
    <n v="5456.7140000000018"/>
    <n v="0.36677716040852132"/>
    <s v="Q3-2023"/>
    <s v="Europe → France → Lyon"/>
    <s v="Low"/>
    <n v="2023"/>
    <n v="9"/>
    <s v="Yes"/>
    <s v="No"/>
    <n v="0.1"/>
    <n v="395.67149999999998"/>
    <n v="26"/>
    <n v="17149.392"/>
    <n v="10287.458999999999"/>
    <n v="6861.9330000000009"/>
  </r>
  <r>
    <s v="ORD-2024-438404"/>
    <d v="2024-09-23T00:00:00"/>
    <d v="2024-10-18T00:00:00"/>
    <d v="2024-09-23T00:00:00"/>
    <d v="2024-10-18T00:00:00"/>
    <n v="25"/>
    <s v="9-2024"/>
    <x v="2"/>
    <x v="3"/>
    <s v="Vancouver"/>
    <s v="Small Business"/>
    <x v="1"/>
    <s v="N. Brown"/>
    <s v="Phones"/>
    <s v="PHN-4568"/>
    <n v="1297"/>
    <n v="2411.52"/>
    <n v="2.1000000000000001E-2"/>
    <n v="18"/>
    <n v="42495.805439999996"/>
    <n v="23346"/>
    <n v="19149.805439999996"/>
    <n v="0.45062813239385913"/>
    <s v="Q3-2024"/>
    <s v="Americas → Canada → Vancouver"/>
    <s v="High"/>
    <n v="2024"/>
    <n v="9"/>
    <s v="No"/>
    <s v="No"/>
    <n v="2.1000000000000001E-2"/>
    <n v="1361.8500000000001"/>
    <n v="18.72"/>
    <n v="44195.637657599997"/>
    <n v="25493.832000000002"/>
    <n v="18701.805657599994"/>
  </r>
  <r>
    <s v="ORD-2025-246470"/>
    <d v="2025-04-16T00:00:00"/>
    <d v="2025-05-16T00:00:00"/>
    <d v="2025-04-16T00:00:00"/>
    <d v="2025-05-16T00:00:00"/>
    <n v="30"/>
    <s v="4-2025"/>
    <x v="2"/>
    <x v="3"/>
    <s v="Montreal"/>
    <s v="Enterprise"/>
    <x v="3"/>
    <s v="K. Singh"/>
    <s v="Printers"/>
    <s v="PRN-6178"/>
    <n v="763.32"/>
    <n v="568.29"/>
    <n v="0.13100000000000001"/>
    <n v="16"/>
    <n v="7901.5041599999995"/>
    <n v="12213.12"/>
    <n v="-4311.6158400000013"/>
    <n v="-0.54567026134426555"/>
    <s v="Q2-2025"/>
    <s v="Americas → Canada → Montreal"/>
    <s v="Low"/>
    <n v="2025"/>
    <n v="4"/>
    <s v="No"/>
    <s v="No"/>
    <n v="0.1"/>
    <n v="801.4860000000001"/>
    <n v="16.64"/>
    <n v="8510.7110400000001"/>
    <n v="13336.727040000002"/>
    <n v="-4826.0160000000014"/>
  </r>
  <r>
    <s v="ORD-2023-497686"/>
    <d v="2023-07-03T00:00:00"/>
    <d v="2023-07-23T00:00:00"/>
    <d v="2023-07-03T00:00:00"/>
    <d v="2023-07-23T00:00:00"/>
    <n v="20"/>
    <s v="7-2023"/>
    <x v="0"/>
    <x v="10"/>
    <s v="Johannesburg"/>
    <s v="Small Business"/>
    <x v="3"/>
    <s v="F. Müller"/>
    <s v="Laptops"/>
    <s v="LAP-6342"/>
    <n v="1001.96"/>
    <n v="1254.95"/>
    <n v="4.4999999999999998E-2"/>
    <n v="18"/>
    <n v="21572.590500000002"/>
    <n v="18035.28"/>
    <n v="3537.3105000000032"/>
    <n v="0.16397244920585699"/>
    <s v="Q3-2023"/>
    <s v="Africa → South Africa → Johannesburg"/>
    <s v="Medium"/>
    <n v="2023"/>
    <n v="7"/>
    <s v="No"/>
    <s v="No"/>
    <n v="4.4999999999999998E-2"/>
    <n v="1052.058"/>
    <n v="18.72"/>
    <n v="22435.494119999999"/>
    <n v="19694.52576"/>
    <n v="2740.9683599999989"/>
  </r>
  <r>
    <s v="ORD-2023-596758"/>
    <d v="2023-12-07T00:00:00"/>
    <d v="2023-12-05T00:00:00"/>
    <d v="2023-12-05T00:00:00"/>
    <d v="2023-12-07T00:00:00"/>
    <n v="2"/>
    <s v="12-2023"/>
    <x v="1"/>
    <x v="2"/>
    <s v="Tokyo"/>
    <s v="Non-Profit"/>
    <x v="2"/>
    <s v="H. Kim"/>
    <s v="Printers"/>
    <s v="PRN-8175"/>
    <n v="1097.5899999999999"/>
    <n v="845.55"/>
    <n v="0.184"/>
    <n v="6"/>
    <n v="4139.8127999999997"/>
    <n v="6585.5399999999991"/>
    <n v="-2445.7271999999994"/>
    <n v="-0.59078207594314402"/>
    <s v="Q4-2023"/>
    <s v="Asia → Japan → Tokyo"/>
    <s v="Low"/>
    <n v="2023"/>
    <n v="12"/>
    <s v="Yes"/>
    <s v="No"/>
    <n v="0.1"/>
    <n v="1152.4694999999999"/>
    <n v="6.24"/>
    <n v="4748.6088"/>
    <n v="7191.4096799999998"/>
    <n v="-2442.8008799999998"/>
  </r>
  <r>
    <s v="ORD-2024-201376"/>
    <d v="2024-02-18T00:00:00"/>
    <d v="2024-03-04T00:00:00"/>
    <d v="2024-02-18T00:00:00"/>
    <d v="2024-03-04T00:00:00"/>
    <n v="15"/>
    <s v="2-2024"/>
    <x v="0"/>
    <x v="0"/>
    <s v="Kisumu"/>
    <s v="Education"/>
    <x v="4"/>
    <s v="K. Singh"/>
    <s v="Printers"/>
    <s v="PRN-7089"/>
    <n v="928.68"/>
    <n v="2145.17"/>
    <n v="0.13600000000000001"/>
    <n v="16"/>
    <n v="29654.83008"/>
    <n v="14858.88"/>
    <n v="14795.950080000001"/>
    <n v="0.49893896003062177"/>
    <s v="Q1-2024"/>
    <s v="Africa → Kenya → Kisumu"/>
    <s v="High"/>
    <n v="2024"/>
    <n v="2"/>
    <s v="No"/>
    <s v="No"/>
    <n v="0.1"/>
    <n v="975.11400000000003"/>
    <n v="16.64"/>
    <n v="32126.065920000005"/>
    <n v="16225.896960000002"/>
    <n v="15900.168960000003"/>
  </r>
  <r>
    <s v="ORD-2023-609394"/>
    <d v="2023-04-16T00:00:00"/>
    <d v="2023-04-19T00:00:00"/>
    <d v="2023-04-16T00:00:00"/>
    <d v="2023-04-19T00:00:00"/>
    <n v="3"/>
    <s v="4-2023"/>
    <x v="3"/>
    <x v="11"/>
    <s v="Munich"/>
    <s v="Corporate"/>
    <x v="4"/>
    <s v="B. Chen"/>
    <s v="Accessories"/>
    <s v="ACC-1731"/>
    <n v="553.61"/>
    <n v="699.47"/>
    <n v="0.02"/>
    <n v="33"/>
    <n v="22620.859800000002"/>
    <n v="18269.13"/>
    <n v="4351.729800000001"/>
    <n v="0.19237685209472014"/>
    <s v="Q2-2023"/>
    <s v="Europe → Germany → Munich"/>
    <s v="Low"/>
    <n v="2023"/>
    <n v="4"/>
    <s v="Yes"/>
    <s v="No"/>
    <n v="0.02"/>
    <n v="581.29050000000007"/>
    <n v="34.32"/>
    <n v="23525.694192000003"/>
    <n v="19949.889960000004"/>
    <n v="3575.8042319999986"/>
  </r>
  <r>
    <s v="ORD-2024-136321"/>
    <d v="2024-08-07T00:00:00"/>
    <d v="2024-08-17T00:00:00"/>
    <d v="2024-08-07T00:00:00"/>
    <d v="2024-08-17T00:00:00"/>
    <n v="10"/>
    <s v="8-2024"/>
    <x v="1"/>
    <x v="2"/>
    <s v="Osaka"/>
    <s v="Consumer"/>
    <x v="1"/>
    <s v="K. Singh"/>
    <s v="Networking"/>
    <s v="NET-7924"/>
    <n v="436.58"/>
    <n v="527.48"/>
    <n v="0.111"/>
    <n v="19"/>
    <n v="8909.6646800000017"/>
    <n v="8295.02"/>
    <n v="614.64468000000124"/>
    <n v="6.8986286473802644E-2"/>
    <s v="Q3-2024"/>
    <s v="Asia → Japan → Osaka"/>
    <s v="Low"/>
    <n v="2024"/>
    <n v="8"/>
    <s v="No"/>
    <s v="No"/>
    <n v="0.1"/>
    <n v="458.40899999999999"/>
    <n v="19.760000000000002"/>
    <n v="9380.7043200000007"/>
    <n v="9058.1618400000007"/>
    <n v="322.54248000000007"/>
  </r>
  <r>
    <s v="ORD-2024-764468"/>
    <d v="2024-02-01T00:00:00"/>
    <d v="2024-02-21T00:00:00"/>
    <d v="2024-02-01T00:00:00"/>
    <d v="2024-02-21T00:00:00"/>
    <n v="20"/>
    <s v="2-2024"/>
    <x v="3"/>
    <x v="6"/>
    <s v="Paris"/>
    <s v="Small Business"/>
    <x v="2"/>
    <s v="A. Patel"/>
    <s v="Networking"/>
    <s v="NET-8761"/>
    <n v="656.2"/>
    <n v="1467.17"/>
    <n v="1.7999999999999999E-2"/>
    <n v="5"/>
    <n v="7203.8047000000006"/>
    <n v="3281"/>
    <n v="3922.8047000000006"/>
    <n v="0.54454623124360946"/>
    <s v="Q1-2024"/>
    <s v="Europe → France → Paris"/>
    <s v="Medium"/>
    <n v="2024"/>
    <n v="2"/>
    <s v="No"/>
    <s v="No"/>
    <n v="1.7999999999999999E-2"/>
    <n v="689.0100000000001"/>
    <n v="5.2"/>
    <n v="7491.9568880000006"/>
    <n v="3582.8520000000008"/>
    <n v="3909.1048879999998"/>
  </r>
  <r>
    <s v="ORD-2024-553449"/>
    <d v="2024-08-27T00:00:00"/>
    <d v="2024-09-18T00:00:00"/>
    <d v="2024-08-27T00:00:00"/>
    <d v="2024-09-18T00:00:00"/>
    <n v="22"/>
    <s v="8-2024"/>
    <x v="1"/>
    <x v="4"/>
    <s v="Delhi"/>
    <s v="Consumer"/>
    <x v="4"/>
    <s v="B. Chen"/>
    <s v="Components"/>
    <s v="CMP-3875"/>
    <n v="896.75"/>
    <n v="1651.14"/>
    <n v="2.5000000000000001E-2"/>
    <n v="15"/>
    <n v="24147.922500000001"/>
    <n v="13451.25"/>
    <n v="10696.672500000001"/>
    <n v="0.44296450346815552"/>
    <s v="Q3-2024"/>
    <s v="Asia → India → Delhi"/>
    <s v="Medium"/>
    <n v="2024"/>
    <n v="8"/>
    <s v="No"/>
    <s v="No"/>
    <n v="2.5000000000000001E-2"/>
    <n v="941.58750000000009"/>
    <n v="15.600000000000001"/>
    <n v="25113.839400000004"/>
    <n v="14688.765000000003"/>
    <n v="10425.074400000001"/>
  </r>
  <r>
    <s v="ORD-2024-468615"/>
    <d v="2024-07-09T00:00:00"/>
    <d v="2024-07-12T00:00:00"/>
    <d v="2024-07-09T00:00:00"/>
    <d v="2024-07-12T00:00:00"/>
    <n v="3"/>
    <s v="7-2024"/>
    <x v="1"/>
    <x v="8"/>
    <s v="Shanghai"/>
    <s v="Small Business"/>
    <x v="0"/>
    <s v="D. Smith"/>
    <s v="Accessories"/>
    <s v="ACC-3721"/>
    <n v="748.39"/>
    <n v="979.42"/>
    <n v="0"/>
    <n v="23"/>
    <n v="22526.66"/>
    <n v="17212.97"/>
    <n v="5313.6899999999987"/>
    <n v="0.23588450307324738"/>
    <s v="Q3-2024"/>
    <s v="Asia → China → Shanghai"/>
    <s v="Low"/>
    <n v="2024"/>
    <n v="7"/>
    <s v="Yes"/>
    <s v="No"/>
    <n v="0"/>
    <n v="785.80950000000007"/>
    <n v="23.92"/>
    <n v="23427.7264"/>
    <n v="18796.563240000003"/>
    <n v="4631.1631599999964"/>
  </r>
  <r>
    <s v="ORD-2025-418232"/>
    <d v="2025-08-01T00:00:00"/>
    <d v="2025-08-21T00:00:00"/>
    <d v="2025-08-01T00:00:00"/>
    <d v="2025-08-21T00:00:00"/>
    <n v="20"/>
    <s v="8-2025"/>
    <x v="1"/>
    <x v="8"/>
    <s v="Shanghai"/>
    <s v="Corporate"/>
    <x v="4"/>
    <s v="I. Johnson"/>
    <s v="Phones"/>
    <s v="PHN-9234"/>
    <n v="1220.4100000000001"/>
    <n v="2552.2199999999998"/>
    <n v="0.18099999999999999"/>
    <n v="14"/>
    <n v="29263.754519999995"/>
    <n v="17085.740000000002"/>
    <n v="12178.014519999993"/>
    <n v="0.41614668793360271"/>
    <s v="Q3-2025"/>
    <s v="Asia → China → Shanghai"/>
    <s v="High"/>
    <n v="2025"/>
    <n v="8"/>
    <s v="No"/>
    <s v="No"/>
    <n v="0.1"/>
    <n v="1281.4305000000002"/>
    <n v="14.56"/>
    <n v="33444.29088"/>
    <n v="18657.628080000002"/>
    <n v="14786.662799999998"/>
  </r>
  <r>
    <s v="ORD-2023-848013"/>
    <d v="2023-02-20T00:00:00"/>
    <d v="2023-03-04T00:00:00"/>
    <d v="2023-02-20T00:00:00"/>
    <d v="2023-03-04T00:00:00"/>
    <n v="12"/>
    <s v="2-2023"/>
    <x v="1"/>
    <x v="4"/>
    <s v="Delhi"/>
    <s v="Consumer"/>
    <x v="3"/>
    <s v="M. Rossi"/>
    <s v="Monitors"/>
    <s v="MON-9906"/>
    <n v="299.75"/>
    <n v="523.01"/>
    <n v="0.157"/>
    <n v="50"/>
    <n v="22044.871499999997"/>
    <n v="14987.5"/>
    <n v="7057.3714999999975"/>
    <n v="0.32013665854210122"/>
    <s v="Q1-2023"/>
    <s v="Asia → India → Delhi"/>
    <s v="Low"/>
    <n v="2023"/>
    <n v="2"/>
    <s v="No"/>
    <s v="No"/>
    <n v="0.1"/>
    <n v="314.73750000000001"/>
    <n v="52"/>
    <n v="24476.868000000002"/>
    <n v="16366.35"/>
    <n v="8110.5180000000018"/>
  </r>
  <r>
    <s v="ORD-2024-357368"/>
    <d v="2024-10-30T00:00:00"/>
    <d v="2024-11-24T00:00:00"/>
    <d v="2024-10-30T00:00:00"/>
    <d v="2024-11-24T00:00:00"/>
    <n v="25"/>
    <s v="10-2024"/>
    <x v="1"/>
    <x v="8"/>
    <s v="Shenzhen"/>
    <s v="Small Business"/>
    <x v="1"/>
    <s v="E. Garcia"/>
    <s v="Components"/>
    <s v="CMP-4610"/>
    <n v="811.05"/>
    <n v="1217.71"/>
    <n v="7.1999999999999995E-2"/>
    <n v="5"/>
    <n v="5650.1744000000008"/>
    <n v="4055.25"/>
    <n v="1594.9244000000008"/>
    <n v="0.28227879125288602"/>
    <s v="Q4-2024"/>
    <s v="Asia → China → Shenzhen"/>
    <s v="Medium"/>
    <n v="2024"/>
    <n v="10"/>
    <s v="No"/>
    <s v="No"/>
    <n v="7.1999999999999995E-2"/>
    <n v="851.60249999999996"/>
    <n v="5.2"/>
    <n v="5876.1813760000005"/>
    <n v="4428.3329999999996"/>
    <n v="1447.8483760000008"/>
  </r>
  <r>
    <s v="ORD-2023-621393"/>
    <d v="2023-07-07T00:00:00"/>
    <d v="2023-07-13T00:00:00"/>
    <d v="2023-07-07T00:00:00"/>
    <d v="2023-07-13T00:00:00"/>
    <n v="6"/>
    <s v="7-2023"/>
    <x v="0"/>
    <x v="10"/>
    <s v="Cape Town"/>
    <s v="Small Business"/>
    <x v="2"/>
    <s v="B. Chen"/>
    <s v="Accessories"/>
    <s v="ACC-9445"/>
    <n v="612.59"/>
    <n v="1424.74"/>
    <n v="4.3999999999999997E-2"/>
    <n v="15"/>
    <n v="20430.771599999996"/>
    <n v="9188.85"/>
    <n v="11241.921599999996"/>
    <n v="0.55024459281802152"/>
    <s v="Q3-2023"/>
    <s v="Africa → South Africa → Cape Town"/>
    <s v="Medium"/>
    <n v="2023"/>
    <n v="7"/>
    <s v="Yes"/>
    <s v="No"/>
    <n v="4.3999999999999997E-2"/>
    <n v="643.21950000000004"/>
    <n v="15.600000000000001"/>
    <n v="21248.002464000001"/>
    <n v="10034.224200000002"/>
    <n v="11213.778263999999"/>
  </r>
  <r>
    <s v="ORD-2023-240507"/>
    <d v="2023-03-25T00:00:00"/>
    <d v="2023-03-26T00:00:00"/>
    <d v="2023-03-25T00:00:00"/>
    <d v="2023-03-26T00:00:00"/>
    <n v="1"/>
    <s v="3-2023"/>
    <x v="1"/>
    <x v="2"/>
    <s v="Osaka"/>
    <s v="Small Business"/>
    <x v="3"/>
    <s v="I. Johnson"/>
    <s v="Monitors"/>
    <s v="MON-9227"/>
    <n v="135.12"/>
    <n v="301.7"/>
    <n v="0.14000000000000001"/>
    <n v="47"/>
    <n v="12194.714"/>
    <n v="6350.64"/>
    <n v="5844.0739999999996"/>
    <n v="0.47923009920527859"/>
    <s v="Q1-2023"/>
    <s v="Asia → Japan → Osaka"/>
    <s v="Low"/>
    <n v="2023"/>
    <n v="3"/>
    <s v="Yes"/>
    <s v="No"/>
    <n v="0.1"/>
    <n v="141.876"/>
    <n v="48.88"/>
    <n v="13272.386399999999"/>
    <n v="6934.8988800000006"/>
    <n v="6337.4875199999988"/>
  </r>
  <r>
    <s v="ORD-2024-134084"/>
    <d v="2024-06-04T00:00:00"/>
    <d v="2024-06-16T00:00:00"/>
    <d v="2024-06-04T00:00:00"/>
    <d v="2024-06-16T00:00:00"/>
    <n v="12"/>
    <s v="6-2024"/>
    <x v="1"/>
    <x v="8"/>
    <s v="Shanghai"/>
    <s v="Corporate"/>
    <x v="0"/>
    <s v="J. Njeri"/>
    <s v="Printers"/>
    <s v="PRN-4097"/>
    <n v="918.42"/>
    <n v="1511.71"/>
    <n v="0.02"/>
    <n v="8"/>
    <n v="11851.806399999999"/>
    <n v="7347.36"/>
    <n v="4504.4463999999998"/>
    <n v="0.38006412254590999"/>
    <s v="Q2-2024"/>
    <s v="Asia → China → Shanghai"/>
    <s v="Medium"/>
    <n v="2024"/>
    <n v="6"/>
    <s v="No"/>
    <s v="No"/>
    <n v="0.02"/>
    <n v="964.34100000000001"/>
    <n v="8.32"/>
    <n v="12325.878655999999"/>
    <n v="8023.3171200000006"/>
    <n v="4302.5615359999983"/>
  </r>
  <r>
    <s v="ORD-2023-884625"/>
    <d v="2023-02-19T00:00:00"/>
    <d v="2023-03-12T00:00:00"/>
    <d v="2023-02-19T00:00:00"/>
    <d v="2023-03-12T00:00:00"/>
    <n v="21"/>
    <s v="2-2023"/>
    <x v="3"/>
    <x v="11"/>
    <s v="Berlin"/>
    <s v="Small Business"/>
    <x v="4"/>
    <s v="L. Okafor"/>
    <s v="Monitors"/>
    <s v="MON-6699"/>
    <n v="1234.81"/>
    <n v="2055.2399999999998"/>
    <n v="5.2999999999999999E-2"/>
    <n v="44"/>
    <n v="85637.740319999997"/>
    <n v="54331.64"/>
    <n v="31306.100319999998"/>
    <n v="0.36556429680441616"/>
    <s v="Q1-2023"/>
    <s v="Europe → Germany → Berlin"/>
    <s v="High"/>
    <n v="2023"/>
    <n v="2"/>
    <s v="No"/>
    <s v="No"/>
    <n v="5.2999999999999999E-2"/>
    <n v="1296.5505000000001"/>
    <n v="45.760000000000005"/>
    <n v="89063.249932799998"/>
    <n v="59330.150880000008"/>
    <n v="29733.099052799989"/>
  </r>
  <r>
    <s v="ORD-2023-157993"/>
    <d v="2023-04-18T00:00:00"/>
    <d v="2023-05-18T00:00:00"/>
    <d v="2023-04-18T00:00:00"/>
    <d v="2023-05-18T00:00:00"/>
    <n v="30"/>
    <s v="4-2023"/>
    <x v="1"/>
    <x v="8"/>
    <s v="Shenzhen"/>
    <s v="Non-Profit"/>
    <x v="0"/>
    <s v="H. Kim"/>
    <s v="Laptops"/>
    <s v="LAP-1482"/>
    <n v="329.03"/>
    <n v="391.15"/>
    <n v="0.19700000000000001"/>
    <n v="46"/>
    <n v="14448.298699999998"/>
    <n v="15135.38"/>
    <n v="-687.08130000000165"/>
    <n v="-4.7554477815440081E-2"/>
    <s v="Q2-2023"/>
    <s v="Asia → China → Shenzhen"/>
    <s v="Low"/>
    <n v="2023"/>
    <n v="4"/>
    <s v="No"/>
    <s v="No"/>
    <n v="0.1"/>
    <n v="345.48149999999998"/>
    <n v="47.84"/>
    <n v="16841.354400000004"/>
    <n v="16527.83496"/>
    <n v="313.51944000000367"/>
  </r>
  <r>
    <s v="ORD-2024-329104"/>
    <d v="2024-05-23T00:00:00"/>
    <d v="2024-06-14T00:00:00"/>
    <d v="2024-05-23T00:00:00"/>
    <d v="2024-06-14T00:00:00"/>
    <n v="22"/>
    <s v="5-2024"/>
    <x v="3"/>
    <x v="6"/>
    <s v="Marseille"/>
    <s v="Small Business"/>
    <x v="1"/>
    <s v="N. Brown"/>
    <s v="Monitors"/>
    <s v="MON-2100"/>
    <n v="1481.74"/>
    <n v="1848.97"/>
    <n v="0.254"/>
    <n v="9"/>
    <n v="12413.98458"/>
    <n v="13335.66"/>
    <n v="-921.67541999999958"/>
    <n v="-7.4244930309072407E-2"/>
    <s v="Q2-2024"/>
    <s v="Europe → France → Marseille"/>
    <s v="Medium"/>
    <n v="2024"/>
    <n v="5"/>
    <s v="No"/>
    <s v="Yes"/>
    <n v="0.1"/>
    <n v="1555.827"/>
    <n v="9.36"/>
    <n v="15575.72328"/>
    <n v="14562.540719999999"/>
    <n v="1013.1825600000011"/>
  </r>
  <r>
    <s v="ORD-2023-304451"/>
    <d v="2023-10-07T00:00:00"/>
    <d v="2023-10-23T00:00:00"/>
    <d v="2023-10-07T00:00:00"/>
    <d v="2023-10-23T00:00:00"/>
    <n v="16"/>
    <s v="10-2023"/>
    <x v="1"/>
    <x v="4"/>
    <s v="Hyderabad"/>
    <s v="Consumer"/>
    <x v="0"/>
    <s v="G. Dubois"/>
    <s v="Monitors"/>
    <s v="MON-7602"/>
    <n v="906.81"/>
    <n v="1395.56"/>
    <n v="0.185"/>
    <n v="6"/>
    <n v="6824.2884000000004"/>
    <n v="5440.86"/>
    <n v="1383.4284000000007"/>
    <n v="0.20272126834498974"/>
    <s v="Q4-2023"/>
    <s v="Asia → India → Hyderabad"/>
    <s v="Medium"/>
    <n v="2023"/>
    <n v="10"/>
    <s v="No"/>
    <s v="No"/>
    <n v="0.1"/>
    <n v="952.15049999999997"/>
    <n v="6.24"/>
    <n v="7837.4649600000012"/>
    <n v="5941.4191199999996"/>
    <n v="1896.0458400000016"/>
  </r>
  <r>
    <s v="ORD-2024-942981"/>
    <d v="2024-10-09T00:00:00"/>
    <d v="2024-11-08T00:00:00"/>
    <d v="2024-10-09T00:00:00"/>
    <d v="2024-11-08T00:00:00"/>
    <n v="30"/>
    <s v="10-2024"/>
    <x v="3"/>
    <x v="7"/>
    <s v="Manchester"/>
    <s v="Small Business"/>
    <x v="3"/>
    <s v="J. Njeri"/>
    <s v="Components"/>
    <s v="CMP-1072"/>
    <n v="343.85"/>
    <n v="538.04"/>
    <n v="0.13900000000000001"/>
    <n v="5"/>
    <n v="2316.2621999999997"/>
    <n v="1719.25"/>
    <n v="597.01219999999967"/>
    <n v="0.25774810813732563"/>
    <s v="Q4-2024"/>
    <s v="Europe → United Kingdom → Manchester"/>
    <s v="Low"/>
    <n v="2024"/>
    <n v="10"/>
    <s v="No"/>
    <s v="No"/>
    <n v="0.1"/>
    <n v="361.04250000000002"/>
    <n v="5.2"/>
    <n v="2518.0272"/>
    <n v="1877.421"/>
    <n v="640.60619999999994"/>
  </r>
  <r>
    <s v="ORD-2025-337268"/>
    <d v="2025-02-16T00:00:00"/>
    <d v="2025-03-17T00:00:00"/>
    <d v="2025-02-16T00:00:00"/>
    <d v="2025-03-17T00:00:00"/>
    <n v="29"/>
    <s v="2-2025"/>
    <x v="3"/>
    <x v="11"/>
    <s v="Munich"/>
    <s v="Consumer"/>
    <x v="0"/>
    <s v="L. Okafor"/>
    <s v="Accessories"/>
    <s v="ACC-5150"/>
    <n v="730.42"/>
    <n v="956.7"/>
    <n v="4.2000000000000003E-2"/>
    <n v="22"/>
    <n v="20163.409200000002"/>
    <n v="16069.24"/>
    <n v="4094.1692000000021"/>
    <n v="0.20304945256975698"/>
    <s v="Q1-2025"/>
    <s v="Europe → Germany → Munich"/>
    <s v="Low"/>
    <n v="2025"/>
    <n v="2"/>
    <s v="No"/>
    <s v="No"/>
    <n v="4.2000000000000003E-2"/>
    <n v="766.94100000000003"/>
    <n v="22.880000000000003"/>
    <n v="20969.945568000003"/>
    <n v="17547.610080000002"/>
    <n v="3422.3354880000006"/>
  </r>
  <r>
    <s v="ORD-2023-450877"/>
    <d v="2023-09-21T00:00:00"/>
    <d v="2023-10-10T00:00:00"/>
    <d v="2023-09-21T00:00:00"/>
    <d v="2023-10-10T00:00:00"/>
    <n v="19"/>
    <s v="9-2023"/>
    <x v="1"/>
    <x v="2"/>
    <s v="Tokyo"/>
    <s v="Education"/>
    <x v="1"/>
    <s v="D. Smith"/>
    <s v="Components"/>
    <s v="CMP-5211"/>
    <n v="845.63"/>
    <n v="2062.12"/>
    <n v="0.13400000000000001"/>
    <n v="5"/>
    <n v="8928.9795999999988"/>
    <n v="4228.1499999999996"/>
    <n v="4700.8295999999991"/>
    <n v="0.52646884757133949"/>
    <s v="Q3-2023"/>
    <s v="Asia → Japan → Tokyo"/>
    <s v="High"/>
    <n v="2023"/>
    <n v="9"/>
    <s v="No"/>
    <s v="No"/>
    <n v="0.1"/>
    <n v="887.91150000000005"/>
    <n v="5.2"/>
    <n v="9650.7215999999989"/>
    <n v="4617.1398000000008"/>
    <n v="5033.5817999999981"/>
  </r>
  <r>
    <s v="ORD-2023-286994"/>
    <d v="2023-02-24T00:00:00"/>
    <d v="2023-03-09T00:00:00"/>
    <d v="2023-02-24T00:00:00"/>
    <d v="2023-03-09T00:00:00"/>
    <n v="13"/>
    <s v="2-2023"/>
    <x v="2"/>
    <x v="9"/>
    <s v="New York"/>
    <s v="Enterprise"/>
    <x v="1"/>
    <s v="M. Rossi"/>
    <s v="Components"/>
    <s v="CMP-1632"/>
    <n v="6.85"/>
    <n v="10.18"/>
    <n v="4.7E-2"/>
    <n v="10"/>
    <n v="97.0154"/>
    <n v="68.5"/>
    <n v="28.5154"/>
    <n v="0.2939265312517394"/>
    <s v="Q1-2023"/>
    <s v="Americas → USA → New York"/>
    <s v="Low"/>
    <n v="2023"/>
    <n v="2"/>
    <s v="No"/>
    <s v="No"/>
    <n v="4.7E-2"/>
    <n v="7.1924999999999999"/>
    <n v="10.4"/>
    <n v="100.89601599999999"/>
    <n v="74.802000000000007"/>
    <n v="26.094015999999982"/>
  </r>
  <r>
    <s v="ORD-2025-700847"/>
    <d v="2025-05-21T00:00:00"/>
    <d v="2025-05-19T00:00:00"/>
    <d v="2025-05-19T00:00:00"/>
    <d v="2025-05-21T00:00:00"/>
    <n v="2"/>
    <s v="5-2025"/>
    <x v="0"/>
    <x v="10"/>
    <s v="Johannesburg"/>
    <s v="Non-Profit"/>
    <x v="3"/>
    <s v="O. Wang"/>
    <s v="Laptops"/>
    <s v="LAP-7099"/>
    <n v="1263.8399999999999"/>
    <n v="2281.7199999999998"/>
    <n v="7.8E-2"/>
    <n v="15"/>
    <n v="31556.187599999997"/>
    <n v="18957.599999999999"/>
    <n v="12598.587599999999"/>
    <n v="0.39924301882398494"/>
    <s v="Q2-2025"/>
    <s v="Africa → South Africa → Johannesburg"/>
    <s v="High"/>
    <n v="2025"/>
    <n v="5"/>
    <s v="Yes"/>
    <s v="No"/>
    <n v="7.8E-2"/>
    <n v="1327.0319999999999"/>
    <n v="15.600000000000001"/>
    <n v="32818.435104000004"/>
    <n v="20701.699199999999"/>
    <n v="12116.735904000005"/>
  </r>
  <r>
    <s v="ORD-2024-970848"/>
    <d v="2024-05-23T00:00:00"/>
    <d v="2024-06-03T00:00:00"/>
    <d v="2024-05-23T00:00:00"/>
    <d v="2024-06-03T00:00:00"/>
    <n v="11"/>
    <s v="5-2024"/>
    <x v="0"/>
    <x v="10"/>
    <s v="Johannesburg"/>
    <s v="Small Business"/>
    <x v="3"/>
    <s v="F. Müller"/>
    <s v="Printers"/>
    <s v="PRN-3785"/>
    <n v="180.89"/>
    <n v="249.57"/>
    <n v="2.1999999999999999E-2"/>
    <n v="8"/>
    <n v="1952.6356799999999"/>
    <n v="1447.12"/>
    <n v="505.51567999999997"/>
    <n v="0.25888888806948362"/>
    <s v="Q2-2024"/>
    <s v="Africa → South Africa → Johannesburg"/>
    <s v="Low"/>
    <n v="2024"/>
    <n v="5"/>
    <s v="No"/>
    <s v="No"/>
    <n v="2.1999999999999999E-2"/>
    <n v="189.93449999999999"/>
    <n v="8.32"/>
    <n v="2030.7411072"/>
    <n v="1580.25504"/>
    <n v="450.48606719999998"/>
  </r>
  <r>
    <s v="ORD-2025-845715"/>
    <d v="2025-04-14T00:00:00"/>
    <d v="2025-05-04T00:00:00"/>
    <d v="2025-04-14T00:00:00"/>
    <d v="2025-05-04T00:00:00"/>
    <n v="20"/>
    <s v="4-2025"/>
    <x v="3"/>
    <x v="7"/>
    <s v="Birmingham"/>
    <s v="Enterprise"/>
    <x v="2"/>
    <s v="K. Singh"/>
    <s v="Monitors"/>
    <s v="MON-6962"/>
    <n v="1413.87"/>
    <n v="3275"/>
    <n v="0.255"/>
    <n v="38"/>
    <n v="92715.25"/>
    <n v="53727.06"/>
    <n v="38988.19"/>
    <n v="0.42051539525590453"/>
    <s v="Q2-2025"/>
    <s v="Europe → United Kingdom → Birmingham"/>
    <s v="High"/>
    <n v="2025"/>
    <n v="4"/>
    <s v="No"/>
    <s v="Yes"/>
    <n v="0.1"/>
    <n v="1484.5635"/>
    <n v="39.520000000000003"/>
    <n v="116485.20000000001"/>
    <n v="58669.949520000002"/>
    <n v="57815.25048000001"/>
  </r>
  <r>
    <s v="ORD-2023-664749"/>
    <d v="2023-08-27T00:00:00"/>
    <d v="2023-09-11T00:00:00"/>
    <d v="2023-08-27T00:00:00"/>
    <d v="2023-09-11T00:00:00"/>
    <n v="15"/>
    <s v="8-2023"/>
    <x v="3"/>
    <x v="7"/>
    <s v="London"/>
    <s v="Consumer"/>
    <x v="2"/>
    <s v="N. Brown"/>
    <s v="Printers"/>
    <s v="PRN-5107"/>
    <n v="943.79"/>
    <n v="1913.76"/>
    <n v="9.0999999999999998E-2"/>
    <n v="9"/>
    <n v="15656.47056"/>
    <n v="8494.11"/>
    <n v="7162.3605599999992"/>
    <n v="0.45746967891338081"/>
    <s v="Q3-2023"/>
    <s v="Europe → United Kingdom → London"/>
    <s v="High"/>
    <n v="2023"/>
    <n v="8"/>
    <s v="No"/>
    <s v="No"/>
    <n v="9.0999999999999998E-2"/>
    <n v="990.97950000000003"/>
    <n v="9.36"/>
    <n v="16282.729382399999"/>
    <n v="9275.5681199999999"/>
    <n v="7007.161262399999"/>
  </r>
  <r>
    <s v="ORD-2024-960952"/>
    <d v="2024-02-03T00:00:00"/>
    <d v="2024-02-21T00:00:00"/>
    <d v="2024-02-03T00:00:00"/>
    <d v="2024-02-21T00:00:00"/>
    <n v="18"/>
    <s v="2-2024"/>
    <x v="3"/>
    <x v="11"/>
    <s v="Frankfurt"/>
    <s v="Corporate"/>
    <x v="0"/>
    <s v="H. Kim"/>
    <s v="Components"/>
    <s v="CMP-9264"/>
    <n v="39.229999999999997"/>
    <n v="30.09"/>
    <n v="0.17699999999999999"/>
    <n v="13"/>
    <n v="321.93290999999999"/>
    <n v="509.98999999999995"/>
    <n v="-188.05708999999996"/>
    <n v="-0.58414993981199359"/>
    <s v="Q1-2024"/>
    <s v="Europe → Germany → Frankfurt"/>
    <s v="Low"/>
    <n v="2024"/>
    <n v="2"/>
    <s v="No"/>
    <s v="No"/>
    <n v="0.1"/>
    <n v="41.191499999999998"/>
    <n v="13.52"/>
    <n v="366.13512000000003"/>
    <n v="556.9090799999999"/>
    <n v="-190.77395999999987"/>
  </r>
  <r>
    <s v="ORD-2023-987700"/>
    <d v="2023-04-05T00:00:00"/>
    <d v="2023-04-16T00:00:00"/>
    <d v="2023-04-05T00:00:00"/>
    <d v="2023-04-16T00:00:00"/>
    <n v="11"/>
    <s v="4-2023"/>
    <x v="2"/>
    <x v="3"/>
    <s v="Vancouver"/>
    <s v="Non-Profit"/>
    <x v="1"/>
    <s v="O. Wang"/>
    <s v="Monitors"/>
    <s v="MON-5259"/>
    <n v="213.1"/>
    <n v="501.31"/>
    <n v="5.6000000000000001E-2"/>
    <n v="15"/>
    <n v="7098.5495999999994"/>
    <n v="3196.5"/>
    <n v="3902.0495999999994"/>
    <n v="0.54969674368409005"/>
    <s v="Q2-2023"/>
    <s v="Americas → Canada → Vancouver"/>
    <s v="Low"/>
    <n v="2023"/>
    <n v="4"/>
    <s v="No"/>
    <s v="No"/>
    <n v="5.6000000000000001E-2"/>
    <n v="223.755"/>
    <n v="15.600000000000001"/>
    <n v="7382.4915840000003"/>
    <n v="3490.5780000000004"/>
    <n v="3891.9135839999999"/>
  </r>
  <r>
    <s v="ORD-2025-652467"/>
    <d v="2025-08-21T00:00:00"/>
    <d v="2025-09-12T00:00:00"/>
    <d v="2025-08-21T00:00:00"/>
    <d v="2025-09-12T00:00:00"/>
    <n v="22"/>
    <s v="8-2025"/>
    <x v="1"/>
    <x v="8"/>
    <s v="Shenzhen"/>
    <s v="Education"/>
    <x v="0"/>
    <s v="B. Chen"/>
    <s v="Printers"/>
    <s v="PRN-8137"/>
    <n v="352.66"/>
    <n v="411.18"/>
    <n v="0.17299999999999999"/>
    <n v="13"/>
    <n v="4420.5961799999995"/>
    <n v="4584.58"/>
    <n v="-163.98382000000038"/>
    <n v="-3.7095408248758066E-2"/>
    <s v="Q3-2025"/>
    <s v="Asia → China → Shenzhen"/>
    <s v="Low"/>
    <n v="2025"/>
    <n v="8"/>
    <s v="No"/>
    <s v="No"/>
    <n v="0.1"/>
    <n v="370.29300000000006"/>
    <n v="13.52"/>
    <n v="5003.2382399999997"/>
    <n v="5006.3613600000008"/>
    <n v="-3.1231200000011086"/>
  </r>
  <r>
    <s v="ORD-2023-619570"/>
    <d v="2023-11-14T00:00:00"/>
    <d v="2023-11-30T00:00:00"/>
    <d v="2023-11-14T00:00:00"/>
    <d v="2023-11-30T00:00:00"/>
    <n v="16"/>
    <s v="11-2023"/>
    <x v="2"/>
    <x v="5"/>
    <s v="São Paulo"/>
    <s v="Enterprise"/>
    <x v="4"/>
    <s v="K. Singh"/>
    <s v="Networking"/>
    <s v="NET-4104"/>
    <n v="1017.92"/>
    <n v="1175.25"/>
    <n v="7.4999999999999997E-2"/>
    <n v="15"/>
    <n v="16306.59375"/>
    <n v="15268.8"/>
    <n v="1037.7937500000007"/>
    <n v="6.3642583234159542E-2"/>
    <s v="Q4-2023"/>
    <s v="Americas → Brazil → São Paulo"/>
    <s v="Low"/>
    <n v="2023"/>
    <n v="11"/>
    <s v="No"/>
    <s v="No"/>
    <n v="7.4999999999999997E-2"/>
    <n v="1068.816"/>
    <n v="15.600000000000001"/>
    <n v="16958.857500000002"/>
    <n v="16673.529600000002"/>
    <n v="285.32790000000023"/>
  </r>
  <r>
    <s v="ORD-2024-237478"/>
    <d v="2024-10-03T00:00:00"/>
    <d v="2024-10-11T00:00:00"/>
    <d v="2024-10-03T00:00:00"/>
    <d v="2024-10-11T00:00:00"/>
    <n v="8"/>
    <s v="10-2024"/>
    <x v="1"/>
    <x v="8"/>
    <s v="Beijing"/>
    <s v="Enterprise"/>
    <x v="4"/>
    <s v="B. Chen"/>
    <s v="Phones"/>
    <s v="PHN-7488"/>
    <n v="1132.6099999999999"/>
    <n v="2206.63"/>
    <n v="6.3E-2"/>
    <n v="20"/>
    <n v="41352.246200000009"/>
    <n v="22652.199999999997"/>
    <n v="18700.046200000012"/>
    <n v="0.45221355351671338"/>
    <s v="Q4-2024"/>
    <s v="Asia → China → Beijing"/>
    <s v="High"/>
    <n v="2024"/>
    <n v="10"/>
    <s v="No"/>
    <s v="No"/>
    <n v="6.3E-2"/>
    <n v="1189.2404999999999"/>
    <n v="20.8"/>
    <n v="43006.336048000005"/>
    <n v="24736.202399999998"/>
    <n v="18270.133648000006"/>
  </r>
  <r>
    <s v="ORD-2024-997336"/>
    <d v="2024-10-04T00:00:00"/>
    <d v="2024-11-02T00:00:00"/>
    <d v="2024-10-04T00:00:00"/>
    <d v="2024-11-02T00:00:00"/>
    <n v="29"/>
    <s v="10-2024"/>
    <x v="0"/>
    <x v="1"/>
    <s v="Abuja"/>
    <s v="Corporate"/>
    <x v="3"/>
    <s v="F. Müller"/>
    <s v="Accessories"/>
    <s v="ACC-9038"/>
    <n v="412.09"/>
    <n v="968.94"/>
    <n v="9.9000000000000005E-2"/>
    <n v="23"/>
    <n v="20079.343620000003"/>
    <n v="9478.07"/>
    <n v="10601.273620000004"/>
    <n v="0.52796913189137418"/>
    <s v="Q4-2024"/>
    <s v="Africa → Nigeria → Abuja"/>
    <s v="Low"/>
    <n v="2024"/>
    <n v="10"/>
    <s v="No"/>
    <s v="No"/>
    <n v="9.9000000000000005E-2"/>
    <n v="432.69450000000001"/>
    <n v="23.92"/>
    <n v="20882.517364800002"/>
    <n v="10350.052440000001"/>
    <n v="10532.464924800001"/>
  </r>
  <r>
    <s v="ORD-2023-334213"/>
    <d v="2023-08-19T00:00:00"/>
    <d v="2023-08-23T00:00:00"/>
    <d v="2023-08-19T00:00:00"/>
    <d v="2023-08-23T00:00:00"/>
    <n v="4"/>
    <s v="8-2023"/>
    <x v="0"/>
    <x v="1"/>
    <s v="Abuja"/>
    <s v="Small Business"/>
    <x v="1"/>
    <s v="J. Njeri"/>
    <s v="Monitors"/>
    <s v="MON-5517"/>
    <n v="790.63"/>
    <n v="1382.31"/>
    <n v="0.10100000000000001"/>
    <n v="7"/>
    <n v="8698.8768300000011"/>
    <n v="5534.41"/>
    <n v="3164.4668300000012"/>
    <n v="0.36377878338116448"/>
    <s v="Q3-2023"/>
    <s v="Africa → Nigeria → Abuja"/>
    <s v="Medium"/>
    <n v="2023"/>
    <n v="8"/>
    <s v="Yes"/>
    <s v="No"/>
    <n v="0.1"/>
    <n v="830.16150000000005"/>
    <n v="7.28"/>
    <n v="9056.895120000001"/>
    <n v="6043.5757200000007"/>
    <n v="3013.3194000000003"/>
  </r>
  <r>
    <s v="ORD-2024-640340"/>
    <d v="2024-10-22T00:00:00"/>
    <d v="2024-10-29T00:00:00"/>
    <d v="2024-10-22T00:00:00"/>
    <d v="2024-10-29T00:00:00"/>
    <n v="7"/>
    <s v="10-2024"/>
    <x v="0"/>
    <x v="1"/>
    <s v="Port Harcourt"/>
    <s v="Enterprise"/>
    <x v="3"/>
    <s v="M. Rossi"/>
    <s v="Monitors"/>
    <s v="MON-8758"/>
    <n v="1023.06"/>
    <n v="1355.61"/>
    <n v="0.153"/>
    <n v="23"/>
    <n v="26408.63841"/>
    <n v="23530.379999999997"/>
    <n v="2878.2584100000022"/>
    <n v="0.10898927711888809"/>
    <s v="Q4-2024"/>
    <s v="Africa → Nigeria → Port Harcourt"/>
    <s v="Medium"/>
    <n v="2024"/>
    <n v="10"/>
    <s v="Yes"/>
    <s v="No"/>
    <n v="0.1"/>
    <n v="1074.213"/>
    <n v="23.92"/>
    <n v="29183.572080000002"/>
    <n v="25695.17496"/>
    <n v="3488.3971200000015"/>
  </r>
  <r>
    <s v="ORD-2023-780206"/>
    <d v="2023-01-19T00:00:00"/>
    <d v="2023-02-03T00:00:00"/>
    <d v="2023-01-19T00:00:00"/>
    <d v="2023-02-03T00:00:00"/>
    <n v="15"/>
    <s v="1-2023"/>
    <x v="3"/>
    <x v="7"/>
    <s v="London"/>
    <s v="Enterprise"/>
    <x v="3"/>
    <s v="G. Dubois"/>
    <s v="Accessories"/>
    <s v="ACC-3645"/>
    <n v="873.06"/>
    <n v="2101.5500000000002"/>
    <n v="6.6000000000000003E-2"/>
    <n v="10"/>
    <n v="19628.476999999999"/>
    <n v="8730.5999999999985"/>
    <n v="10897.877"/>
    <n v="0.55520746719167269"/>
    <s v="Q1-2023"/>
    <s v="Europe → United Kingdom → London"/>
    <s v="High"/>
    <n v="2023"/>
    <n v="1"/>
    <s v="No"/>
    <s v="No"/>
    <n v="6.6000000000000003E-2"/>
    <n v="916.71299999999997"/>
    <n v="10.4"/>
    <n v="20413.61608"/>
    <n v="9533.8151999999991"/>
    <n v="10879.800880000001"/>
  </r>
  <r>
    <s v="ORD-2025-542939"/>
    <d v="2025-01-13T00:00:00"/>
    <d v="2025-02-08T00:00:00"/>
    <d v="2025-01-13T00:00:00"/>
    <d v="2025-02-08T00:00:00"/>
    <n v="26"/>
    <s v="1-2025"/>
    <x v="3"/>
    <x v="6"/>
    <s v="Paris"/>
    <s v="Non-Profit"/>
    <x v="5"/>
    <s v="E. Garcia"/>
    <s v="Monitors"/>
    <s v="MON-1593"/>
    <n v="594.74"/>
    <n v="1020.69"/>
    <n v="0.21099999999999999"/>
    <n v="6"/>
    <n v="4831.9464600000001"/>
    <n v="3568.44"/>
    <n v="1263.5064600000001"/>
    <n v="0.26149016146176424"/>
    <s v="Q1-2025"/>
    <s v="Europe → France → Paris"/>
    <s v="Low"/>
    <n v="2025"/>
    <n v="1"/>
    <s v="No"/>
    <s v="Yes"/>
    <n v="0.1"/>
    <n v="624.47700000000009"/>
    <n v="6.24"/>
    <n v="5732.1950400000005"/>
    <n v="3896.7364800000005"/>
    <n v="1835.45856"/>
  </r>
  <r>
    <s v="ORD-2025-922513"/>
    <d v="2025-08-28T00:00:00"/>
    <d v="2025-08-26T00:00:00"/>
    <d v="2025-08-26T00:00:00"/>
    <d v="2025-08-28T00:00:00"/>
    <n v="2"/>
    <s v="8-2025"/>
    <x v="0"/>
    <x v="1"/>
    <s v="Port Harcourt"/>
    <s v="Small Business"/>
    <x v="0"/>
    <s v="A. Patel"/>
    <s v="Accessories"/>
    <s v="ACC-4483"/>
    <n v="521.05999999999995"/>
    <n v="1240.31"/>
    <n v="0.14599999999999999"/>
    <n v="18"/>
    <n v="19066.045319999997"/>
    <n v="9379.0799999999981"/>
    <n v="9686.9653199999993"/>
    <n v="0.50807417885650974"/>
    <s v="Q3-2025"/>
    <s v="Africa → Nigeria → Port Harcourt"/>
    <s v="Medium"/>
    <n v="2025"/>
    <n v="8"/>
    <s v="Yes"/>
    <s v="No"/>
    <n v="0.1"/>
    <n v="547.11299999999994"/>
    <n v="18.72"/>
    <n v="20896.742879999998"/>
    <n v="10241.955359999998"/>
    <n v="10654.78752"/>
  </r>
  <r>
    <s v="ORD-2023-239789"/>
    <d v="2023-12-03T00:00:00"/>
    <d v="2023-12-26T00:00:00"/>
    <d v="2023-12-03T00:00:00"/>
    <d v="2023-12-26T00:00:00"/>
    <n v="23"/>
    <s v="12-2023"/>
    <x v="2"/>
    <x v="5"/>
    <s v="Rio de Janeiro"/>
    <s v="Education"/>
    <x v="0"/>
    <s v="O. Wang"/>
    <s v="Phones"/>
    <s v="PHN-4644"/>
    <n v="1303.1099999999999"/>
    <n v="1145.67"/>
    <n v="0.184"/>
    <n v="13"/>
    <n v="12153.267360000002"/>
    <n v="16940.43"/>
    <n v="-4787.1626399999986"/>
    <n v="-0.39389922875851208"/>
    <s v="Q4-2023"/>
    <s v="Americas → Brazil → Rio de Janeiro"/>
    <s v="Low"/>
    <n v="2023"/>
    <n v="12"/>
    <s v="No"/>
    <s v="No"/>
    <n v="0.1"/>
    <n v="1368.2655"/>
    <n v="13.52"/>
    <n v="13940.512560000001"/>
    <n v="18498.949559999997"/>
    <n v="-4558.4369999999963"/>
  </r>
  <r>
    <s v="ORD-2023-581799"/>
    <d v="2023-12-05T00:00:00"/>
    <d v="2023-12-12T00:00:00"/>
    <d v="2023-12-05T00:00:00"/>
    <d v="2023-12-12T00:00:00"/>
    <n v="7"/>
    <s v="12-2023"/>
    <x v="2"/>
    <x v="5"/>
    <s v="Brasília"/>
    <s v="Corporate"/>
    <x v="4"/>
    <s v="F. Müller"/>
    <s v="Phones"/>
    <s v="PHN-6506"/>
    <n v="307.43"/>
    <n v="495.19"/>
    <n v="0"/>
    <n v="42"/>
    <n v="20797.98"/>
    <n v="12912.06"/>
    <n v="7885.92"/>
    <n v="0.37916759223732305"/>
    <s v="Q4-2023"/>
    <s v="Americas → Brazil → Brasília"/>
    <s v="Low"/>
    <n v="2023"/>
    <n v="12"/>
    <s v="Yes"/>
    <s v="No"/>
    <n v="0"/>
    <n v="322.80150000000003"/>
    <n v="43.68"/>
    <n v="21629.8992"/>
    <n v="14099.969520000001"/>
    <n v="7529.9296799999993"/>
  </r>
  <r>
    <s v="ORD-2024-760799"/>
    <d v="2024-02-03T00:00:00"/>
    <d v="2024-02-19T00:00:00"/>
    <d v="2024-02-03T00:00:00"/>
    <d v="2024-02-19T00:00:00"/>
    <n v="16"/>
    <s v="2-2024"/>
    <x v="1"/>
    <x v="8"/>
    <s v="Shenzhen"/>
    <s v="Small Business"/>
    <x v="1"/>
    <s v="H. Kim"/>
    <s v="Laptops"/>
    <s v="LAP-5531"/>
    <n v="993.75"/>
    <n v="1310.29"/>
    <n v="0.215"/>
    <n v="19"/>
    <n v="19542.975350000001"/>
    <n v="18881.25"/>
    <n v="661.72535000000062"/>
    <n v="3.3860010471742245E-2"/>
    <s v="Q1-2024"/>
    <s v="Asia → China → Shenzhen"/>
    <s v="Medium"/>
    <n v="2024"/>
    <n v="2"/>
    <s v="No"/>
    <s v="Yes"/>
    <n v="0.1"/>
    <n v="1043.4375"/>
    <n v="19.760000000000002"/>
    <n v="23302.197360000002"/>
    <n v="20618.325000000001"/>
    <n v="2683.8723600000012"/>
  </r>
  <r>
    <s v="ORD-2023-197661"/>
    <d v="2023-08-08T00:00:00"/>
    <d v="2023-08-22T00:00:00"/>
    <d v="2023-08-08T00:00:00"/>
    <d v="2023-08-22T00:00:00"/>
    <n v="14"/>
    <s v="8-2023"/>
    <x v="3"/>
    <x v="7"/>
    <s v="Birmingham"/>
    <s v="Non-Profit"/>
    <x v="4"/>
    <s v="N. Brown"/>
    <s v="Monitors"/>
    <s v="MON-7511"/>
    <n v="446.69"/>
    <n v="967.25"/>
    <n v="9.4E-2"/>
    <n v="10"/>
    <n v="8763.2849999999999"/>
    <n v="4466.8999999999996"/>
    <n v="4296.3850000000002"/>
    <n v="0.49027105702941309"/>
    <s v="Q3-2023"/>
    <s v="Europe → United Kingdom → Birmingham"/>
    <s v="Low"/>
    <n v="2023"/>
    <n v="8"/>
    <s v="No"/>
    <s v="No"/>
    <n v="9.4E-2"/>
    <n v="469.02449999999999"/>
    <n v="10.4"/>
    <n v="9113.8163999999997"/>
    <n v="4877.8548000000001"/>
    <n v="4235.9615999999996"/>
  </r>
  <r>
    <s v="ORD-2024-212990"/>
    <d v="2024-08-12T00:00:00"/>
    <d v="2024-09-03T00:00:00"/>
    <d v="2024-08-12T00:00:00"/>
    <d v="2024-09-03T00:00:00"/>
    <n v="22"/>
    <s v="8-2024"/>
    <x v="2"/>
    <x v="9"/>
    <s v="Austin"/>
    <s v="Consumer"/>
    <x v="3"/>
    <s v="I. Johnson"/>
    <s v="Laptops"/>
    <s v="LAP-7979"/>
    <n v="797.8"/>
    <n v="886.22"/>
    <n v="0.23599999999999999"/>
    <n v="36"/>
    <n v="24374.594880000001"/>
    <n v="28720.799999999999"/>
    <n v="-4346.2051199999987"/>
    <n v="-0.17830881462428633"/>
    <s v="Q3-2024"/>
    <s v="Americas → USA → Austin"/>
    <s v="Low"/>
    <n v="2024"/>
    <n v="8"/>
    <s v="No"/>
    <s v="Yes"/>
    <n v="0.1"/>
    <n v="837.68999999999994"/>
    <n v="37.44"/>
    <n v="29862.069120000004"/>
    <n v="31363.113599999997"/>
    <n v="-1501.0444799999932"/>
  </r>
  <r>
    <s v="ORD-2023-925146"/>
    <d v="2023-10-15T00:00:00"/>
    <d v="2023-11-13T00:00:00"/>
    <d v="2023-10-15T00:00:00"/>
    <d v="2023-11-13T00:00:00"/>
    <n v="29"/>
    <s v="10-2023"/>
    <x v="1"/>
    <x v="8"/>
    <s v="Shenzhen"/>
    <s v="Non-Profit"/>
    <x v="3"/>
    <s v="J. Njeri"/>
    <s v="Printers"/>
    <s v="PRN-4983"/>
    <n v="986.44"/>
    <n v="790.61"/>
    <n v="7.1999999999999995E-2"/>
    <n v="6"/>
    <n v="4402.1164799999997"/>
    <n v="5918.64"/>
    <n v="-1516.5235200000006"/>
    <n v="-0.34449872621271499"/>
    <s v="Q4-2023"/>
    <s v="Asia → China → Shenzhen"/>
    <s v="Low"/>
    <n v="2023"/>
    <n v="10"/>
    <s v="No"/>
    <s v="No"/>
    <n v="7.1999999999999995E-2"/>
    <n v="1035.7620000000002"/>
    <n v="6.24"/>
    <n v="4578.2011392000004"/>
    <n v="6463.154880000001"/>
    <n v="-1884.9537408000006"/>
  </r>
  <r>
    <s v="ORD-2023-177794"/>
    <d v="2023-05-04T00:00:00"/>
    <d v="2023-05-26T00:00:00"/>
    <d v="2023-05-04T00:00:00"/>
    <d v="2023-05-26T00:00:00"/>
    <n v="22"/>
    <s v="5-2023"/>
    <x v="2"/>
    <x v="9"/>
    <s v="San Francisco"/>
    <s v="Enterprise"/>
    <x v="1"/>
    <s v="J. Njeri"/>
    <s v="Networking"/>
    <s v="NET-5941"/>
    <n v="249.71"/>
    <n v="361.33"/>
    <n v="9.4E-2"/>
    <n v="12"/>
    <n v="3928.3797600000003"/>
    <n v="2996.52"/>
    <n v="931.85976000000028"/>
    <n v="0.23721223937881206"/>
    <s v="Q2-2023"/>
    <s v="Americas → USA → San Francisco"/>
    <s v="Low"/>
    <n v="2023"/>
    <n v="5"/>
    <s v="No"/>
    <s v="No"/>
    <n v="9.4E-2"/>
    <n v="262.19550000000004"/>
    <n v="12.48"/>
    <n v="4085.5149504000001"/>
    <n v="3272.1998400000007"/>
    <n v="813.31511039999941"/>
  </r>
  <r>
    <s v="ORD-2023-195665"/>
    <d v="2023-12-19T00:00:00"/>
    <d v="2023-12-20T00:00:00"/>
    <d v="2023-12-19T00:00:00"/>
    <d v="2023-12-20T00:00:00"/>
    <n v="1"/>
    <s v="12-2023"/>
    <x v="2"/>
    <x v="5"/>
    <s v="Rio de Janeiro"/>
    <s v="Consumer"/>
    <x v="3"/>
    <s v="J. Njeri"/>
    <s v="Phones"/>
    <s v="PHN-7274"/>
    <n v="1080.43"/>
    <n v="2529.15"/>
    <n v="0.14699999999999999"/>
    <n v="10"/>
    <n v="21573.6495"/>
    <n v="10804.300000000001"/>
    <n v="10769.349499999998"/>
    <n v="0.49918997247081437"/>
    <s v="Q4-2023"/>
    <s v="Americas → Brazil → Rio de Janeiro"/>
    <s v="High"/>
    <n v="2023"/>
    <n v="12"/>
    <s v="Yes"/>
    <s v="No"/>
    <n v="0.1"/>
    <n v="1134.4515000000001"/>
    <n v="10.4"/>
    <n v="23672.844000000005"/>
    <n v="11798.295600000001"/>
    <n v="11874.548400000003"/>
  </r>
  <r>
    <s v="ORD-2024-668926"/>
    <d v="2024-10-23T00:00:00"/>
    <d v="2024-11-14T00:00:00"/>
    <d v="2024-10-23T00:00:00"/>
    <d v="2024-11-14T00:00:00"/>
    <n v="22"/>
    <s v="10-2024"/>
    <x v="1"/>
    <x v="2"/>
    <s v="Osaka"/>
    <s v="Non-Profit"/>
    <x v="4"/>
    <s v="B. Chen"/>
    <s v="Phones"/>
    <s v="PHN-9789"/>
    <n v="1406.4"/>
    <n v="1564.76"/>
    <n v="0.185"/>
    <n v="17"/>
    <n v="21679.749799999998"/>
    <n v="23908.800000000003"/>
    <n v="-2229.0502000000051"/>
    <n v="-0.10281715520536151"/>
    <s v="Q4-2024"/>
    <s v="Asia → Japan → Osaka"/>
    <s v="Medium"/>
    <n v="2024"/>
    <n v="10"/>
    <s v="No"/>
    <s v="No"/>
    <n v="0.1"/>
    <n v="1476.7200000000003"/>
    <n v="17.68"/>
    <n v="24898.46112"/>
    <n v="26108.409600000003"/>
    <n v="-1209.9484800000027"/>
  </r>
  <r>
    <s v="ORD-2024-968374"/>
    <d v="2024-02-11T00:00:00"/>
    <d v="2024-03-03T00:00:00"/>
    <d v="2024-02-11T00:00:00"/>
    <d v="2024-03-03T00:00:00"/>
    <n v="21"/>
    <s v="2-2024"/>
    <x v="0"/>
    <x v="0"/>
    <s v="Kisumu"/>
    <s v="Enterprise"/>
    <x v="1"/>
    <s v="B. Chen"/>
    <s v="Phones"/>
    <s v="PHN-5082"/>
    <n v="516.86"/>
    <n v="852.54"/>
    <n v="5.0999999999999997E-2"/>
    <n v="14"/>
    <n v="11326.846439999999"/>
    <n v="7236.04"/>
    <n v="4090.8064399999994"/>
    <n v="0.36116022775355994"/>
    <s v="Q1-2024"/>
    <s v="Africa → Kenya → Kisumu"/>
    <s v="Low"/>
    <n v="2024"/>
    <n v="2"/>
    <s v="No"/>
    <s v="No"/>
    <n v="5.0999999999999997E-2"/>
    <n v="542.70300000000009"/>
    <n v="14.56"/>
    <n v="11779.9202976"/>
    <n v="7901.7556800000011"/>
    <n v="3878.1646175999986"/>
  </r>
  <r>
    <s v="ORD-2023-575584"/>
    <d v="2023-01-30T00:00:00"/>
    <d v="2023-02-21T00:00:00"/>
    <d v="2023-01-30T00:00:00"/>
    <d v="2023-02-21T00:00:00"/>
    <n v="22"/>
    <s v="1-2023"/>
    <x v="3"/>
    <x v="11"/>
    <s v="Munich"/>
    <s v="Small Business"/>
    <x v="2"/>
    <s v="G. Dubois"/>
    <s v="Networking"/>
    <s v="NET-3460"/>
    <n v="1142.8800000000001"/>
    <n v="1465.29"/>
    <n v="0.186"/>
    <n v="7"/>
    <n v="8349.2224200000001"/>
    <n v="8000.1600000000008"/>
    <n v="349.06241999999929"/>
    <n v="4.1807775915017401E-2"/>
    <s v="Q1-2023"/>
    <s v="Europe → Germany → Munich"/>
    <s v="Medium"/>
    <n v="2023"/>
    <n v="1"/>
    <s v="No"/>
    <s v="No"/>
    <n v="0.1"/>
    <n v="1200.0240000000001"/>
    <n v="7.28"/>
    <n v="9600.5800799999997"/>
    <n v="8736.1747200000009"/>
    <n v="864.40535999999884"/>
  </r>
  <r>
    <s v="ORD-2023-701153"/>
    <d v="2023-04-14T00:00:00"/>
    <d v="2023-05-13T00:00:00"/>
    <d v="2023-04-14T00:00:00"/>
    <d v="2023-05-13T00:00:00"/>
    <n v="29"/>
    <s v="4-2023"/>
    <x v="3"/>
    <x v="11"/>
    <s v="Frankfurt"/>
    <s v="Consumer"/>
    <x v="4"/>
    <s v="J. Njeri"/>
    <s v="Printers"/>
    <s v="PRN-7019"/>
    <n v="1320.33"/>
    <n v="2645.23"/>
    <n v="0.155"/>
    <n v="25"/>
    <n v="55880.483749999999"/>
    <n v="33008.25"/>
    <n v="22872.233749999999"/>
    <n v="0.40930629470436536"/>
    <s v="Q2-2023"/>
    <s v="Europe → Germany → Frankfurt"/>
    <s v="High"/>
    <n v="2023"/>
    <n v="4"/>
    <s v="No"/>
    <s v="No"/>
    <n v="0.1"/>
    <n v="1386.3464999999999"/>
    <n v="26"/>
    <n v="61898.381999999998"/>
    <n v="36045.008999999998"/>
    <n v="25853.373"/>
  </r>
  <r>
    <s v="ORD-2023-382017"/>
    <d v="2023-01-13T00:00:00"/>
    <d v="2023-01-19T00:00:00"/>
    <d v="2023-01-13T00:00:00"/>
    <d v="2023-01-19T00:00:00"/>
    <n v="6"/>
    <s v="1-2023"/>
    <x v="2"/>
    <x v="9"/>
    <s v="Chicago"/>
    <s v="Corporate"/>
    <x v="4"/>
    <s v="H. Kim"/>
    <s v="Phones"/>
    <s v="PHN-3159"/>
    <n v="833.57"/>
    <n v="881.57"/>
    <n v="5.7000000000000002E-2"/>
    <n v="18"/>
    <n v="14963.769179999999"/>
    <n v="15004.26"/>
    <n v="-40.490820000000895"/>
    <n v="-2.7059238560107821E-3"/>
    <s v="Q1-2023"/>
    <s v="Americas → USA → Chicago"/>
    <s v="Low"/>
    <n v="2023"/>
    <n v="1"/>
    <s v="Yes"/>
    <s v="No"/>
    <n v="5.7000000000000002E-2"/>
    <n v="875.24850000000004"/>
    <n v="18.72"/>
    <n v="15562.319947199998"/>
    <n v="16384.65192"/>
    <n v="-822.3319728000024"/>
  </r>
  <r>
    <s v="ORD-2024-999607"/>
    <d v="2024-01-12T00:00:00"/>
    <d v="2024-01-29T00:00:00"/>
    <d v="2024-01-12T00:00:00"/>
    <d v="2024-01-29T00:00:00"/>
    <n v="17"/>
    <s v="1-2024"/>
    <x v="2"/>
    <x v="9"/>
    <s v="Chicago"/>
    <s v="Education"/>
    <x v="3"/>
    <s v="A. Patel"/>
    <s v="Printers"/>
    <s v="PRN-8604"/>
    <n v="493.76"/>
    <n v="625.04"/>
    <n v="0.25800000000000001"/>
    <n v="10"/>
    <n v="4637.7968000000001"/>
    <n v="4937.6000000000004"/>
    <n v="-299.80320000000029"/>
    <n v="-6.464345311549663E-2"/>
    <s v="Q1-2024"/>
    <s v="Americas → USA → Chicago"/>
    <s v="Low"/>
    <n v="2024"/>
    <n v="1"/>
    <s v="No"/>
    <s v="Yes"/>
    <n v="0.1"/>
    <n v="518.44799999999998"/>
    <n v="10.4"/>
    <n v="5850.3744000000006"/>
    <n v="5391.8591999999999"/>
    <n v="458.51520000000073"/>
  </r>
  <r>
    <s v="ORD-2023-133848"/>
    <d v="2023-08-15T00:00:00"/>
    <d v="2023-09-07T00:00:00"/>
    <d v="2023-08-15T00:00:00"/>
    <d v="2023-09-07T00:00:00"/>
    <n v="23"/>
    <s v="8-2023"/>
    <x v="2"/>
    <x v="9"/>
    <s v="New York"/>
    <s v="Enterprise"/>
    <x v="1"/>
    <s v="K. Singh"/>
    <s v="Phones"/>
    <s v="PHN-2013"/>
    <n v="590.33000000000004"/>
    <n v="973.04"/>
    <n v="0"/>
    <n v="26"/>
    <n v="25299.040000000001"/>
    <n v="15348.580000000002"/>
    <n v="9950.4599999999991"/>
    <n v="0.39331373838691108"/>
    <s v="Q3-2023"/>
    <s v="Americas → USA → New York"/>
    <s v="Low"/>
    <n v="2023"/>
    <n v="8"/>
    <s v="No"/>
    <s v="No"/>
    <n v="0"/>
    <n v="619.84650000000011"/>
    <n v="27.04"/>
    <n v="26311.0016"/>
    <n v="16760.649360000003"/>
    <n v="9550.3522399999965"/>
  </r>
  <r>
    <s v="ORD-2023-586275"/>
    <d v="2023-01-20T00:00:00"/>
    <d v="2023-02-03T00:00:00"/>
    <d v="2023-01-20T00:00:00"/>
    <d v="2023-02-03T00:00:00"/>
    <n v="14"/>
    <s v="1-2023"/>
    <x v="0"/>
    <x v="0"/>
    <s v="Kisumu"/>
    <s v="Corporate"/>
    <x v="0"/>
    <s v="M. Rossi"/>
    <s v="Networking"/>
    <s v="NET-6036"/>
    <n v="884.36"/>
    <n v="1545.34"/>
    <n v="0.24299999999999999"/>
    <n v="41"/>
    <n v="47962.717579999997"/>
    <n v="36258.76"/>
    <n v="11703.957579999995"/>
    <n v="0.24402198562827965"/>
    <s v="Q1-2023"/>
    <s v="Africa → Kenya → Kisumu"/>
    <s v="Medium"/>
    <n v="2023"/>
    <n v="1"/>
    <s v="No"/>
    <s v="Yes"/>
    <n v="0.1"/>
    <n v="928.57800000000009"/>
    <n v="42.64"/>
    <n v="59303.96783999999"/>
    <n v="39594.565920000001"/>
    <n v="19709.401919999989"/>
  </r>
  <r>
    <s v="ORD-2025-964661"/>
    <d v="2025-02-04T00:00:00"/>
    <d v="2025-02-25T00:00:00"/>
    <d v="2025-02-04T00:00:00"/>
    <d v="2025-02-25T00:00:00"/>
    <n v="21"/>
    <s v="2-2025"/>
    <x v="3"/>
    <x v="7"/>
    <s v="Birmingham"/>
    <s v="Corporate"/>
    <x v="2"/>
    <s v="D. Smith"/>
    <s v="Monitors"/>
    <s v="MON-4959"/>
    <n v="1016.32"/>
    <n v="2253.42"/>
    <n v="5.5E-2"/>
    <n v="12"/>
    <n v="25553.782800000001"/>
    <n v="12195.84"/>
    <n v="13357.942800000001"/>
    <n v="0.52273837124419797"/>
    <s v="Q1-2025"/>
    <s v="Europe → United Kingdom → Birmingham"/>
    <s v="High"/>
    <n v="2025"/>
    <n v="2"/>
    <s v="No"/>
    <s v="No"/>
    <n v="5.5E-2"/>
    <n v="1067.1360000000002"/>
    <n v="12.48"/>
    <n v="26575.934112000003"/>
    <n v="13317.857280000002"/>
    <n v="13258.076832000001"/>
  </r>
  <r>
    <s v="ORD-2023-390998"/>
    <d v="2023-04-19T00:00:00"/>
    <d v="2023-04-28T00:00:00"/>
    <d v="2023-04-19T00:00:00"/>
    <d v="2023-04-28T00:00:00"/>
    <n v="9"/>
    <s v="4-2023"/>
    <x v="3"/>
    <x v="11"/>
    <s v="Berlin"/>
    <s v="Education"/>
    <x v="1"/>
    <s v="E. Garcia"/>
    <s v="Monitors"/>
    <s v="MON-1663"/>
    <n v="1178.42"/>
    <n v="2446.56"/>
    <n v="2.9000000000000001E-2"/>
    <n v="11"/>
    <n v="26131.70736"/>
    <n v="12962.62"/>
    <n v="13169.08736"/>
    <n v="0.5039505141618883"/>
    <s v="Q2-2023"/>
    <s v="Europe → Germany → Berlin"/>
    <s v="High"/>
    <n v="2023"/>
    <n v="4"/>
    <s v="No"/>
    <s v="No"/>
    <n v="2.9000000000000001E-2"/>
    <n v="1237.3410000000001"/>
    <n v="11.440000000000001"/>
    <n v="27176.975654400001"/>
    <n v="14155.181040000003"/>
    <n v="13021.794614399998"/>
  </r>
  <r>
    <s v="ORD-2023-920483"/>
    <d v="2023-07-02T00:00:00"/>
    <d v="2023-08-01T00:00:00"/>
    <d v="2023-07-02T00:00:00"/>
    <d v="2023-08-01T00:00:00"/>
    <n v="30"/>
    <s v="7-2023"/>
    <x v="3"/>
    <x v="7"/>
    <s v="Birmingham"/>
    <s v="Small Business"/>
    <x v="0"/>
    <s v="B. Chen"/>
    <s v="Components"/>
    <s v="CMP-7256"/>
    <n v="137.46"/>
    <n v="188.3"/>
    <n v="3.7999999999999999E-2"/>
    <n v="37"/>
    <n v="6702.3501999999999"/>
    <n v="5086.0200000000004"/>
    <n v="1616.3301999999994"/>
    <n v="0.24115872071262398"/>
    <s v="Q3-2023"/>
    <s v="Europe → United Kingdom → Birmingham"/>
    <s v="Low"/>
    <n v="2023"/>
    <n v="7"/>
    <s v="No"/>
    <s v="No"/>
    <n v="3.7999999999999999E-2"/>
    <n v="144.33300000000003"/>
    <n v="38.480000000000004"/>
    <n v="6970.4442080000008"/>
    <n v="5553.9338400000015"/>
    <n v="1416.5103679999993"/>
  </r>
  <r>
    <s v="ORD-2023-521280"/>
    <d v="2023-05-27T00:00:00"/>
    <d v="2023-06-19T00:00:00"/>
    <d v="2023-05-27T00:00:00"/>
    <d v="2023-06-19T00:00:00"/>
    <n v="23"/>
    <s v="5-2023"/>
    <x v="3"/>
    <x v="11"/>
    <s v="Berlin"/>
    <s v="Education"/>
    <x v="0"/>
    <s v="O. Wang"/>
    <s v="Accessories"/>
    <s v="ACC-1882"/>
    <n v="1471.58"/>
    <n v="2576.65"/>
    <n v="4.0000000000000001E-3"/>
    <n v="7"/>
    <n v="17964.4038"/>
    <n v="10301.06"/>
    <n v="7663.3438000000006"/>
    <n v="0.4265849223451546"/>
    <s v="Q2-2023"/>
    <s v="Europe → Germany → Berlin"/>
    <s v="High"/>
    <n v="2023"/>
    <n v="5"/>
    <s v="No"/>
    <s v="No"/>
    <n v="4.0000000000000001E-3"/>
    <n v="1545.1589999999999"/>
    <n v="7.28"/>
    <n v="18682.979952000002"/>
    <n v="11248.757519999999"/>
    <n v="7434.2224320000023"/>
  </r>
  <r>
    <s v="ORD-2024-687100"/>
    <d v="2024-09-10T00:00:00"/>
    <d v="2024-10-07T00:00:00"/>
    <d v="2024-09-10T00:00:00"/>
    <d v="2024-10-07T00:00:00"/>
    <n v="27"/>
    <s v="9-2024"/>
    <x v="0"/>
    <x v="0"/>
    <s v="Kisumu"/>
    <s v="Consumer"/>
    <x v="0"/>
    <s v="L. Okafor"/>
    <s v="Printers"/>
    <s v="PRN-6068"/>
    <n v="1248.3900000000001"/>
    <n v="1805.11"/>
    <n v="0.20300000000000001"/>
    <n v="11"/>
    <n v="15825.399369999997"/>
    <n v="13732.29"/>
    <n v="2093.1093699999965"/>
    <n v="0.13226265707820786"/>
    <s v="Q3-2024"/>
    <s v="Africa → Kenya → Kisumu"/>
    <s v="Medium"/>
    <n v="2024"/>
    <n v="9"/>
    <s v="No"/>
    <s v="Yes"/>
    <n v="0.1"/>
    <n v="1310.8095000000001"/>
    <n v="11.440000000000001"/>
    <n v="18585.412560000001"/>
    <n v="14995.660680000003"/>
    <n v="3589.751879999998"/>
  </r>
  <r>
    <s v="ORD-2025-629393"/>
    <d v="2025-07-21T00:00:00"/>
    <d v="2025-08-07T00:00:00"/>
    <d v="2025-07-21T00:00:00"/>
    <d v="2025-08-07T00:00:00"/>
    <n v="17"/>
    <s v="7-2025"/>
    <x v="0"/>
    <x v="1"/>
    <s v="Lagos"/>
    <s v="Enterprise"/>
    <x v="4"/>
    <s v="M. Rossi"/>
    <s v="Accessories"/>
    <s v="ACC-8999"/>
    <n v="1204.95"/>
    <n v="2065.73"/>
    <n v="0.13600000000000001"/>
    <n v="10"/>
    <n v="17847.907199999998"/>
    <n v="12049.5"/>
    <n v="5798.4071999999978"/>
    <n v="0.32487882949100039"/>
    <s v="Q3-2025"/>
    <s v="Africa → Nigeria → Lagos"/>
    <s v="High"/>
    <n v="2025"/>
    <n v="7"/>
    <s v="No"/>
    <s v="No"/>
    <n v="0.1"/>
    <n v="1265.1975"/>
    <n v="10.4"/>
    <n v="19335.232800000002"/>
    <n v="13158.054"/>
    <n v="6177.1788000000015"/>
  </r>
  <r>
    <s v="ORD-2024-686712"/>
    <d v="2024-10-02T00:00:00"/>
    <d v="2024-10-23T00:00:00"/>
    <d v="2024-10-02T00:00:00"/>
    <d v="2024-10-23T00:00:00"/>
    <n v="21"/>
    <s v="10-2024"/>
    <x v="0"/>
    <x v="10"/>
    <s v="Durban"/>
    <s v="Corporate"/>
    <x v="2"/>
    <s v="A. Patel"/>
    <s v="Components"/>
    <s v="CMP-3978"/>
    <n v="1095.6099999999999"/>
    <n v="2366.5100000000002"/>
    <n v="0.152"/>
    <n v="9"/>
    <n v="18061.204320000004"/>
    <n v="9860.49"/>
    <n v="8200.7143200000046"/>
    <n v="0.4540513564158607"/>
    <s v="Q4-2024"/>
    <s v="Africa → South Africa → Durban"/>
    <s v="High"/>
    <n v="2024"/>
    <n v="10"/>
    <s v="No"/>
    <s v="No"/>
    <n v="0.1"/>
    <n v="1150.3905"/>
    <n v="9.36"/>
    <n v="19935.480240000004"/>
    <n v="10767.655079999999"/>
    <n v="9167.8251600000058"/>
  </r>
  <r>
    <s v="ORD-2025-586799"/>
    <d v="2025-07-14T00:00:00"/>
    <d v="2025-08-04T00:00:00"/>
    <d v="2025-07-14T00:00:00"/>
    <d v="2025-08-04T00:00:00"/>
    <n v="21"/>
    <s v="7-2025"/>
    <x v="2"/>
    <x v="3"/>
    <s v="Montreal"/>
    <s v="Consumer"/>
    <x v="1"/>
    <s v="H. Kim"/>
    <s v="Monitors"/>
    <s v="MON-7868"/>
    <n v="90.3"/>
    <n v="131.76"/>
    <n v="0.10199999999999999"/>
    <n v="15"/>
    <n v="1774.8072"/>
    <n v="1354.5"/>
    <n v="420.30719999999997"/>
    <n v="0.23681851189244668"/>
    <s v="Q3-2025"/>
    <s v="Americas → Canada → Montreal"/>
    <s v="Low"/>
    <n v="2025"/>
    <n v="7"/>
    <s v="No"/>
    <s v="No"/>
    <n v="0.1"/>
    <n v="94.814999999999998"/>
    <n v="15.600000000000001"/>
    <n v="1849.9104000000002"/>
    <n v="1479.114"/>
    <n v="370.79640000000018"/>
  </r>
  <r>
    <s v="ORD-2024-988736"/>
    <d v="2024-09-09T00:00:00"/>
    <d v="2024-10-01T00:00:00"/>
    <d v="2024-09-09T00:00:00"/>
    <d v="2024-10-01T00:00:00"/>
    <n v="22"/>
    <s v="9-2024"/>
    <x v="1"/>
    <x v="8"/>
    <s v="Shenzhen"/>
    <s v="Consumer"/>
    <x v="4"/>
    <s v="L. Okafor"/>
    <s v="Printers"/>
    <s v="PRN-3014"/>
    <n v="1166.18"/>
    <n v="1335.02"/>
    <n v="0.128"/>
    <n v="6"/>
    <n v="6984.8246399999998"/>
    <n v="6997.08"/>
    <n v="-12.25536000000011"/>
    <n v="-1.7545694604582242E-3"/>
    <s v="Q3-2024"/>
    <s v="Asia → China → Shenzhen"/>
    <s v="Medium"/>
    <n v="2024"/>
    <n v="9"/>
    <s v="No"/>
    <s v="No"/>
    <n v="0.1"/>
    <n v="1224.489"/>
    <n v="6.24"/>
    <n v="7497.4723200000008"/>
    <n v="7640.8113600000006"/>
    <n v="-143.33903999999984"/>
  </r>
  <r>
    <s v="ORD-2025-564184"/>
    <d v="2025-01-29T00:00:00"/>
    <d v="2025-02-06T00:00:00"/>
    <d v="2025-01-29T00:00:00"/>
    <d v="2025-02-06T00:00:00"/>
    <n v="8"/>
    <s v="1-2025"/>
    <x v="0"/>
    <x v="0"/>
    <s v="Kisumu"/>
    <s v="Education"/>
    <x v="0"/>
    <s v="B. Chen"/>
    <s v="Phones"/>
    <s v="PHN-1671"/>
    <n v="1445.27"/>
    <n v="2691.45"/>
    <n v="0"/>
    <n v="9"/>
    <n v="24223.05"/>
    <n v="13007.43"/>
    <n v="11215.619999999999"/>
    <n v="0.46301436028906351"/>
    <s v="Q1-2025"/>
    <s v="Africa → Kenya → Kisumu"/>
    <s v="High"/>
    <n v="2025"/>
    <n v="1"/>
    <s v="No"/>
    <s v="No"/>
    <n v="0"/>
    <n v="1517.5335"/>
    <n v="9.36"/>
    <n v="25191.971999999998"/>
    <n v="14204.11356"/>
    <n v="10987.858439999998"/>
  </r>
  <r>
    <s v="ORD-2023-967239"/>
    <d v="2023-12-24T00:00:00"/>
    <d v="2024-01-01T00:00:00"/>
    <d v="2023-12-24T00:00:00"/>
    <d v="2024-01-01T00:00:00"/>
    <n v="8"/>
    <s v="12-2023"/>
    <x v="2"/>
    <x v="5"/>
    <s v="São Paulo"/>
    <s v="Education"/>
    <x v="4"/>
    <s v="C. Otieno"/>
    <s v="Phones"/>
    <s v="PHN-3014"/>
    <n v="526.49"/>
    <n v="496.2"/>
    <n v="0"/>
    <n v="14"/>
    <n v="6946.8"/>
    <n v="7370.8600000000006"/>
    <n v="-424.0600000000004"/>
    <n v="-6.1043933897621985E-2"/>
    <s v="Q4-2023"/>
    <s v="Americas → Brazil → São Paulo"/>
    <s v="Low"/>
    <n v="2023"/>
    <n v="12"/>
    <s v="No"/>
    <s v="No"/>
    <n v="0"/>
    <n v="552.81450000000007"/>
    <n v="14.56"/>
    <n v="7224.6720000000005"/>
    <n v="8048.9791200000009"/>
    <n v="-824.3071200000004"/>
  </r>
  <r>
    <s v="ORD-2024-197852"/>
    <d v="2024-02-29T00:00:00"/>
    <d v="2024-03-30T00:00:00"/>
    <d v="2024-02-29T00:00:00"/>
    <d v="2024-03-30T00:00:00"/>
    <n v="30"/>
    <s v="2-2024"/>
    <x v="1"/>
    <x v="2"/>
    <s v="Nagoya"/>
    <s v="Small Business"/>
    <x v="4"/>
    <s v="I. Johnson"/>
    <s v="Networking"/>
    <s v="NET-7588"/>
    <n v="231.11"/>
    <n v="318.17"/>
    <n v="0.20100000000000001"/>
    <n v="60"/>
    <n v="15253.069799999999"/>
    <n v="13866.6"/>
    <n v="1386.4697999999989"/>
    <n v="9.0897754889969692E-2"/>
    <s v="Q1-2024"/>
    <s v="Asia → Japan → Nagoya"/>
    <s v="Low"/>
    <n v="2024"/>
    <n v="2"/>
    <s v="No"/>
    <s v="Yes"/>
    <n v="0.1"/>
    <n v="242.66550000000004"/>
    <n v="62.400000000000006"/>
    <n v="17868.427200000006"/>
    <n v="15142.327200000003"/>
    <n v="2726.1000000000022"/>
  </r>
  <r>
    <s v="ORD-2023-431328"/>
    <d v="2023-12-20T00:00:00"/>
    <d v="2024-01-14T00:00:00"/>
    <d v="2023-12-20T00:00:00"/>
    <d v="2024-01-14T00:00:00"/>
    <n v="25"/>
    <s v="12-2023"/>
    <x v="1"/>
    <x v="4"/>
    <s v="Mumbai"/>
    <s v="Non-Profit"/>
    <x v="2"/>
    <s v="L. Okafor"/>
    <s v="Monitors"/>
    <s v="MON-1572"/>
    <n v="1085.6099999999999"/>
    <n v="1246.4100000000001"/>
    <n v="0.113"/>
    <n v="7"/>
    <n v="7738.9596900000006"/>
    <n v="7599.2699999999995"/>
    <n v="139.68969000000106"/>
    <n v="1.8050189637310417E-2"/>
    <s v="Q4-2023"/>
    <s v="Asia → India → Mumbai"/>
    <s v="Medium"/>
    <n v="2023"/>
    <n v="12"/>
    <s v="No"/>
    <s v="No"/>
    <n v="0.1"/>
    <n v="1139.8905"/>
    <n v="7.28"/>
    <n v="8166.4783200000011"/>
    <n v="8298.4028400000007"/>
    <n v="-131.92451999999957"/>
  </r>
  <r>
    <s v="ORD-2023-613317"/>
    <d v="2023-01-22T00:00:00"/>
    <d v="2023-01-21T00:00:00"/>
    <d v="2023-01-21T00:00:00"/>
    <d v="2023-01-22T00:00:00"/>
    <n v="1"/>
    <s v="1-2023"/>
    <x v="3"/>
    <x v="11"/>
    <s v="Munich"/>
    <s v="Corporate"/>
    <x v="4"/>
    <s v="F. Müller"/>
    <s v="Monitors"/>
    <s v="MON-2537"/>
    <n v="150.86000000000001"/>
    <n v="346.96"/>
    <n v="0.19600000000000001"/>
    <n v="8"/>
    <n v="2231.6467200000002"/>
    <n v="1206.8800000000001"/>
    <n v="1024.7667200000001"/>
    <n v="0.45919755614365343"/>
    <s v="Q1-2023"/>
    <s v="Europe → Germany → Munich"/>
    <s v="Low"/>
    <n v="2023"/>
    <n v="1"/>
    <s v="Yes"/>
    <s v="No"/>
    <n v="0.1"/>
    <n v="158.40300000000002"/>
    <n v="8.32"/>
    <n v="2598.0364799999998"/>
    <n v="1317.9129600000001"/>
    <n v="1280.1235199999996"/>
  </r>
  <r>
    <s v="ORD-2024-720756"/>
    <d v="2024-10-11T00:00:00"/>
    <d v="2024-11-09T00:00:00"/>
    <d v="2024-10-11T00:00:00"/>
    <d v="2024-11-09T00:00:00"/>
    <n v="29"/>
    <s v="10-2024"/>
    <x v="1"/>
    <x v="8"/>
    <s v="Shanghai"/>
    <s v="Non-Profit"/>
    <x v="1"/>
    <s v="F. Müller"/>
    <s v="Printers"/>
    <s v="PRN-5666"/>
    <n v="391.64"/>
    <n v="504.76"/>
    <n v="4.0000000000000001E-3"/>
    <n v="13"/>
    <n v="6535.6324800000002"/>
    <n v="5091.32"/>
    <n v="1444.3124800000005"/>
    <n v="0.22099046793402319"/>
    <s v="Q4-2024"/>
    <s v="Asia → China → Shanghai"/>
    <s v="Low"/>
    <n v="2024"/>
    <n v="10"/>
    <s v="No"/>
    <s v="No"/>
    <n v="4.0000000000000001E-3"/>
    <n v="411.22199999999998"/>
    <n v="13.52"/>
    <n v="6797.0577792000004"/>
    <n v="5559.7214399999993"/>
    <n v="1237.336339200001"/>
  </r>
  <r>
    <s v="ORD-2024-499009"/>
    <d v="2024-01-25T00:00:00"/>
    <d v="2024-01-27T00:00:00"/>
    <d v="2024-01-25T00:00:00"/>
    <d v="2024-01-27T00:00:00"/>
    <n v="2"/>
    <s v="1-2024"/>
    <x v="2"/>
    <x v="5"/>
    <s v="São Paulo"/>
    <s v="Non-Profit"/>
    <x v="2"/>
    <s v="N. Brown"/>
    <s v="Laptops"/>
    <s v="LAP-7056"/>
    <n v="1410.97"/>
    <n v="1650.75"/>
    <n v="0.13500000000000001"/>
    <n v="6"/>
    <n v="8567.3924999999999"/>
    <n v="8465.82"/>
    <n v="101.57250000000022"/>
    <n v="1.1855707556295596E-2"/>
    <s v="Q1-2024"/>
    <s v="Americas → Brazil → São Paulo"/>
    <s v="Medium"/>
    <n v="2024"/>
    <n v="1"/>
    <s v="Yes"/>
    <s v="No"/>
    <n v="0.1"/>
    <n v="1481.5185000000001"/>
    <n v="6.24"/>
    <n v="9270.612000000001"/>
    <n v="9244.6754400000009"/>
    <n v="25.9365600000001"/>
  </r>
  <r>
    <s v="ORD-2025-762212"/>
    <d v="2025-08-25T00:00:00"/>
    <d v="2025-09-24T00:00:00"/>
    <d v="2025-08-25T00:00:00"/>
    <d v="2025-09-24T00:00:00"/>
    <n v="30"/>
    <s v="8-2025"/>
    <x v="0"/>
    <x v="0"/>
    <s v="Nairobi"/>
    <s v="Consumer"/>
    <x v="4"/>
    <s v="B. Chen"/>
    <s v="Components"/>
    <s v="CMP-4970"/>
    <n v="589.14"/>
    <n v="1300.58"/>
    <n v="5.5E-2"/>
    <n v="11"/>
    <n v="13519.529099999998"/>
    <n v="6480.54"/>
    <n v="7038.989099999998"/>
    <n v="0.52065342275863724"/>
    <s v="Q3-2025"/>
    <s v="Africa → Kenya → Nairobi"/>
    <s v="Medium"/>
    <n v="2025"/>
    <n v="8"/>
    <s v="No"/>
    <s v="No"/>
    <n v="5.5E-2"/>
    <n v="618.59699999999998"/>
    <n v="11.440000000000001"/>
    <n v="14060.310264"/>
    <n v="7076.7496800000008"/>
    <n v="6983.5605839999989"/>
  </r>
  <r>
    <s v="ORD-2023-548874"/>
    <d v="2023-03-19T00:00:00"/>
    <d v="2023-04-09T00:00:00"/>
    <d v="2023-03-19T00:00:00"/>
    <d v="2023-04-09T00:00:00"/>
    <n v="21"/>
    <s v="3-2023"/>
    <x v="3"/>
    <x v="7"/>
    <s v="Manchester"/>
    <s v="Consumer"/>
    <x v="0"/>
    <s v="L. Okafor"/>
    <s v="Accessories"/>
    <s v="ACC-9150"/>
    <n v="1082.17"/>
    <n v="1234.0999999999999"/>
    <n v="0.189"/>
    <n v="16"/>
    <n v="16013.681599999998"/>
    <n v="17314.72"/>
    <n v="-1301.0384000000031"/>
    <n v="-8.124542703534228E-2"/>
    <s v="Q1-2023"/>
    <s v="Europe → United Kingdom → Manchester"/>
    <s v="Medium"/>
    <n v="2023"/>
    <n v="3"/>
    <s v="No"/>
    <s v="No"/>
    <n v="0.1"/>
    <n v="1136.2785000000001"/>
    <n v="16.64"/>
    <n v="18481.881600000001"/>
    <n v="18907.674240000004"/>
    <n v="-425.7926400000033"/>
  </r>
  <r>
    <s v="ORD-2023-713375"/>
    <d v="2023-08-26T00:00:00"/>
    <d v="2023-09-10T00:00:00"/>
    <d v="2023-08-26T00:00:00"/>
    <d v="2023-09-10T00:00:00"/>
    <n v="15"/>
    <s v="8-2023"/>
    <x v="0"/>
    <x v="10"/>
    <s v="Cape Town"/>
    <s v="Non-Profit"/>
    <x v="4"/>
    <s v="N. Brown"/>
    <s v="Components"/>
    <s v="CMP-7063"/>
    <n v="241.14"/>
    <n v="496.52"/>
    <n v="9.2999999999999999E-2"/>
    <n v="10"/>
    <n v="4503.4363999999996"/>
    <n v="2411.3999999999996"/>
    <n v="2092.0364"/>
    <n v="0.46454223268257994"/>
    <s v="Q3-2023"/>
    <s v="Africa → South Africa → Cape Town"/>
    <s v="Low"/>
    <n v="2023"/>
    <n v="8"/>
    <s v="No"/>
    <s v="No"/>
    <n v="9.2999999999999999E-2"/>
    <n v="253.197"/>
    <n v="10.4"/>
    <n v="4683.573856"/>
    <n v="2633.2488000000003"/>
    <n v="2050.3250559999997"/>
  </r>
  <r>
    <s v="ORD-2025-678688"/>
    <d v="2025-07-16T00:00:00"/>
    <d v="2025-07-17T00:00:00"/>
    <d v="2025-07-16T00:00:00"/>
    <d v="2025-07-17T00:00:00"/>
    <n v="1"/>
    <s v="7-2025"/>
    <x v="0"/>
    <x v="10"/>
    <s v="Durban"/>
    <s v="Small Business"/>
    <x v="3"/>
    <s v="B. Chen"/>
    <s v="Networking"/>
    <s v="NET-1612"/>
    <n v="1198.9000000000001"/>
    <n v="2941.2"/>
    <n v="5.0999999999999997E-2"/>
    <n v="24"/>
    <n v="66988.771199999988"/>
    <n v="28773.600000000002"/>
    <n v="38215.171199999982"/>
    <n v="0.57047129713583977"/>
    <s v="Q3-2025"/>
    <s v="Africa → South Africa → Durban"/>
    <s v="High"/>
    <n v="2025"/>
    <n v="7"/>
    <s v="Yes"/>
    <s v="No"/>
    <n v="5.0999999999999997E-2"/>
    <n v="1258.8450000000003"/>
    <n v="24.96"/>
    <n v="69668.322048000002"/>
    <n v="31420.771200000007"/>
    <n v="38247.550847999999"/>
  </r>
  <r>
    <s v="ORD-2023-501220"/>
    <d v="2023-04-19T00:00:00"/>
    <d v="2023-05-07T00:00:00"/>
    <d v="2023-04-19T00:00:00"/>
    <d v="2023-05-07T00:00:00"/>
    <n v="18"/>
    <s v="4-2023"/>
    <x v="3"/>
    <x v="7"/>
    <s v="Birmingham"/>
    <s v="Enterprise"/>
    <x v="0"/>
    <s v="N. Brown"/>
    <s v="Laptops"/>
    <s v="LAP-9766"/>
    <n v="1089.1500000000001"/>
    <n v="1088.2"/>
    <n v="5.0999999999999997E-2"/>
    <n v="15"/>
    <n v="15490.527"/>
    <n v="16337.250000000002"/>
    <n v="-846.72300000000178"/>
    <n v="-5.4660696824582002E-2"/>
    <s v="Q2-2023"/>
    <s v="Europe → United Kingdom → Birmingham"/>
    <s v="Low"/>
    <n v="2023"/>
    <n v="4"/>
    <s v="No"/>
    <s v="No"/>
    <n v="5.0999999999999997E-2"/>
    <n v="1143.6075000000001"/>
    <n v="15.600000000000001"/>
    <n v="16110.148080000001"/>
    <n v="17840.277000000002"/>
    <n v="-1730.128920000001"/>
  </r>
  <r>
    <s v="ORD-2024-206121"/>
    <d v="2024-02-18T00:00:00"/>
    <d v="2024-03-11T00:00:00"/>
    <d v="2024-02-18T00:00:00"/>
    <d v="2024-03-11T00:00:00"/>
    <n v="22"/>
    <s v="2-2024"/>
    <x v="2"/>
    <x v="5"/>
    <s v="São Paulo"/>
    <s v="Consumer"/>
    <x v="1"/>
    <s v="A. Patel"/>
    <s v="Components"/>
    <s v="CMP-9801"/>
    <n v="80.48"/>
    <n v="65.650000000000006"/>
    <n v="0.17599999999999999"/>
    <n v="13"/>
    <n v="703.2428000000001"/>
    <n v="1046.24"/>
    <n v="-342.99719999999991"/>
    <n v="-0.48773652570634191"/>
    <s v="Q1-2024"/>
    <s v="Americas → Brazil → São Paulo"/>
    <s v="Low"/>
    <n v="2024"/>
    <n v="2"/>
    <s v="No"/>
    <s v="No"/>
    <n v="0.1"/>
    <n v="84.504000000000005"/>
    <n v="13.52"/>
    <n v="798.82920000000013"/>
    <n v="1142.4940799999999"/>
    <n v="-343.66487999999981"/>
  </r>
  <r>
    <s v="ORD-2023-290237"/>
    <d v="2023-07-30T00:00:00"/>
    <d v="2023-08-07T00:00:00"/>
    <d v="2023-07-30T00:00:00"/>
    <d v="2023-08-07T00:00:00"/>
    <n v="8"/>
    <s v="7-2023"/>
    <x v="1"/>
    <x v="2"/>
    <s v="Nagoya"/>
    <s v="Education"/>
    <x v="2"/>
    <s v="A. Patel"/>
    <s v="Networking"/>
    <s v="NET-1645"/>
    <n v="1352.44"/>
    <n v="2698.01"/>
    <n v="0.13100000000000001"/>
    <n v="13"/>
    <n v="30479.418970000002"/>
    <n v="17581.72"/>
    <n v="12897.698970000001"/>
    <n v="0.42316091992090887"/>
    <s v="Q3-2023"/>
    <s v="Asia → Japan → Nagoya"/>
    <s v="High"/>
    <n v="2023"/>
    <n v="7"/>
    <s v="No"/>
    <s v="No"/>
    <n v="0.1"/>
    <n v="1420.0620000000001"/>
    <n v="13.52"/>
    <n v="32829.385680000007"/>
    <n v="19199.238240000002"/>
    <n v="13630.147440000004"/>
  </r>
  <r>
    <s v="ORD-2024-210687"/>
    <d v="2024-01-28T00:00:00"/>
    <d v="2024-02-09T00:00:00"/>
    <d v="2024-01-28T00:00:00"/>
    <d v="2024-02-09T00:00:00"/>
    <n v="12"/>
    <s v="1-2024"/>
    <x v="3"/>
    <x v="11"/>
    <s v="Berlin"/>
    <s v="Corporate"/>
    <x v="1"/>
    <s v="G. Dubois"/>
    <s v="Accessories"/>
    <s v="ACC-7938"/>
    <n v="644.16999999999996"/>
    <n v="700.12"/>
    <n v="6.0000000000000001E-3"/>
    <n v="23"/>
    <n v="16006.14344"/>
    <n v="14815.91"/>
    <n v="1190.23344"/>
    <n v="7.436103796405813E-2"/>
    <s v="Q1-2024"/>
    <s v="Europe → Germany → Berlin"/>
    <s v="Low"/>
    <n v="2024"/>
    <n v="1"/>
    <s v="No"/>
    <s v="No"/>
    <n v="6.0000000000000001E-3"/>
    <n v="676.37850000000003"/>
    <n v="23.92"/>
    <n v="16646.389177599998"/>
    <n v="16178.973720000002"/>
    <n v="467.41545759999644"/>
  </r>
  <r>
    <s v="ORD-2025-289139"/>
    <d v="2025-08-10T00:00:00"/>
    <d v="2025-08-30T00:00:00"/>
    <d v="2025-08-10T00:00:00"/>
    <d v="2025-08-30T00:00:00"/>
    <n v="20"/>
    <s v="8-2025"/>
    <x v="2"/>
    <x v="9"/>
    <s v="San Francisco"/>
    <s v="Corporate"/>
    <x v="2"/>
    <s v="K. Singh"/>
    <s v="Printers"/>
    <s v="PRN-2098"/>
    <n v="933.29"/>
    <n v="1456.81"/>
    <n v="0.123"/>
    <n v="13"/>
    <n v="16609.090809999998"/>
    <n v="12132.77"/>
    <n v="4476.3208099999974"/>
    <n v="0.26951028573489977"/>
    <s v="Q3-2025"/>
    <s v="Americas → USA → San Francisco"/>
    <s v="Medium"/>
    <n v="2025"/>
    <n v="8"/>
    <s v="No"/>
    <s v="No"/>
    <n v="0.1"/>
    <n v="979.95450000000005"/>
    <n v="13.52"/>
    <n v="17726.464079999998"/>
    <n v="13248.984840000001"/>
    <n v="4477.4792399999969"/>
  </r>
  <r>
    <s v="ORD-2023-949710"/>
    <d v="2023-03-07T00:00:00"/>
    <d v="2023-04-01T00:00:00"/>
    <d v="2023-03-07T00:00:00"/>
    <d v="2023-04-01T00:00:00"/>
    <n v="25"/>
    <s v="3-2023"/>
    <x v="0"/>
    <x v="0"/>
    <s v="Nairobi"/>
    <s v="Consumer"/>
    <x v="2"/>
    <s v="D. Smith"/>
    <s v="Printers"/>
    <s v="PRN-7049"/>
    <n v="1024.0999999999999"/>
    <n v="918.19"/>
    <n v="0.189"/>
    <n v="10"/>
    <n v="7446.5209000000004"/>
    <n v="10241"/>
    <n v="-2794.4790999999996"/>
    <n v="-0.37527311579827827"/>
    <s v="Q1-2023"/>
    <s v="Africa → Kenya → Nairobi"/>
    <s v="Low"/>
    <n v="2023"/>
    <n v="3"/>
    <s v="No"/>
    <s v="No"/>
    <n v="0.1"/>
    <n v="1075.3049999999998"/>
    <n v="10.4"/>
    <n v="8594.2584000000006"/>
    <n v="11183.171999999999"/>
    <n v="-2588.913599999998"/>
  </r>
  <r>
    <s v="ORD-2023-603650"/>
    <d v="2023-05-23T00:00:00"/>
    <d v="2023-06-10T00:00:00"/>
    <d v="2023-05-23T00:00:00"/>
    <d v="2023-06-10T00:00:00"/>
    <n v="18"/>
    <s v="5-2023"/>
    <x v="1"/>
    <x v="8"/>
    <s v="Shanghai"/>
    <s v="Corporate"/>
    <x v="3"/>
    <s v="E. Garcia"/>
    <s v="Components"/>
    <s v="CMP-6925"/>
    <n v="54.62"/>
    <n v="48.94"/>
    <n v="0.14799999999999999"/>
    <n v="16"/>
    <n v="667.15008"/>
    <n v="873.92"/>
    <n v="-206.76991999999996"/>
    <n v="-0.3099301434543783"/>
    <s v="Q2-2023"/>
    <s v="Asia → China → Shanghai"/>
    <s v="Low"/>
    <n v="2023"/>
    <n v="5"/>
    <s v="No"/>
    <s v="No"/>
    <n v="0.1"/>
    <n v="57.350999999999999"/>
    <n v="16.64"/>
    <n v="732.92543999999998"/>
    <n v="954.32064000000003"/>
    <n v="-221.39520000000005"/>
  </r>
  <r>
    <s v="ORD-2024-129345"/>
    <d v="2024-02-18T00:00:00"/>
    <d v="2024-03-03T00:00:00"/>
    <d v="2024-02-18T00:00:00"/>
    <d v="2024-03-03T00:00:00"/>
    <n v="14"/>
    <s v="2-2024"/>
    <x v="2"/>
    <x v="5"/>
    <s v="Unknown City"/>
    <s v="Enterprise"/>
    <x v="3"/>
    <s v="A. Patel"/>
    <s v="Printers"/>
    <s v="PRN-5384"/>
    <n v="624.23"/>
    <n v="1318.37"/>
    <n v="0.21"/>
    <n v="37"/>
    <n v="38535.955099999999"/>
    <n v="23096.510000000002"/>
    <n v="15439.445099999997"/>
    <n v="0.40065038118128793"/>
    <s v="Q1-2024"/>
    <s v="Americas → Brazil → Unknown City"/>
    <s v="Medium"/>
    <n v="2024"/>
    <n v="2"/>
    <s v="No"/>
    <s v="Yes"/>
    <n v="0.1"/>
    <n v="655.44150000000002"/>
    <n v="38.480000000000004"/>
    <n v="45657.789839999998"/>
    <n v="25221.388920000005"/>
    <n v="20436.400919999993"/>
  </r>
  <r>
    <s v="ORD-2024-423853"/>
    <d v="2024-09-03T00:00:00"/>
    <d v="2024-09-08T00:00:00"/>
    <d v="2024-09-03T00:00:00"/>
    <d v="2024-09-08T00:00:00"/>
    <n v="5"/>
    <s v="9-2024"/>
    <x v="0"/>
    <x v="1"/>
    <s v="Lagos"/>
    <s v="Small Business"/>
    <x v="4"/>
    <s v="K. Singh"/>
    <s v="Printers"/>
    <s v="PRN-1141"/>
    <n v="197.63"/>
    <n v="325.79000000000002"/>
    <n v="0.11600000000000001"/>
    <n v="10"/>
    <n v="2879.9836"/>
    <n v="1976.3"/>
    <n v="903.68360000000007"/>
    <n v="0.31378081458519419"/>
    <s v="Q3-2024"/>
    <s v="Africa → Nigeria → Lagos"/>
    <s v="Low"/>
    <n v="2024"/>
    <n v="9"/>
    <s v="Yes"/>
    <s v="No"/>
    <n v="0.1"/>
    <n v="207.51150000000001"/>
    <n v="10.4"/>
    <n v="3049.3944000000006"/>
    <n v="2158.1196"/>
    <n v="891.2748000000006"/>
  </r>
  <r>
    <s v="ORD-2024-569164"/>
    <d v="2024-09-05T00:00:00"/>
    <d v="2024-09-25T00:00:00"/>
    <d v="2024-09-05T00:00:00"/>
    <d v="2024-09-25T00:00:00"/>
    <n v="20"/>
    <s v="9-2024"/>
    <x v="1"/>
    <x v="2"/>
    <s v="Osaka"/>
    <s v="Enterprise"/>
    <x v="3"/>
    <s v="D. Smith"/>
    <s v="Monitors"/>
    <s v="MON-5249"/>
    <n v="195.54"/>
    <n v="405.97"/>
    <n v="0.187"/>
    <n v="16"/>
    <n v="5280.8577599999999"/>
    <n v="3128.64"/>
    <n v="2152.21776"/>
    <n v="0.40755079152141377"/>
    <s v="Q3-2024"/>
    <s v="Asia → Japan → Osaka"/>
    <s v="Low"/>
    <n v="2024"/>
    <n v="9"/>
    <s v="No"/>
    <s v="No"/>
    <n v="0.1"/>
    <n v="205.31700000000001"/>
    <n v="16.64"/>
    <n v="6079.8067200000005"/>
    <n v="3416.4748800000002"/>
    <n v="2663.3318400000003"/>
  </r>
  <r>
    <s v="ORD-2023-946143"/>
    <d v="2023-03-14T00:00:00"/>
    <d v="2023-03-30T00:00:00"/>
    <d v="2023-03-14T00:00:00"/>
    <d v="2023-03-30T00:00:00"/>
    <n v="16"/>
    <s v="3-2023"/>
    <x v="0"/>
    <x v="10"/>
    <s v="Cape Town"/>
    <s v="Consumer"/>
    <x v="3"/>
    <s v="K. Singh"/>
    <s v="Components"/>
    <s v="CMP-8230"/>
    <n v="1309.77"/>
    <n v="1589.07"/>
    <n v="0.10199999999999999"/>
    <n v="10"/>
    <n v="14269.848599999999"/>
    <n v="13097.7"/>
    <n v="1172.1485999999986"/>
    <n v="8.2141628328137886E-2"/>
    <s v="Q1-2023"/>
    <s v="Africa → South Africa → Cape Town"/>
    <s v="Medium"/>
    <n v="2023"/>
    <n v="3"/>
    <s v="No"/>
    <s v="No"/>
    <n v="0.1"/>
    <n v="1375.2585000000001"/>
    <n v="10.4"/>
    <n v="14873.695200000002"/>
    <n v="14302.688400000003"/>
    <n v="571.0067999999992"/>
  </r>
  <r>
    <s v="ORD-2024-281211"/>
    <d v="2024-01-11T00:00:00"/>
    <d v="2024-02-02T00:00:00"/>
    <d v="2024-01-11T00:00:00"/>
    <d v="2024-02-02T00:00:00"/>
    <n v="22"/>
    <s v="1-2024"/>
    <x v="1"/>
    <x v="2"/>
    <s v="Nagoya"/>
    <s v="Small Business"/>
    <x v="1"/>
    <s v="Unknown Salesperson"/>
    <s v="Printers"/>
    <s v="PRN-7816"/>
    <n v="1237.68"/>
    <n v="1432.8"/>
    <n v="6.8000000000000005E-2"/>
    <n v="13"/>
    <n v="17359.804799999998"/>
    <n v="16089.84"/>
    <n v="1269.9647999999979"/>
    <n v="7.315547695559331E-2"/>
    <s v="Q1-2024"/>
    <s v="Asia → Japan → Nagoya"/>
    <s v="Medium"/>
    <n v="2024"/>
    <n v="1"/>
    <s v="No"/>
    <s v="No"/>
    <n v="6.8000000000000005E-2"/>
    <n v="1299.5640000000001"/>
    <n v="13.52"/>
    <n v="18054.196991999997"/>
    <n v="17570.10528"/>
    <n v="484.09171199999764"/>
  </r>
  <r>
    <s v="ORD-2024-805860"/>
    <d v="2024-09-13T00:00:00"/>
    <d v="2024-10-02T00:00:00"/>
    <d v="2024-09-13T00:00:00"/>
    <d v="2024-10-02T00:00:00"/>
    <n v="19"/>
    <s v="9-2024"/>
    <x v="0"/>
    <x v="0"/>
    <s v="Mombasa"/>
    <s v="Small Business"/>
    <x v="0"/>
    <s v="M. Rossi"/>
    <s v="Phones"/>
    <s v="PHN-8804"/>
    <n v="1338.99"/>
    <n v="1765.76"/>
    <n v="0.126"/>
    <n v="24"/>
    <n v="37038.581760000001"/>
    <n v="32135.760000000002"/>
    <n v="4902.8217599999989"/>
    <n v="0.1323706666677725"/>
    <s v="Q3-2024"/>
    <s v="Africa → Kenya → Mombasa"/>
    <s v="Medium"/>
    <n v="2024"/>
    <n v="9"/>
    <s v="No"/>
    <s v="No"/>
    <n v="0.1"/>
    <n v="1405.9395000000002"/>
    <n v="24.96"/>
    <n v="39666.032639999998"/>
    <n v="35092.249920000009"/>
    <n v="4573.7827199999883"/>
  </r>
  <r>
    <s v="ORD-2025-132174"/>
    <d v="2025-07-17T00:00:00"/>
    <d v="2025-07-23T00:00:00"/>
    <d v="2025-07-17T00:00:00"/>
    <d v="2025-07-23T00:00:00"/>
    <n v="6"/>
    <s v="7-2025"/>
    <x v="2"/>
    <x v="3"/>
    <s v="Vancouver"/>
    <s v="Consumer"/>
    <x v="1"/>
    <s v="H. Kim"/>
    <s v="Components"/>
    <s v="CMP-8851"/>
    <n v="1364.89"/>
    <n v="2757.54"/>
    <n v="0.17199999999999999"/>
    <n v="61"/>
    <n v="139277.83032000001"/>
    <n v="83258.290000000008"/>
    <n v="56019.54032"/>
    <n v="0.4022143379983118"/>
    <s v="Q3-2025"/>
    <s v="Americas → Canada → Vancouver"/>
    <s v="High"/>
    <n v="2025"/>
    <n v="7"/>
    <s v="Yes"/>
    <s v="No"/>
    <n v="0.1"/>
    <n v="1433.1345000000001"/>
    <n v="63.440000000000005"/>
    <n v="157444.50383999999"/>
    <n v="90918.052680000008"/>
    <n v="66526.451159999982"/>
  </r>
  <r>
    <s v="ORD-2023-964434"/>
    <d v="2023-11-28T00:00:00"/>
    <d v="2023-12-07T00:00:00"/>
    <d v="2023-11-28T00:00:00"/>
    <d v="2023-12-07T00:00:00"/>
    <n v="9"/>
    <s v="11-2023"/>
    <x v="1"/>
    <x v="4"/>
    <s v="Delhi"/>
    <s v="Enterprise"/>
    <x v="2"/>
    <s v="L. Okafor"/>
    <s v="Phones"/>
    <s v="PHN-2447"/>
    <n v="699.33"/>
    <n v="873.75"/>
    <n v="0.23499999999999999"/>
    <n v="10"/>
    <n v="6684.1875"/>
    <n v="6993.3"/>
    <n v="-309.11250000000018"/>
    <n v="-4.6245336475076469E-2"/>
    <s v="Q4-2023"/>
    <s v="Asia → India → Delhi"/>
    <s v="Low"/>
    <n v="2023"/>
    <n v="11"/>
    <s v="No"/>
    <s v="Yes"/>
    <n v="0.1"/>
    <n v="734.29650000000004"/>
    <n v="10.4"/>
    <n v="8178.3"/>
    <n v="7636.6836000000003"/>
    <n v="541.61639999999989"/>
  </r>
  <r>
    <s v="ORD-2024-897622"/>
    <d v="2024-03-30T00:00:00"/>
    <d v="2024-04-24T00:00:00"/>
    <d v="2024-03-30T00:00:00"/>
    <d v="2024-04-24T00:00:00"/>
    <n v="25"/>
    <s v="3-2024"/>
    <x v="2"/>
    <x v="9"/>
    <s v="Austin"/>
    <s v="Non-Profit"/>
    <x v="1"/>
    <s v="G. Dubois"/>
    <s v="Laptops"/>
    <s v="LAP-2846"/>
    <n v="160.82"/>
    <n v="258.52"/>
    <n v="0.13"/>
    <n v="17"/>
    <n v="3823.5108"/>
    <n v="2733.94"/>
    <n v="1089.5708"/>
    <n v="0.28496605789631874"/>
    <s v="Q1-2024"/>
    <s v="Americas → USA → Austin"/>
    <s v="Low"/>
    <n v="2024"/>
    <n v="3"/>
    <s v="No"/>
    <s v="No"/>
    <n v="0.1"/>
    <n v="168.86099999999999"/>
    <n v="17.68"/>
    <n v="4113.5702399999991"/>
    <n v="2985.4624799999997"/>
    <n v="1128.1077599999994"/>
  </r>
  <r>
    <s v="ORD-2023-517216"/>
    <d v="2023-09-19T00:00:00"/>
    <d v="2023-10-08T00:00:00"/>
    <d v="2023-09-19T00:00:00"/>
    <d v="2023-10-08T00:00:00"/>
    <n v="19"/>
    <s v="9-2023"/>
    <x v="1"/>
    <x v="4"/>
    <s v="Bengaluru"/>
    <s v="Education"/>
    <x v="4"/>
    <s v="J. Njeri"/>
    <s v="Printers"/>
    <s v="PRN-5005"/>
    <n v="385.32"/>
    <n v="606.76"/>
    <n v="8.5999999999999993E-2"/>
    <n v="8"/>
    <n v="4436.6291200000005"/>
    <n v="3082.56"/>
    <n v="1354.0691200000006"/>
    <n v="0.30520223425842735"/>
    <s v="Q3-2023"/>
    <s v="Asia → India → Bengaluru"/>
    <s v="Low"/>
    <n v="2023"/>
    <n v="9"/>
    <s v="No"/>
    <s v="No"/>
    <n v="8.5999999999999993E-2"/>
    <n v="404.58600000000001"/>
    <n v="8.32"/>
    <n v="4614.0942848000004"/>
    <n v="3366.1555200000003"/>
    <n v="1247.9387648000002"/>
  </r>
  <r>
    <s v="ORD-2025-509940"/>
    <d v="2025-05-16T00:00:00"/>
    <d v="2025-05-27T00:00:00"/>
    <d v="2025-05-16T00:00:00"/>
    <d v="2025-05-27T00:00:00"/>
    <n v="11"/>
    <s v="5-2025"/>
    <x v="1"/>
    <x v="8"/>
    <s v="Beijing"/>
    <s v="Enterprise"/>
    <x v="1"/>
    <s v="F. Müller"/>
    <s v="Phones"/>
    <s v="PHN-3800"/>
    <n v="918.12"/>
    <n v="1337.69"/>
    <n v="9.5000000000000001E-2"/>
    <n v="8"/>
    <n v="9684.8756000000012"/>
    <n v="7344.96"/>
    <n v="2339.9156000000012"/>
    <n v="0.24160512707050164"/>
    <s v="Q2-2025"/>
    <s v="Asia → China → Beijing"/>
    <s v="Medium"/>
    <n v="2025"/>
    <n v="5"/>
    <s v="No"/>
    <s v="No"/>
    <n v="9.5000000000000001E-2"/>
    <n v="964.02600000000007"/>
    <n v="8.32"/>
    <n v="10072.270624000002"/>
    <n v="8020.6963200000009"/>
    <n v="2051.5743040000016"/>
  </r>
  <r>
    <s v="ORD-2025-646342"/>
    <d v="2025-08-02T00:00:00"/>
    <d v="2025-08-08T00:00:00"/>
    <d v="2025-08-02T00:00:00"/>
    <d v="2025-08-08T00:00:00"/>
    <n v="6"/>
    <s v="8-2025"/>
    <x v="1"/>
    <x v="2"/>
    <s v="Osaka"/>
    <s v="Consumer"/>
    <x v="4"/>
    <s v="N. Brown"/>
    <s v="Laptops"/>
    <s v="LAP-4828"/>
    <n v="1225.94"/>
    <n v="1793.08"/>
    <n v="0.13600000000000001"/>
    <n v="22"/>
    <n v="34082.864639999993"/>
    <n v="26970.68"/>
    <n v="7112.1846399999922"/>
    <n v="0.20867332353434462"/>
    <s v="Q3-2025"/>
    <s v="Asia → Japan → Osaka"/>
    <s v="Medium"/>
    <n v="2025"/>
    <n v="8"/>
    <s v="Yes"/>
    <s v="No"/>
    <n v="0.1"/>
    <n v="1287.2370000000001"/>
    <n v="22.880000000000003"/>
    <n v="36923.103360000001"/>
    <n v="29451.982560000004"/>
    <n v="7471.120799999997"/>
  </r>
  <r>
    <s v="ORD-2024-866535"/>
    <d v="2024-12-04T00:00:00"/>
    <d v="2024-12-12T00:00:00"/>
    <d v="2024-12-04T00:00:00"/>
    <d v="2024-12-12T00:00:00"/>
    <n v="8"/>
    <s v="12-2024"/>
    <x v="3"/>
    <x v="11"/>
    <s v="Frankfurt"/>
    <s v="Enterprise"/>
    <x v="2"/>
    <s v="B. Chen"/>
    <s v="Printers"/>
    <s v="PRN-5492"/>
    <n v="72.06"/>
    <n v="122.74"/>
    <n v="0.23799999999999999"/>
    <n v="8"/>
    <n v="748.22303999999997"/>
    <n v="576.48"/>
    <n v="171.74303999999995"/>
    <n v="0.22953455162246802"/>
    <s v="Q4-2024"/>
    <s v="Europe → Germany → Frankfurt"/>
    <s v="Low"/>
    <n v="2024"/>
    <n v="12"/>
    <s v="No"/>
    <s v="Yes"/>
    <n v="0.1"/>
    <n v="75.663000000000011"/>
    <n v="8.32"/>
    <n v="919.07711999999992"/>
    <n v="629.51616000000013"/>
    <n v="289.5609599999998"/>
  </r>
  <r>
    <s v="ORD-2024-516704"/>
    <d v="2024-03-01T00:00:00"/>
    <d v="2024-02-29T00:00:00"/>
    <d v="2024-02-29T00:00:00"/>
    <d v="2024-03-01T00:00:00"/>
    <n v="1"/>
    <s v="2-2024"/>
    <x v="2"/>
    <x v="5"/>
    <s v="São Paulo"/>
    <s v="Non-Profit"/>
    <x v="4"/>
    <s v="I. Johnson"/>
    <s v="Phones"/>
    <s v="PHN-7852"/>
    <n v="5.34"/>
    <n v="12.69"/>
    <n v="0.13200000000000001"/>
    <n v="10"/>
    <n v="110.14919999999999"/>
    <n v="53.4"/>
    <n v="56.749199999999995"/>
    <n v="0.51520301554618642"/>
    <s v="Q1-2024"/>
    <s v="Americas → Brazil → São Paulo"/>
    <s v="Low"/>
    <n v="2024"/>
    <n v="2"/>
    <s v="Yes"/>
    <s v="No"/>
    <n v="0.1"/>
    <n v="5.6070000000000002"/>
    <n v="10.4"/>
    <n v="118.7784"/>
    <n v="58.312800000000003"/>
    <n v="60.465600000000002"/>
  </r>
  <r>
    <s v="ORD-2024-853298"/>
    <d v="2024-03-06T00:00:00"/>
    <d v="2024-03-26T00:00:00"/>
    <d v="2024-03-06T00:00:00"/>
    <d v="2024-03-26T00:00:00"/>
    <n v="20"/>
    <s v="3-2024"/>
    <x v="0"/>
    <x v="1"/>
    <s v="Port Harcourt"/>
    <s v="Consumer"/>
    <x v="2"/>
    <s v="I. Johnson"/>
    <s v="Phones"/>
    <s v="PHN-4741"/>
    <n v="65.64"/>
    <n v="151.88"/>
    <n v="0.16700000000000001"/>
    <n v="23"/>
    <n v="2909.8689199999999"/>
    <n v="1509.72"/>
    <n v="1400.1489199999999"/>
    <n v="0.48117250587356353"/>
    <s v="Q1-2024"/>
    <s v="Africa → Nigeria → Port Harcourt"/>
    <s v="Low"/>
    <n v="2024"/>
    <n v="3"/>
    <s v="No"/>
    <s v="No"/>
    <n v="0.1"/>
    <n v="68.921999999999997"/>
    <n v="23.92"/>
    <n v="3269.6726400000002"/>
    <n v="1648.6142400000001"/>
    <n v="1621.0584000000001"/>
  </r>
  <r>
    <s v="ORD-2024-544865"/>
    <d v="2024-02-16T00:00:00"/>
    <d v="2024-03-04T00:00:00"/>
    <d v="2024-02-16T00:00:00"/>
    <d v="2024-03-04T00:00:00"/>
    <n v="17"/>
    <s v="2-2024"/>
    <x v="2"/>
    <x v="3"/>
    <s v="Montreal"/>
    <s v="Non-Profit"/>
    <x v="0"/>
    <s v="D. Smith"/>
    <s v="Laptops"/>
    <s v="LAP-2774"/>
    <n v="1350.98"/>
    <n v="2210.4"/>
    <n v="0.26300000000000001"/>
    <n v="6"/>
    <n v="9774.3888000000006"/>
    <n v="8105.88"/>
    <n v="1668.5088000000005"/>
    <n v="0.17070211080615091"/>
    <s v="Q1-2024"/>
    <s v="Americas → Canada → Montreal"/>
    <s v="High"/>
    <n v="2024"/>
    <n v="2"/>
    <s v="No"/>
    <s v="Yes"/>
    <n v="0.1"/>
    <n v="1418.529"/>
    <n v="6.24"/>
    <n v="12413.606400000001"/>
    <n v="8851.6209600000002"/>
    <n v="3561.9854400000004"/>
  </r>
  <r>
    <s v="ORD-2025-946490"/>
    <d v="2025-04-22T00:00:00"/>
    <d v="2025-05-02T00:00:00"/>
    <d v="2025-04-22T00:00:00"/>
    <d v="2025-05-02T00:00:00"/>
    <n v="10"/>
    <s v="4-2025"/>
    <x v="3"/>
    <x v="11"/>
    <s v="Berlin"/>
    <s v="Corporate"/>
    <x v="2"/>
    <s v="C. Otieno"/>
    <s v="Monitors"/>
    <s v="MON-2842"/>
    <n v="20.149999999999999"/>
    <n v="39.74"/>
    <n v="0.151"/>
    <n v="18"/>
    <n v="607.30668000000003"/>
    <n v="362.7"/>
    <n v="244.60668000000004"/>
    <n v="0.4027729120318585"/>
    <s v="Q2-2025"/>
    <s v="Europe → Germany → Berlin"/>
    <s v="Low"/>
    <n v="2025"/>
    <n v="4"/>
    <s v="No"/>
    <s v="No"/>
    <n v="0.1"/>
    <n v="21.157499999999999"/>
    <n v="18.72"/>
    <n v="669.53952000000004"/>
    <n v="396.06839999999994"/>
    <n v="273.4711200000001"/>
  </r>
  <r>
    <s v="ORD-2024-320972"/>
    <d v="2024-11-08T00:00:00"/>
    <d v="2024-11-08T00:00:00"/>
    <d v="2024-11-08T00:00:00"/>
    <d v="2024-11-08T00:00:00"/>
    <n v="0"/>
    <s v="11-2024"/>
    <x v="0"/>
    <x v="0"/>
    <s v="Nakuru"/>
    <s v="Enterprise"/>
    <x v="2"/>
    <s v="M. Rossi"/>
    <s v="Networking"/>
    <s v="NET-2628"/>
    <n v="803.28"/>
    <n v="1009"/>
    <n v="0.11"/>
    <n v="4"/>
    <n v="3592.04"/>
    <n v="3213.12"/>
    <n v="378.92000000000007"/>
    <n v="0.10548880302001093"/>
    <s v="Q4-2024"/>
    <s v="Africa → Kenya → Nakuru"/>
    <s v="Low"/>
    <n v="2024"/>
    <n v="11"/>
    <s v="Yes"/>
    <s v="No"/>
    <n v="0.1"/>
    <n v="843.44399999999996"/>
    <n v="4.16"/>
    <n v="3777.6960000000004"/>
    <n v="3508.7270399999998"/>
    <n v="268.96896000000061"/>
  </r>
  <r>
    <s v="ORD-2025-248586"/>
    <d v="2025-09-12T00:00:00"/>
    <d v="2025-09-30T00:00:00"/>
    <d v="2025-09-12T00:00:00"/>
    <d v="2025-09-30T00:00:00"/>
    <n v="18"/>
    <s v="9-2025"/>
    <x v="1"/>
    <x v="2"/>
    <s v="Nagoya"/>
    <s v="Non-Profit"/>
    <x v="2"/>
    <s v="F. Müller"/>
    <s v="Monitors"/>
    <s v="MON-2998"/>
    <n v="1212.99"/>
    <n v="1653.64"/>
    <n v="0.107"/>
    <n v="8"/>
    <n v="11813.604160000001"/>
    <n v="9703.92"/>
    <n v="2109.6841600000007"/>
    <n v="0.17858090819931455"/>
    <s v="Q3-2025"/>
    <s v="Asia → Japan → Nagoya"/>
    <s v="Medium"/>
    <n v="2025"/>
    <n v="9"/>
    <s v="No"/>
    <s v="No"/>
    <n v="0.1"/>
    <n v="1273.6395"/>
    <n v="8.32"/>
    <n v="12382.456320000001"/>
    <n v="10596.68064"/>
    <n v="1785.7756800000006"/>
  </r>
  <r>
    <s v="ORD-2024-664046"/>
    <d v="2024-09-02T00:00:00"/>
    <d v="2024-09-08T00:00:00"/>
    <d v="2024-09-02T00:00:00"/>
    <d v="2024-09-08T00:00:00"/>
    <n v="6"/>
    <s v="9-2024"/>
    <x v="2"/>
    <x v="9"/>
    <s v="Austin"/>
    <s v="Consumer"/>
    <x v="4"/>
    <s v="H. Kim"/>
    <s v="Components"/>
    <s v="CMP-7563"/>
    <n v="462.94"/>
    <n v="1015.7"/>
    <n v="0.14299999999999999"/>
    <n v="14"/>
    <n v="12186.368600000002"/>
    <n v="6481.16"/>
    <n v="5705.2086000000018"/>
    <n v="0.46816314090483041"/>
    <s v="Q3-2024"/>
    <s v="Americas → USA → Austin"/>
    <s v="Low"/>
    <n v="2024"/>
    <n v="9"/>
    <s v="Yes"/>
    <s v="No"/>
    <n v="0.1"/>
    <n v="486.08700000000005"/>
    <n v="14.56"/>
    <n v="13309.732800000002"/>
    <n v="7077.4267200000013"/>
    <n v="6232.3060800000003"/>
  </r>
  <r>
    <s v="ORD-2023-276806"/>
    <d v="2023-03-04T00:00:00"/>
    <d v="2023-03-24T00:00:00"/>
    <d v="2023-03-04T00:00:00"/>
    <d v="2023-03-24T00:00:00"/>
    <n v="20"/>
    <s v="3-2023"/>
    <x v="2"/>
    <x v="3"/>
    <s v="Montreal"/>
    <s v="Consumer"/>
    <x v="3"/>
    <s v="I. Johnson"/>
    <s v="Laptops"/>
    <s v="LAP-6160"/>
    <n v="481.71"/>
    <n v="912.45"/>
    <n v="0.20300000000000001"/>
    <n v="24"/>
    <n v="17453.3436"/>
    <n v="11561.039999999999"/>
    <n v="5892.3036000000011"/>
    <n v="0.33760313983619739"/>
    <s v="Q1-2023"/>
    <s v="Americas → Canada → Montreal"/>
    <s v="Low"/>
    <n v="2023"/>
    <n v="3"/>
    <s v="No"/>
    <s v="Yes"/>
    <n v="0.1"/>
    <n v="505.7955"/>
    <n v="24.96"/>
    <n v="20497.2768"/>
    <n v="12624.65568"/>
    <n v="7872.6211199999998"/>
  </r>
  <r>
    <s v="ORD-2024-220234"/>
    <d v="2024-03-15T00:00:00"/>
    <d v="2024-04-09T00:00:00"/>
    <d v="2024-03-15T00:00:00"/>
    <d v="2024-04-09T00:00:00"/>
    <n v="25"/>
    <s v="3-2024"/>
    <x v="2"/>
    <x v="3"/>
    <s v="Vancouver"/>
    <s v="Consumer"/>
    <x v="1"/>
    <s v="F. Müller"/>
    <s v="Monitors"/>
    <s v="MON-4361"/>
    <n v="648.64"/>
    <n v="815.19"/>
    <n v="0.22500000000000001"/>
    <n v="28"/>
    <n v="17689.623"/>
    <n v="18161.919999999998"/>
    <n v="-472.29699999999866"/>
    <n v="-2.6699099240272032E-2"/>
    <s v="Q1-2024"/>
    <s v="Americas → Canada → Vancouver"/>
    <s v="Low"/>
    <n v="2024"/>
    <n v="3"/>
    <s v="No"/>
    <s v="Yes"/>
    <n v="0.1"/>
    <n v="681.072"/>
    <n v="29.12"/>
    <n v="21364.499520000005"/>
    <n v="19832.816640000001"/>
    <n v="1531.6828800000039"/>
  </r>
  <r>
    <s v="ORD-2024-301260"/>
    <d v="2024-07-29T00:00:00"/>
    <d v="2024-07-31T00:00:00"/>
    <d v="2024-07-29T00:00:00"/>
    <d v="2024-07-31T00:00:00"/>
    <n v="2"/>
    <s v="7-2024"/>
    <x v="2"/>
    <x v="9"/>
    <s v="New York"/>
    <s v="Education"/>
    <x v="2"/>
    <s v="I. Johnson"/>
    <s v="Printers"/>
    <s v="PRN-2829"/>
    <n v="798.97"/>
    <n v="1814.06"/>
    <n v="0.122"/>
    <n v="16"/>
    <n v="25483.91488"/>
    <n v="12783.52"/>
    <n v="12700.39488"/>
    <n v="0.49836906691159061"/>
    <s v="Q3-2024"/>
    <s v="Americas → USA → New York"/>
    <s v="Medium"/>
    <n v="2024"/>
    <n v="7"/>
    <s v="Yes"/>
    <s v="No"/>
    <n v="0.1"/>
    <n v="838.91850000000011"/>
    <n v="16.64"/>
    <n v="27167.362560000001"/>
    <n v="13959.603840000002"/>
    <n v="13207.75872"/>
  </r>
  <r>
    <s v="ORD-2024-350100"/>
    <d v="2024-10-27T00:00:00"/>
    <d v="2024-11-20T00:00:00"/>
    <d v="2024-10-27T00:00:00"/>
    <d v="2024-11-20T00:00:00"/>
    <n v="24"/>
    <s v="10-2024"/>
    <x v="1"/>
    <x v="2"/>
    <s v="Nagoya"/>
    <s v="Non-Profit"/>
    <x v="1"/>
    <s v="H. Kim"/>
    <s v="Monitors"/>
    <s v="MON-8939"/>
    <n v="317.25"/>
    <n v="758.92"/>
    <n v="5.2999999999999999E-2"/>
    <n v="9"/>
    <n v="6468.2751599999992"/>
    <n v="2855.25"/>
    <n v="3613.0251599999992"/>
    <n v="0.5585762928489888"/>
    <s v="Q4-2024"/>
    <s v="Asia → Japan → Nagoya"/>
    <s v="Low"/>
    <n v="2024"/>
    <n v="10"/>
    <s v="No"/>
    <s v="No"/>
    <n v="5.2999999999999999E-2"/>
    <n v="333.11250000000001"/>
    <n v="9.36"/>
    <n v="6727.0061663999995"/>
    <n v="3117.933"/>
    <n v="3609.0731663999995"/>
  </r>
  <r>
    <s v="ORD-2024-855600"/>
    <d v="2024-04-29T00:00:00"/>
    <d v="2024-05-19T00:00:00"/>
    <d v="2024-04-29T00:00:00"/>
    <d v="2024-05-19T00:00:00"/>
    <n v="20"/>
    <s v="4-2024"/>
    <x v="3"/>
    <x v="11"/>
    <s v="Frankfurt"/>
    <s v="Enterprise"/>
    <x v="2"/>
    <s v="C. Otieno"/>
    <s v="Laptops"/>
    <s v="LAP-5009"/>
    <n v="668.97"/>
    <n v="1667.44"/>
    <n v="3.4000000000000002E-2"/>
    <n v="15"/>
    <n v="24161.205600000001"/>
    <n v="10034.550000000001"/>
    <n v="14126.6556"/>
    <n v="0.58468339013679016"/>
    <s v="Q2-2024"/>
    <s v="Europe → Germany → Frankfurt"/>
    <s v="Medium"/>
    <n v="2024"/>
    <n v="4"/>
    <s v="No"/>
    <s v="No"/>
    <n v="3.4000000000000002E-2"/>
    <n v="702.41850000000011"/>
    <n v="15.600000000000001"/>
    <n v="25127.653824000001"/>
    <n v="10957.728600000002"/>
    <n v="14169.925223999999"/>
  </r>
  <r>
    <s v="ORD-2023-474313"/>
    <d v="2023-10-05T00:00:00"/>
    <d v="2023-10-06T00:00:00"/>
    <d v="2023-10-05T00:00:00"/>
    <d v="2023-10-06T00:00:00"/>
    <n v="1"/>
    <s v="10-2023"/>
    <x v="1"/>
    <x v="4"/>
    <s v="Bengaluru"/>
    <s v="Non-Profit"/>
    <x v="1"/>
    <s v="I. Johnson"/>
    <s v="Components"/>
    <s v="CMP-4807"/>
    <n v="1470.26"/>
    <n v="2562.5500000000002"/>
    <n v="0.17299999999999999"/>
    <n v="9"/>
    <n v="19073.059649999999"/>
    <n v="13232.34"/>
    <n v="5840.7196499999991"/>
    <n v="0.30622877279157462"/>
    <s v="Q4-2023"/>
    <s v="Asia → India → Bengaluru"/>
    <s v="High"/>
    <n v="2023"/>
    <n v="10"/>
    <s v="Yes"/>
    <s v="No"/>
    <n v="0.1"/>
    <n v="1543.7730000000001"/>
    <n v="9.36"/>
    <n v="21586.921200000001"/>
    <n v="14449.71528"/>
    <n v="7137.2059200000003"/>
  </r>
  <r>
    <s v="ORD-2023-256951"/>
    <d v="2023-04-19T00:00:00"/>
    <d v="2023-05-07T00:00:00"/>
    <d v="2023-04-19T00:00:00"/>
    <d v="2023-05-07T00:00:00"/>
    <n v="18"/>
    <s v="4-2023"/>
    <x v="3"/>
    <x v="7"/>
    <s v="London"/>
    <s v="Non-Profit"/>
    <x v="4"/>
    <s v="H. Kim"/>
    <s v="Networking"/>
    <s v="NET-2439"/>
    <n v="516.96"/>
    <n v="745.38"/>
    <n v="0.19700000000000001"/>
    <n v="4"/>
    <n v="2394.1605599999998"/>
    <n v="2067.84"/>
    <n v="326.32055999999966"/>
    <n v="0.13629852794835101"/>
    <s v="Q2-2023"/>
    <s v="Europe → United Kingdom → London"/>
    <s v="Low"/>
    <n v="2023"/>
    <n v="4"/>
    <s v="No"/>
    <s v="No"/>
    <n v="0.1"/>
    <n v="542.80800000000011"/>
    <n v="4.16"/>
    <n v="2790.7027200000002"/>
    <n v="2258.0812800000003"/>
    <n v="532.62143999999989"/>
  </r>
  <r>
    <s v="ORD-2025-184754"/>
    <d v="2025-06-27T00:00:00"/>
    <d v="2025-07-05T00:00:00"/>
    <d v="2025-06-27T00:00:00"/>
    <d v="2025-07-05T00:00:00"/>
    <n v="8"/>
    <s v="6-2025"/>
    <x v="3"/>
    <x v="11"/>
    <s v="Munich"/>
    <s v="Small Business"/>
    <x v="4"/>
    <s v="G. Dubois"/>
    <s v="Monitors"/>
    <s v="MON-7626"/>
    <n v="314.93"/>
    <n v="687.95"/>
    <n v="0.20499999999999999"/>
    <n v="8"/>
    <n v="4375.3620000000001"/>
    <n v="2519.44"/>
    <n v="1855.922"/>
    <n v="0.424175645352316"/>
    <s v="Q2-2025"/>
    <s v="Europe → Germany → Munich"/>
    <s v="Low"/>
    <n v="2025"/>
    <n v="6"/>
    <s v="No"/>
    <s v="Yes"/>
    <n v="0.1"/>
    <n v="330.67650000000003"/>
    <n v="8.32"/>
    <n v="5151.3696000000009"/>
    <n v="2751.2284800000002"/>
    <n v="2400.1411200000007"/>
  </r>
  <r>
    <s v="ORD-2024-219735"/>
    <d v="2024-04-03T00:00:00"/>
    <d v="2024-04-07T00:00:00"/>
    <d v="2024-04-03T00:00:00"/>
    <d v="2024-04-07T00:00:00"/>
    <n v="4"/>
    <s v="4-2024"/>
    <x v="2"/>
    <x v="5"/>
    <s v="Brasília"/>
    <s v="Non-Profit"/>
    <x v="4"/>
    <s v="N. Brown"/>
    <s v="Phones"/>
    <s v="PHN-5445"/>
    <n v="1023.27"/>
    <n v="1343.64"/>
    <n v="0.13300000000000001"/>
    <n v="7"/>
    <n v="8154.5511600000009"/>
    <n v="7162.8899999999994"/>
    <n v="991.66116000000147"/>
    <n v="0.12160830688810116"/>
    <s v="Q2-2024"/>
    <s v="Americas → Brazil → Brasília"/>
    <s v="Medium"/>
    <n v="2024"/>
    <n v="4"/>
    <s v="Yes"/>
    <s v="No"/>
    <n v="0.1"/>
    <n v="1074.4335000000001"/>
    <n v="7.28"/>
    <n v="8803.5292800000007"/>
    <n v="7821.8758800000005"/>
    <n v="981.65340000000015"/>
  </r>
  <r>
    <s v="ORD-2023-638181"/>
    <d v="2023-05-20T00:00:00"/>
    <d v="2023-06-07T00:00:00"/>
    <d v="2023-05-20T00:00:00"/>
    <d v="2023-06-07T00:00:00"/>
    <n v="18"/>
    <s v="5-2023"/>
    <x v="0"/>
    <x v="1"/>
    <s v="Port Harcourt"/>
    <s v="Enterprise"/>
    <x v="3"/>
    <s v="E. Garcia"/>
    <s v="Components"/>
    <s v="CMP-4630"/>
    <n v="1120.06"/>
    <n v="2068.21"/>
    <n v="7.8E-2"/>
    <n v="12"/>
    <n v="22882.675440000003"/>
    <n v="13440.72"/>
    <n v="9441.9554400000034"/>
    <n v="0.41262462795303284"/>
    <s v="Q2-2023"/>
    <s v="Africa → Nigeria → Port Harcourt"/>
    <s v="High"/>
    <n v="2023"/>
    <n v="5"/>
    <s v="No"/>
    <s v="No"/>
    <n v="7.8E-2"/>
    <n v="1176.0630000000001"/>
    <n v="12.48"/>
    <n v="23797.982457600003"/>
    <n v="14677.266240000003"/>
    <n v="9120.7162176000002"/>
  </r>
  <r>
    <s v="ORD-2025-332931"/>
    <d v="2025-02-15T00:00:00"/>
    <d v="2025-03-01T00:00:00"/>
    <d v="2025-02-15T00:00:00"/>
    <d v="2025-03-01T00:00:00"/>
    <n v="14"/>
    <s v="2-2025"/>
    <x v="0"/>
    <x v="0"/>
    <s v="Mombasa"/>
    <s v="Education"/>
    <x v="4"/>
    <s v="L. Okafor"/>
    <s v="Accessories"/>
    <s v="ACC-5144"/>
    <n v="1162.8599999999999"/>
    <n v="1447.68"/>
    <n v="8.6999999999999994E-2"/>
    <n v="12"/>
    <n v="15860.782080000001"/>
    <n v="13954.32"/>
    <n v="1906.4620800000012"/>
    <n v="0.12019975247021369"/>
    <s v="Q1-2025"/>
    <s v="Africa → Kenya → Mombasa"/>
    <s v="Medium"/>
    <n v="2025"/>
    <n v="2"/>
    <s v="No"/>
    <s v="No"/>
    <n v="8.6999999999999994E-2"/>
    <n v="1221.0029999999999"/>
    <n v="12.48"/>
    <n v="16495.213363200004"/>
    <n v="15238.11744"/>
    <n v="1257.0959232000041"/>
  </r>
  <r>
    <s v="ORD-2024-510591"/>
    <d v="2024-04-03T00:00:00"/>
    <d v="2024-04-21T00:00:00"/>
    <d v="2024-04-03T00:00:00"/>
    <d v="2024-04-21T00:00:00"/>
    <n v="18"/>
    <s v="4-2024"/>
    <x v="2"/>
    <x v="5"/>
    <s v="Brasília"/>
    <s v="Small Business"/>
    <x v="3"/>
    <s v="B. Chen"/>
    <s v="Networking"/>
    <s v="NET-3850"/>
    <n v="1176.69"/>
    <n v="2201.54"/>
    <n v="0.17"/>
    <n v="27"/>
    <n v="49336.511399999996"/>
    <n v="31770.63"/>
    <n v="17565.881399999995"/>
    <n v="0.35604222717701106"/>
    <s v="Q2-2024"/>
    <s v="Americas → Brazil → Brasília"/>
    <s v="High"/>
    <n v="2024"/>
    <n v="4"/>
    <s v="No"/>
    <s v="No"/>
    <n v="0.1"/>
    <n v="1235.5245000000002"/>
    <n v="28.080000000000002"/>
    <n v="55637.318880000006"/>
    <n v="34693.527960000007"/>
    <n v="20943.790919999999"/>
  </r>
  <r>
    <s v="ORD-2025-908258"/>
    <d v="2025-06-21T00:00:00"/>
    <d v="2025-06-27T00:00:00"/>
    <d v="2025-06-21T00:00:00"/>
    <d v="2025-06-27T00:00:00"/>
    <n v="6"/>
    <s v="6-2025"/>
    <x v="0"/>
    <x v="10"/>
    <s v="Durban"/>
    <s v="Enterprise"/>
    <x v="3"/>
    <s v="N. Brown"/>
    <s v="Phones"/>
    <s v="PHN-3819"/>
    <n v="93.91"/>
    <n v="99.04"/>
    <n v="5.7000000000000002E-2"/>
    <n v="6"/>
    <n v="560.36831999999993"/>
    <n v="563.46"/>
    <n v="-3.0916800000001103"/>
    <n v="-5.5172283829323376E-3"/>
    <s v="Q2-2025"/>
    <s v="Africa → South Africa → Durban"/>
    <s v="Low"/>
    <n v="2025"/>
    <n v="6"/>
    <s v="Yes"/>
    <s v="No"/>
    <n v="5.7000000000000002E-2"/>
    <n v="98.605500000000006"/>
    <n v="6.24"/>
    <n v="582.78305280000006"/>
    <n v="615.2983200000001"/>
    <n v="-32.515267200000039"/>
  </r>
  <r>
    <s v="ORD-2025-440093"/>
    <d v="2025-04-16T00:00:00"/>
    <d v="2025-04-26T00:00:00"/>
    <d v="2025-04-16T00:00:00"/>
    <d v="2025-04-26T00:00:00"/>
    <n v="10"/>
    <s v="4-2025"/>
    <x v="0"/>
    <x v="1"/>
    <s v="Port Harcourt"/>
    <s v="Enterprise"/>
    <x v="2"/>
    <s v="F. Müller"/>
    <s v="Laptops"/>
    <s v="LAP-3490"/>
    <n v="1457.44"/>
    <n v="1996.81"/>
    <n v="0.126"/>
    <n v="23"/>
    <n v="40139.874619999995"/>
    <n v="33521.120000000003"/>
    <n v="6618.7546199999924"/>
    <n v="0.16489225944672353"/>
    <s v="Q2-2025"/>
    <s v="Africa → Nigeria → Port Harcourt"/>
    <s v="High"/>
    <n v="2025"/>
    <n v="4"/>
    <s v="No"/>
    <s v="No"/>
    <n v="0.1"/>
    <n v="1530.3120000000001"/>
    <n v="23.92"/>
    <n v="42987.325680000002"/>
    <n v="36605.063040000008"/>
    <n v="6382.2626399999936"/>
  </r>
  <r>
    <s v="ORD-2025-898022"/>
    <d v="2025-09-02T00:00:00"/>
    <d v="2025-09-11T00:00:00"/>
    <d v="2025-09-02T00:00:00"/>
    <d v="2025-09-11T00:00:00"/>
    <n v="9"/>
    <s v="9-2025"/>
    <x v="2"/>
    <x v="3"/>
    <s v="Toronto"/>
    <s v="Corporate"/>
    <x v="3"/>
    <s v="M. Rossi"/>
    <s v="Printers"/>
    <s v="PRN-1276"/>
    <n v="1207.6300000000001"/>
    <n v="921.68"/>
    <n v="0.19600000000000001"/>
    <n v="17"/>
    <n v="12597.52224"/>
    <n v="20529.710000000003"/>
    <n v="-7932.1877600000025"/>
    <n v="-0.62966253274897988"/>
    <s v="Q3-2025"/>
    <s v="Americas → Canada → Toronto"/>
    <s v="Low"/>
    <n v="2025"/>
    <n v="9"/>
    <s v="No"/>
    <s v="No"/>
    <n v="0.1"/>
    <n v="1268.0115000000001"/>
    <n v="17.68"/>
    <n v="14665.772159999999"/>
    <n v="22418.443320000002"/>
    <n v="-7752.6711600000035"/>
  </r>
  <r>
    <s v="ORD-2024-500511"/>
    <d v="2024-10-08T00:00:00"/>
    <d v="2024-10-08T00:00:00"/>
    <d v="2024-10-08T00:00:00"/>
    <d v="2024-10-08T00:00:00"/>
    <n v="0"/>
    <s v="10-2024"/>
    <x v="3"/>
    <x v="7"/>
    <s v="London"/>
    <s v="Corporate"/>
    <x v="1"/>
    <s v="E. Garcia"/>
    <s v="Monitors"/>
    <s v="MON-9733"/>
    <n v="1108.1099999999999"/>
    <n v="2503.79"/>
    <n v="0.184"/>
    <n v="19"/>
    <n v="38818.760160000005"/>
    <n v="21054.089999999997"/>
    <n v="17764.670160000009"/>
    <n v="0.45763105485025896"/>
    <s v="Q4-2024"/>
    <s v="Europe → United Kingdom → London"/>
    <s v="High"/>
    <n v="2024"/>
    <n v="10"/>
    <s v="Yes"/>
    <s v="No"/>
    <n v="0.1"/>
    <n v="1163.5155"/>
    <n v="19.760000000000002"/>
    <n v="44527.401360000003"/>
    <n v="22991.066280000003"/>
    <n v="21536.335080000001"/>
  </r>
  <r>
    <s v="ORD-2023-632893"/>
    <d v="2023-05-07T00:00:00"/>
    <d v="2023-05-05T00:00:00"/>
    <d v="2023-05-05T00:00:00"/>
    <d v="2023-05-07T00:00:00"/>
    <n v="2"/>
    <s v="5-2023"/>
    <x v="0"/>
    <x v="1"/>
    <s v="Port Harcourt"/>
    <s v="Non-Profit"/>
    <x v="2"/>
    <s v="A. Patel"/>
    <s v="Components"/>
    <s v="CMP-9392"/>
    <n v="1269.6500000000001"/>
    <n v="2462.77"/>
    <n v="0.107"/>
    <n v="8"/>
    <n v="17594.028880000002"/>
    <n v="10157.200000000001"/>
    <n v="7436.8288800000009"/>
    <n v="0.42269050089225502"/>
    <s v="Q2-2023"/>
    <s v="Africa → Nigeria → Port Harcourt"/>
    <s v="High"/>
    <n v="2023"/>
    <n v="5"/>
    <s v="Yes"/>
    <s v="No"/>
    <n v="0.1"/>
    <n v="1333.1325000000002"/>
    <n v="8.32"/>
    <n v="18441.22176"/>
    <n v="11091.662400000001"/>
    <n v="7349.5593599999993"/>
  </r>
  <r>
    <s v="ORD-2024-503082"/>
    <d v="2024-05-19T00:00:00"/>
    <d v="2024-06-08T00:00:00"/>
    <d v="2024-05-19T00:00:00"/>
    <d v="2024-06-08T00:00:00"/>
    <n v="20"/>
    <s v="5-2024"/>
    <x v="2"/>
    <x v="5"/>
    <s v="Brasília"/>
    <s v="Small Business"/>
    <x v="0"/>
    <s v="E. Garcia"/>
    <s v="Monitors"/>
    <s v="MON-4271"/>
    <n v="1075.9000000000001"/>
    <n v="1242.1500000000001"/>
    <n v="1.2E-2"/>
    <n v="7"/>
    <n v="8590.7094000000016"/>
    <n v="7531.3000000000011"/>
    <n v="1059.4094000000005"/>
    <n v="0.12332036280961853"/>
    <s v="Q2-2024"/>
    <s v="Americas → Brazil → Brasília"/>
    <s v="Medium"/>
    <n v="2024"/>
    <n v="5"/>
    <s v="No"/>
    <s v="No"/>
    <n v="1.2E-2"/>
    <n v="1129.6950000000002"/>
    <n v="7.28"/>
    <n v="8934.3377760000003"/>
    <n v="8224.1796000000013"/>
    <n v="710.158175999999"/>
  </r>
  <r>
    <s v="ORD-2024-885858"/>
    <d v="2024-01-10T00:00:00"/>
    <d v="2024-01-23T00:00:00"/>
    <d v="2024-01-10T00:00:00"/>
    <d v="2024-01-23T00:00:00"/>
    <n v="13"/>
    <s v="1-2024"/>
    <x v="3"/>
    <x v="6"/>
    <s v="Marseille"/>
    <s v="Corporate"/>
    <x v="4"/>
    <s v="A. Patel"/>
    <s v="Printers"/>
    <s v="PRN-6776"/>
    <n v="720"/>
    <n v="907.59"/>
    <n v="0.154"/>
    <n v="10"/>
    <n v="7678.2113999999992"/>
    <n v="7200"/>
    <n v="478.21139999999923"/>
    <n v="6.2281614179052078E-2"/>
    <s v="Q1-2024"/>
    <s v="Europe → France → Marseille"/>
    <s v="Low"/>
    <n v="2024"/>
    <n v="1"/>
    <s v="No"/>
    <s v="No"/>
    <n v="0.1"/>
    <n v="756"/>
    <n v="10.4"/>
    <n v="8495.0424000000021"/>
    <n v="7862.4000000000005"/>
    <n v="632.64240000000154"/>
  </r>
  <r>
    <s v="ORD-2024-403664"/>
    <d v="2024-05-23T00:00:00"/>
    <d v="2024-06-06T00:00:00"/>
    <d v="2024-05-23T00:00:00"/>
    <d v="2024-06-06T00:00:00"/>
    <n v="14"/>
    <s v="5-2024"/>
    <x v="2"/>
    <x v="5"/>
    <s v="Rio de Janeiro"/>
    <s v="Non-Profit"/>
    <x v="1"/>
    <s v="I. Johnson"/>
    <s v="Networking"/>
    <s v="NET-1166"/>
    <n v="51.13"/>
    <n v="57.53"/>
    <n v="4.4999999999999998E-2"/>
    <n v="16"/>
    <n v="879.05840000000001"/>
    <n v="818.08"/>
    <n v="60.978399999999965"/>
    <n v="6.9367859973808302E-2"/>
    <s v="Q2-2024"/>
    <s v="Americas → Brazil → Rio de Janeiro"/>
    <s v="Low"/>
    <n v="2024"/>
    <n v="5"/>
    <s v="No"/>
    <s v="No"/>
    <n v="4.4999999999999998E-2"/>
    <n v="53.686500000000002"/>
    <n v="16.64"/>
    <n v="914.22073599999999"/>
    <n v="893.34336000000008"/>
    <n v="20.877375999999913"/>
  </r>
  <r>
    <s v="ORD-2025-484073"/>
    <d v="2025-02-19T00:00:00"/>
    <d v="2025-03-09T00:00:00"/>
    <d v="2025-02-19T00:00:00"/>
    <d v="2025-03-09T00:00:00"/>
    <n v="18"/>
    <s v="2-2025"/>
    <x v="1"/>
    <x v="4"/>
    <s v="Delhi"/>
    <s v="Small Business"/>
    <x v="4"/>
    <s v="O. Wang"/>
    <s v="Monitors"/>
    <s v="MON-1436"/>
    <n v="325.87"/>
    <n v="538.79"/>
    <n v="0.17399999999999999"/>
    <n v="16"/>
    <n v="7120.6486400000003"/>
    <n v="5213.92"/>
    <n v="1906.7286400000003"/>
    <n v="0.26777457172778013"/>
    <s v="Q1-2025"/>
    <s v="Asia → India → Delhi"/>
    <s v="Low"/>
    <n v="2025"/>
    <n v="2"/>
    <s v="No"/>
    <s v="No"/>
    <n v="0.1"/>
    <n v="342.1635"/>
    <n v="16.64"/>
    <n v="8068.9190399999998"/>
    <n v="5693.6006400000006"/>
    <n v="2375.3183999999992"/>
  </r>
  <r>
    <s v="ORD-2024-745822"/>
    <d v="2024-03-31T00:00:00"/>
    <d v="2024-04-17T00:00:00"/>
    <d v="2024-03-31T00:00:00"/>
    <d v="2024-04-17T00:00:00"/>
    <n v="17"/>
    <s v="3-2024"/>
    <x v="3"/>
    <x v="11"/>
    <s v="Frankfurt"/>
    <s v="Education"/>
    <x v="4"/>
    <s v="H. Kim"/>
    <s v="Monitors"/>
    <s v="MON-8651"/>
    <n v="1025.51"/>
    <n v="1436.54"/>
    <n v="0.13900000000000001"/>
    <n v="28"/>
    <n v="34632.106319999999"/>
    <n v="28714.28"/>
    <n v="5917.8263200000001"/>
    <n v="0.17087688127656453"/>
    <s v="Q1-2024"/>
    <s v="Europe → Germany → Frankfurt"/>
    <s v="Medium"/>
    <n v="2024"/>
    <n v="3"/>
    <s v="No"/>
    <s v="No"/>
    <n v="0.1"/>
    <n v="1076.7855"/>
    <n v="29.12"/>
    <n v="37648.840320000003"/>
    <n v="31355.993760000001"/>
    <n v="6292.8465600000018"/>
  </r>
  <r>
    <s v="ORD-2023-369160"/>
    <d v="2023-07-24T00:00:00"/>
    <d v="2023-08-13T00:00:00"/>
    <d v="2023-07-24T00:00:00"/>
    <d v="2023-08-13T00:00:00"/>
    <n v="20"/>
    <s v="7-2023"/>
    <x v="2"/>
    <x v="3"/>
    <s v="Montreal"/>
    <s v="Education"/>
    <x v="4"/>
    <s v="C. Otieno"/>
    <s v="Monitors"/>
    <s v="MON-3307"/>
    <n v="1082.3800000000001"/>
    <n v="1766.55"/>
    <n v="0.16400000000000001"/>
    <n v="20"/>
    <n v="29536.716"/>
    <n v="21647.600000000002"/>
    <n v="7889.1159999999982"/>
    <n v="0.26709523157550752"/>
    <s v="Q3-2023"/>
    <s v="Americas → Canada → Montreal"/>
    <s v="Medium"/>
    <n v="2023"/>
    <n v="7"/>
    <s v="No"/>
    <s v="No"/>
    <n v="0.1"/>
    <n v="1136.4990000000003"/>
    <n v="20.8"/>
    <n v="33069.815999999999"/>
    <n v="23639.179200000006"/>
    <n v="9430.6367999999929"/>
  </r>
  <r>
    <s v="ORD-2024-834983"/>
    <d v="2024-03-16T00:00:00"/>
    <d v="2024-04-13T00:00:00"/>
    <d v="2024-03-16T00:00:00"/>
    <d v="2024-04-13T00:00:00"/>
    <n v="28"/>
    <s v="3-2024"/>
    <x v="3"/>
    <x v="6"/>
    <s v="Paris"/>
    <s v="Small Business"/>
    <x v="1"/>
    <s v="K. Singh"/>
    <s v="Printers"/>
    <s v="PRN-8758"/>
    <n v="287.61"/>
    <n v="628.54"/>
    <n v="0.13500000000000001"/>
    <n v="21"/>
    <n v="11417.429099999999"/>
    <n v="6039.81"/>
    <n v="5377.619099999999"/>
    <n v="0.47100087531964613"/>
    <s v="Q1-2024"/>
    <s v="Europe → France → Paris"/>
    <s v="Low"/>
    <n v="2024"/>
    <n v="3"/>
    <s v="No"/>
    <s v="No"/>
    <n v="0.1"/>
    <n v="301.99050000000005"/>
    <n v="21.84"/>
    <n v="12354.58224"/>
    <n v="6595.4725200000012"/>
    <n v="5759.1097199999986"/>
  </r>
  <r>
    <s v="ORD-2023-488227"/>
    <d v="2023-09-08T00:00:00"/>
    <d v="2023-10-02T00:00:00"/>
    <d v="2023-09-08T00:00:00"/>
    <d v="2023-10-02T00:00:00"/>
    <n v="24"/>
    <s v="9-2023"/>
    <x v="2"/>
    <x v="3"/>
    <s v="Toronto"/>
    <s v="Education"/>
    <x v="4"/>
    <s v="A. Patel"/>
    <s v="Accessories"/>
    <s v="ACC-3415"/>
    <n v="1299.03"/>
    <n v="2451.2199999999998"/>
    <n v="0.20799999999999999"/>
    <n v="8"/>
    <n v="15530.929919999999"/>
    <n v="10392.24"/>
    <n v="5138.6899199999989"/>
    <n v="0.3308681416032041"/>
    <s v="Q3-2023"/>
    <s v="Americas → Canada → Toronto"/>
    <s v="High"/>
    <n v="2023"/>
    <n v="9"/>
    <s v="No"/>
    <s v="Yes"/>
    <n v="0.1"/>
    <n v="1363.9815000000001"/>
    <n v="8.32"/>
    <n v="18354.735359999999"/>
    <n v="11348.326080000001"/>
    <n v="7006.409279999998"/>
  </r>
  <r>
    <s v="ORD-2024-948800"/>
    <d v="2024-03-27T00:00:00"/>
    <d v="2024-04-11T00:00:00"/>
    <d v="2024-03-27T00:00:00"/>
    <d v="2024-04-11T00:00:00"/>
    <n v="15"/>
    <s v="3-2024"/>
    <x v="2"/>
    <x v="9"/>
    <s v="San Francisco"/>
    <s v="Small Business"/>
    <x v="4"/>
    <s v="O. Wang"/>
    <s v="Networking"/>
    <s v="NET-5523"/>
    <n v="1338.35"/>
    <n v="2247.14"/>
    <n v="0.115"/>
    <n v="40"/>
    <n v="79548.755999999994"/>
    <n v="53534"/>
    <n v="26014.755999999994"/>
    <n v="0.32702907384246205"/>
    <s v="Q1-2024"/>
    <s v="Americas → USA → San Francisco"/>
    <s v="High"/>
    <n v="2024"/>
    <n v="3"/>
    <s v="No"/>
    <s v="No"/>
    <n v="0.1"/>
    <n v="1405.2674999999999"/>
    <n v="41.6"/>
    <n v="84132.921600000001"/>
    <n v="58459.127999999997"/>
    <n v="25673.793600000005"/>
  </r>
  <r>
    <s v="ORD-2024-468501"/>
    <d v="2024-11-06T00:00:00"/>
    <d v="2024-11-22T00:00:00"/>
    <d v="2024-11-06T00:00:00"/>
    <d v="2024-11-22T00:00:00"/>
    <n v="16"/>
    <s v="11-2024"/>
    <x v="2"/>
    <x v="3"/>
    <s v="Toronto"/>
    <s v="Non-Profit"/>
    <x v="3"/>
    <s v="D. Smith"/>
    <s v="Accessories"/>
    <s v="ACC-6348"/>
    <n v="1454.11"/>
    <n v="2629.75"/>
    <n v="0.29199999999999998"/>
    <n v="8"/>
    <n v="14894.903999999999"/>
    <n v="11632.88"/>
    <n v="3262.0239999999994"/>
    <n v="0.21900268709351867"/>
    <s v="Q4-2024"/>
    <s v="Americas → Canada → Toronto"/>
    <s v="High"/>
    <n v="2024"/>
    <n v="11"/>
    <s v="No"/>
    <s v="Yes"/>
    <n v="0.1"/>
    <n v="1526.8154999999999"/>
    <n v="8.32"/>
    <n v="19691.567999999999"/>
    <n v="12703.104960000001"/>
    <n v="6988.4630399999987"/>
  </r>
  <r>
    <s v="ORD-2024-580808"/>
    <d v="2024-06-16T00:00:00"/>
    <d v="2024-07-03T00:00:00"/>
    <d v="2024-06-16T00:00:00"/>
    <d v="2024-07-03T00:00:00"/>
    <n v="17"/>
    <s v="6-2024"/>
    <x v="0"/>
    <x v="10"/>
    <s v="Johannesburg"/>
    <s v="Enterprise"/>
    <x v="2"/>
    <s v="F. Müller"/>
    <s v="Phones"/>
    <s v="PHN-6832"/>
    <n v="1173.83"/>
    <n v="2328.9"/>
    <n v="0.12"/>
    <n v="17"/>
    <n v="34840.344000000005"/>
    <n v="19955.11"/>
    <n v="14885.234000000004"/>
    <n v="0.42724130393201637"/>
    <s v="Q2-2024"/>
    <s v="Africa → South Africa → Johannesburg"/>
    <s v="High"/>
    <n v="2024"/>
    <n v="6"/>
    <s v="No"/>
    <s v="No"/>
    <n v="0.1"/>
    <n v="1232.5215000000001"/>
    <n v="17.68"/>
    <n v="37057.4568"/>
    <n v="21790.98012"/>
    <n v="15266.47668"/>
  </r>
  <r>
    <s v="ORD-2023-211715"/>
    <d v="2023-10-30T00:00:00"/>
    <d v="2023-11-14T00:00:00"/>
    <d v="2023-10-30T00:00:00"/>
    <d v="2023-11-14T00:00:00"/>
    <n v="15"/>
    <s v="10-2023"/>
    <x v="1"/>
    <x v="4"/>
    <s v="Bengaluru"/>
    <s v="Corporate"/>
    <x v="1"/>
    <s v="F. Müller"/>
    <s v="Laptops"/>
    <s v="LAP-2378"/>
    <n v="953.46"/>
    <n v="2066.75"/>
    <n v="0.13800000000000001"/>
    <n v="5"/>
    <n v="8907.6924999999992"/>
    <n v="4767.3"/>
    <n v="4140.392499999999"/>
    <n v="0.46481089238318446"/>
    <s v="Q4-2023"/>
    <s v="Asia → India → Bengaluru"/>
    <s v="High"/>
    <n v="2023"/>
    <n v="10"/>
    <s v="No"/>
    <s v="No"/>
    <n v="0.1"/>
    <n v="1001.133"/>
    <n v="5.2"/>
    <n v="9672.3900000000012"/>
    <n v="5205.8915999999999"/>
    <n v="4466.4984000000013"/>
  </r>
  <r>
    <s v="ORD-2023-715175"/>
    <d v="2023-06-15T00:00:00"/>
    <d v="2023-06-23T00:00:00"/>
    <d v="2023-06-15T00:00:00"/>
    <d v="2023-06-23T00:00:00"/>
    <n v="8"/>
    <s v="6-2023"/>
    <x v="2"/>
    <x v="9"/>
    <s v="San Francisco"/>
    <s v="Consumer"/>
    <x v="3"/>
    <s v="O. Wang"/>
    <s v="Monitors"/>
    <s v="MON-5424"/>
    <n v="1097.0899999999999"/>
    <n v="2182.31"/>
    <n v="0.112"/>
    <n v="9"/>
    <n v="17441.021520000002"/>
    <n v="9873.81"/>
    <n v="7567.2115200000026"/>
    <n v="0.43387432962699546"/>
    <s v="Q2-2023"/>
    <s v="Americas → USA → San Francisco"/>
    <s v="High"/>
    <n v="2023"/>
    <n v="6"/>
    <s v="No"/>
    <s v="No"/>
    <n v="0.1"/>
    <n v="1151.9445000000001"/>
    <n v="9.36"/>
    <n v="18383.779439999998"/>
    <n v="10782.20052"/>
    <n v="7601.5789199999981"/>
  </r>
  <r>
    <s v="ORD-2025-685236"/>
    <d v="2025-03-14T00:00:00"/>
    <d v="2025-03-29T00:00:00"/>
    <d v="2025-03-14T00:00:00"/>
    <d v="2025-03-29T00:00:00"/>
    <n v="15"/>
    <s v="3-2025"/>
    <x v="1"/>
    <x v="2"/>
    <s v="Tokyo"/>
    <s v="Non-Profit"/>
    <x v="4"/>
    <s v="H. Kim"/>
    <s v="Networking"/>
    <s v="NET-8430"/>
    <n v="1106.96"/>
    <n v="2726.62"/>
    <n v="0.1186"/>
    <n v="7"/>
    <n v="16822.700076000001"/>
    <n v="7748.72"/>
    <n v="9073.9800759999998"/>
    <n v="0.53938904189020975"/>
    <s v="Q1-2025"/>
    <s v="Asia → Japan → Tokyo"/>
    <s v="High"/>
    <n v="2025"/>
    <n v="3"/>
    <s v="No"/>
    <s v="No"/>
    <n v="0.1"/>
    <n v="1162.308"/>
    <n v="7.28"/>
    <n v="17864.81424"/>
    <n v="8461.6022400000002"/>
    <n v="9403.2119999999995"/>
  </r>
  <r>
    <s v="ORD-2023-274037"/>
    <d v="2023-08-15T00:00:00"/>
    <d v="2023-08-25T00:00:00"/>
    <d v="2023-08-15T00:00:00"/>
    <d v="2023-08-25T00:00:00"/>
    <n v="10"/>
    <s v="8-2023"/>
    <x v="0"/>
    <x v="0"/>
    <s v="Nairobi"/>
    <s v="Small Business"/>
    <x v="0"/>
    <s v="N. Brown"/>
    <s v="Phones"/>
    <s v="PHN-1234"/>
    <n v="91.85"/>
    <n v="111.29"/>
    <n v="0"/>
    <n v="6"/>
    <n v="667.74"/>
    <n v="551.09999999999991"/>
    <n v="116.6400000000001"/>
    <n v="0.17467876718483258"/>
    <s v="Q3-2023"/>
    <s v="Africa → Kenya → Nairobi"/>
    <s v="Low"/>
    <n v="2023"/>
    <n v="8"/>
    <s v="No"/>
    <s v="No"/>
    <n v="0"/>
    <n v="96.442499999999995"/>
    <n v="6.24"/>
    <n v="694.44960000000003"/>
    <n v="601.80119999999999"/>
    <n v="92.648400000000038"/>
  </r>
  <r>
    <s v="ORD-2025-983096"/>
    <d v="2025-05-17T00:00:00"/>
    <d v="2025-05-28T00:00:00"/>
    <d v="2025-05-17T00:00:00"/>
    <d v="2025-05-28T00:00:00"/>
    <n v="11"/>
    <s v="5-2025"/>
    <x v="1"/>
    <x v="4"/>
    <s v="Bengaluru"/>
    <s v="Corporate"/>
    <x v="3"/>
    <s v="B. Chen"/>
    <s v="Laptops"/>
    <s v="LAP-9016"/>
    <n v="623.4"/>
    <n v="1100.0899999999999"/>
    <n v="0.114"/>
    <n v="12"/>
    <n v="11696.156879999999"/>
    <n v="7480.7999999999993"/>
    <n v="4215.3568799999994"/>
    <n v="0.36040529579490388"/>
    <s v="Q2-2025"/>
    <s v="Asia → India → Bengaluru"/>
    <s v="Low"/>
    <n v="2025"/>
    <n v="5"/>
    <s v="No"/>
    <s v="No"/>
    <n v="0.1"/>
    <n v="654.57000000000005"/>
    <n v="12.48"/>
    <n v="12356.210880000001"/>
    <n v="8169.0336000000007"/>
    <n v="4187.1772799999999"/>
  </r>
  <r>
    <s v="ORD-2024-366010"/>
    <d v="2024-01-13T00:00:00"/>
    <d v="2024-02-05T00:00:00"/>
    <d v="2024-01-13T00:00:00"/>
    <d v="2024-02-05T00:00:00"/>
    <n v="23"/>
    <s v="1-2024"/>
    <x v="3"/>
    <x v="11"/>
    <s v="Frankfurt"/>
    <s v="Education"/>
    <x v="4"/>
    <s v="B. Chen"/>
    <s v="Laptops"/>
    <s v="LAP-9931"/>
    <n v="1017.93"/>
    <n v="1529.14"/>
    <n v="0.155"/>
    <n v="12"/>
    <n v="15505.479600000001"/>
    <n v="12215.16"/>
    <n v="3290.3196000000007"/>
    <n v="0.21220366508366503"/>
    <s v="Q1-2024"/>
    <s v="Europe → Germany → Frankfurt"/>
    <s v="Medium"/>
    <n v="2024"/>
    <n v="1"/>
    <s v="No"/>
    <s v="No"/>
    <n v="0.1"/>
    <n v="1068.8264999999999"/>
    <n v="12.48"/>
    <n v="17175.300480000005"/>
    <n v="13338.95472"/>
    <n v="3836.3457600000056"/>
  </r>
  <r>
    <s v="ORD-2023-610470"/>
    <d v="2023-06-24T00:00:00"/>
    <d v="2023-07-21T00:00:00"/>
    <d v="2023-06-24T00:00:00"/>
    <d v="2023-07-21T00:00:00"/>
    <n v="27"/>
    <s v="6-2023"/>
    <x v="1"/>
    <x v="2"/>
    <s v="Nagoya"/>
    <s v="Consumer"/>
    <x v="2"/>
    <s v="J. Njeri"/>
    <s v="Phones"/>
    <s v="PHN-6818"/>
    <n v="554.76"/>
    <n v="728.69"/>
    <n v="0.22"/>
    <n v="7"/>
    <n v="3978.6474000000003"/>
    <n v="3883.3199999999997"/>
    <n v="95.32740000000058"/>
    <n v="2.395975074343119E-2"/>
    <s v="Q2-2023"/>
    <s v="Asia → Japan → Nagoya"/>
    <s v="Low"/>
    <n v="2023"/>
    <n v="6"/>
    <s v="No"/>
    <s v="Yes"/>
    <n v="0.1"/>
    <n v="582.49800000000005"/>
    <n v="7.28"/>
    <n v="4774.3768800000007"/>
    <n v="4240.5854400000007"/>
    <n v="533.79143999999997"/>
  </r>
  <r>
    <s v="ORD-2025-541048"/>
    <d v="2025-04-04T00:00:00"/>
    <d v="2025-04-13T00:00:00"/>
    <d v="2025-04-04T00:00:00"/>
    <d v="2025-04-13T00:00:00"/>
    <n v="9"/>
    <s v="4-2025"/>
    <x v="3"/>
    <x v="11"/>
    <s v="Munich"/>
    <s v="Consumer"/>
    <x v="2"/>
    <s v="F. Müller"/>
    <s v="Phones"/>
    <s v="PHN-3803"/>
    <n v="7.02"/>
    <n v="6.28"/>
    <n v="0.13400000000000001"/>
    <n v="14"/>
    <n v="76.138720000000006"/>
    <n v="98.28"/>
    <n v="-22.141279999999995"/>
    <n v="-0.29080184169106066"/>
    <s v="Q2-2025"/>
    <s v="Europe → Germany → Munich"/>
    <s v="Low"/>
    <n v="2025"/>
    <n v="4"/>
    <s v="No"/>
    <s v="No"/>
    <n v="0.1"/>
    <n v="7.3709999999999996"/>
    <n v="14.56"/>
    <n v="82.293120000000002"/>
    <n v="107.32176"/>
    <n v="-25.028639999999996"/>
  </r>
  <r>
    <s v="ORD-2024-862371"/>
    <d v="2024-09-07T00:00:00"/>
    <d v="2024-09-07T00:00:00"/>
    <d v="2024-09-07T00:00:00"/>
    <d v="2024-09-07T00:00:00"/>
    <n v="0"/>
    <s v="9-2024"/>
    <x v="1"/>
    <x v="4"/>
    <s v="Mumbai"/>
    <s v="Education"/>
    <x v="3"/>
    <s v="B. Chen"/>
    <s v="Networking"/>
    <s v="NET-9835"/>
    <n v="1066.6500000000001"/>
    <n v="2569.77"/>
    <n v="0.13400000000000001"/>
    <n v="9"/>
    <n v="20028.787380000002"/>
    <n v="9599.85"/>
    <n v="10428.937380000001"/>
    <n v="0.52069739331368348"/>
    <s v="Q3-2024"/>
    <s v="Asia → India → Mumbai"/>
    <s v="High"/>
    <n v="2024"/>
    <n v="9"/>
    <s v="Yes"/>
    <s v="No"/>
    <n v="0.1"/>
    <n v="1119.9825000000001"/>
    <n v="9.36"/>
    <n v="21647.742479999997"/>
    <n v="10483.0362"/>
    <n v="11164.706279999997"/>
  </r>
  <r>
    <s v="ORD-2024-257550"/>
    <d v="2024-12-27T00:00:00"/>
    <d v="2024-12-29T00:00:00"/>
    <d v="2024-12-27T00:00:00"/>
    <d v="2024-12-29T00:00:00"/>
    <n v="2"/>
    <s v="12-2024"/>
    <x v="2"/>
    <x v="3"/>
    <s v="Vancouver"/>
    <s v="Enterprise"/>
    <x v="2"/>
    <s v="C. Otieno"/>
    <s v="Accessories"/>
    <s v="ACC-8620"/>
    <n v="1146.72"/>
    <n v="2074.34"/>
    <n v="0.111"/>
    <n v="8"/>
    <n v="14752.706080000002"/>
    <n v="9173.76"/>
    <n v="5578.9460800000015"/>
    <n v="0.37816425337472737"/>
    <s v="Q4-2024"/>
    <s v="Americas → Canada → Vancouver"/>
    <s v="High"/>
    <n v="2024"/>
    <n v="12"/>
    <s v="Yes"/>
    <s v="No"/>
    <n v="0.1"/>
    <n v="1204.056"/>
    <n v="8.32"/>
    <n v="15532.657920000003"/>
    <n v="10017.745920000001"/>
    <n v="5514.9120000000021"/>
  </r>
  <r>
    <s v="ORD-2023-369150"/>
    <d v="2023-07-18T00:00:00"/>
    <d v="2023-08-10T00:00:00"/>
    <d v="2023-07-18T00:00:00"/>
    <d v="2023-08-10T00:00:00"/>
    <n v="23"/>
    <s v="7-2023"/>
    <x v="0"/>
    <x v="10"/>
    <s v="Johannesburg"/>
    <s v="Small Business"/>
    <x v="0"/>
    <s v="L. Okafor"/>
    <s v="Components"/>
    <s v="CMP-8659"/>
    <n v="1271.56"/>
    <n v="995.47"/>
    <n v="0.192"/>
    <n v="13"/>
    <n v="10456.416880000001"/>
    <n v="16530.28"/>
    <n v="-6073.8631199999982"/>
    <n v="-0.58087423155607754"/>
    <s v="Q3-2023"/>
    <s v="Africa → South Africa → Johannesburg"/>
    <s v="Low"/>
    <n v="2023"/>
    <n v="7"/>
    <s v="No"/>
    <s v="No"/>
    <n v="0.1"/>
    <n v="1335.1379999999999"/>
    <n v="13.52"/>
    <n v="12112.87896"/>
    <n v="18051.065759999998"/>
    <n v="-5938.1867999999977"/>
  </r>
  <r>
    <s v="ORD-2024-605629"/>
    <d v="2024-07-15T00:00:00"/>
    <d v="2024-07-15T00:00:00"/>
    <d v="2024-07-15T00:00:00"/>
    <d v="2024-07-15T00:00:00"/>
    <n v="0"/>
    <s v="7-2024"/>
    <x v="1"/>
    <x v="2"/>
    <s v="Tokyo"/>
    <s v="Small Business"/>
    <x v="2"/>
    <s v="G. Dubois"/>
    <s v="Accessories"/>
    <s v="ACC-2735"/>
    <n v="801.77"/>
    <n v="1218.92"/>
    <n v="0.254"/>
    <n v="16"/>
    <n v="14549.029120000001"/>
    <n v="12828.32"/>
    <n v="1720.7091200000013"/>
    <n v="0.11826968698788344"/>
    <s v="Q3-2024"/>
    <s v="Asia → Japan → Tokyo"/>
    <s v="Medium"/>
    <n v="2024"/>
    <n v="7"/>
    <s v="Yes"/>
    <s v="Yes"/>
    <n v="0.1"/>
    <n v="841.85850000000005"/>
    <n v="16.64"/>
    <n v="18254.545920000004"/>
    <n v="14008.525440000001"/>
    <n v="4246.0204800000029"/>
  </r>
  <r>
    <s v="ORD-2025-486350"/>
    <d v="2025-05-27T00:00:00"/>
    <d v="2025-06-08T00:00:00"/>
    <d v="2025-05-27T00:00:00"/>
    <d v="2025-06-08T00:00:00"/>
    <n v="12"/>
    <s v="5-2025"/>
    <x v="1"/>
    <x v="2"/>
    <s v="Osaka"/>
    <s v="Corporate"/>
    <x v="0"/>
    <s v="H. Kim"/>
    <s v="Accessories"/>
    <s v="ACC-1249"/>
    <n v="653.6"/>
    <n v="842.09"/>
    <n v="9.8000000000000004E-2"/>
    <n v="19"/>
    <n v="14431.738420000001"/>
    <n v="12418.4"/>
    <n v="2013.3384200000019"/>
    <n v="0.13950768517324622"/>
    <s v="Q2-2025"/>
    <s v="Asia → Japan → Osaka"/>
    <s v="Low"/>
    <n v="2025"/>
    <n v="5"/>
    <s v="No"/>
    <s v="No"/>
    <n v="9.8000000000000004E-2"/>
    <n v="686.28000000000009"/>
    <n v="19.760000000000002"/>
    <n v="15009.007956800002"/>
    <n v="13560.892800000003"/>
    <n v="1448.1151567999987"/>
  </r>
  <r>
    <s v="ORD-2023-107265"/>
    <d v="2023-04-22T00:00:00"/>
    <d v="2023-05-14T00:00:00"/>
    <d v="2023-04-22T00:00:00"/>
    <d v="2023-05-14T00:00:00"/>
    <n v="22"/>
    <s v="4-2023"/>
    <x v="1"/>
    <x v="2"/>
    <s v="Nagoya"/>
    <s v="Enterprise"/>
    <x v="0"/>
    <s v="A. Patel"/>
    <s v="Accessories"/>
    <s v="ACC-7713"/>
    <n v="1209.22"/>
    <n v="1404.33"/>
    <n v="0.10299999999999999"/>
    <n v="11"/>
    <n v="13856.52411"/>
    <n v="13301.42"/>
    <n v="555.10411000000022"/>
    <n v="4.0060848275751328E-2"/>
    <s v="Q2-2023"/>
    <s v="Asia → Japan → Nagoya"/>
    <s v="Medium"/>
    <n v="2023"/>
    <n v="4"/>
    <s v="No"/>
    <s v="No"/>
    <n v="0.1"/>
    <n v="1269.681"/>
    <n v="11.440000000000001"/>
    <n v="14458.981680000001"/>
    <n v="14525.150640000002"/>
    <n v="-66.16896000000088"/>
  </r>
  <r>
    <s v="ORD-2024-211453"/>
    <d v="2024-04-04T00:00:00"/>
    <d v="2024-04-24T00:00:00"/>
    <d v="2024-04-04T00:00:00"/>
    <d v="2024-04-24T00:00:00"/>
    <n v="20"/>
    <s v="4-2024"/>
    <x v="3"/>
    <x v="11"/>
    <s v="Frankfurt"/>
    <s v="Non-Profit"/>
    <x v="4"/>
    <s v="O. Wang"/>
    <s v="Accessories"/>
    <s v="ACC-6543"/>
    <n v="683.42"/>
    <n v="951.51"/>
    <n v="0"/>
    <n v="14"/>
    <n v="13321.14"/>
    <n v="9567.8799999999992"/>
    <n v="3753.26"/>
    <n v="0.28175216235247136"/>
    <s v="Q2-2024"/>
    <s v="Europe → Germany → Frankfurt"/>
    <s v="Low"/>
    <n v="2024"/>
    <n v="4"/>
    <s v="No"/>
    <s v="No"/>
    <n v="0"/>
    <n v="717.59100000000001"/>
    <n v="14.56"/>
    <n v="13853.9856"/>
    <n v="10448.124960000001"/>
    <n v="3405.860639999999"/>
  </r>
  <r>
    <s v="ORD-2025-487025"/>
    <d v="2025-04-11T00:00:00"/>
    <d v="2025-05-04T00:00:00"/>
    <d v="2025-04-11T00:00:00"/>
    <d v="2025-05-04T00:00:00"/>
    <n v="23"/>
    <s v="4-2025"/>
    <x v="1"/>
    <x v="2"/>
    <s v="Osaka"/>
    <s v="Small Business"/>
    <x v="1"/>
    <s v="M. Rossi"/>
    <s v="Components"/>
    <s v="CMP-3743"/>
    <n v="786.2"/>
    <n v="1075.3"/>
    <n v="0.08"/>
    <n v="9"/>
    <n v="8903.4839999999986"/>
    <n v="7075.8"/>
    <n v="1827.6839999999984"/>
    <n v="0.20527739478163815"/>
    <s v="Q2-2025"/>
    <s v="Asia → Japan → Osaka"/>
    <s v="Low"/>
    <n v="2025"/>
    <n v="4"/>
    <s v="No"/>
    <s v="No"/>
    <n v="0.08"/>
    <n v="825.5100000000001"/>
    <n v="9.36"/>
    <n v="9259.6233599999996"/>
    <n v="7726.7736000000004"/>
    <n v="1532.8497599999992"/>
  </r>
  <r>
    <s v="ORD-2025-398335"/>
    <d v="2025-06-01T00:00:00"/>
    <d v="2025-06-27T00:00:00"/>
    <d v="2025-06-01T00:00:00"/>
    <d v="2025-06-27T00:00:00"/>
    <n v="26"/>
    <s v="6-2025"/>
    <x v="3"/>
    <x v="11"/>
    <s v="Munich"/>
    <s v="Consumer"/>
    <x v="3"/>
    <s v="E. Garcia"/>
    <s v="Laptops"/>
    <s v="LAP-1619"/>
    <n v="1362.31"/>
    <n v="3294.57"/>
    <n v="0.113"/>
    <n v="7"/>
    <n v="20455.985130000001"/>
    <n v="9536.17"/>
    <n v="10919.815130000001"/>
    <n v="0.5338200561157721"/>
    <s v="Q2-2025"/>
    <s v="Europe → Germany → Munich"/>
    <s v="High"/>
    <n v="2025"/>
    <n v="6"/>
    <s v="No"/>
    <s v="No"/>
    <n v="0.1"/>
    <n v="1430.4255000000001"/>
    <n v="7.28"/>
    <n v="21586.022639999999"/>
    <n v="10413.497640000001"/>
    <n v="11172.524999999998"/>
  </r>
  <r>
    <s v="ORD-2024-792137"/>
    <d v="2024-03-02T00:00:00"/>
    <d v="2024-03-16T00:00:00"/>
    <d v="2024-03-02T00:00:00"/>
    <d v="2024-03-16T00:00:00"/>
    <n v="14"/>
    <s v="3-2024"/>
    <x v="2"/>
    <x v="3"/>
    <s v="Vancouver"/>
    <s v="Non-Profit"/>
    <x v="4"/>
    <s v="O. Wang"/>
    <s v="Printers"/>
    <s v="PRN-7976"/>
    <n v="248.24"/>
    <n v="464.05"/>
    <n v="0.16900000000000001"/>
    <n v="11"/>
    <n v="4241.88105"/>
    <n v="2730.6400000000003"/>
    <n v="1511.2410499999996"/>
    <n v="0.3562667203975462"/>
    <s v="Q1-2024"/>
    <s v="Americas → Canada → Vancouver"/>
    <s v="Low"/>
    <n v="2024"/>
    <n v="3"/>
    <s v="No"/>
    <s v="No"/>
    <n v="0.1"/>
    <n v="260.65200000000004"/>
    <n v="11.440000000000001"/>
    <n v="4777.8588000000009"/>
    <n v="2981.8588800000007"/>
    <n v="1795.9999200000002"/>
  </r>
  <r>
    <s v="ORD-2023-602648"/>
    <d v="2023-06-20T00:00:00"/>
    <d v="2023-07-08T00:00:00"/>
    <d v="2023-06-20T00:00:00"/>
    <d v="2023-07-08T00:00:00"/>
    <n v="18"/>
    <s v="6-2023"/>
    <x v="2"/>
    <x v="9"/>
    <s v="Austin"/>
    <s v="Non-Profit"/>
    <x v="4"/>
    <s v="F. Müller"/>
    <s v="Monitors"/>
    <s v="MON-4326"/>
    <n v="337"/>
    <n v="511.03"/>
    <n v="0.108"/>
    <n v="7"/>
    <n v="3190.8713200000002"/>
    <n v="2359"/>
    <n v="831.8713200000002"/>
    <n v="0.26070349963219458"/>
    <s v="Q2-2023"/>
    <s v="Americas → USA → Austin"/>
    <s v="Low"/>
    <n v="2023"/>
    <n v="6"/>
    <s v="No"/>
    <s v="No"/>
    <n v="0.1"/>
    <n v="353.85"/>
    <n v="7.28"/>
    <n v="3348.26856"/>
    <n v="2576.0280000000002"/>
    <n v="772.24055999999973"/>
  </r>
  <r>
    <s v="ORD-2024-207096"/>
    <d v="2024-03-26T00:00:00"/>
    <d v="2024-04-05T00:00:00"/>
    <d v="2024-03-26T00:00:00"/>
    <d v="2024-04-05T00:00:00"/>
    <n v="10"/>
    <s v="3-2024"/>
    <x v="2"/>
    <x v="9"/>
    <s v="Austin"/>
    <s v="Consumer"/>
    <x v="4"/>
    <s v="J. Njeri"/>
    <s v="Monitors"/>
    <s v="MON-5444"/>
    <n v="5.66"/>
    <n v="4.22"/>
    <n v="0.11899999999999999"/>
    <n v="18"/>
    <n v="66.920760000000001"/>
    <n v="101.88"/>
    <n v="-34.959239999999994"/>
    <n v="-0.52239753403876454"/>
    <s v="Q1-2024"/>
    <s v="Americas → USA → Austin"/>
    <s v="Low"/>
    <n v="2024"/>
    <n v="3"/>
    <s v="No"/>
    <s v="No"/>
    <n v="0.1"/>
    <n v="5.9430000000000005"/>
    <n v="18.72"/>
    <n v="71.098559999999992"/>
    <n v="111.25296"/>
    <n v="-40.15440000000001"/>
  </r>
  <r>
    <s v="ORD-2024-555229"/>
    <d v="2024-05-18T00:00:00"/>
    <d v="2024-05-22T00:00:00"/>
    <d v="2024-05-18T00:00:00"/>
    <d v="2024-05-22T00:00:00"/>
    <n v="4"/>
    <s v="5-2024"/>
    <x v="0"/>
    <x v="0"/>
    <s v="Nairobi"/>
    <s v="Corporate"/>
    <x v="4"/>
    <s v="H. Kim"/>
    <s v="Accessories"/>
    <s v="ACC-7354"/>
    <n v="857.42"/>
    <n v="1658.92"/>
    <n v="0.122"/>
    <n v="9"/>
    <n v="13108.78584"/>
    <n v="7716.78"/>
    <n v="5392.0058400000007"/>
    <n v="0.41132763215544305"/>
    <s v="Q2-2024"/>
    <s v="Africa → Kenya → Nairobi"/>
    <s v="Medium"/>
    <n v="2024"/>
    <n v="5"/>
    <s v="Yes"/>
    <s v="No"/>
    <n v="0.1"/>
    <n v="900.29099999999994"/>
    <n v="9.36"/>
    <n v="13974.74208"/>
    <n v="8426.7237599999989"/>
    <n v="5548.018320000001"/>
  </r>
  <r>
    <s v="ORD-2025-191328"/>
    <d v="2025-05-10T00:00:00"/>
    <d v="2025-05-27T00:00:00"/>
    <d v="2025-05-10T00:00:00"/>
    <d v="2025-05-27T00:00:00"/>
    <n v="17"/>
    <s v="5-2025"/>
    <x v="2"/>
    <x v="3"/>
    <s v="Vancouver"/>
    <s v="Education"/>
    <x v="4"/>
    <s v="C. Otieno"/>
    <s v="Components"/>
    <s v="CMP-9307"/>
    <n v="862.89"/>
    <n v="1426.03"/>
    <n v="5.6000000000000001E-2"/>
    <n v="19"/>
    <n v="25577.274079999999"/>
    <n v="16394.91"/>
    <n v="9182.3640799999994"/>
    <n v="0.35900479665188778"/>
    <s v="Q2-2025"/>
    <s v="Americas → Canada → Vancouver"/>
    <s v="Medium"/>
    <n v="2025"/>
    <n v="5"/>
    <s v="No"/>
    <s v="No"/>
    <n v="5.6000000000000001E-2"/>
    <n v="906.03449999999998"/>
    <n v="19.760000000000002"/>
    <n v="26600.365043199999"/>
    <n v="17903.241720000002"/>
    <n v="8697.1233231999977"/>
  </r>
  <r>
    <s v="ORD-2023-166668"/>
    <d v="2023-10-05T00:00:00"/>
    <d v="2023-10-31T00:00:00"/>
    <d v="2023-10-05T00:00:00"/>
    <d v="2023-10-31T00:00:00"/>
    <n v="26"/>
    <s v="10-2023"/>
    <x v="1"/>
    <x v="8"/>
    <s v="Shanghai"/>
    <s v="Consumer"/>
    <x v="5"/>
    <s v="J. Njeri"/>
    <s v="Printers"/>
    <s v="PRN-6520"/>
    <n v="649.91"/>
    <n v="1360.12"/>
    <n v="0.19400000000000001"/>
    <n v="9"/>
    <n v="9866.3104799999983"/>
    <n v="5849.19"/>
    <n v="4017.1204799999987"/>
    <n v="0.40715528749506769"/>
    <s v="Q4-2023"/>
    <s v="Asia → China → Shanghai"/>
    <s v="Medium"/>
    <n v="2023"/>
    <n v="10"/>
    <s v="No"/>
    <s v="No"/>
    <n v="0.1"/>
    <n v="682.40549999999996"/>
    <n v="9.36"/>
    <n v="11457.650879999999"/>
    <n v="6387.3154799999993"/>
    <n v="5070.3353999999999"/>
  </r>
  <r>
    <s v="ORD-2024-202877"/>
    <d v="2024-07-13T00:00:00"/>
    <d v="2024-08-03T00:00:00"/>
    <d v="2024-07-13T00:00:00"/>
    <d v="2024-08-03T00:00:00"/>
    <n v="21"/>
    <s v="7-2024"/>
    <x v="2"/>
    <x v="5"/>
    <s v="Rio de Janeiro"/>
    <s v="Corporate"/>
    <x v="2"/>
    <s v="M. Rossi"/>
    <s v="Monitors"/>
    <s v="MON-6287"/>
    <n v="702.98"/>
    <n v="1104.8"/>
    <n v="0.17499999999999999"/>
    <n v="12"/>
    <n v="10937.519999999999"/>
    <n v="8435.76"/>
    <n v="2501.7599999999984"/>
    <n v="0.22873192460448061"/>
    <s v="Q3-2024"/>
    <s v="Americas → Brazil → Rio de Janeiro"/>
    <s v="Low"/>
    <n v="2024"/>
    <n v="7"/>
    <s v="No"/>
    <s v="No"/>
    <n v="0.1"/>
    <n v="738.12900000000002"/>
    <n v="12.48"/>
    <n v="12409.113600000001"/>
    <n v="9211.8499200000006"/>
    <n v="3197.26368"/>
  </r>
  <r>
    <s v="ORD-2025-278048"/>
    <d v="2025-06-22T00:00:00"/>
    <d v="2025-07-08T00:00:00"/>
    <d v="2025-06-22T00:00:00"/>
    <d v="2025-07-08T00:00:00"/>
    <n v="16"/>
    <s v="6-2025"/>
    <x v="3"/>
    <x v="7"/>
    <s v="London"/>
    <s v="Education"/>
    <x v="4"/>
    <s v="A. Patel"/>
    <s v="Phones"/>
    <s v="PHN-5316"/>
    <n v="892.73"/>
    <n v="979.84"/>
    <n v="0.17399999999999999"/>
    <n v="10"/>
    <n v="8093.4784"/>
    <n v="8927.2999999999993"/>
    <n v="-833.82159999999931"/>
    <n v="-0.10302388649112838"/>
    <s v="Q2-2025"/>
    <s v="Europe → United Kingdom → London"/>
    <s v="Low"/>
    <n v="2025"/>
    <n v="6"/>
    <s v="No"/>
    <s v="No"/>
    <n v="0.1"/>
    <n v="937.36650000000009"/>
    <n v="10.4"/>
    <n v="9171.3024000000005"/>
    <n v="9748.611600000002"/>
    <n v="-577.30920000000151"/>
  </r>
  <r>
    <s v="ORD-2024-878493"/>
    <d v="2024-06-19T00:00:00"/>
    <d v="2024-06-20T00:00:00"/>
    <d v="2024-06-19T00:00:00"/>
    <d v="2024-06-20T00:00:00"/>
    <n v="1"/>
    <s v="6-2024"/>
    <x v="0"/>
    <x v="0"/>
    <s v="Kisumu"/>
    <s v="Small Business"/>
    <x v="4"/>
    <s v="J. Njeri"/>
    <s v="Laptops"/>
    <s v="LAP-4607"/>
    <n v="231.63"/>
    <n v="537.39"/>
    <n v="0.08"/>
    <n v="12"/>
    <n v="5932.7856000000002"/>
    <n v="2779.56"/>
    <n v="3153.2256000000002"/>
    <n v="0.53149158129024587"/>
    <s v="Q2-2024"/>
    <s v="Africa → Kenya → Kisumu"/>
    <s v="Low"/>
    <n v="2024"/>
    <n v="6"/>
    <s v="Yes"/>
    <s v="No"/>
    <n v="0.08"/>
    <n v="243.2115"/>
    <n v="12.48"/>
    <n v="6170.0970240000006"/>
    <n v="3035.27952"/>
    <n v="3134.8175040000006"/>
  </r>
  <r>
    <s v="ORD-2025-138578"/>
    <d v="2025-04-09T00:00:00"/>
    <d v="2025-04-12T00:00:00"/>
    <d v="2025-04-09T00:00:00"/>
    <d v="2025-04-12T00:00:00"/>
    <n v="3"/>
    <s v="4-2025"/>
    <x v="3"/>
    <x v="6"/>
    <s v="Lyon"/>
    <s v="Small Business"/>
    <x v="3"/>
    <s v="H. Kim"/>
    <s v="Monitors"/>
    <s v="MON-5276"/>
    <n v="86.68"/>
    <n v="213.32"/>
    <n v="3.7999999999999999E-2"/>
    <n v="8"/>
    <n v="1641.7107199999998"/>
    <n v="693.44"/>
    <n v="948.27071999999976"/>
    <n v="0.57761133459614611"/>
    <s v="Q2-2025"/>
    <s v="Europe → France → Lyon"/>
    <s v="Low"/>
    <n v="2025"/>
    <n v="4"/>
    <s v="Yes"/>
    <s v="No"/>
    <n v="3.7999999999999999E-2"/>
    <n v="91.01400000000001"/>
    <n v="8.32"/>
    <n v="1707.3791487999999"/>
    <n v="757.23648000000014"/>
    <n v="950.1426687999998"/>
  </r>
  <r>
    <s v="ORD-2025-939953"/>
    <d v="2025-01-22T00:00:00"/>
    <d v="2025-01-22T00:00:00"/>
    <d v="2025-01-22T00:00:00"/>
    <d v="2025-01-22T00:00:00"/>
    <n v="0"/>
    <s v="1-2025"/>
    <x v="3"/>
    <x v="6"/>
    <s v="Lyon"/>
    <s v="Small Business"/>
    <x v="1"/>
    <s v="B. Chen"/>
    <s v="Accessories"/>
    <s v="ACC-5422"/>
    <n v="591.72"/>
    <n v="577.24"/>
    <n v="0"/>
    <n v="22"/>
    <n v="12699.28"/>
    <n v="13017.84"/>
    <n v="-318.55999999999949"/>
    <n v="-2.5084886702238195E-2"/>
    <s v="Q1-2025"/>
    <s v="Europe → France → Lyon"/>
    <s v="Low"/>
    <n v="2025"/>
    <n v="1"/>
    <s v="Yes"/>
    <s v="No"/>
    <n v="0"/>
    <n v="621.30600000000004"/>
    <n v="22.880000000000003"/>
    <n v="13207.251200000002"/>
    <n v="14215.481280000002"/>
    <n v="-1008.2300799999994"/>
  </r>
  <r>
    <s v="ORD-2025-364852"/>
    <d v="2025-05-18T00:00:00"/>
    <d v="2025-06-09T00:00:00"/>
    <d v="2025-05-18T00:00:00"/>
    <d v="2025-06-09T00:00:00"/>
    <n v="22"/>
    <s v="5-2025"/>
    <x v="2"/>
    <x v="9"/>
    <s v="New York"/>
    <s v="Consumer"/>
    <x v="0"/>
    <s v="H. Kim"/>
    <s v="Networking"/>
    <s v="NET-3749"/>
    <n v="382.96"/>
    <n v="552.84"/>
    <n v="0.17599999999999999"/>
    <n v="8"/>
    <n v="3644.3212800000006"/>
    <n v="3063.68"/>
    <n v="580.64128000000073"/>
    <n v="0.15932768693763483"/>
    <s v="Q2-2025"/>
    <s v="Americas → USA → New York"/>
    <s v="Low"/>
    <n v="2025"/>
    <n v="5"/>
    <s v="No"/>
    <s v="No"/>
    <n v="0.1"/>
    <n v="402.108"/>
    <n v="8.32"/>
    <n v="4139.6659200000004"/>
    <n v="3345.53856"/>
    <n v="794.12736000000041"/>
  </r>
  <r>
    <s v="ORD-2025-415018"/>
    <d v="2025-01-22T00:00:00"/>
    <d v="2025-02-04T00:00:00"/>
    <d v="2025-01-22T00:00:00"/>
    <d v="2025-02-04T00:00:00"/>
    <n v="13"/>
    <s v="1-2025"/>
    <x v="1"/>
    <x v="2"/>
    <s v="Tokyo"/>
    <s v="Small Business"/>
    <x v="3"/>
    <s v="L. Okafor"/>
    <s v="Printers"/>
    <s v="PRN-2991"/>
    <n v="122.29"/>
    <n v="224.95"/>
    <n v="0.153"/>
    <n v="28"/>
    <n v="5334.9141999999993"/>
    <n v="3424.1200000000003"/>
    <n v="1910.7941999999989"/>
    <n v="0.3581677471026618"/>
    <s v="Q1-2025"/>
    <s v="Asia → Japan → Tokyo"/>
    <s v="Low"/>
    <n v="2025"/>
    <n v="1"/>
    <s v="No"/>
    <s v="No"/>
    <n v="0.1"/>
    <n v="128.40450000000001"/>
    <n v="29.12"/>
    <n v="5895.4895999999999"/>
    <n v="3739.1390400000005"/>
    <n v="2156.3505599999994"/>
  </r>
  <r>
    <s v="ORD-2023-884192"/>
    <d v="2023-01-10T00:00:00"/>
    <d v="2023-01-29T00:00:00"/>
    <d v="2023-01-10T00:00:00"/>
    <d v="2023-01-29T00:00:00"/>
    <n v="19"/>
    <s v="1-2023"/>
    <x v="3"/>
    <x v="6"/>
    <s v="Lyon"/>
    <s v="Non-Profit"/>
    <x v="4"/>
    <s v="D. Smith"/>
    <s v="Laptops"/>
    <s v="LAP-4551"/>
    <n v="401.66"/>
    <n v="772.09"/>
    <n v="8.8999999999999996E-2"/>
    <n v="14"/>
    <n v="9847.2358600000007"/>
    <n v="5623.2400000000007"/>
    <n v="4223.99586"/>
    <n v="0.42895244107619046"/>
    <s v="Q1-2023"/>
    <s v="Europe → France → Lyon"/>
    <s v="Low"/>
    <n v="2023"/>
    <n v="1"/>
    <s v="No"/>
    <s v="No"/>
    <n v="8.8999999999999996E-2"/>
    <n v="421.74300000000005"/>
    <n v="14.56"/>
    <n v="10241.125294400001"/>
    <n v="6140.5780800000011"/>
    <n v="4100.5472143999996"/>
  </r>
  <r>
    <s v="ORD-2024-165942"/>
    <d v="2024-12-29T00:00:00"/>
    <d v="2025-01-12T00:00:00"/>
    <d v="2024-12-29T00:00:00"/>
    <d v="2025-01-12T00:00:00"/>
    <n v="14"/>
    <s v="12-2024"/>
    <x v="3"/>
    <x v="7"/>
    <s v="Manchester"/>
    <s v="Corporate"/>
    <x v="4"/>
    <s v="B. Chen"/>
    <s v="Monitors"/>
    <s v="MON-6310"/>
    <n v="1399.72"/>
    <n v="3149.21"/>
    <n v="0.185"/>
    <n v="12"/>
    <n v="30799.273800000003"/>
    <n v="16796.64"/>
    <n v="14002.633800000003"/>
    <n v="0.45464168703873797"/>
    <s v="Q4-2024"/>
    <s v="Europe → United Kingdom → Manchester"/>
    <s v="High"/>
    <n v="2024"/>
    <n v="12"/>
    <s v="No"/>
    <s v="No"/>
    <n v="0.1"/>
    <n v="1469.7060000000001"/>
    <n v="12.48"/>
    <n v="35371.926720000003"/>
    <n v="18341.930880000004"/>
    <n v="17029.99584"/>
  </r>
  <r>
    <s v="ORD-2024-585443"/>
    <d v="2024-08-17T00:00:00"/>
    <d v="2024-08-15T00:00:00"/>
    <d v="2024-08-15T00:00:00"/>
    <d v="2024-08-17T00:00:00"/>
    <n v="2"/>
    <s v="8-2024"/>
    <x v="2"/>
    <x v="5"/>
    <s v="Rio de Janeiro"/>
    <s v="Consumer"/>
    <x v="4"/>
    <s v="M. Rossi"/>
    <s v="Monitors"/>
    <s v="MON-2849"/>
    <n v="165.3"/>
    <n v="275.07"/>
    <n v="0.13300000000000001"/>
    <n v="25"/>
    <n v="5962.1422499999999"/>
    <n v="4132.5"/>
    <n v="1829.6422499999999"/>
    <n v="0.30687665159280625"/>
    <s v="Q3-2024"/>
    <s v="Americas → Brazil → Rio de Janeiro"/>
    <s v="Low"/>
    <n v="2024"/>
    <n v="8"/>
    <s v="Yes"/>
    <s v="No"/>
    <n v="0.1"/>
    <n v="173.56500000000003"/>
    <n v="26"/>
    <n v="6436.6379999999999"/>
    <n v="4512.6900000000005"/>
    <n v="1923.9479999999994"/>
  </r>
  <r>
    <s v="ORD-2025-281062"/>
    <d v="2025-02-15T00:00:00"/>
    <d v="2025-02-27T00:00:00"/>
    <d v="2025-02-15T00:00:00"/>
    <d v="2025-02-27T00:00:00"/>
    <n v="12"/>
    <s v="2-2025"/>
    <x v="3"/>
    <x v="6"/>
    <s v="Lyon"/>
    <s v="Non-Profit"/>
    <x v="4"/>
    <s v="K. Singh"/>
    <s v="Accessories"/>
    <s v="ACC-1604"/>
    <n v="1027.26"/>
    <n v="2200.41"/>
    <n v="8.7999999999999995E-2"/>
    <n v="6"/>
    <n v="12040.64352"/>
    <n v="6163.5599999999995"/>
    <n v="5877.0835200000001"/>
    <n v="0.48810377204822358"/>
    <s v="Q1-2025"/>
    <s v="Europe → France → Lyon"/>
    <s v="High"/>
    <n v="2025"/>
    <n v="2"/>
    <s v="No"/>
    <s v="No"/>
    <n v="8.7999999999999995E-2"/>
    <n v="1078.623"/>
    <n v="6.24"/>
    <n v="12522.2692608"/>
    <n v="6730.6075200000005"/>
    <n v="5791.6617407999993"/>
  </r>
  <r>
    <s v="ORD-2024-925626"/>
    <d v="2024-11-04T00:00:00"/>
    <d v="2024-11-05T00:00:00"/>
    <d v="2024-11-04T00:00:00"/>
    <d v="2024-11-05T00:00:00"/>
    <n v="1"/>
    <s v="11-2024"/>
    <x v="3"/>
    <x v="7"/>
    <s v="London"/>
    <s v="Corporate"/>
    <x v="0"/>
    <s v="M. Rossi"/>
    <s v="Printers"/>
    <s v="PRN-2293"/>
    <n v="840.68"/>
    <n v="1493.53"/>
    <n v="0"/>
    <n v="27"/>
    <n v="40325.31"/>
    <n v="22698.359999999997"/>
    <n v="17626.95"/>
    <n v="0.43711877230454027"/>
    <s v="Q4-2024"/>
    <s v="Europe → United Kingdom → London"/>
    <s v="Medium"/>
    <n v="2024"/>
    <n v="11"/>
    <s v="Yes"/>
    <s v="No"/>
    <n v="0"/>
    <n v="882.71399999999994"/>
    <n v="28.080000000000002"/>
    <n v="41938.322400000005"/>
    <n v="24786.609120000001"/>
    <n v="17151.713280000004"/>
  </r>
  <r>
    <s v="ORD-2024-427031"/>
    <d v="2024-06-08T00:00:00"/>
    <d v="2024-06-24T00:00:00"/>
    <d v="2024-06-08T00:00:00"/>
    <d v="2024-06-24T00:00:00"/>
    <n v="16"/>
    <s v="6-2024"/>
    <x v="0"/>
    <x v="10"/>
    <s v="Durban"/>
    <s v="Education"/>
    <x v="3"/>
    <s v="H. Kim"/>
    <s v="Monitors"/>
    <s v="MON-1389"/>
    <n v="597.85"/>
    <n v="741.92"/>
    <n v="3.1E-2"/>
    <n v="7"/>
    <n v="5032.4433599999993"/>
    <n v="4184.95"/>
    <n v="847.49335999999948"/>
    <n v="0.16840594108544515"/>
    <s v="Q2-2024"/>
    <s v="Africa → South Africa → Durban"/>
    <s v="Low"/>
    <n v="2024"/>
    <n v="6"/>
    <s v="No"/>
    <s v="No"/>
    <n v="3.1E-2"/>
    <n v="627.74250000000006"/>
    <n v="7.28"/>
    <n v="5233.7410943999994"/>
    <n v="4569.965400000001"/>
    <n v="663.77569439999843"/>
  </r>
  <r>
    <s v="ORD-2025-231184"/>
    <d v="2025-06-01T00:00:00"/>
    <d v="2025-06-06T00:00:00"/>
    <d v="2025-06-01T00:00:00"/>
    <d v="2025-06-06T00:00:00"/>
    <n v="5"/>
    <s v="6-2025"/>
    <x v="3"/>
    <x v="6"/>
    <s v="Paris"/>
    <s v="Consumer"/>
    <x v="3"/>
    <s v="G. Dubois"/>
    <s v="Components"/>
    <s v="CMP-4093"/>
    <n v="379.45"/>
    <n v="742.23"/>
    <n v="0.09"/>
    <n v="13"/>
    <n v="8780.5809000000008"/>
    <n v="4932.8499999999995"/>
    <n v="3847.7309000000014"/>
    <n v="0.43820915083192286"/>
    <s v="Q2-2025"/>
    <s v="Europe → France → Paris"/>
    <s v="Low"/>
    <n v="2025"/>
    <n v="6"/>
    <s v="Yes"/>
    <s v="No"/>
    <n v="0.09"/>
    <n v="398.42250000000001"/>
    <n v="13.52"/>
    <n v="9131.8041360000007"/>
    <n v="5386.6722"/>
    <n v="3745.1319360000007"/>
  </r>
  <r>
    <s v="ORD-2023-363031"/>
    <d v="2023-05-06T00:00:00"/>
    <d v="2023-05-14T00:00:00"/>
    <d v="2023-05-06T00:00:00"/>
    <d v="2023-05-14T00:00:00"/>
    <n v="8"/>
    <s v="5-2023"/>
    <x v="1"/>
    <x v="2"/>
    <s v="Osaka"/>
    <s v="Enterprise"/>
    <x v="2"/>
    <s v="B. Chen"/>
    <s v="Phones"/>
    <s v="PHN-6131"/>
    <n v="291.18"/>
    <n v="479.54"/>
    <n v="0.14099999999999999"/>
    <n v="22"/>
    <n v="9062.34692"/>
    <n v="6405.96"/>
    <n v="2656.3869199999999"/>
    <n v="0.29312350801066001"/>
    <s v="Q2-2023"/>
    <s v="Asia → Japan → Osaka"/>
    <s v="Low"/>
    <n v="2023"/>
    <n v="5"/>
    <s v="No"/>
    <s v="No"/>
    <n v="0.1"/>
    <n v="305.73900000000003"/>
    <n v="22.880000000000003"/>
    <n v="9874.6876800000027"/>
    <n v="6995.3083200000019"/>
    <n v="2879.3793600000008"/>
  </r>
  <r>
    <s v="ORD-2024-578646"/>
    <d v="2024-05-27T00:00:00"/>
    <d v="2024-06-17T00:00:00"/>
    <d v="2024-05-27T00:00:00"/>
    <d v="2024-06-17T00:00:00"/>
    <n v="21"/>
    <s v="5-2024"/>
    <x v="1"/>
    <x v="4"/>
    <s v="Delhi"/>
    <s v="Small Business"/>
    <x v="1"/>
    <s v="H. Kim"/>
    <s v="Accessories"/>
    <s v="ACC-7240"/>
    <n v="465.02"/>
    <n v="651.55999999999995"/>
    <n v="4.2000000000000003E-2"/>
    <n v="19"/>
    <n v="11859.695119999998"/>
    <n v="8835.3799999999992"/>
    <n v="3024.3151199999993"/>
    <n v="0.25500783025187918"/>
    <s v="Q2-2024"/>
    <s v="Asia → India → Delhi"/>
    <s v="Low"/>
    <n v="2024"/>
    <n v="5"/>
    <s v="No"/>
    <s v="No"/>
    <n v="4.2000000000000003E-2"/>
    <n v="488.27100000000002"/>
    <n v="19.760000000000002"/>
    <n v="12334.082924799999"/>
    <n v="9648.2349600000016"/>
    <n v="2685.8479647999975"/>
  </r>
  <r>
    <s v="ORD-2025-861401"/>
    <d v="2025-04-01T00:00:00"/>
    <d v="2025-04-27T00:00:00"/>
    <d v="2025-04-01T00:00:00"/>
    <d v="2025-04-27T00:00:00"/>
    <n v="26"/>
    <s v="4-2025"/>
    <x v="2"/>
    <x v="9"/>
    <s v="San Francisco"/>
    <s v="Corporate"/>
    <x v="4"/>
    <s v="I. Johnson"/>
    <s v="Monitors"/>
    <s v="MON-9319"/>
    <n v="156.55000000000001"/>
    <n v="227.45"/>
    <n v="1.4E-2"/>
    <n v="13"/>
    <n v="2915.4540999999999"/>
    <n v="2035.15"/>
    <n v="880.30409999999983"/>
    <n v="0.3019440779396938"/>
    <s v="Q2-2025"/>
    <s v="Americas → USA → San Francisco"/>
    <s v="Low"/>
    <n v="2025"/>
    <n v="4"/>
    <s v="No"/>
    <s v="No"/>
    <n v="1.4E-2"/>
    <n v="164.37750000000003"/>
    <n v="13.52"/>
    <n v="3032.0722639999999"/>
    <n v="2222.3838000000001"/>
    <n v="809.68846399999984"/>
  </r>
  <r>
    <s v="ORD-2023-890605"/>
    <d v="2023-06-24T00:00:00"/>
    <d v="2023-06-22T00:00:00"/>
    <d v="2023-06-22T00:00:00"/>
    <d v="2023-06-24T00:00:00"/>
    <n v="2"/>
    <s v="6-2023"/>
    <x v="2"/>
    <x v="3"/>
    <s v="Toronto"/>
    <s v="Non-Profit"/>
    <x v="0"/>
    <s v="M. Rossi"/>
    <s v="Accessories"/>
    <s v="ACC-2903"/>
    <n v="471.42"/>
    <n v="824.81"/>
    <n v="8.7999999999999995E-2"/>
    <n v="15"/>
    <n v="11283.400799999999"/>
    <n v="7071.3"/>
    <n v="4212.1007999999993"/>
    <n v="0.37330064531608231"/>
    <s v="Q2-2023"/>
    <s v="Americas → Canada → Toronto"/>
    <s v="Low"/>
    <n v="2023"/>
    <n v="6"/>
    <s v="Yes"/>
    <s v="No"/>
    <n v="8.7999999999999995E-2"/>
    <n v="494.99100000000004"/>
    <n v="15.600000000000001"/>
    <n v="11734.736832000001"/>
    <n v="7721.8596000000016"/>
    <n v="4012.8772319999989"/>
  </r>
  <r>
    <s v="ORD-2024-819979"/>
    <d v="2024-05-28T00:00:00"/>
    <d v="2024-06-18T00:00:00"/>
    <d v="2024-05-28T00:00:00"/>
    <d v="2024-06-18T00:00:00"/>
    <n v="21"/>
    <s v="5-2024"/>
    <x v="3"/>
    <x v="11"/>
    <s v="Frankfurt"/>
    <s v="Small Business"/>
    <x v="1"/>
    <s v="E. Garcia"/>
    <s v="Phones"/>
    <s v="PHN-9399"/>
    <n v="986.85"/>
    <n v="2422.1"/>
    <n v="7.5999999999999998E-2"/>
    <n v="10"/>
    <n v="22380.204000000002"/>
    <n v="9868.5"/>
    <n v="12511.704000000002"/>
    <n v="0.55905227673527913"/>
    <s v="Q2-2024"/>
    <s v="Europe → Germany → Frankfurt"/>
    <s v="High"/>
    <n v="2024"/>
    <n v="5"/>
    <s v="No"/>
    <s v="No"/>
    <n v="7.5999999999999998E-2"/>
    <n v="1036.1925000000001"/>
    <n v="10.4"/>
    <n v="23275.41216"/>
    <n v="10776.402000000002"/>
    <n v="12499.010159999998"/>
  </r>
  <r>
    <s v="ORD-2024-719055"/>
    <d v="2024-01-02T00:00:00"/>
    <d v="2024-01-01T00:00:00"/>
    <d v="2024-01-01T00:00:00"/>
    <d v="2024-01-02T00:00:00"/>
    <n v="1"/>
    <s v="1-2024"/>
    <x v="2"/>
    <x v="9"/>
    <s v="Chicago"/>
    <s v="Education"/>
    <x v="2"/>
    <s v="B. Chen"/>
    <s v="Networking"/>
    <s v="NET-4554"/>
    <n v="404.77"/>
    <n v="433.88"/>
    <n v="0.215"/>
    <n v="22"/>
    <n v="7493.1076000000012"/>
    <n v="8904.9399999999987"/>
    <n v="-1411.8323999999975"/>
    <n v="-0.18841747314558746"/>
    <s v="Q1-2024"/>
    <s v="Americas → USA → Chicago"/>
    <s v="Low"/>
    <n v="2024"/>
    <n v="1"/>
    <s v="Yes"/>
    <s v="Yes"/>
    <n v="0.1"/>
    <n v="425.00850000000003"/>
    <n v="22.880000000000003"/>
    <n v="8934.4569600000013"/>
    <n v="9724.1944800000019"/>
    <n v="-789.73752000000059"/>
  </r>
  <r>
    <s v="ORD-2023-888245"/>
    <d v="2023-02-28T00:00:00"/>
    <d v="2023-02-27T00:00:00"/>
    <d v="2023-02-27T00:00:00"/>
    <d v="2023-02-28T00:00:00"/>
    <n v="1"/>
    <s v="2-2023"/>
    <x v="3"/>
    <x v="6"/>
    <s v="Marseille"/>
    <s v="Corporate"/>
    <x v="0"/>
    <s v="K. Singh"/>
    <s v="Networking"/>
    <s v="NET-5195"/>
    <n v="1299.81"/>
    <n v="3149.13"/>
    <n v="0.10299999999999999"/>
    <n v="14"/>
    <n v="39546.774539999999"/>
    <n v="18197.34"/>
    <n v="21349.434539999998"/>
    <n v="0.53985273864511729"/>
    <s v="Q1-2023"/>
    <s v="Europe → France → Marseille"/>
    <s v="High"/>
    <n v="2023"/>
    <n v="2"/>
    <s v="Yes"/>
    <s v="No"/>
    <n v="0.1"/>
    <n v="1364.8005000000001"/>
    <n v="14.56"/>
    <n v="41266.199520000002"/>
    <n v="19871.495280000003"/>
    <n v="21394.704239999999"/>
  </r>
  <r>
    <s v="ORD-2024-500890"/>
    <d v="2024-09-09T00:00:00"/>
    <d v="2024-10-08T00:00:00"/>
    <d v="2024-09-09T00:00:00"/>
    <d v="2024-10-08T00:00:00"/>
    <n v="29"/>
    <s v="9-2024"/>
    <x v="2"/>
    <x v="5"/>
    <s v="São Paulo"/>
    <s v="Education"/>
    <x v="4"/>
    <s v="J. Njeri"/>
    <s v="Components"/>
    <s v="CMP-3093"/>
    <n v="1010.33"/>
    <n v="2492.14"/>
    <n v="5.0999999999999997E-2"/>
    <n v="11"/>
    <n v="26015.449459999996"/>
    <n v="11113.630000000001"/>
    <n v="14901.819459999995"/>
    <n v="0.57280653493656752"/>
    <s v="Q3-2024"/>
    <s v="Americas → Brazil → São Paulo"/>
    <s v="High"/>
    <n v="2024"/>
    <n v="9"/>
    <s v="No"/>
    <s v="No"/>
    <n v="5.0999999999999997E-2"/>
    <n v="1060.8465000000001"/>
    <n v="11.440000000000001"/>
    <n v="27056.067438400001"/>
    <n v="12136.083960000002"/>
    <n v="14919.9834784"/>
  </r>
  <r>
    <s v="ORD-2024-777623"/>
    <d v="2024-09-19T00:00:00"/>
    <d v="2024-10-14T00:00:00"/>
    <d v="2024-09-19T00:00:00"/>
    <d v="2024-10-14T00:00:00"/>
    <n v="25"/>
    <s v="9-2024"/>
    <x v="2"/>
    <x v="5"/>
    <s v="Rio de Janeiro"/>
    <s v="Small Business"/>
    <x v="0"/>
    <s v="K. Singh"/>
    <s v="Printers"/>
    <s v="PRN-2749"/>
    <n v="386.96"/>
    <n v="937.46"/>
    <n v="0.26600000000000001"/>
    <n v="41"/>
    <n v="28211.92124"/>
    <n v="15865.359999999999"/>
    <n v="12346.561240000001"/>
    <n v="0.43763631462626335"/>
    <s v="Q3-2024"/>
    <s v="Americas → Brazil → Rio de Janeiro"/>
    <s v="Low"/>
    <n v="2024"/>
    <n v="9"/>
    <s v="No"/>
    <s v="Yes"/>
    <n v="0.1"/>
    <n v="406.30799999999999"/>
    <n v="42.64"/>
    <n v="35975.964959999998"/>
    <n v="17324.973119999999"/>
    <n v="18650.991839999999"/>
  </r>
  <r>
    <s v="ORD-2023-842488"/>
    <d v="2023-10-31T00:00:00"/>
    <d v="2023-11-02T00:00:00"/>
    <d v="2023-10-31T00:00:00"/>
    <d v="2023-11-02T00:00:00"/>
    <n v="2"/>
    <s v="10-2023"/>
    <x v="0"/>
    <x v="0"/>
    <s v="Kisumu"/>
    <s v="Education"/>
    <x v="0"/>
    <s v="O. Wang"/>
    <s v="Accessories"/>
    <s v="ACC-4124"/>
    <n v="867.89"/>
    <n v="1349.94"/>
    <n v="0.184"/>
    <n v="10"/>
    <n v="11015.510400000003"/>
    <n v="8678.9"/>
    <n v="2336.6104000000032"/>
    <n v="0.21212003031652557"/>
    <s v="Q4-2023"/>
    <s v="Africa → Kenya → Kisumu"/>
    <s v="Medium"/>
    <n v="2023"/>
    <n v="10"/>
    <s v="Yes"/>
    <s v="No"/>
    <n v="0.1"/>
    <n v="911.28449999999998"/>
    <n v="10.4"/>
    <n v="12635.438400000001"/>
    <n v="9477.3588"/>
    <n v="3158.0796000000009"/>
  </r>
  <r>
    <s v="ORD-2024-153053"/>
    <d v="2024-01-12T00:00:00"/>
    <d v="2024-01-29T00:00:00"/>
    <d v="2024-01-12T00:00:00"/>
    <d v="2024-01-29T00:00:00"/>
    <n v="17"/>
    <s v="1-2024"/>
    <x v="1"/>
    <x v="4"/>
    <s v="Hyderabad"/>
    <s v="Small Business"/>
    <x v="4"/>
    <s v="B. Chen"/>
    <s v="Components"/>
    <s v="CMP-5138"/>
    <n v="310.02"/>
    <n v="619.51"/>
    <n v="4.2000000000000003E-2"/>
    <n v="4"/>
    <n v="2373.9623200000001"/>
    <n v="1240.08"/>
    <n v="1133.8823200000002"/>
    <n v="0.47763282106347843"/>
    <s v="Q1-2024"/>
    <s v="Asia → India → Hyderabad"/>
    <s v="Low"/>
    <n v="2024"/>
    <n v="1"/>
    <s v="No"/>
    <s v="No"/>
    <n v="4.2000000000000003E-2"/>
    <n v="325.52100000000002"/>
    <n v="4.16"/>
    <n v="2468.9208128"/>
    <n v="1354.1673600000001"/>
    <n v="1114.7534527999999"/>
  </r>
  <r>
    <s v="ORD-2023-536542"/>
    <d v="2023-06-10T00:00:00"/>
    <d v="2023-06-18T00:00:00"/>
    <d v="2023-06-10T00:00:00"/>
    <d v="2023-06-18T00:00:00"/>
    <n v="8"/>
    <s v="6-2023"/>
    <x v="0"/>
    <x v="0"/>
    <s v="Nakuru"/>
    <s v="Enterprise"/>
    <x v="4"/>
    <s v="H. Kim"/>
    <s v="Phones"/>
    <s v="PHN-2337"/>
    <n v="894.23"/>
    <n v="1421.55"/>
    <n v="0.109"/>
    <n v="3"/>
    <n v="3799.8031499999997"/>
    <n v="2682.69"/>
    <n v="1117.1131499999997"/>
    <n v="0.29399237431549574"/>
    <s v="Q2-2023"/>
    <s v="Africa → Kenya → Nakuru"/>
    <s v="Medium"/>
    <n v="2023"/>
    <n v="6"/>
    <s v="No"/>
    <s v="No"/>
    <n v="0.1"/>
    <n v="938.94150000000002"/>
    <n v="3.12"/>
    <n v="3991.7123999999999"/>
    <n v="2929.49748"/>
    <n v="1062.2149199999999"/>
  </r>
  <r>
    <s v="ORD-2024-444710"/>
    <d v="2024-09-22T00:00:00"/>
    <d v="2024-10-01T00:00:00"/>
    <d v="2024-09-22T00:00:00"/>
    <d v="2024-10-01T00:00:00"/>
    <n v="9"/>
    <s v="9-2024"/>
    <x v="2"/>
    <x v="5"/>
    <s v="São Paulo"/>
    <s v="Non-Profit"/>
    <x v="1"/>
    <s v="K. Singh"/>
    <s v="Monitors"/>
    <s v="MON-6341"/>
    <n v="1378.8"/>
    <n v="1952.04"/>
    <n v="0.159"/>
    <n v="19"/>
    <n v="31191.64716"/>
    <n v="26197.200000000001"/>
    <n v="4994.4471599999997"/>
    <n v="0.16012130216723058"/>
    <s v="Q3-2024"/>
    <s v="Americas → Brazil → São Paulo"/>
    <s v="High"/>
    <n v="2024"/>
    <n v="9"/>
    <s v="No"/>
    <s v="No"/>
    <n v="0.1"/>
    <n v="1447.74"/>
    <n v="19.760000000000002"/>
    <n v="34715.079360000003"/>
    <n v="28607.342400000001"/>
    <n v="6107.736960000002"/>
  </r>
  <r>
    <s v="ORD-2023-163610"/>
    <d v="2023-10-22T00:00:00"/>
    <d v="2023-11-16T00:00:00"/>
    <d v="2023-10-22T00:00:00"/>
    <d v="2023-11-16T00:00:00"/>
    <n v="25"/>
    <s v="10-2023"/>
    <x v="2"/>
    <x v="3"/>
    <s v="Toronto"/>
    <s v="Small Business"/>
    <x v="2"/>
    <s v="I. Johnson"/>
    <s v="Laptops"/>
    <s v="LAP-9024"/>
    <n v="1373.31"/>
    <n v="3154.14"/>
    <n v="0.2"/>
    <n v="11"/>
    <n v="27756.432000000001"/>
    <n v="15106.41"/>
    <n v="12650.022000000001"/>
    <n v="0.45575101295440279"/>
    <s v="Q4-2023"/>
    <s v="Americas → Canada → Toronto"/>
    <s v="High"/>
    <n v="2023"/>
    <n v="10"/>
    <s v="No"/>
    <s v="No"/>
    <n v="0.1"/>
    <n v="1441.9755"/>
    <n v="11.440000000000001"/>
    <n v="32475.025440000005"/>
    <n v="16496.199720000001"/>
    <n v="15978.825720000004"/>
  </r>
  <r>
    <s v="ORD-2025-653781"/>
    <d v="2025-01-11T00:00:00"/>
    <d v="2025-01-23T00:00:00"/>
    <d v="2025-01-11T00:00:00"/>
    <d v="2025-01-23T00:00:00"/>
    <n v="12"/>
    <s v="1-2025"/>
    <x v="2"/>
    <x v="9"/>
    <s v="Austin"/>
    <s v="Consumer"/>
    <x v="3"/>
    <s v="H. Kim"/>
    <s v="Phones"/>
    <s v="PHN-6307"/>
    <n v="100.69"/>
    <n v="226.14"/>
    <n v="6.5000000000000002E-2"/>
    <n v="12"/>
    <n v="2537.2908000000002"/>
    <n v="1208.28"/>
    <n v="1329.0108000000002"/>
    <n v="0.52379128162999689"/>
    <s v="Q1-2025"/>
    <s v="Americas → USA → Austin"/>
    <s v="Low"/>
    <n v="2025"/>
    <n v="1"/>
    <s v="No"/>
    <s v="No"/>
    <n v="6.5000000000000002E-2"/>
    <n v="105.72450000000001"/>
    <n v="12.48"/>
    <n v="2638.782432"/>
    <n v="1319.4417600000002"/>
    <n v="1319.3406719999998"/>
  </r>
  <r>
    <s v="ORD-2025-737787"/>
    <d v="2025-09-14T00:00:00"/>
    <d v="2025-09-26T00:00:00"/>
    <d v="2025-09-14T00:00:00"/>
    <d v="2025-09-26T00:00:00"/>
    <n v="12"/>
    <s v="9-2025"/>
    <x v="3"/>
    <x v="7"/>
    <s v="London"/>
    <s v="Small Business"/>
    <x v="4"/>
    <s v="N. Brown"/>
    <s v="Networking"/>
    <s v="NET-9003"/>
    <n v="425.15"/>
    <n v="885.92"/>
    <n v="0.23899999999999999"/>
    <n v="13"/>
    <n v="8764.4065599999994"/>
    <n v="5526.95"/>
    <n v="3237.4565599999996"/>
    <n v="0.3693868532725848"/>
    <s v="Q3-2025"/>
    <s v="Europe → United Kingdom → London"/>
    <s v="Low"/>
    <n v="2025"/>
    <n v="9"/>
    <s v="No"/>
    <s v="Yes"/>
    <n v="0.1"/>
    <n v="446.40749999999997"/>
    <n v="13.52"/>
    <n v="10779.87456"/>
    <n v="6035.4293999999991"/>
    <n v="4744.4451600000011"/>
  </r>
  <r>
    <s v="ORD-2025-580047"/>
    <d v="2025-06-14T00:00:00"/>
    <d v="2025-06-29T00:00:00"/>
    <d v="2025-06-14T00:00:00"/>
    <d v="2025-06-29T00:00:00"/>
    <n v="15"/>
    <s v="6-2025"/>
    <x v="0"/>
    <x v="1"/>
    <s v="Port Harcourt"/>
    <s v="Consumer"/>
    <x v="2"/>
    <s v="M. Rossi"/>
    <s v="Accessories"/>
    <s v="ACC-3961"/>
    <n v="730.99"/>
    <n v="1242.8399999999999"/>
    <n v="0.12"/>
    <n v="10"/>
    <n v="10936.992"/>
    <n v="7309.9"/>
    <n v="3627.0920000000006"/>
    <n v="0.33163524303574515"/>
    <s v="Q2-2025"/>
    <s v="Africa → Nigeria → Port Harcourt"/>
    <s v="Medium"/>
    <n v="2025"/>
    <n v="6"/>
    <s v="No"/>
    <s v="No"/>
    <n v="0.1"/>
    <n v="767.53950000000009"/>
    <n v="10.4"/>
    <n v="11632.982400000001"/>
    <n v="7982.4108000000015"/>
    <n v="3650.5715999999993"/>
  </r>
  <r>
    <s v="ORD-2024-655710"/>
    <d v="2024-11-30T00:00:00"/>
    <d v="2024-12-10T00:00:00"/>
    <d v="2024-11-30T00:00:00"/>
    <d v="2024-12-10T00:00:00"/>
    <n v="10"/>
    <s v="11-2024"/>
    <x v="1"/>
    <x v="4"/>
    <s v="Hyderabad"/>
    <s v="Small Business"/>
    <x v="0"/>
    <s v="F. Müller"/>
    <s v="Accessories"/>
    <s v="ACC-1075"/>
    <n v="851.49"/>
    <n v="901.79"/>
    <n v="0.245"/>
    <n v="16"/>
    <n v="10893.6232"/>
    <n v="13623.84"/>
    <n v="-2730.2168000000001"/>
    <n v="-0.25062522816100341"/>
    <s v="Q4-2024"/>
    <s v="Asia → India → Hyderabad"/>
    <s v="Low"/>
    <n v="2024"/>
    <n v="11"/>
    <s v="No"/>
    <s v="Yes"/>
    <n v="0.1"/>
    <n v="894.06450000000007"/>
    <n v="16.64"/>
    <n v="13505.207039999999"/>
    <n v="14877.233280000002"/>
    <n v="-1372.0262400000029"/>
  </r>
  <r>
    <s v="ORD-2025-323492"/>
    <d v="2025-04-27T00:00:00"/>
    <d v="2025-05-27T00:00:00"/>
    <d v="2025-04-27T00:00:00"/>
    <d v="2025-05-27T00:00:00"/>
    <n v="30"/>
    <s v="4-2025"/>
    <x v="1"/>
    <x v="4"/>
    <s v="Unknown City"/>
    <s v="Enterprise"/>
    <x v="2"/>
    <s v="H. Kim"/>
    <s v="Phones"/>
    <s v="PHN-3854"/>
    <n v="481.32"/>
    <n v="1135.99"/>
    <n v="0.14499999999999999"/>
    <n v="5"/>
    <n v="4856.35725"/>
    <n v="2406.6"/>
    <n v="2449.7572500000001"/>
    <n v="0.50444337677175621"/>
    <s v="Q2-2025"/>
    <s v="Asia → India → Unknown City"/>
    <s v="Low"/>
    <n v="2025"/>
    <n v="4"/>
    <s v="No"/>
    <s v="No"/>
    <n v="0.1"/>
    <n v="505.38600000000002"/>
    <n v="5.2"/>
    <n v="5316.4332000000004"/>
    <n v="2628.0072"/>
    <n v="2688.4260000000004"/>
  </r>
  <r>
    <s v="ORD-2024-332076"/>
    <d v="2024-04-09T00:00:00"/>
    <d v="2024-04-18T00:00:00"/>
    <d v="2024-04-09T00:00:00"/>
    <d v="2024-04-18T00:00:00"/>
    <n v="9"/>
    <s v="4-2024"/>
    <x v="3"/>
    <x v="6"/>
    <s v="Lyon"/>
    <s v="Consumer"/>
    <x v="1"/>
    <s v="E. Garcia"/>
    <s v="Printers"/>
    <s v="PRN-1086"/>
    <n v="1288.8499999999999"/>
    <n v="2751.84"/>
    <n v="0.158"/>
    <n v="7"/>
    <n v="16219.34496"/>
    <n v="9021.9499999999989"/>
    <n v="7197.3949600000014"/>
    <n v="0.44375373837538756"/>
    <s v="Q2-2024"/>
    <s v="Europe → France → Lyon"/>
    <s v="High"/>
    <n v="2024"/>
    <n v="4"/>
    <s v="No"/>
    <s v="No"/>
    <n v="0.1"/>
    <n v="1353.2925"/>
    <n v="7.28"/>
    <n v="18030.055680000001"/>
    <n v="9851.9694"/>
    <n v="8178.0862800000014"/>
  </r>
  <r>
    <s v="ORD-2024-571797"/>
    <d v="2024-07-11T00:00:00"/>
    <d v="2024-07-31T00:00:00"/>
    <d v="2024-07-11T00:00:00"/>
    <d v="2024-07-31T00:00:00"/>
    <n v="20"/>
    <s v="7-2024"/>
    <x v="1"/>
    <x v="8"/>
    <s v="Shenzhen"/>
    <s v="Consumer"/>
    <x v="1"/>
    <s v="G. Dubois"/>
    <s v="Phones"/>
    <s v="PHN-7815"/>
    <n v="647.26"/>
    <n v="1374.72"/>
    <n v="6.6000000000000003E-2"/>
    <n v="22"/>
    <n v="28247.74656"/>
    <n v="14239.72"/>
    <n v="14008.02656"/>
    <n v="0.49589890401508901"/>
    <s v="Q3-2024"/>
    <s v="Asia → China → Shenzhen"/>
    <s v="Medium"/>
    <n v="2024"/>
    <n v="7"/>
    <s v="No"/>
    <s v="No"/>
    <n v="6.6000000000000003E-2"/>
    <n v="679.62300000000005"/>
    <n v="22.880000000000003"/>
    <n v="29377.656422400003"/>
    <n v="15549.774240000002"/>
    <n v="13827.882182400001"/>
  </r>
  <r>
    <s v="ORD-2024-588972"/>
    <d v="2024-11-02T00:00:00"/>
    <d v="2024-11-29T00:00:00"/>
    <d v="2024-11-02T00:00:00"/>
    <d v="2024-11-29T00:00:00"/>
    <n v="27"/>
    <s v="11-2024"/>
    <x v="2"/>
    <x v="5"/>
    <s v="Brasília"/>
    <s v="Small Business"/>
    <x v="4"/>
    <s v="I. Johnson"/>
    <s v="Networking"/>
    <s v="NET-8561"/>
    <n v="1363.51"/>
    <n v="1433.9"/>
    <n v="5.7000000000000002E-2"/>
    <n v="8"/>
    <n v="10817.3416"/>
    <n v="10908.08"/>
    <n v="-90.738400000000183"/>
    <n v="-8.3882346842037592E-3"/>
    <s v="Q4-2024"/>
    <s v="Americas → Brazil → Brasília"/>
    <s v="Medium"/>
    <n v="2024"/>
    <n v="11"/>
    <s v="No"/>
    <s v="No"/>
    <n v="5.7000000000000002E-2"/>
    <n v="1431.6855"/>
    <n v="8.32"/>
    <n v="11250.035264"/>
    <n v="11911.623360000001"/>
    <n v="-661.58809600000131"/>
  </r>
  <r>
    <s v="ORD-2025-649633"/>
    <d v="2025-07-19T00:00:00"/>
    <d v="2025-07-31T00:00:00"/>
    <d v="2025-07-19T00:00:00"/>
    <d v="2025-07-31T00:00:00"/>
    <n v="12"/>
    <s v="7-2025"/>
    <x v="0"/>
    <x v="0"/>
    <s v="Nairobi"/>
    <s v="Small Business"/>
    <x v="2"/>
    <s v="O. Wang"/>
    <s v="Accessories"/>
    <s v="ACC-1028"/>
    <n v="619.64"/>
    <n v="861.16"/>
    <n v="0.113"/>
    <n v="14"/>
    <n v="10693.88488"/>
    <n v="8674.9599999999991"/>
    <n v="2018.9248800000005"/>
    <n v="0.18879246435276761"/>
    <s v="Q3-2025"/>
    <s v="Africa → Kenya → Nairobi"/>
    <s v="Low"/>
    <n v="2025"/>
    <n v="7"/>
    <s v="No"/>
    <s v="No"/>
    <n v="0.1"/>
    <n v="650.62199999999996"/>
    <n v="14.56"/>
    <n v="11284.640640000001"/>
    <n v="9473.0563199999997"/>
    <n v="1811.5843200000018"/>
  </r>
  <r>
    <s v="ORD-2023-825084"/>
    <d v="2023-07-14T00:00:00"/>
    <d v="2023-07-21T00:00:00"/>
    <d v="2023-07-14T00:00:00"/>
    <d v="2023-07-21T00:00:00"/>
    <n v="7"/>
    <s v="7-2023"/>
    <x v="0"/>
    <x v="10"/>
    <s v="Durban"/>
    <s v="Enterprise"/>
    <x v="2"/>
    <s v="Unknown Salesperson"/>
    <s v="Monitors"/>
    <s v="MON-1018"/>
    <n v="620.74"/>
    <n v="1330.07"/>
    <n v="0.29899999999999999"/>
    <n v="28"/>
    <n v="26106.613960000002"/>
    <n v="17380.72"/>
    <n v="8725.8939600000012"/>
    <n v="0.33424073965967516"/>
    <s v="Q3-2023"/>
    <s v="Africa → South Africa → Durban"/>
    <s v="Medium"/>
    <n v="2023"/>
    <n v="7"/>
    <s v="Yes"/>
    <s v="Yes"/>
    <n v="0.1"/>
    <n v="651.77700000000004"/>
    <n v="29.12"/>
    <n v="34858.474559999995"/>
    <n v="18979.74624"/>
    <n v="15878.728319999995"/>
  </r>
  <r>
    <s v="ORD-2024-287210"/>
    <d v="2024-03-18T00:00:00"/>
    <d v="2024-03-21T00:00:00"/>
    <d v="2024-03-18T00:00:00"/>
    <d v="2024-03-21T00:00:00"/>
    <n v="3"/>
    <s v="3-2024"/>
    <x v="3"/>
    <x v="11"/>
    <s v="Munich"/>
    <s v="Small Business"/>
    <x v="1"/>
    <s v="M. Rossi"/>
    <s v="Accessories"/>
    <s v="ACC-2761"/>
    <n v="910.63"/>
    <n v="1269.4000000000001"/>
    <n v="6.8000000000000005E-2"/>
    <n v="9"/>
    <n v="10647.727199999999"/>
    <n v="8195.67"/>
    <n v="2452.0571999999993"/>
    <n v="0.23028925834989455"/>
    <s v="Q1-2024"/>
    <s v="Europe → Germany → Munich"/>
    <s v="Medium"/>
    <n v="2024"/>
    <n v="3"/>
    <s v="Yes"/>
    <s v="No"/>
    <n v="6.8000000000000005E-2"/>
    <n v="956.16150000000005"/>
    <n v="9.36"/>
    <n v="11073.636288"/>
    <n v="8949.6716400000005"/>
    <n v="2123.9646479999992"/>
  </r>
  <r>
    <s v="ORD-2023-766015"/>
    <d v="2023-04-13T00:00:00"/>
    <d v="2023-04-11T00:00:00"/>
    <d v="2023-04-11T00:00:00"/>
    <d v="2023-04-13T00:00:00"/>
    <n v="2"/>
    <s v="4-2023"/>
    <x v="2"/>
    <x v="9"/>
    <s v="San Francisco"/>
    <s v="Education"/>
    <x v="2"/>
    <s v="G. Dubois"/>
    <s v="Networking"/>
    <s v="NET-1816"/>
    <n v="32.1"/>
    <n v="70.599999999999994"/>
    <n v="0.28199999999999997"/>
    <n v="22"/>
    <n v="1115.1975999999997"/>
    <n v="706.2"/>
    <n v="408.99759999999969"/>
    <n v="0.36674899587301818"/>
    <s v="Q2-2023"/>
    <s v="Americas → USA → San Francisco"/>
    <s v="Low"/>
    <n v="2023"/>
    <n v="4"/>
    <s v="Yes"/>
    <s v="Yes"/>
    <n v="0.1"/>
    <n v="33.705000000000005"/>
    <n v="22.880000000000003"/>
    <n v="1453.7952"/>
    <n v="771.1704000000002"/>
    <n v="682.62479999999982"/>
  </r>
  <r>
    <s v="ORD-2024-333192"/>
    <d v="2024-10-29T00:00:00"/>
    <d v="2024-11-04T00:00:00"/>
    <d v="2024-10-29T00:00:00"/>
    <d v="2024-11-04T00:00:00"/>
    <n v="6"/>
    <s v="10-2024"/>
    <x v="0"/>
    <x v="0"/>
    <s v="Nairobi"/>
    <s v="Corporate"/>
    <x v="3"/>
    <s v="M. Rossi"/>
    <s v="Printers"/>
    <s v="PRN-4893"/>
    <n v="805.81"/>
    <n v="1823.04"/>
    <n v="0"/>
    <n v="11"/>
    <n v="20053.439999999999"/>
    <n v="8863.91"/>
    <n v="11189.529999999999"/>
    <n v="0.55798556257679477"/>
    <s v="Q4-2024"/>
    <s v="Africa → Kenya → Nairobi"/>
    <s v="Medium"/>
    <n v="2024"/>
    <n v="10"/>
    <s v="Yes"/>
    <s v="No"/>
    <n v="0"/>
    <n v="846.10050000000001"/>
    <n v="11.440000000000001"/>
    <n v="20855.577600000001"/>
    <n v="9679.389720000001"/>
    <n v="11176.187879999999"/>
  </r>
  <r>
    <s v="ORD-2024-647473"/>
    <d v="2024-02-17T00:00:00"/>
    <d v="2024-03-04T00:00:00"/>
    <d v="2024-02-17T00:00:00"/>
    <d v="2024-03-04T00:00:00"/>
    <n v="16"/>
    <s v="2-2024"/>
    <x v="1"/>
    <x v="4"/>
    <s v="Delhi"/>
    <s v="Small Business"/>
    <x v="2"/>
    <s v="F. Müller"/>
    <s v="Phones"/>
    <s v="PHN-1717"/>
    <n v="1231.8"/>
    <n v="2015.99"/>
    <n v="0.26100000000000001"/>
    <n v="6"/>
    <n v="8938.8996600000009"/>
    <n v="7390.7999999999993"/>
    <n v="1548.0996600000017"/>
    <n v="0.17318682599464391"/>
    <s v="Q1-2024"/>
    <s v="Asia → India → Delhi"/>
    <s v="High"/>
    <n v="2024"/>
    <n v="2"/>
    <s v="No"/>
    <s v="Yes"/>
    <n v="0.1"/>
    <n v="1293.3900000000001"/>
    <n v="6.24"/>
    <n v="11321.799840000001"/>
    <n v="8070.7536000000009"/>
    <n v="3251.0462400000006"/>
  </r>
  <r>
    <s v="ORD-2024-892908"/>
    <d v="2024-07-13T00:00:00"/>
    <d v="2024-07-12T00:00:00"/>
    <d v="2024-07-12T00:00:00"/>
    <d v="2024-07-13T00:00:00"/>
    <n v="1"/>
    <s v="7-2024"/>
    <x v="1"/>
    <x v="2"/>
    <s v="Nagoya"/>
    <s v="Small Business"/>
    <x v="2"/>
    <s v="F. Müller"/>
    <s v="Networking"/>
    <s v="NET-9575"/>
    <n v="105.13"/>
    <n v="244.13"/>
    <n v="7.0999999999999994E-2"/>
    <n v="14"/>
    <n v="3175.1547799999998"/>
    <n v="1471.82"/>
    <n v="1703.3347799999999"/>
    <n v="0.53645724319618837"/>
    <s v="Q3-2024"/>
    <s v="Asia → Japan → Nagoya"/>
    <s v="Low"/>
    <n v="2024"/>
    <n v="7"/>
    <s v="Yes"/>
    <s v="No"/>
    <n v="7.0999999999999994E-2"/>
    <n v="110.3865"/>
    <n v="14.56"/>
    <n v="3302.1609711999999"/>
    <n v="1607.2274400000001"/>
    <n v="1694.9335311999998"/>
  </r>
  <r>
    <s v="ORD-2023-573146"/>
    <d v="2023-12-01T00:00:00"/>
    <d v="2023-12-18T00:00:00"/>
    <d v="2023-12-01T00:00:00"/>
    <d v="2023-12-18T00:00:00"/>
    <n v="17"/>
    <s v="12-2023"/>
    <x v="1"/>
    <x v="2"/>
    <s v="Nagoya"/>
    <s v="Small Business"/>
    <x v="4"/>
    <s v="N. Brown"/>
    <s v="Laptops"/>
    <s v="LAP-3604"/>
    <n v="1495.79"/>
    <n v="2783.12"/>
    <n v="0.02"/>
    <n v="5"/>
    <n v="13637.287999999999"/>
    <n v="7478.95"/>
    <n v="6158.3379999999988"/>
    <n v="0.45158084217331185"/>
    <s v="Q4-2023"/>
    <s v="Asia → Japan → Nagoya"/>
    <s v="High"/>
    <n v="2023"/>
    <n v="12"/>
    <s v="No"/>
    <s v="No"/>
    <n v="0.02"/>
    <n v="1570.5795000000001"/>
    <n v="5.2"/>
    <n v="14182.77952"/>
    <n v="8167.0134000000007"/>
    <n v="6015.7661199999993"/>
  </r>
  <r>
    <s v="ORD-2023-399631"/>
    <d v="2023-06-22T00:00:00"/>
    <d v="2023-07-21T00:00:00"/>
    <d v="2023-06-22T00:00:00"/>
    <d v="2023-07-21T00:00:00"/>
    <n v="29"/>
    <s v="6-2023"/>
    <x v="3"/>
    <x v="6"/>
    <s v="Lyon"/>
    <s v="Corporate"/>
    <x v="0"/>
    <s v="J. Njeri"/>
    <s v="Accessories"/>
    <s v="ACC-3385"/>
    <n v="734.34"/>
    <n v="887.9"/>
    <n v="2.5000000000000001E-2"/>
    <n v="12"/>
    <n v="10388.429999999998"/>
    <n v="8812.08"/>
    <n v="1576.3499999999985"/>
    <n v="0.15174092716608753"/>
    <s v="Q2-2023"/>
    <s v="Europe → France → Lyon"/>
    <s v="Low"/>
    <n v="2023"/>
    <n v="6"/>
    <s v="No"/>
    <s v="No"/>
    <n v="2.5000000000000001E-2"/>
    <n v="771.05700000000002"/>
    <n v="12.48"/>
    <n v="10803.967199999999"/>
    <n v="9622.7913600000011"/>
    <n v="1181.1758399999981"/>
  </r>
  <r>
    <s v="ORD-2023-898009"/>
    <d v="2023-05-04T00:00:00"/>
    <d v="2023-05-16T00:00:00"/>
    <d v="2023-05-04T00:00:00"/>
    <d v="2023-05-16T00:00:00"/>
    <n v="12"/>
    <s v="5-2023"/>
    <x v="0"/>
    <x v="1"/>
    <s v="Abuja"/>
    <s v="Small Business"/>
    <x v="2"/>
    <s v="J. Njeri"/>
    <s v="Phones"/>
    <s v="PHN-1670"/>
    <n v="77.739999999999995"/>
    <n v="147.12"/>
    <n v="0"/>
    <n v="15"/>
    <n v="2206.8000000000002"/>
    <n v="1166.0999999999999"/>
    <n v="1040.7000000000003"/>
    <n v="0.47158781946710177"/>
    <s v="Q2-2023"/>
    <s v="Africa → Nigeria → Abuja"/>
    <s v="Low"/>
    <n v="2023"/>
    <n v="5"/>
    <s v="No"/>
    <s v="No"/>
    <n v="0"/>
    <n v="81.626999999999995"/>
    <n v="15.600000000000001"/>
    <n v="2295.0720000000001"/>
    <n v="1273.3812"/>
    <n v="1021.6908000000001"/>
  </r>
  <r>
    <s v="ORD-2023-208944"/>
    <d v="2023-12-21T00:00:00"/>
    <d v="2024-01-06T00:00:00"/>
    <d v="2023-12-21T00:00:00"/>
    <d v="2024-01-06T00:00:00"/>
    <n v="16"/>
    <s v="12-2023"/>
    <x v="0"/>
    <x v="1"/>
    <s v="Unknown City"/>
    <s v="Corporate"/>
    <x v="2"/>
    <s v="K. Singh"/>
    <s v="Components"/>
    <s v="CMP-4792"/>
    <n v="932.61"/>
    <n v="1982.98"/>
    <n v="0.14399999999999999"/>
    <n v="16"/>
    <n v="27158.894079999998"/>
    <n v="14921.76"/>
    <n v="12237.134079999998"/>
    <n v="0.45057556629345635"/>
    <s v="Q4-2023"/>
    <s v="Africa → Nigeria → Unknown City"/>
    <s v="High"/>
    <n v="2023"/>
    <n v="12"/>
    <s v="No"/>
    <s v="No"/>
    <n v="0.1"/>
    <n v="979.24050000000011"/>
    <n v="16.64"/>
    <n v="29697.108479999999"/>
    <n v="16294.561920000002"/>
    <n v="13402.546559999997"/>
  </r>
  <r>
    <s v="ORD-2025-480172"/>
    <d v="2025-06-17T00:00:00"/>
    <d v="2025-07-05T00:00:00"/>
    <d v="2025-06-17T00:00:00"/>
    <d v="2025-07-05T00:00:00"/>
    <n v="18"/>
    <s v="6-2025"/>
    <x v="1"/>
    <x v="4"/>
    <s v="Delhi"/>
    <s v="Consumer"/>
    <x v="2"/>
    <s v="L. Okafor"/>
    <s v="Laptops"/>
    <s v="LAP-1990"/>
    <n v="982.93"/>
    <n v="2299.3000000000002"/>
    <n v="0.113"/>
    <n v="6"/>
    <n v="12236.874600000001"/>
    <n v="5897.58"/>
    <n v="6339.2946000000011"/>
    <n v="0.51804850562087157"/>
    <s v="Q2-2025"/>
    <s v="Asia → India → Delhi"/>
    <s v="High"/>
    <n v="2025"/>
    <n v="6"/>
    <s v="No"/>
    <s v="No"/>
    <n v="0.1"/>
    <n v="1032.0764999999999"/>
    <n v="6.24"/>
    <n v="12912.868800000002"/>
    <n v="6440.1573599999992"/>
    <n v="6472.7114400000028"/>
  </r>
  <r>
    <s v="ORD-2023-735274"/>
    <d v="2023-02-23T00:00:00"/>
    <d v="2023-03-08T00:00:00"/>
    <d v="2023-02-23T00:00:00"/>
    <d v="2023-03-08T00:00:00"/>
    <n v="13"/>
    <s v="2-2023"/>
    <x v="3"/>
    <x v="7"/>
    <s v="Manchester"/>
    <s v="Small Business"/>
    <x v="4"/>
    <s v="C. Otieno"/>
    <s v="Printers"/>
    <s v="PRN-7410"/>
    <n v="307.37"/>
    <n v="462.61"/>
    <n v="0.188"/>
    <n v="11"/>
    <n v="4132.0325200000007"/>
    <n v="3381.07"/>
    <n v="750.9625200000005"/>
    <n v="0.18174167709599739"/>
    <s v="Q1-2023"/>
    <s v="Europe → United Kingdom → Manchester"/>
    <s v="Low"/>
    <n v="2023"/>
    <n v="2"/>
    <s v="No"/>
    <s v="No"/>
    <n v="0.1"/>
    <n v="322.73850000000004"/>
    <n v="11.440000000000001"/>
    <n v="4763.0325600000006"/>
    <n v="3692.1284400000009"/>
    <n v="1070.9041199999997"/>
  </r>
  <r>
    <s v="ORD-2023-212701"/>
    <d v="2023-12-02T00:00:00"/>
    <d v="2023-12-16T00:00:00"/>
    <d v="2023-12-02T00:00:00"/>
    <d v="2023-12-16T00:00:00"/>
    <n v="14"/>
    <s v="12-2023"/>
    <x v="3"/>
    <x v="11"/>
    <s v="Frankfurt"/>
    <s v="Education"/>
    <x v="4"/>
    <s v="N. Brown"/>
    <s v="Monitors"/>
    <s v="MON-4278"/>
    <n v="879.08"/>
    <n v="1093.3900000000001"/>
    <n v="0.113"/>
    <n v="17"/>
    <n v="16487.22781"/>
    <n v="14944.36"/>
    <n v="1542.8678099999997"/>
    <n v="9.3579577341935186E-2"/>
    <s v="Q4-2023"/>
    <s v="Europe → Germany → Frankfurt"/>
    <s v="Low"/>
    <n v="2023"/>
    <n v="12"/>
    <s v="No"/>
    <s v="No"/>
    <n v="0.1"/>
    <n v="923.03400000000011"/>
    <n v="17.68"/>
    <n v="17398.021680000002"/>
    <n v="16319.241120000002"/>
    <n v="1078.7805599999992"/>
  </r>
  <r>
    <s v="ORD-2025-766923"/>
    <d v="2025-02-15T00:00:00"/>
    <d v="2025-02-15T00:00:00"/>
    <d v="2025-02-15T00:00:00"/>
    <d v="2025-02-15T00:00:00"/>
    <n v="0"/>
    <s v="2-2025"/>
    <x v="3"/>
    <x v="11"/>
    <s v="Frankfurt"/>
    <s v="Small Business"/>
    <x v="2"/>
    <s v="L. Okafor"/>
    <s v="Accessories"/>
    <s v="ACC-3989"/>
    <n v="815.83"/>
    <n v="1982.18"/>
    <n v="0.127"/>
    <n v="6"/>
    <n v="10382.65884"/>
    <n v="4894.9800000000005"/>
    <n v="5487.6788399999996"/>
    <n v="0.52854272923408507"/>
    <s v="Q1-2025"/>
    <s v="Europe → Germany → Frankfurt"/>
    <s v="High"/>
    <n v="2025"/>
    <n v="2"/>
    <s v="Yes"/>
    <s v="No"/>
    <n v="0.1"/>
    <n v="856.62150000000008"/>
    <n v="6.24"/>
    <n v="11131.92288"/>
    <n v="5345.3181600000007"/>
    <n v="5786.6047199999994"/>
  </r>
  <r>
    <s v="ORD-2024-915495"/>
    <d v="2024-08-08T00:00:00"/>
    <d v="2024-08-20T00:00:00"/>
    <d v="2024-08-08T00:00:00"/>
    <d v="2024-08-20T00:00:00"/>
    <n v="12"/>
    <s v="8-2024"/>
    <x v="1"/>
    <x v="2"/>
    <s v="Osaka"/>
    <s v="Small Business"/>
    <x v="0"/>
    <s v="H. Kim"/>
    <s v="Networking"/>
    <s v="NET-8957"/>
    <n v="1233.3599999999999"/>
    <n v="2120.4"/>
    <n v="0.17899999999999999"/>
    <n v="20"/>
    <n v="34816.968000000001"/>
    <n v="24667.199999999997"/>
    <n v="10149.768000000004"/>
    <n v="0.29151785991244278"/>
    <s v="Q3-2024"/>
    <s v="Asia → Japan → Osaka"/>
    <s v="High"/>
    <n v="2024"/>
    <n v="8"/>
    <s v="No"/>
    <s v="No"/>
    <n v="0.1"/>
    <n v="1295.028"/>
    <n v="20.8"/>
    <n v="39693.888000000006"/>
    <n v="26936.582400000003"/>
    <n v="12757.305600000003"/>
  </r>
  <r>
    <s v="ORD-2024-225829"/>
    <d v="2024-11-07T00:00:00"/>
    <d v="2024-11-26T00:00:00"/>
    <d v="2024-11-07T00:00:00"/>
    <d v="2024-11-26T00:00:00"/>
    <n v="19"/>
    <s v="11-2024"/>
    <x v="2"/>
    <x v="5"/>
    <s v="Rio de Janeiro"/>
    <s v="Non-Profit"/>
    <x v="3"/>
    <s v="J. Njeri"/>
    <s v="Printers"/>
    <s v="PRN-9960"/>
    <n v="55.35"/>
    <n v="128.68"/>
    <n v="0.128"/>
    <n v="10"/>
    <n v="1122.0896000000002"/>
    <n v="553.5"/>
    <n v="568.58960000000025"/>
    <n v="0.50672388372550647"/>
    <s v="Q4-2024"/>
    <s v="Americas → Brazil → Rio de Janeiro"/>
    <s v="Low"/>
    <n v="2024"/>
    <n v="11"/>
    <s v="No"/>
    <s v="No"/>
    <n v="0.1"/>
    <n v="58.117500000000007"/>
    <n v="10.4"/>
    <n v="1204.4448000000002"/>
    <n v="604.42200000000014"/>
    <n v="600.02280000000007"/>
  </r>
  <r>
    <s v="ORD-2023-144816"/>
    <d v="2023-05-07T00:00:00"/>
    <d v="2023-05-29T00:00:00"/>
    <d v="2023-05-07T00:00:00"/>
    <d v="2023-05-29T00:00:00"/>
    <n v="22"/>
    <s v="5-2023"/>
    <x v="0"/>
    <x v="10"/>
    <s v="Durban"/>
    <s v="Education"/>
    <x v="3"/>
    <s v="K. Singh"/>
    <s v="Accessories"/>
    <s v="ACC-2364"/>
    <n v="653.86"/>
    <n v="931.84"/>
    <n v="0.121"/>
    <n v="12"/>
    <n v="9829.0483199999999"/>
    <n v="7846.32"/>
    <n v="1982.7283200000002"/>
    <n v="0.20172129136506273"/>
    <s v="Q2-2023"/>
    <s v="Africa → South Africa → Durban"/>
    <s v="Low"/>
    <n v="2023"/>
    <n v="5"/>
    <s v="No"/>
    <s v="No"/>
    <n v="0.1"/>
    <n v="686.553"/>
    <n v="12.48"/>
    <n v="10466.426880000001"/>
    <n v="8568.1814400000003"/>
    <n v="1898.2454400000006"/>
  </r>
  <r>
    <s v="ORD-2025-149156"/>
    <d v="2025-01-10T00:00:00"/>
    <d v="2025-02-06T00:00:00"/>
    <d v="2025-01-10T00:00:00"/>
    <d v="2025-02-06T00:00:00"/>
    <n v="27"/>
    <s v="1-2025"/>
    <x v="2"/>
    <x v="5"/>
    <s v="Brasília"/>
    <s v="Non-Profit"/>
    <x v="0"/>
    <s v="B. Chen"/>
    <s v="Laptops"/>
    <s v="LAP-7353"/>
    <n v="725.62"/>
    <n v="1559.19"/>
    <n v="0.19"/>
    <n v="12"/>
    <n v="15155.326800000001"/>
    <n v="8707.44"/>
    <n v="6447.8868000000002"/>
    <n v="0.42545349797405885"/>
    <s v="Q1-2025"/>
    <s v="Americas → Brazil → Brasília"/>
    <s v="Medium"/>
    <n v="2025"/>
    <n v="1"/>
    <s v="No"/>
    <s v="No"/>
    <n v="0.1"/>
    <n v="761.90100000000007"/>
    <n v="12.48"/>
    <n v="17512.822080000002"/>
    <n v="9508.5244800000019"/>
    <n v="8004.2975999999999"/>
  </r>
  <r>
    <s v="ORD-2025-909340"/>
    <d v="2025-01-20T00:00:00"/>
    <d v="2025-02-03T00:00:00"/>
    <d v="2025-01-20T00:00:00"/>
    <d v="2025-02-03T00:00:00"/>
    <n v="14"/>
    <s v="1-2025"/>
    <x v="2"/>
    <x v="5"/>
    <s v="Brasília"/>
    <s v="Enterprise"/>
    <x v="2"/>
    <s v="F. Müller"/>
    <s v="Components"/>
    <s v="CMP-8658"/>
    <n v="974.11"/>
    <n v="880.99"/>
    <n v="0.111"/>
    <n v="10"/>
    <n v="7832.0010999999995"/>
    <n v="9741.1"/>
    <n v="-1909.0989000000009"/>
    <n v="-0.2437562093805121"/>
    <s v="Q1-2025"/>
    <s v="Americas → Brazil → Brasília"/>
    <s v="Low"/>
    <n v="2025"/>
    <n v="1"/>
    <s v="No"/>
    <s v="No"/>
    <n v="0.1"/>
    <n v="1022.8155"/>
    <n v="10.4"/>
    <n v="8246.0663999999997"/>
    <n v="10637.281200000001"/>
    <n v="-2391.2148000000016"/>
  </r>
  <r>
    <s v="ORD-2023-727290"/>
    <d v="2023-04-03T00:00:00"/>
    <d v="2023-04-16T00:00:00"/>
    <d v="2023-04-03T00:00:00"/>
    <d v="2023-04-16T00:00:00"/>
    <n v="13"/>
    <s v="4-2023"/>
    <x v="3"/>
    <x v="6"/>
    <s v="Marseille"/>
    <s v="Non-Profit"/>
    <x v="2"/>
    <s v="M. Rossi"/>
    <s v="Accessories"/>
    <s v="ACC-4815"/>
    <n v="790.54"/>
    <n v="601.49"/>
    <n v="0"/>
    <n v="15"/>
    <n v="9022.35"/>
    <n v="11858.099999999999"/>
    <n v="-2835.7499999999982"/>
    <n v="-0.31430281467688553"/>
    <s v="Q2-2023"/>
    <s v="Europe → France → Marseille"/>
    <s v="Low"/>
    <n v="2023"/>
    <n v="4"/>
    <s v="No"/>
    <s v="No"/>
    <n v="0"/>
    <n v="830.06700000000001"/>
    <n v="15.600000000000001"/>
    <n v="9383.2440000000006"/>
    <n v="12949.0452"/>
    <n v="-3565.8011999999999"/>
  </r>
  <r>
    <s v="ORD-2024-892173"/>
    <d v="2024-01-18T00:00:00"/>
    <d v="2024-02-03T00:00:00"/>
    <d v="2024-01-18T00:00:00"/>
    <d v="2024-02-03T00:00:00"/>
    <n v="16"/>
    <s v="1-2024"/>
    <x v="0"/>
    <x v="10"/>
    <s v="Cape Town"/>
    <s v="Non-Profit"/>
    <x v="3"/>
    <s v="L. Okafor"/>
    <s v="Printers"/>
    <s v="PRN-6660"/>
    <n v="666.23"/>
    <n v="1382.91"/>
    <n v="0.17599999999999999"/>
    <n v="13"/>
    <n v="14813.731920000002"/>
    <n v="8660.99"/>
    <n v="6152.7419200000022"/>
    <n v="0.41534043907553048"/>
    <s v="Q1-2024"/>
    <s v="Africa → South Africa → Cape Town"/>
    <s v="Medium"/>
    <n v="2024"/>
    <n v="1"/>
    <s v="No"/>
    <s v="No"/>
    <n v="0.1"/>
    <n v="699.54150000000004"/>
    <n v="13.52"/>
    <n v="16827.248880000003"/>
    <n v="9457.8010800000011"/>
    <n v="7369.4478000000017"/>
  </r>
  <r>
    <s v="ORD-2023-406606"/>
    <d v="2023-10-25T00:00:00"/>
    <d v="2023-10-28T00:00:00"/>
    <d v="2023-10-25T00:00:00"/>
    <d v="2023-10-28T00:00:00"/>
    <n v="3"/>
    <s v="10-2023"/>
    <x v="2"/>
    <x v="5"/>
    <s v="Brasília"/>
    <s v="Corporate"/>
    <x v="3"/>
    <s v="L. Okafor"/>
    <s v="Accessories"/>
    <s v="ACC-2867"/>
    <n v="509.31"/>
    <n v="1145.9000000000001"/>
    <n v="5.7000000000000002E-2"/>
    <n v="8"/>
    <n v="8644.6696000000011"/>
    <n v="4074.48"/>
    <n v="4570.1896000000015"/>
    <n v="0.52867140231709964"/>
    <s v="Q4-2023"/>
    <s v="Americas → Brazil → Brasília"/>
    <s v="Low"/>
    <n v="2023"/>
    <n v="10"/>
    <s v="Yes"/>
    <s v="No"/>
    <n v="5.7000000000000002E-2"/>
    <n v="534.77550000000008"/>
    <n v="8.32"/>
    <n v="8990.456384000001"/>
    <n v="4449.3321600000008"/>
    <n v="4541.1242240000001"/>
  </r>
  <r>
    <s v="ORD-2025-591006"/>
    <d v="2025-06-25T00:00:00"/>
    <d v="2025-07-10T00:00:00"/>
    <d v="2025-06-25T00:00:00"/>
    <d v="2025-07-10T00:00:00"/>
    <n v="15"/>
    <s v="6-2025"/>
    <x v="3"/>
    <x v="7"/>
    <s v="Birmingham"/>
    <s v="Non-Profit"/>
    <x v="2"/>
    <s v="D. Smith"/>
    <s v="Phones"/>
    <s v="PHN-5383"/>
    <n v="546.83000000000004"/>
    <n v="400.84"/>
    <n v="7.8E-2"/>
    <n v="13"/>
    <n v="4804.4682400000002"/>
    <n v="7108.7900000000009"/>
    <n v="-2304.3217600000007"/>
    <n v="-0.47962056254533608"/>
    <s v="Q2-2025"/>
    <s v="Europe → United Kingdom → Birmingham"/>
    <s v="Low"/>
    <n v="2025"/>
    <n v="6"/>
    <s v="No"/>
    <s v="No"/>
    <n v="7.8E-2"/>
    <n v="574.17150000000004"/>
    <n v="13.52"/>
    <n v="4996.6469695999995"/>
    <n v="7762.7986799999999"/>
    <n v="-2766.1517104000004"/>
  </r>
  <r>
    <s v="ORD-2023-159821"/>
    <d v="2023-07-01T00:00:00"/>
    <d v="2023-07-08T00:00:00"/>
    <d v="2023-07-01T00:00:00"/>
    <d v="2023-07-08T00:00:00"/>
    <n v="7"/>
    <s v="7-2023"/>
    <x v="0"/>
    <x v="1"/>
    <s v="Port Harcourt"/>
    <s v="Corporate"/>
    <x v="0"/>
    <s v="A. Patel"/>
    <s v="Laptops"/>
    <s v="LAP-3904"/>
    <n v="834.26"/>
    <n v="1780.56"/>
    <n v="1.4E-2"/>
    <n v="47"/>
    <n v="82514.711519999997"/>
    <n v="39210.22"/>
    <n v="43304.491519999996"/>
    <n v="0.5248093427497933"/>
    <s v="Q3-2023"/>
    <s v="Africa → Nigeria → Port Harcourt"/>
    <s v="Medium"/>
    <n v="2023"/>
    <n v="7"/>
    <s v="Yes"/>
    <s v="No"/>
    <n v="1.4E-2"/>
    <n v="875.97300000000007"/>
    <n v="48.88"/>
    <n v="85815.299980800002"/>
    <n v="42817.560240000006"/>
    <n v="42997.739740799996"/>
  </r>
  <r>
    <s v="ORD-2024-343877"/>
    <d v="2024-03-09T00:00:00"/>
    <d v="2024-03-26T00:00:00"/>
    <d v="2024-03-09T00:00:00"/>
    <d v="2024-03-26T00:00:00"/>
    <n v="17"/>
    <s v="3-2024"/>
    <x v="1"/>
    <x v="8"/>
    <s v="Shenzhen"/>
    <s v="Enterprise"/>
    <x v="1"/>
    <s v="K. Singh"/>
    <s v="Monitors"/>
    <s v="MON-5749"/>
    <n v="1029.67"/>
    <n v="1118.43"/>
    <n v="0.27200000000000002"/>
    <n v="9"/>
    <n v="7327.9533600000004"/>
    <n v="9267.0300000000007"/>
    <n v="-1939.0766400000002"/>
    <n v="-0.26461367106736061"/>
    <s v="Q1-2024"/>
    <s v="Asia → China → Shenzhen"/>
    <s v="Low"/>
    <n v="2024"/>
    <n v="3"/>
    <s v="No"/>
    <s v="Yes"/>
    <n v="0.1"/>
    <n v="1081.1535000000001"/>
    <n v="9.36"/>
    <n v="9421.6543200000015"/>
    <n v="10119.59676"/>
    <n v="-697.9424399999989"/>
  </r>
  <r>
    <s v="ORD-2023-386663"/>
    <d v="2023-06-05T00:00:00"/>
    <d v="2023-06-28T00:00:00"/>
    <d v="2023-06-05T00:00:00"/>
    <d v="2023-06-28T00:00:00"/>
    <n v="23"/>
    <s v="6-2023"/>
    <x v="3"/>
    <x v="7"/>
    <s v="Birmingham"/>
    <s v="Corporate"/>
    <x v="4"/>
    <s v="K. Singh"/>
    <s v="Printers"/>
    <s v="PRN-3690"/>
    <n v="605.82000000000005"/>
    <n v="771.12"/>
    <n v="0.13200000000000001"/>
    <n v="19"/>
    <n v="12717.311040000001"/>
    <n v="11510.580000000002"/>
    <n v="1206.7310399999988"/>
    <n v="9.4888851597986767E-2"/>
    <s v="Q2-2023"/>
    <s v="Europe → United Kingdom → Birmingham"/>
    <s v="Low"/>
    <n v="2023"/>
    <n v="6"/>
    <s v="No"/>
    <s v="No"/>
    <n v="0.1"/>
    <n v="636.1110000000001"/>
    <n v="19.760000000000002"/>
    <n v="13713.598080000002"/>
    <n v="12569.553360000004"/>
    <n v="1144.0447199999981"/>
  </r>
  <r>
    <s v="ORD-2025-125517"/>
    <d v="2025-03-21T00:00:00"/>
    <d v="2025-04-09T00:00:00"/>
    <d v="2025-03-21T00:00:00"/>
    <d v="2025-04-09T00:00:00"/>
    <n v="19"/>
    <s v="3-2025"/>
    <x v="1"/>
    <x v="2"/>
    <s v="Tokyo"/>
    <s v="Small Business"/>
    <x v="3"/>
    <s v="E. Garcia"/>
    <s v="Components"/>
    <s v="CMP-7055"/>
    <n v="1055.45"/>
    <n v="1210.04"/>
    <n v="8.9999999999999993E-3"/>
    <n v="18"/>
    <n v="21584.693520000001"/>
    <n v="18998.100000000002"/>
    <n v="2586.5935199999985"/>
    <n v="0.1198346188053727"/>
    <s v="Q1-2025"/>
    <s v="Asia → Japan → Tokyo"/>
    <s v="Medium"/>
    <n v="2025"/>
    <n v="3"/>
    <s v="No"/>
    <s v="No"/>
    <n v="8.9999999999999993E-3"/>
    <n v="1108.2225000000001"/>
    <n v="18.72"/>
    <n v="22448.081260799998"/>
    <n v="20745.925200000001"/>
    <n v="1702.1560607999963"/>
  </r>
  <r>
    <s v="ORD-2024-819778"/>
    <d v="2024-06-02T00:00:00"/>
    <d v="2024-06-15T00:00:00"/>
    <d v="2024-06-02T00:00:00"/>
    <d v="2024-06-15T00:00:00"/>
    <n v="13"/>
    <s v="6-2024"/>
    <x v="0"/>
    <x v="0"/>
    <s v="Mombasa"/>
    <s v="Education"/>
    <x v="1"/>
    <s v="O. Wang"/>
    <s v="Phones"/>
    <s v="PHN-6866"/>
    <n v="1295.18"/>
    <n v="3024.03"/>
    <n v="0.192"/>
    <n v="8"/>
    <n v="19547.329920000004"/>
    <n v="10361.44"/>
    <n v="9185.8899200000033"/>
    <n v="0.46993067378483178"/>
    <s v="Q2-2024"/>
    <s v="Africa → Kenya → Mombasa"/>
    <s v="High"/>
    <n v="2024"/>
    <n v="6"/>
    <s v="No"/>
    <s v="No"/>
    <n v="0.1"/>
    <n v="1359.9390000000001"/>
    <n v="8.32"/>
    <n v="22643.936640000004"/>
    <n v="11314.692480000002"/>
    <n v="11329.244160000002"/>
  </r>
  <r>
    <s v="ORD-2025-624006"/>
    <d v="2025-03-15T00:00:00"/>
    <d v="2025-03-29T00:00:00"/>
    <d v="2025-03-15T00:00:00"/>
    <d v="2025-03-29T00:00:00"/>
    <n v="14"/>
    <s v="3-2025"/>
    <x v="1"/>
    <x v="4"/>
    <s v="Mumbai"/>
    <s v="Enterprise"/>
    <x v="4"/>
    <s v="C. Otieno"/>
    <s v="Components"/>
    <s v="CMP-3259"/>
    <n v="935.83"/>
    <n v="2303.46"/>
    <n v="0.105"/>
    <n v="9"/>
    <n v="18554.370299999999"/>
    <n v="8422.4700000000012"/>
    <n v="10131.900299999998"/>
    <n v="0.54606543559174292"/>
    <s v="Q1-2025"/>
    <s v="Asia → India → Mumbai"/>
    <s v="High"/>
    <n v="2025"/>
    <n v="3"/>
    <s v="No"/>
    <s v="No"/>
    <n v="0.1"/>
    <n v="982.62150000000008"/>
    <n v="9.36"/>
    <n v="19404.347039999997"/>
    <n v="9197.3372400000007"/>
    <n v="10207.009799999996"/>
  </r>
  <r>
    <s v="ORD-2023-132101"/>
    <d v="2023-09-25T00:00:00"/>
    <d v="2023-10-09T00:00:00"/>
    <d v="2023-09-25T00:00:00"/>
    <d v="2023-10-09T00:00:00"/>
    <n v="14"/>
    <s v="9-2023"/>
    <x v="2"/>
    <x v="9"/>
    <s v="New York"/>
    <s v="Small Business"/>
    <x v="2"/>
    <s v="J. Njeri"/>
    <s v="Laptops"/>
    <s v="LAP-6750"/>
    <n v="1279.56"/>
    <n v="3083.8"/>
    <n v="0.106"/>
    <n v="5"/>
    <n v="13784.586000000001"/>
    <n v="6397.7999999999993"/>
    <n v="7386.7860000000019"/>
    <n v="0.53587289455047848"/>
    <s v="Q3-2023"/>
    <s v="Americas → USA → New York"/>
    <s v="High"/>
    <n v="2023"/>
    <n v="9"/>
    <s v="No"/>
    <s v="No"/>
    <n v="0.1"/>
    <n v="1343.538"/>
    <n v="5.2"/>
    <n v="14432.184000000003"/>
    <n v="6986.3976000000002"/>
    <n v="7445.7864000000027"/>
  </r>
  <r>
    <s v="ORD-2025-306903"/>
    <d v="2025-06-24T00:00:00"/>
    <d v="2025-07-23T00:00:00"/>
    <d v="2025-06-24T00:00:00"/>
    <d v="2025-07-23T00:00:00"/>
    <n v="29"/>
    <s v="6-2025"/>
    <x v="2"/>
    <x v="3"/>
    <s v="Vancouver"/>
    <s v="Non-Profit"/>
    <x v="2"/>
    <s v="I. Johnson"/>
    <s v="Printers"/>
    <s v="PRN-3775"/>
    <n v="255.4"/>
    <n v="322.70999999999998"/>
    <n v="0.115"/>
    <n v="16"/>
    <n v="4569.5735999999997"/>
    <n v="4086.4"/>
    <n v="483.17359999999962"/>
    <n v="0.10573713048412212"/>
    <s v="Q2-2025"/>
    <s v="Americas → Canada → Vancouver"/>
    <s v="Low"/>
    <n v="2025"/>
    <n v="6"/>
    <s v="No"/>
    <s v="No"/>
    <n v="0.1"/>
    <n v="268.17"/>
    <n v="16.64"/>
    <n v="4832.9049599999998"/>
    <n v="4462.3488000000007"/>
    <n v="370.55615999999918"/>
  </r>
  <r>
    <s v="ORD-2023-813340"/>
    <d v="2023-12-26T00:00:00"/>
    <d v="2024-01-03T00:00:00"/>
    <d v="2023-12-26T00:00:00"/>
    <d v="2024-01-03T00:00:00"/>
    <n v="8"/>
    <s v="12-2023"/>
    <x v="3"/>
    <x v="6"/>
    <s v="Lyon"/>
    <s v="Small Business"/>
    <x v="0"/>
    <s v="M. Rossi"/>
    <s v="Laptops"/>
    <s v="LAP-2942"/>
    <n v="492.75"/>
    <n v="731.29"/>
    <n v="5.8000000000000003E-2"/>
    <n v="6"/>
    <n v="4133.25108"/>
    <n v="2956.5"/>
    <n v="1176.75108"/>
    <n v="0.28470350753528384"/>
    <s v="Q4-2023"/>
    <s v="Europe → France → Lyon"/>
    <s v="Low"/>
    <n v="2023"/>
    <n v="12"/>
    <s v="No"/>
    <s v="No"/>
    <n v="5.8000000000000003E-2"/>
    <n v="517.38750000000005"/>
    <n v="6.24"/>
    <n v="4298.5811231999996"/>
    <n v="3228.4980000000005"/>
    <n v="1070.0831231999991"/>
  </r>
  <r>
    <s v="ORD-2023-855675"/>
    <d v="2023-02-05T00:00:00"/>
    <d v="2023-02-28T00:00:00"/>
    <d v="2023-02-05T00:00:00"/>
    <d v="2023-02-28T00:00:00"/>
    <n v="23"/>
    <s v="2-2023"/>
    <x v="2"/>
    <x v="9"/>
    <s v="Austin"/>
    <s v="Non-Profit"/>
    <x v="3"/>
    <s v="L. Okafor"/>
    <s v="Phones"/>
    <s v="PHN-2036"/>
    <n v="1214.49"/>
    <n v="1533.95"/>
    <n v="0"/>
    <n v="11"/>
    <n v="16873.45"/>
    <n v="13359.39"/>
    <n v="3514.0600000000013"/>
    <n v="0.20825972163369086"/>
    <s v="Q1-2023"/>
    <s v="Americas → USA → Austin"/>
    <s v="Medium"/>
    <n v="2023"/>
    <n v="2"/>
    <s v="No"/>
    <s v="No"/>
    <n v="0"/>
    <n v="1275.2145"/>
    <n v="11.440000000000001"/>
    <n v="17548.388000000003"/>
    <n v="14588.453880000003"/>
    <n v="2959.9341199999999"/>
  </r>
  <r>
    <s v="ORD-2023-545150"/>
    <d v="2023-04-06T00:00:00"/>
    <d v="2023-04-08T00:00:00"/>
    <d v="2023-04-06T00:00:00"/>
    <d v="2023-04-08T00:00:00"/>
    <n v="2"/>
    <s v="4-2023"/>
    <x v="0"/>
    <x v="1"/>
    <s v="Abuja"/>
    <s v="Small Business"/>
    <x v="2"/>
    <s v="K. Singh"/>
    <s v="Monitors"/>
    <s v="MON-4373"/>
    <n v="720.35"/>
    <n v="1571.66"/>
    <n v="0.107"/>
    <n v="23"/>
    <n v="32280.32474"/>
    <n v="16568.05"/>
    <n v="15712.274740000001"/>
    <n v="0.4867446305622265"/>
    <s v="Q2-2023"/>
    <s v="Africa → Nigeria → Abuja"/>
    <s v="Medium"/>
    <n v="2023"/>
    <n v="4"/>
    <s v="Yes"/>
    <s v="No"/>
    <n v="0.1"/>
    <n v="756.36750000000006"/>
    <n v="23.92"/>
    <n v="33834.696480000006"/>
    <n v="18092.310600000004"/>
    <n v="15742.385880000002"/>
  </r>
  <r>
    <s v="ORD-2025-269934"/>
    <d v="2025-04-04T00:00:00"/>
    <d v="2025-04-10T00:00:00"/>
    <d v="2025-04-04T00:00:00"/>
    <d v="2025-04-10T00:00:00"/>
    <n v="6"/>
    <s v="4-2025"/>
    <x v="3"/>
    <x v="7"/>
    <s v="Birmingham"/>
    <s v="Non-Profit"/>
    <x v="4"/>
    <s v="N. Brown"/>
    <s v="Printers"/>
    <s v="PRN-8657"/>
    <n v="290.14"/>
    <n v="250.73"/>
    <n v="3.4000000000000002E-2"/>
    <n v="17"/>
    <n v="4117.4880599999997"/>
    <n v="4932.38"/>
    <n v="-814.89194000000043"/>
    <n v="-0.19790997038131072"/>
    <s v="Q2-2025"/>
    <s v="Europe → United Kingdom → Birmingham"/>
    <s v="Low"/>
    <n v="2025"/>
    <n v="4"/>
    <s v="Yes"/>
    <s v="No"/>
    <n v="3.4000000000000002E-2"/>
    <n v="304.64699999999999"/>
    <n v="17.68"/>
    <n v="4282.1875823999999"/>
    <n v="5386.1589599999998"/>
    <n v="-1103.9713775999999"/>
  </r>
  <r>
    <s v="ORD-2024-690270"/>
    <d v="2024-05-17T00:00:00"/>
    <d v="2024-05-27T00:00:00"/>
    <d v="2024-05-17T00:00:00"/>
    <d v="2024-05-27T00:00:00"/>
    <n v="10"/>
    <s v="5-2024"/>
    <x v="2"/>
    <x v="9"/>
    <s v="Austin"/>
    <s v="Non-Profit"/>
    <x v="1"/>
    <s v="C. Otieno"/>
    <s v="Phones"/>
    <s v="PHN-7974"/>
    <n v="1484.23"/>
    <n v="3472.81"/>
    <n v="0.25600000000000001"/>
    <n v="12"/>
    <n v="31005.24768"/>
    <n v="17810.760000000002"/>
    <n v="13194.487679999998"/>
    <n v="0.42555659661803413"/>
    <s v="Q2-2024"/>
    <s v="Americas → USA → Austin"/>
    <s v="High"/>
    <n v="2024"/>
    <n v="5"/>
    <s v="No"/>
    <s v="Yes"/>
    <n v="0.1"/>
    <n v="1558.4415000000001"/>
    <n v="12.48"/>
    <n v="39006.601920000001"/>
    <n v="19449.349920000001"/>
    <n v="19557.252"/>
  </r>
  <r>
    <s v="ORD-2024-868223"/>
    <d v="2024-03-03T00:00:00"/>
    <d v="2024-03-19T00:00:00"/>
    <d v="2024-03-03T00:00:00"/>
    <d v="2024-03-19T00:00:00"/>
    <n v="16"/>
    <s v="3-2024"/>
    <x v="1"/>
    <x v="8"/>
    <s v="Beijing"/>
    <s v="Consumer"/>
    <x v="3"/>
    <s v="G. Dubois"/>
    <s v="Phones"/>
    <s v="PHN-4915"/>
    <n v="988.83"/>
    <n v="1206.04"/>
    <n v="6.3E-2"/>
    <n v="34"/>
    <n v="38422.022320000004"/>
    <n v="33620.22"/>
    <n v="4801.8023200000025"/>
    <n v="0.12497526236406606"/>
    <s v="Q1-2024"/>
    <s v="Asia → China → Beijing"/>
    <s v="Medium"/>
    <n v="2024"/>
    <n v="3"/>
    <s v="No"/>
    <s v="No"/>
    <n v="6.3E-2"/>
    <n v="1038.2715000000001"/>
    <n v="35.36"/>
    <n v="39958.903212800004"/>
    <n v="36713.28024"/>
    <n v="3245.6229728000035"/>
  </r>
  <r>
    <s v="ORD-2025-188059"/>
    <d v="2025-06-27T00:00:00"/>
    <d v="2025-07-11T00:00:00"/>
    <d v="2025-06-27T00:00:00"/>
    <d v="2025-07-11T00:00:00"/>
    <n v="14"/>
    <s v="6-2025"/>
    <x v="1"/>
    <x v="8"/>
    <s v="Shanghai"/>
    <s v="Small Business"/>
    <x v="2"/>
    <s v="L. Okafor"/>
    <s v="Networking"/>
    <s v="NET-3535"/>
    <n v="1227.7"/>
    <n v="2197.23"/>
    <n v="9.9000000000000005E-2"/>
    <n v="22"/>
    <n v="43553.493060000001"/>
    <n v="27009.4"/>
    <n v="16544.093059999999"/>
    <n v="0.37985685871873898"/>
    <s v="Q2-2025"/>
    <s v="Asia → China → Shanghai"/>
    <s v="High"/>
    <n v="2025"/>
    <n v="6"/>
    <s v="No"/>
    <s v="No"/>
    <n v="9.9000000000000005E-2"/>
    <n v="1289.085"/>
    <n v="22.880000000000003"/>
    <n v="45295.632782400011"/>
    <n v="29494.264800000004"/>
    <n v="15801.367982400006"/>
  </r>
  <r>
    <s v="ORD-2023-281890"/>
    <d v="2023-03-13T00:00:00"/>
    <d v="2023-04-04T00:00:00"/>
    <d v="2023-03-13T00:00:00"/>
    <d v="2023-04-04T00:00:00"/>
    <n v="22"/>
    <s v="3-2023"/>
    <x v="0"/>
    <x v="10"/>
    <s v="Durban"/>
    <s v="Small Business"/>
    <x v="0"/>
    <s v="A. Patel"/>
    <s v="Components"/>
    <s v="CMP-2574"/>
    <n v="1113.7"/>
    <n v="1620.6"/>
    <n v="0.13900000000000001"/>
    <n v="11"/>
    <n v="15348.702599999999"/>
    <n v="12250.7"/>
    <n v="3098.002599999998"/>
    <n v="0.20184133348182787"/>
    <s v="Q1-2023"/>
    <s v="Africa → South Africa → Durban"/>
    <s v="Medium"/>
    <n v="2023"/>
    <n v="3"/>
    <s v="No"/>
    <s v="No"/>
    <n v="0.1"/>
    <n v="1169.385"/>
    <n v="11.440000000000001"/>
    <n v="16685.6976"/>
    <n v="13377.764400000002"/>
    <n v="3307.9331999999977"/>
  </r>
  <r>
    <s v="ORD-2025-636162"/>
    <d v="2025-01-07T00:00:00"/>
    <d v="2025-01-20T00:00:00"/>
    <d v="2025-01-07T00:00:00"/>
    <d v="2025-01-20T00:00:00"/>
    <n v="13"/>
    <s v="1-2025"/>
    <x v="0"/>
    <x v="10"/>
    <s v="Cape Town"/>
    <s v="Corporate"/>
    <x v="4"/>
    <s v="K. Singh"/>
    <s v="Networking"/>
    <s v="NET-7901"/>
    <n v="432.13"/>
    <n v="1034.6600000000001"/>
    <n v="9.1999999999999998E-2"/>
    <n v="7"/>
    <n v="6576.298960000001"/>
    <n v="3024.91"/>
    <n v="3551.3889600000011"/>
    <n v="0.54002851476204794"/>
    <s v="Q1-2025"/>
    <s v="Africa → South Africa → Cape Town"/>
    <s v="Low"/>
    <n v="2025"/>
    <n v="1"/>
    <s v="No"/>
    <s v="No"/>
    <n v="9.1999999999999998E-2"/>
    <n v="453.73650000000004"/>
    <n v="7.28"/>
    <n v="6839.3509184000013"/>
    <n v="3303.2017200000005"/>
    <n v="3536.1491984000008"/>
  </r>
  <r>
    <s v="ORD-2025-915869"/>
    <d v="2025-02-06T00:00:00"/>
    <d v="2025-02-15T00:00:00"/>
    <d v="2025-02-06T00:00:00"/>
    <d v="2025-02-15T00:00:00"/>
    <n v="9"/>
    <s v="2-2025"/>
    <x v="2"/>
    <x v="5"/>
    <s v="São Paulo"/>
    <s v="Non-Profit"/>
    <x v="3"/>
    <s v="F. Müller"/>
    <s v="Networking"/>
    <s v="NET-5482"/>
    <n v="837.39"/>
    <n v="1905.42"/>
    <n v="3.2000000000000001E-2"/>
    <n v="18"/>
    <n v="33200.038079999998"/>
    <n v="15073.02"/>
    <n v="18127.018079999998"/>
    <n v="0.54599389423350919"/>
    <s v="Q1-2025"/>
    <s v="Americas → Brazil → São Paulo"/>
    <s v="Medium"/>
    <n v="2025"/>
    <n v="2"/>
    <s v="No"/>
    <s v="No"/>
    <n v="3.2000000000000001E-2"/>
    <n v="879.2595"/>
    <n v="18.72"/>
    <n v="34528.039603199999"/>
    <n v="16459.737839999998"/>
    <n v="18068.301763200001"/>
  </r>
  <r>
    <s v="ORD-2025-192876"/>
    <d v="2025-01-31T00:00:00"/>
    <d v="2025-02-17T00:00:00"/>
    <d v="2025-01-31T00:00:00"/>
    <d v="2025-02-17T00:00:00"/>
    <n v="17"/>
    <s v="1-2025"/>
    <x v="3"/>
    <x v="7"/>
    <s v="London"/>
    <s v="Enterprise"/>
    <x v="0"/>
    <s v="H. Kim"/>
    <s v="Components"/>
    <s v="CMP-5820"/>
    <n v="378.26"/>
    <n v="541.55999999999995"/>
    <n v="0.16300000000000001"/>
    <n v="25"/>
    <n v="11332.142999999998"/>
    <n v="9456.5"/>
    <n v="1875.6429999999982"/>
    <n v="0.16551529573885526"/>
    <s v="Q1-2025"/>
    <s v="Europe → United Kingdom → London"/>
    <s v="Low"/>
    <n v="2025"/>
    <n v="1"/>
    <s v="No"/>
    <s v="No"/>
    <n v="0.1"/>
    <n v="397.173"/>
    <n v="26"/>
    <n v="12672.503999999999"/>
    <n v="10326.498"/>
    <n v="2346.0059999999994"/>
  </r>
  <r>
    <s v="ORD-2025-822030"/>
    <d v="2025-08-07T00:00:00"/>
    <d v="2025-09-06T00:00:00"/>
    <d v="2025-08-07T00:00:00"/>
    <d v="2025-09-06T00:00:00"/>
    <n v="30"/>
    <s v="8-2025"/>
    <x v="2"/>
    <x v="3"/>
    <s v="Montreal"/>
    <s v="Education"/>
    <x v="4"/>
    <s v="M. Rossi"/>
    <s v="Networking"/>
    <s v="NET-1336"/>
    <n v="833.73"/>
    <n v="1116.5999999999999"/>
    <n v="0.17599999999999999"/>
    <n v="14"/>
    <n v="12881.097599999999"/>
    <n v="11672.220000000001"/>
    <n v="1208.877599999998"/>
    <n v="9.3848958958279924E-2"/>
    <s v="Q3-2025"/>
    <s v="Americas → Canada → Montreal"/>
    <s v="Low"/>
    <n v="2025"/>
    <n v="8"/>
    <s v="No"/>
    <s v="No"/>
    <n v="0.1"/>
    <n v="875.41650000000004"/>
    <n v="14.56"/>
    <n v="14631.9264"/>
    <n v="12746.064240000002"/>
    <n v="1885.8621599999988"/>
  </r>
  <r>
    <s v="ORD-2025-789245"/>
    <d v="2025-07-23T00:00:00"/>
    <d v="2025-08-17T00:00:00"/>
    <d v="2025-07-23T00:00:00"/>
    <d v="2025-08-17T00:00:00"/>
    <n v="25"/>
    <s v="7-2025"/>
    <x v="3"/>
    <x v="7"/>
    <s v="Birmingham"/>
    <s v="Education"/>
    <x v="1"/>
    <s v="I. Johnson"/>
    <s v="Printers"/>
    <s v="PRN-5876"/>
    <n v="1142.06"/>
    <n v="1455"/>
    <n v="7.8E-2"/>
    <n v="28"/>
    <n v="37562.28"/>
    <n v="31977.68"/>
    <n v="5584.5999999999985"/>
    <n v="0.1486757459877302"/>
    <s v="Q3-2025"/>
    <s v="Europe → United Kingdom → Birmingham"/>
    <s v="Medium"/>
    <n v="2025"/>
    <n v="7"/>
    <s v="No"/>
    <s v="No"/>
    <n v="7.8E-2"/>
    <n v="1199.163"/>
    <n v="29.12"/>
    <n v="39064.771200000003"/>
    <n v="34919.626560000004"/>
    <n v="4145.1446399999986"/>
  </r>
  <r>
    <s v="ORD-2023-594955"/>
    <d v="2023-06-20T00:00:00"/>
    <d v="2023-07-08T00:00:00"/>
    <d v="2023-06-20T00:00:00"/>
    <d v="2023-07-08T00:00:00"/>
    <n v="18"/>
    <s v="6-2023"/>
    <x v="2"/>
    <x v="9"/>
    <s v="New York"/>
    <s v="Consumer"/>
    <x v="2"/>
    <s v="O. Wang"/>
    <s v="Networking"/>
    <s v="NET-3828"/>
    <n v="1145.53"/>
    <n v="1278.3"/>
    <n v="0.09"/>
    <n v="41"/>
    <n v="47693.373"/>
    <n v="46966.729999999996"/>
    <n v="726.64300000000367"/>
    <n v="1.5235722581416158E-2"/>
    <s v="Q2-2023"/>
    <s v="Americas → USA → New York"/>
    <s v="Medium"/>
    <n v="2023"/>
    <n v="6"/>
    <s v="No"/>
    <s v="No"/>
    <n v="0.09"/>
    <n v="1202.8064999999999"/>
    <n v="42.64"/>
    <n v="49601.107920000002"/>
    <n v="51287.669159999998"/>
    <n v="-1686.5612399999955"/>
  </r>
  <r>
    <s v="ORD-2024-398783"/>
    <d v="2024-07-18T00:00:00"/>
    <d v="2024-08-07T00:00:00"/>
    <d v="2024-07-18T00:00:00"/>
    <d v="2024-08-07T00:00:00"/>
    <n v="20"/>
    <s v="7-2024"/>
    <x v="3"/>
    <x v="6"/>
    <s v="Marseille"/>
    <s v="Corporate"/>
    <x v="0"/>
    <s v="F. Müller"/>
    <s v="Monitors"/>
    <s v="MON-7622"/>
    <n v="941.35"/>
    <n v="899.83"/>
    <n v="5.8000000000000003E-2"/>
    <n v="18"/>
    <n v="15257.51748"/>
    <n v="16944.3"/>
    <n v="-1686.7825199999988"/>
    <n v="-0.11055419220139073"/>
    <s v="Q3-2024"/>
    <s v="Europe → France → Marseille"/>
    <s v="Low"/>
    <n v="2024"/>
    <n v="7"/>
    <s v="No"/>
    <s v="No"/>
    <n v="5.8000000000000003E-2"/>
    <n v="988.41750000000002"/>
    <n v="18.72"/>
    <n v="15867.818179199998"/>
    <n v="18503.175599999999"/>
    <n v="-2635.3574208000009"/>
  </r>
  <r>
    <s v="ORD-2023-676553"/>
    <d v="2023-05-20T00:00:00"/>
    <d v="2023-06-19T00:00:00"/>
    <d v="2023-05-20T00:00:00"/>
    <d v="2023-06-19T00:00:00"/>
    <n v="30"/>
    <s v="5-2023"/>
    <x v="1"/>
    <x v="4"/>
    <s v="Delhi"/>
    <s v="Non-Profit"/>
    <x v="2"/>
    <s v="H. Kim"/>
    <s v="Laptops"/>
    <s v="LAP-2806"/>
    <n v="1161.2"/>
    <n v="878.73"/>
    <n v="0.19"/>
    <n v="31"/>
    <n v="22064.910300000003"/>
    <n v="35997.200000000004"/>
    <n v="-13932.289700000001"/>
    <n v="-0.63142290227212028"/>
    <s v="Q2-2023"/>
    <s v="Asia → India → Delhi"/>
    <s v="Low"/>
    <n v="2023"/>
    <n v="5"/>
    <s v="No"/>
    <s v="No"/>
    <n v="0.1"/>
    <n v="1219.26"/>
    <n v="32.24"/>
    <n v="25497.229680000004"/>
    <n v="39308.9424"/>
    <n v="-13811.712719999996"/>
  </r>
  <r>
    <s v="ORD-2025-866565"/>
    <d v="2025-05-12T00:00:00"/>
    <d v="2025-05-26T00:00:00"/>
    <d v="2025-05-12T00:00:00"/>
    <d v="2025-05-26T00:00:00"/>
    <n v="14"/>
    <s v="5-2025"/>
    <x v="1"/>
    <x v="4"/>
    <s v="Hyderabad"/>
    <s v="Corporate"/>
    <x v="2"/>
    <s v="G. Dubois"/>
    <s v="Printers"/>
    <s v="PRN-8850"/>
    <n v="320.12"/>
    <n v="594.41999999999996"/>
    <n v="0.104"/>
    <n v="18"/>
    <n v="9586.8057599999993"/>
    <n v="5762.16"/>
    <n v="3824.6457599999994"/>
    <n v="0.39894891538931104"/>
    <s v="Q2-2025"/>
    <s v="Asia → India → Hyderabad"/>
    <s v="Low"/>
    <n v="2025"/>
    <n v="5"/>
    <s v="No"/>
    <s v="No"/>
    <n v="0.1"/>
    <n v="336.12600000000003"/>
    <n v="18.72"/>
    <n v="10014.788159999998"/>
    <n v="6292.2787200000002"/>
    <n v="3722.509439999998"/>
  </r>
  <r>
    <s v="ORD-2024-527858"/>
    <d v="2024-05-07T00:00:00"/>
    <d v="2024-05-12T00:00:00"/>
    <d v="2024-05-07T00:00:00"/>
    <d v="2024-05-12T00:00:00"/>
    <n v="5"/>
    <s v="5-2024"/>
    <x v="0"/>
    <x v="1"/>
    <s v="Abuja"/>
    <s v="Non-Profit"/>
    <x v="3"/>
    <s v="L. Okafor"/>
    <s v="Laptops"/>
    <s v="LAP-9100"/>
    <n v="1163.99"/>
    <n v="1617.85"/>
    <n v="0.127"/>
    <n v="14"/>
    <n v="19773.362699999998"/>
    <n v="16295.86"/>
    <n v="3477.5026999999973"/>
    <n v="0.17586804797749436"/>
    <s v="Q2-2024"/>
    <s v="Africa → Nigeria → Abuja"/>
    <s v="Medium"/>
    <n v="2024"/>
    <n v="5"/>
    <s v="Yes"/>
    <s v="No"/>
    <n v="0.1"/>
    <n v="1222.1895"/>
    <n v="14.56"/>
    <n v="21200.306400000001"/>
    <n v="17795.079119999999"/>
    <n v="3405.2272800000028"/>
  </r>
  <r>
    <s v="ORD-2023-619385"/>
    <d v="2023-09-30T00:00:00"/>
    <d v="2023-10-03T00:00:00"/>
    <d v="2023-09-30T00:00:00"/>
    <d v="2023-10-03T00:00:00"/>
    <n v="3"/>
    <s v="9-2023"/>
    <x v="1"/>
    <x v="8"/>
    <s v="Beijing"/>
    <s v="Non-Profit"/>
    <x v="0"/>
    <s v="J. Njeri"/>
    <s v="Laptops"/>
    <s v="LAP-5763"/>
    <n v="1019.36"/>
    <n v="972.91"/>
    <n v="0.14699999999999999"/>
    <n v="17"/>
    <n v="14108.16791"/>
    <n v="17329.12"/>
    <n v="-3220.9520899999989"/>
    <n v="-0.22830406545678819"/>
    <s v="Q3-2023"/>
    <s v="Asia → China → Beijing"/>
    <s v="Low"/>
    <n v="2023"/>
    <n v="9"/>
    <s v="Yes"/>
    <s v="No"/>
    <n v="0.1"/>
    <n v="1070.328"/>
    <n v="17.68"/>
    <n v="15480.943920000002"/>
    <n v="18923.39904"/>
    <n v="-3442.4551199999987"/>
  </r>
  <r>
    <s v="ORD-2023-835226"/>
    <d v="2023-10-26T00:00:00"/>
    <d v="2023-11-05T00:00:00"/>
    <d v="2023-10-26T00:00:00"/>
    <d v="2023-11-05T00:00:00"/>
    <n v="10"/>
    <s v="10-2023"/>
    <x v="0"/>
    <x v="10"/>
    <s v="Cape Town"/>
    <s v="Non-Profit"/>
    <x v="1"/>
    <s v="I. Johnson"/>
    <s v="Laptops"/>
    <s v="LAP-7320"/>
    <n v="20.38"/>
    <n v="42.56"/>
    <n v="7.1999999999999995E-2"/>
    <n v="11"/>
    <n v="434.45248000000004"/>
    <n v="224.17999999999998"/>
    <n v="210.27248000000006"/>
    <n v="0.48399419885921713"/>
    <s v="Q4-2023"/>
    <s v="Africa → South Africa → Cape Town"/>
    <s v="Low"/>
    <n v="2023"/>
    <n v="10"/>
    <s v="No"/>
    <s v="No"/>
    <n v="7.1999999999999995E-2"/>
    <n v="21.399000000000001"/>
    <n v="11.440000000000001"/>
    <n v="451.8305792000001"/>
    <n v="244.80456000000004"/>
    <n v="207.02601920000006"/>
  </r>
  <r>
    <s v="ORD-2025-485946"/>
    <d v="2025-06-15T00:00:00"/>
    <d v="2025-06-30T00:00:00"/>
    <d v="2025-06-15T00:00:00"/>
    <d v="2025-06-30T00:00:00"/>
    <n v="15"/>
    <s v="6-2025"/>
    <x v="0"/>
    <x v="10"/>
    <s v="Johannesburg"/>
    <s v="Small Business"/>
    <x v="4"/>
    <s v="C. Otieno"/>
    <s v="Monitors"/>
    <s v="MON-5891"/>
    <n v="1487.59"/>
    <n v="1480.83"/>
    <n v="8.9999999999999993E-3"/>
    <n v="11"/>
    <n v="16142.527829999999"/>
    <n v="16363.49"/>
    <n v="-220.9621700000007"/>
    <n v="-1.3688201273492908E-2"/>
    <s v="Q2-2025"/>
    <s v="Africa → South Africa → Johannesburg"/>
    <s v="Medium"/>
    <n v="2025"/>
    <n v="6"/>
    <s v="No"/>
    <s v="No"/>
    <n v="8.9999999999999993E-3"/>
    <n v="1561.9694999999999"/>
    <n v="11.440000000000001"/>
    <n v="16788.228943200003"/>
    <n v="17868.931080000002"/>
    <n v="-1080.7021367999987"/>
  </r>
  <r>
    <s v="ORD-2024-307849"/>
    <d v="2024-08-10T00:00:00"/>
    <d v="2024-09-07T00:00:00"/>
    <d v="2024-08-10T00:00:00"/>
    <d v="2024-09-07T00:00:00"/>
    <n v="28"/>
    <s v="8-2024"/>
    <x v="3"/>
    <x v="6"/>
    <s v="Marseille"/>
    <s v="Non-Profit"/>
    <x v="4"/>
    <s v="F. Müller"/>
    <s v="Printers"/>
    <s v="PRN-1183"/>
    <n v="229.96"/>
    <n v="564.26"/>
    <n v="0.105"/>
    <n v="5"/>
    <n v="2525.0635000000002"/>
    <n v="1149.8"/>
    <n v="1375.2635000000002"/>
    <n v="0.54464511486542821"/>
    <s v="Q3-2024"/>
    <s v="Europe → France → Marseille"/>
    <s v="Low"/>
    <n v="2024"/>
    <n v="8"/>
    <s v="No"/>
    <s v="No"/>
    <n v="0.1"/>
    <n v="241.45800000000003"/>
    <n v="5.2"/>
    <n v="2640.7368000000001"/>
    <n v="1255.5816000000002"/>
    <n v="1385.1551999999999"/>
  </r>
  <r>
    <s v="ORD-2023-368449"/>
    <d v="2023-10-09T00:00:00"/>
    <d v="2023-10-26T00:00:00"/>
    <d v="2023-10-09T00:00:00"/>
    <d v="2023-10-26T00:00:00"/>
    <n v="17"/>
    <s v="10-2023"/>
    <x v="1"/>
    <x v="8"/>
    <s v="Shanghai"/>
    <s v="Consumer"/>
    <x v="2"/>
    <s v="C. Otieno"/>
    <s v="Components"/>
    <s v="CMP-2096"/>
    <n v="1132.03"/>
    <n v="2137.21"/>
    <n v="0.1186"/>
    <n v="35"/>
    <n v="65930.791290000008"/>
    <n v="39621.049999999996"/>
    <n v="26309.741290000013"/>
    <n v="0.39905089526796744"/>
    <s v="Q4-2023"/>
    <s v="Asia → China → Shanghai"/>
    <s v="High"/>
    <n v="2023"/>
    <n v="10"/>
    <s v="No"/>
    <s v="No"/>
    <n v="0.1"/>
    <n v="1188.6315"/>
    <n v="36.4"/>
    <n v="70014.99960000001"/>
    <n v="43266.186599999994"/>
    <n v="26748.813000000016"/>
  </r>
  <r>
    <s v="ORD-2024-251426"/>
    <d v="2024-03-09T00:00:00"/>
    <d v="2024-03-26T00:00:00"/>
    <d v="2024-03-09T00:00:00"/>
    <d v="2024-03-26T00:00:00"/>
    <n v="17"/>
    <s v="3-2024"/>
    <x v="2"/>
    <x v="9"/>
    <s v="San Francisco"/>
    <s v="Education"/>
    <x v="4"/>
    <s v="I. Johnson"/>
    <s v="Phones"/>
    <s v="PHN-3398"/>
    <n v="1137.4100000000001"/>
    <n v="1680.93"/>
    <n v="0.254"/>
    <n v="9"/>
    <n v="11285.764020000001"/>
    <n v="10236.69"/>
    <n v="1049.07402"/>
    <n v="9.2955516183121464E-2"/>
    <s v="Q1-2024"/>
    <s v="Americas → USA → San Francisco"/>
    <s v="Medium"/>
    <n v="2024"/>
    <n v="3"/>
    <s v="No"/>
    <s v="Yes"/>
    <n v="0.1"/>
    <n v="1194.2805000000001"/>
    <n v="9.36"/>
    <n v="14160.15432"/>
    <n v="11178.465480000001"/>
    <n v="2981.6888399999989"/>
  </r>
  <r>
    <s v="ORD-2023-927385"/>
    <d v="2023-05-29T00:00:00"/>
    <d v="2023-06-20T00:00:00"/>
    <d v="2023-05-29T00:00:00"/>
    <d v="2023-06-20T00:00:00"/>
    <n v="22"/>
    <s v="5-2023"/>
    <x v="3"/>
    <x v="7"/>
    <s v="London"/>
    <s v="Small Business"/>
    <x v="4"/>
    <s v="K. Singh"/>
    <s v="Components"/>
    <s v="CMP-8545"/>
    <n v="1295.3900000000001"/>
    <n v="2905.06"/>
    <n v="0.14799999999999999"/>
    <n v="8"/>
    <n v="19800.88896"/>
    <n v="10363.120000000001"/>
    <n v="9437.7689599999994"/>
    <n v="0.47663359857556614"/>
    <s v="Q2-2023"/>
    <s v="Europe → United Kingdom → London"/>
    <s v="High"/>
    <n v="2023"/>
    <n v="5"/>
    <s v="No"/>
    <s v="No"/>
    <n v="0.1"/>
    <n v="1360.1595000000002"/>
    <n v="8.32"/>
    <n v="21753.08928"/>
    <n v="11316.527040000003"/>
    <n v="10436.562239999997"/>
  </r>
  <r>
    <s v="ORD-2024-215294"/>
    <d v="2024-06-30T00:00:00"/>
    <d v="2024-07-14T00:00:00"/>
    <d v="2024-06-30T00:00:00"/>
    <d v="2024-07-14T00:00:00"/>
    <n v="14"/>
    <s v="6-2024"/>
    <x v="2"/>
    <x v="5"/>
    <s v="Brasília"/>
    <s v="Education"/>
    <x v="0"/>
    <s v="C. Otieno"/>
    <s v="Accessories"/>
    <s v="ACC-8683"/>
    <n v="1491.85"/>
    <n v="2583.02"/>
    <n v="0.16800000000000001"/>
    <n v="4"/>
    <n v="8596.2905599999995"/>
    <n v="5967.4"/>
    <n v="2628.8905599999998"/>
    <n v="0.30581685689321325"/>
    <s v="Q2-2024"/>
    <s v="Americas → Brazil → Brasília"/>
    <s v="High"/>
    <n v="2024"/>
    <n v="6"/>
    <s v="No"/>
    <s v="No"/>
    <n v="0.1"/>
    <n v="1566.4424999999999"/>
    <n v="4.16"/>
    <n v="9670.8268800000005"/>
    <n v="6516.4007999999994"/>
    <n v="3154.4260800000011"/>
  </r>
  <r>
    <s v="ORD-2025-677880"/>
    <d v="2025-08-21T00:00:00"/>
    <d v="2025-09-14T00:00:00"/>
    <d v="2025-08-21T00:00:00"/>
    <d v="2025-09-14T00:00:00"/>
    <n v="24"/>
    <s v="8-2025"/>
    <x v="3"/>
    <x v="11"/>
    <s v="Berlin"/>
    <s v="Non-Profit"/>
    <x v="1"/>
    <s v="A. Patel"/>
    <s v="Monitors"/>
    <s v="MON-9662"/>
    <n v="1397.67"/>
    <n v="3131.37"/>
    <n v="0.10299999999999999"/>
    <n v="20"/>
    <n v="56176.777799999996"/>
    <n v="27953.4"/>
    <n v="28223.377799999995"/>
    <n v="0.50240293062874808"/>
    <s v="Q3-2025"/>
    <s v="Europe → Germany → Berlin"/>
    <s v="High"/>
    <n v="2025"/>
    <n v="8"/>
    <s v="No"/>
    <s v="No"/>
    <n v="0.1"/>
    <n v="1467.5535000000002"/>
    <n v="20.8"/>
    <n v="58619.246400000004"/>
    <n v="30525.112800000006"/>
    <n v="28094.133599999997"/>
  </r>
  <r>
    <s v="ORD-2024-102866"/>
    <d v="2024-12-12T00:00:00"/>
    <d v="2024-12-20T00:00:00"/>
    <d v="2024-12-12T00:00:00"/>
    <d v="2024-12-20T00:00:00"/>
    <n v="8"/>
    <s v="12-2024"/>
    <x v="1"/>
    <x v="2"/>
    <s v="Tokyo"/>
    <s v="Corporate"/>
    <x v="0"/>
    <s v="B. Chen"/>
    <s v="Laptops"/>
    <s v="LAP-8347"/>
    <n v="1202.47"/>
    <n v="1444.72"/>
    <n v="0.24099999999999999"/>
    <n v="17"/>
    <n v="18641.222160000001"/>
    <n v="20441.990000000002"/>
    <n v="-1800.7678400000004"/>
    <n v="-9.6601382921343834E-2"/>
    <s v="Q4-2024"/>
    <s v="Asia → Japan → Tokyo"/>
    <s v="Medium"/>
    <n v="2024"/>
    <n v="12"/>
    <s v="No"/>
    <s v="Yes"/>
    <n v="0.1"/>
    <n v="1262.5935000000002"/>
    <n v="17.68"/>
    <n v="22988.38464"/>
    <n v="22322.653080000004"/>
    <n v="665.73155999999653"/>
  </r>
  <r>
    <s v="ORD-2025-588029"/>
    <d v="2025-09-14T00:00:00"/>
    <d v="2025-09-23T00:00:00"/>
    <d v="2025-09-14T00:00:00"/>
    <d v="2025-09-23T00:00:00"/>
    <n v="9"/>
    <s v="9-2025"/>
    <x v="0"/>
    <x v="10"/>
    <s v="Durban"/>
    <s v="Non-Profit"/>
    <x v="1"/>
    <s v="D. Smith"/>
    <s v="Components"/>
    <s v="CMP-6898"/>
    <n v="1310.3"/>
    <n v="2875.8"/>
    <n v="8.3000000000000004E-2"/>
    <n v="5"/>
    <n v="13185.543"/>
    <n v="6551.5"/>
    <n v="6634.0429999999997"/>
    <n v="0.50313005691157353"/>
    <s v="Q3-2025"/>
    <s v="Africa → South Africa → Durban"/>
    <s v="High"/>
    <n v="2025"/>
    <n v="9"/>
    <s v="No"/>
    <s v="No"/>
    <n v="8.3000000000000004E-2"/>
    <n v="1375.8150000000001"/>
    <n v="5.2"/>
    <n v="13712.964720000002"/>
    <n v="7154.2380000000003"/>
    <n v="6558.7267200000015"/>
  </r>
  <r>
    <s v="ORD-2024-972999"/>
    <d v="2024-09-06T00:00:00"/>
    <d v="2024-10-04T00:00:00"/>
    <d v="2024-09-06T00:00:00"/>
    <d v="2024-10-04T00:00:00"/>
    <n v="28"/>
    <s v="9-2024"/>
    <x v="0"/>
    <x v="10"/>
    <s v="Cape Town"/>
    <s v="Corporate"/>
    <x v="2"/>
    <s v="D. Smith"/>
    <s v="Monitors"/>
    <s v="MON-3504"/>
    <n v="1174.17"/>
    <n v="1641.61"/>
    <n v="0.122"/>
    <n v="9"/>
    <n v="12972.00222"/>
    <n v="10567.53"/>
    <n v="2404.4722199999997"/>
    <n v="0.18535860380079394"/>
    <s v="Q3-2024"/>
    <s v="Africa → South Africa → Cape Town"/>
    <s v="Medium"/>
    <n v="2024"/>
    <n v="9"/>
    <s v="No"/>
    <s v="No"/>
    <n v="0.1"/>
    <n v="1232.8785"/>
    <n v="9.36"/>
    <n v="13828.922639999999"/>
    <n v="11539.742759999999"/>
    <n v="2289.1798799999997"/>
  </r>
  <r>
    <s v="ORD-2025-608069"/>
    <d v="2025-04-12T00:00:00"/>
    <d v="2025-04-30T00:00:00"/>
    <d v="2025-04-12T00:00:00"/>
    <d v="2025-04-30T00:00:00"/>
    <n v="18"/>
    <s v="4-2025"/>
    <x v="0"/>
    <x v="0"/>
    <s v="Kisumu"/>
    <s v="Corporate"/>
    <x v="2"/>
    <s v="F. Müller"/>
    <s v="Networking"/>
    <s v="NET-3432"/>
    <n v="1119.04"/>
    <n v="1299.02"/>
    <n v="2.5000000000000001E-2"/>
    <n v="14"/>
    <n v="17731.623"/>
    <n v="15666.56"/>
    <n v="2065.0630000000001"/>
    <n v="0.11646215352085933"/>
    <s v="Q2-2025"/>
    <s v="Africa → Kenya → Kisumu"/>
    <s v="Medium"/>
    <n v="2025"/>
    <n v="4"/>
    <s v="No"/>
    <s v="No"/>
    <n v="2.5000000000000001E-2"/>
    <n v="1174.992"/>
    <n v="14.56"/>
    <n v="18440.887920000001"/>
    <n v="17107.883519999999"/>
    <n v="1333.0044000000016"/>
  </r>
  <r>
    <s v="ORD-2024-626750"/>
    <d v="2024-08-12T00:00:00"/>
    <d v="2024-08-15T00:00:00"/>
    <d v="2024-08-12T00:00:00"/>
    <d v="2024-08-15T00:00:00"/>
    <n v="3"/>
    <s v="8-2024"/>
    <x v="2"/>
    <x v="9"/>
    <s v="Chicago"/>
    <s v="Corporate"/>
    <x v="2"/>
    <s v="D. Smith"/>
    <s v="Printers"/>
    <s v="PRN-5591"/>
    <n v="850.7"/>
    <n v="1118.56"/>
    <n v="0.18"/>
    <n v="19"/>
    <n v="17427.164800000002"/>
    <n v="16163.300000000001"/>
    <n v="1263.8648000000012"/>
    <n v="7.2522685962090688E-2"/>
    <s v="Q3-2024"/>
    <s v="Americas → USA → Chicago"/>
    <s v="Low"/>
    <n v="2024"/>
    <n v="8"/>
    <s v="Yes"/>
    <s v="No"/>
    <n v="0.1"/>
    <n v="893.23500000000013"/>
    <n v="19.760000000000002"/>
    <n v="19892.471040000004"/>
    <n v="17650.323600000003"/>
    <n v="2242.1474400000006"/>
  </r>
  <r>
    <s v="ORD-2024-170021"/>
    <d v="2024-11-05T00:00:00"/>
    <d v="2024-11-08T00:00:00"/>
    <d v="2024-11-05T00:00:00"/>
    <d v="2024-11-08T00:00:00"/>
    <n v="3"/>
    <s v="11-2024"/>
    <x v="2"/>
    <x v="3"/>
    <s v="Toronto"/>
    <s v="Education"/>
    <x v="2"/>
    <s v="O. Wang"/>
    <s v="Components"/>
    <s v="CMP-2015"/>
    <n v="1020.4"/>
    <n v="1184.71"/>
    <n v="0.106"/>
    <n v="16"/>
    <n v="16946.091840000001"/>
    <n v="16326.4"/>
    <n v="619.69184000000132"/>
    <n v="3.6568422138328345E-2"/>
    <s v="Q4-2024"/>
    <s v="Americas → Canada → Toronto"/>
    <s v="Low"/>
    <n v="2024"/>
    <n v="11"/>
    <s v="Yes"/>
    <s v="No"/>
    <n v="0.1"/>
    <n v="1071.42"/>
    <n v="16.64"/>
    <n v="17742.216960000002"/>
    <n v="17828.428800000002"/>
    <n v="-86.211839999999938"/>
  </r>
  <r>
    <s v="ORD-2024-678110"/>
    <d v="2024-07-24T00:00:00"/>
    <d v="2024-08-08T00:00:00"/>
    <d v="2024-07-24T00:00:00"/>
    <d v="2024-08-08T00:00:00"/>
    <n v="15"/>
    <s v="7-2024"/>
    <x v="3"/>
    <x v="6"/>
    <s v="Marseille"/>
    <s v="Enterprise"/>
    <x v="2"/>
    <s v="H. Kim"/>
    <s v="Laptops"/>
    <s v="LAP-9901"/>
    <n v="501.5"/>
    <n v="1201.47"/>
    <n v="0.126"/>
    <n v="5"/>
    <n v="5250.4239000000007"/>
    <n v="2507.5"/>
    <n v="2742.9239000000007"/>
    <n v="0.52241951359394057"/>
    <s v="Q3-2024"/>
    <s v="Europe → France → Marseille"/>
    <s v="Medium"/>
    <n v="2024"/>
    <n v="7"/>
    <s v="No"/>
    <s v="No"/>
    <n v="0.1"/>
    <n v="526.57500000000005"/>
    <n v="5.2"/>
    <n v="5622.8796000000002"/>
    <n v="2738.1900000000005"/>
    <n v="2884.6895999999997"/>
  </r>
  <r>
    <s v="ORD-2025-931538"/>
    <d v="2025-02-09T00:00:00"/>
    <d v="2025-03-01T00:00:00"/>
    <d v="2025-02-09T00:00:00"/>
    <d v="2025-03-01T00:00:00"/>
    <n v="20"/>
    <s v="2-2025"/>
    <x v="2"/>
    <x v="5"/>
    <s v="São Paulo"/>
    <s v="Corporate"/>
    <x v="3"/>
    <s v="B. Chen"/>
    <s v="Laptops"/>
    <s v="LAP-6989"/>
    <n v="1154.6400000000001"/>
    <n v="2794.13"/>
    <n v="3.5000000000000003E-2"/>
    <n v="11"/>
    <n v="29659.68995"/>
    <n v="12701.04"/>
    <n v="16958.649949999999"/>
    <n v="0.57177435025749479"/>
    <s v="Q1-2025"/>
    <s v="Americas → Brazil → São Paulo"/>
    <s v="High"/>
    <n v="2025"/>
    <n v="2"/>
    <s v="No"/>
    <s v="No"/>
    <n v="3.5000000000000003E-2"/>
    <n v="1212.3720000000001"/>
    <n v="11.440000000000001"/>
    <n v="30846.077548000001"/>
    <n v="13869.535680000003"/>
    <n v="16976.541868"/>
  </r>
  <r>
    <s v="ORD-2023-854471"/>
    <d v="2023-03-06T00:00:00"/>
    <d v="2023-04-04T00:00:00"/>
    <d v="2023-03-06T00:00:00"/>
    <d v="2023-04-04T00:00:00"/>
    <n v="29"/>
    <s v="3-2023"/>
    <x v="1"/>
    <x v="8"/>
    <s v="Beijing"/>
    <s v="Small Business"/>
    <x v="4"/>
    <s v="C. Otieno"/>
    <s v="Monitors"/>
    <s v="MON-2073"/>
    <n v="1126.29"/>
    <n v="2050.87"/>
    <n v="6.4000000000000001E-2"/>
    <n v="7"/>
    <n v="13437.300239999999"/>
    <n v="7884.03"/>
    <n v="5553.2702399999989"/>
    <n v="0.41327276616690373"/>
    <s v="Q1-2023"/>
    <s v="Asia → China → Beijing"/>
    <s v="High"/>
    <n v="2023"/>
    <n v="3"/>
    <s v="No"/>
    <s v="No"/>
    <n v="6.4000000000000001E-2"/>
    <n v="1182.6044999999999"/>
    <n v="7.28"/>
    <n v="13974.792249599999"/>
    <n v="8609.3607599999996"/>
    <n v="5365.4314895999996"/>
  </r>
  <r>
    <s v="ORD-2024-390951"/>
    <d v="2024-12-20T00:00:00"/>
    <d v="2025-01-14T00:00:00"/>
    <d v="2024-12-20T00:00:00"/>
    <d v="2025-01-14T00:00:00"/>
    <n v="25"/>
    <s v="12-2024"/>
    <x v="1"/>
    <x v="4"/>
    <s v="Delhi"/>
    <s v="Small Business"/>
    <x v="0"/>
    <s v="M. Rossi"/>
    <s v="Printers"/>
    <s v="PRN-9378"/>
    <n v="1361.34"/>
    <n v="1737.9"/>
    <n v="7.6999999999999999E-2"/>
    <n v="14"/>
    <n v="22457.143800000002"/>
    <n v="19058.759999999998"/>
    <n v="3398.3838000000032"/>
    <n v="0.15132751654731813"/>
    <s v="Q4-2024"/>
    <s v="Asia → India → Delhi"/>
    <s v="Medium"/>
    <n v="2024"/>
    <n v="12"/>
    <s v="No"/>
    <s v="No"/>
    <n v="7.6999999999999999E-2"/>
    <n v="1429.4069999999999"/>
    <n v="14.56"/>
    <n v="23355.429552000001"/>
    <n v="20812.165919999999"/>
    <n v="2543.263632000002"/>
  </r>
  <r>
    <s v="ORD-2025-881624"/>
    <d v="2025-02-21T00:00:00"/>
    <d v="2025-03-21T00:00:00"/>
    <d v="2025-02-21T00:00:00"/>
    <d v="2025-03-21T00:00:00"/>
    <n v="28"/>
    <s v="2-2025"/>
    <x v="0"/>
    <x v="1"/>
    <s v="Abuja"/>
    <s v="Enterprise"/>
    <x v="2"/>
    <s v="I. Johnson"/>
    <s v="Phones"/>
    <s v="PHN-5887"/>
    <n v="1437.39"/>
    <n v="1388.31"/>
    <n v="0.13800000000000001"/>
    <n v="18"/>
    <n v="21541.017959999997"/>
    <n v="25873.02"/>
    <n v="-4332.002040000003"/>
    <n v="-0.20110479681341872"/>
    <s v="Q1-2025"/>
    <s v="Africa → Nigeria → Abuja"/>
    <s v="Medium"/>
    <n v="2025"/>
    <n v="2"/>
    <s v="No"/>
    <s v="No"/>
    <n v="0.1"/>
    <n v="1509.2595000000001"/>
    <n v="18.72"/>
    <n v="23390.246879999999"/>
    <n v="28253.33784"/>
    <n v="-4863.0909600000014"/>
  </r>
  <r>
    <s v="ORD-2025-512310"/>
    <d v="2025-03-08T00:00:00"/>
    <d v="2025-03-15T00:00:00"/>
    <d v="2025-03-08T00:00:00"/>
    <d v="2025-03-15T00:00:00"/>
    <n v="7"/>
    <s v="3-2025"/>
    <x v="1"/>
    <x v="4"/>
    <s v="Bengaluru"/>
    <s v="Corporate"/>
    <x v="3"/>
    <s v="K. Singh"/>
    <s v="Laptops"/>
    <s v="LAP-8119"/>
    <n v="475.66"/>
    <n v="529.14"/>
    <n v="0.19600000000000001"/>
    <n v="11"/>
    <n v="4679.7141600000004"/>
    <n v="5232.26"/>
    <n v="-552.54583999999977"/>
    <n v="-0.11807256193613323"/>
    <s v="Q1-2025"/>
    <s v="Asia → India → Bengaluru"/>
    <s v="Low"/>
    <n v="2025"/>
    <n v="3"/>
    <s v="Yes"/>
    <s v="No"/>
    <n v="0.1"/>
    <n v="499.44300000000004"/>
    <n v="11.440000000000001"/>
    <n v="5448.0254400000003"/>
    <n v="5713.6279200000008"/>
    <n v="-265.60248000000047"/>
  </r>
  <r>
    <s v="ORD-2025-856556"/>
    <d v="2025-06-15T00:00:00"/>
    <d v="2025-07-12T00:00:00"/>
    <d v="2025-06-15T00:00:00"/>
    <d v="2025-07-12T00:00:00"/>
    <n v="27"/>
    <s v="6-2025"/>
    <x v="3"/>
    <x v="6"/>
    <s v="Marseille"/>
    <s v="Consumer"/>
    <x v="4"/>
    <s v="C. Otieno"/>
    <s v="Accessories"/>
    <s v="ACC-7906"/>
    <n v="318.83"/>
    <n v="699.5"/>
    <n v="0.08"/>
    <n v="13"/>
    <n v="8366.02"/>
    <n v="4144.79"/>
    <n v="4221.2300000000005"/>
    <n v="0.50456848059172699"/>
    <s v="Q2-2025"/>
    <s v="Europe → France → Marseille"/>
    <s v="Low"/>
    <n v="2025"/>
    <n v="6"/>
    <s v="No"/>
    <s v="No"/>
    <n v="0.08"/>
    <n v="334.7715"/>
    <n v="13.52"/>
    <n v="8700.6607999999997"/>
    <n v="4526.1106799999998"/>
    <n v="4174.5501199999999"/>
  </r>
  <r>
    <s v="ORD-2024-542244"/>
    <d v="2024-08-30T00:00:00"/>
    <d v="2024-09-05T00:00:00"/>
    <d v="2024-08-30T00:00:00"/>
    <d v="2024-09-05T00:00:00"/>
    <n v="6"/>
    <s v="8-2024"/>
    <x v="1"/>
    <x v="2"/>
    <s v="Nagoya"/>
    <s v="Education"/>
    <x v="1"/>
    <s v="N. Brown"/>
    <s v="Laptops"/>
    <s v="LAP-7009"/>
    <n v="466.16"/>
    <n v="876.81"/>
    <n v="0.24099999999999999"/>
    <n v="8"/>
    <n v="5323.9903199999999"/>
    <n v="3729.28"/>
    <n v="1594.7103199999997"/>
    <n v="0.29953291124691594"/>
    <s v="Q3-2024"/>
    <s v="Asia → Japan → Nagoya"/>
    <s v="Low"/>
    <n v="2024"/>
    <n v="8"/>
    <s v="Yes"/>
    <s v="Yes"/>
    <n v="0.1"/>
    <n v="489.46800000000007"/>
    <n v="8.32"/>
    <n v="6565.5532800000001"/>
    <n v="4072.3737600000009"/>
    <n v="2493.1795199999992"/>
  </r>
  <r>
    <s v="ORD-2024-375848"/>
    <d v="2024-05-18T00:00:00"/>
    <d v="2024-05-21T00:00:00"/>
    <d v="2024-05-18T00:00:00"/>
    <d v="2024-05-21T00:00:00"/>
    <n v="3"/>
    <s v="5-2024"/>
    <x v="3"/>
    <x v="6"/>
    <s v="Marseille"/>
    <s v="Non-Profit"/>
    <x v="2"/>
    <s v="D. Smith"/>
    <s v="Printers"/>
    <s v="PRN-1725"/>
    <n v="663.66"/>
    <n v="824.26"/>
    <n v="0.23899999999999999"/>
    <n v="11"/>
    <n v="6899.8804600000003"/>
    <n v="7300.2599999999993"/>
    <n v="-400.379539999999"/>
    <n v="-5.8027025587048933E-2"/>
    <s v="Q2-2024"/>
    <s v="Europe → France → Marseille"/>
    <s v="Low"/>
    <n v="2024"/>
    <n v="5"/>
    <s v="Yes"/>
    <s v="Yes"/>
    <n v="0.1"/>
    <n v="696.84299999999996"/>
    <n v="11.440000000000001"/>
    <n v="8486.5809600000011"/>
    <n v="7971.8839200000002"/>
    <n v="514.69704000000092"/>
  </r>
  <r>
    <s v="ORD-2023-933238"/>
    <d v="2023-03-17T00:00:00"/>
    <d v="2023-04-06T00:00:00"/>
    <d v="2023-03-17T00:00:00"/>
    <d v="2023-04-06T00:00:00"/>
    <n v="20"/>
    <s v="3-2023"/>
    <x v="3"/>
    <x v="11"/>
    <s v="Munich"/>
    <s v="Consumer"/>
    <x v="0"/>
    <s v="O. Wang"/>
    <s v="Phones"/>
    <s v="PHN-8483"/>
    <n v="692.18"/>
    <n v="1159.3499999999999"/>
    <n v="0.112"/>
    <n v="2"/>
    <n v="2059.0056"/>
    <n v="1384.36"/>
    <n v="674.64560000000006"/>
    <n v="0.32765602968734037"/>
    <s v="Q1-2023"/>
    <s v="Europe → Germany → Munich"/>
    <s v="Low"/>
    <n v="2023"/>
    <n v="3"/>
    <s v="No"/>
    <s v="No"/>
    <n v="0.1"/>
    <n v="726.78899999999999"/>
    <n v="2.08"/>
    <n v="2170.3031999999998"/>
    <n v="1511.7211199999999"/>
    <n v="658.58207999999991"/>
  </r>
  <r>
    <s v="ORD-2023-732585"/>
    <d v="2023-08-25T00:00:00"/>
    <d v="2023-09-16T00:00:00"/>
    <d v="2023-08-25T00:00:00"/>
    <d v="2023-09-16T00:00:00"/>
    <n v="22"/>
    <s v="8-2023"/>
    <x v="0"/>
    <x v="1"/>
    <s v="Abuja"/>
    <s v="Corporate"/>
    <x v="2"/>
    <s v="L. Okafor"/>
    <s v="Phones"/>
    <s v="PHN-3971"/>
    <n v="1196.83"/>
    <n v="2513.5100000000002"/>
    <n v="8.3000000000000004E-2"/>
    <n v="7"/>
    <n v="16134.22069"/>
    <n v="8377.81"/>
    <n v="7756.4106900000006"/>
    <n v="0.48074281609445374"/>
    <s v="Q3-2023"/>
    <s v="Africa → Nigeria → Abuja"/>
    <s v="High"/>
    <n v="2023"/>
    <n v="8"/>
    <s v="No"/>
    <s v="No"/>
    <n v="8.3000000000000004E-2"/>
    <n v="1256.6714999999999"/>
    <n v="7.28"/>
    <n v="16779.589517600001"/>
    <n v="9148.5685199999989"/>
    <n v="7631.0209976000024"/>
  </r>
  <r>
    <s v="ORD-2024-465898"/>
    <d v="2024-06-06T00:00:00"/>
    <d v="2024-06-24T00:00:00"/>
    <d v="2024-06-06T00:00:00"/>
    <d v="2024-06-24T00:00:00"/>
    <n v="18"/>
    <s v="6-2024"/>
    <x v="1"/>
    <x v="4"/>
    <s v="Bengaluru"/>
    <s v="Small Business"/>
    <x v="4"/>
    <s v="H. Kim"/>
    <s v="Networking"/>
    <s v="NET-6578"/>
    <n v="1253.25"/>
    <n v="3087.13"/>
    <n v="7.1999999999999995E-2"/>
    <n v="11"/>
    <n v="31513.423040000001"/>
    <n v="13785.75"/>
    <n v="17727.673040000001"/>
    <n v="0.562543555408064"/>
    <s v="Q2-2024"/>
    <s v="Asia → India → Bengaluru"/>
    <s v="High"/>
    <n v="2024"/>
    <n v="6"/>
    <s v="No"/>
    <s v="No"/>
    <n v="7.1999999999999995E-2"/>
    <n v="1315.9125000000001"/>
    <n v="11.440000000000001"/>
    <n v="32773.959961600005"/>
    <n v="15054.039000000002"/>
    <n v="17719.920961600001"/>
  </r>
  <r>
    <s v="ORD-2023-987081"/>
    <d v="2023-08-29T00:00:00"/>
    <d v="2023-09-13T00:00:00"/>
    <d v="2023-08-29T00:00:00"/>
    <d v="2023-09-13T00:00:00"/>
    <n v="15"/>
    <s v="8-2023"/>
    <x v="2"/>
    <x v="3"/>
    <s v="Vancouver"/>
    <s v="Small Business"/>
    <x v="2"/>
    <s v="O. Wang"/>
    <s v="Printers"/>
    <s v="PRN-9975"/>
    <n v="1287.6400000000001"/>
    <n v="2717.15"/>
    <n v="3.2000000000000001E-2"/>
    <n v="7"/>
    <n v="18411.4084"/>
    <n v="9013.4800000000014"/>
    <n v="9397.9283999999989"/>
    <n v="0.51044049405802105"/>
    <s v="Q3-2023"/>
    <s v="Americas → Canada → Vancouver"/>
    <s v="High"/>
    <n v="2023"/>
    <n v="8"/>
    <s v="No"/>
    <s v="No"/>
    <n v="3.2000000000000001E-2"/>
    <n v="1352.0220000000002"/>
    <n v="7.28"/>
    <n v="19147.864736000003"/>
    <n v="9842.7201600000008"/>
    <n v="9305.1445760000024"/>
  </r>
  <r>
    <s v="ORD-2025-411385"/>
    <d v="2025-06-05T00:00:00"/>
    <d v="2025-06-14T00:00:00"/>
    <d v="2025-06-05T00:00:00"/>
    <d v="2025-06-14T00:00:00"/>
    <n v="9"/>
    <s v="6-2025"/>
    <x v="1"/>
    <x v="4"/>
    <s v="Delhi"/>
    <s v="Non-Profit"/>
    <x v="0"/>
    <s v="A. Patel"/>
    <s v="Accessories"/>
    <s v="ACC-2902"/>
    <n v="618.69000000000005"/>
    <n v="796.15"/>
    <n v="0.09"/>
    <n v="11"/>
    <n v="7969.4615000000003"/>
    <n v="6805.59"/>
    <n v="1163.8715000000002"/>
    <n v="0.14604142325049191"/>
    <s v="Q2-2025"/>
    <s v="Asia → India → Delhi"/>
    <s v="Low"/>
    <n v="2025"/>
    <n v="6"/>
    <s v="No"/>
    <s v="No"/>
    <n v="0.09"/>
    <n v="649.62450000000013"/>
    <n v="11.440000000000001"/>
    <n v="8288.2399600000008"/>
    <n v="7431.7042800000027"/>
    <n v="856.53567999999814"/>
  </r>
  <r>
    <s v="ORD-2023-653343"/>
    <d v="2023-11-10T00:00:00"/>
    <d v="2023-11-28T00:00:00"/>
    <d v="2023-11-10T00:00:00"/>
    <d v="2023-11-28T00:00:00"/>
    <n v="18"/>
    <s v="11-2023"/>
    <x v="2"/>
    <x v="5"/>
    <s v="Brasília"/>
    <s v="Education"/>
    <x v="2"/>
    <s v="L. Okafor"/>
    <s v="Accessories"/>
    <s v="ACC-5260"/>
    <n v="388.51"/>
    <n v="776.46"/>
    <n v="0.157"/>
    <n v="12"/>
    <n v="7854.6693599999999"/>
    <n v="4662.12"/>
    <n v="3192.54936"/>
    <n v="0.40645241876864946"/>
    <s v="Q4-2023"/>
    <s v="Americas → Brazil → Brasília"/>
    <s v="Low"/>
    <n v="2023"/>
    <n v="11"/>
    <s v="No"/>
    <s v="No"/>
    <n v="0.1"/>
    <n v="407.93549999999999"/>
    <n v="12.48"/>
    <n v="8721.1987200000003"/>
    <n v="5091.0350399999998"/>
    <n v="3630.1636800000006"/>
  </r>
  <r>
    <s v="ORD-2025-222035"/>
    <d v="2025-03-14T00:00:00"/>
    <d v="2025-04-08T00:00:00"/>
    <d v="2025-03-14T00:00:00"/>
    <d v="2025-04-08T00:00:00"/>
    <n v="25"/>
    <s v="3-2025"/>
    <x v="1"/>
    <x v="8"/>
    <s v="Unknown City"/>
    <s v="Corporate"/>
    <x v="3"/>
    <s v="D. Smith"/>
    <s v="Printers"/>
    <s v="PRN-5815"/>
    <n v="80.59"/>
    <n v="157.82"/>
    <n v="0.217"/>
    <n v="6"/>
    <n v="741.43835999999999"/>
    <n v="483.54"/>
    <n v="257.89835999999997"/>
    <n v="0.34783519967863541"/>
    <s v="Q1-2025"/>
    <s v="Asia → China → Unknown City"/>
    <s v="Low"/>
    <n v="2025"/>
    <n v="3"/>
    <s v="No"/>
    <s v="Yes"/>
    <n v="0.1"/>
    <n v="84.619500000000002"/>
    <n v="6.24"/>
    <n v="886.31711999999993"/>
    <n v="528.02568000000008"/>
    <n v="358.29143999999985"/>
  </r>
  <r>
    <s v="ORD-2024-749242"/>
    <d v="2024-01-16T00:00:00"/>
    <d v="2024-02-11T00:00:00"/>
    <d v="2024-01-16T00:00:00"/>
    <d v="2024-02-11T00:00:00"/>
    <n v="26"/>
    <s v="1-2024"/>
    <x v="3"/>
    <x v="11"/>
    <s v="Frankfurt"/>
    <s v="Non-Profit"/>
    <x v="3"/>
    <s v="E. Garcia"/>
    <s v="Monitors"/>
    <s v="MON-4195"/>
    <n v="504.93"/>
    <n v="819.06"/>
    <n v="0.22600000000000001"/>
    <n v="15"/>
    <n v="9509.2865999999995"/>
    <n v="7573.95"/>
    <n v="1935.3365999999996"/>
    <n v="0.20352069312959814"/>
    <s v="Q1-2024"/>
    <s v="Europe → Germany → Frankfurt"/>
    <s v="Low"/>
    <n v="2024"/>
    <n v="1"/>
    <s v="No"/>
    <s v="Yes"/>
    <n v="0.1"/>
    <n v="530.17650000000003"/>
    <n v="15.600000000000001"/>
    <n v="11499.602400000002"/>
    <n v="8270.7534000000014"/>
    <n v="3228.8490000000002"/>
  </r>
  <r>
    <s v="ORD-2023-623293"/>
    <d v="2023-10-12T00:00:00"/>
    <d v="2023-10-29T00:00:00"/>
    <d v="2023-10-12T00:00:00"/>
    <d v="2023-10-29T00:00:00"/>
    <n v="17"/>
    <s v="10-2023"/>
    <x v="1"/>
    <x v="2"/>
    <s v="Nagoya"/>
    <s v="Non-Profit"/>
    <x v="4"/>
    <s v="H. Kim"/>
    <s v="Phones"/>
    <s v="PHN-8478"/>
    <n v="1102.19"/>
    <n v="1711.16"/>
    <n v="0.151"/>
    <n v="10"/>
    <n v="14527.748400000002"/>
    <n v="11021.900000000001"/>
    <n v="3505.8484000000008"/>
    <n v="0.24132083675127525"/>
    <s v="Q4-2023"/>
    <s v="Asia → Japan → Nagoya"/>
    <s v="Medium"/>
    <n v="2023"/>
    <n v="10"/>
    <s v="No"/>
    <s v="No"/>
    <n v="0.1"/>
    <n v="1157.2995000000001"/>
    <n v="10.4"/>
    <n v="16016.457600000002"/>
    <n v="12035.9148"/>
    <n v="3980.5428000000011"/>
  </r>
  <r>
    <s v="ORD-2025-276968"/>
    <d v="2025-02-25T00:00:00"/>
    <d v="2025-03-17T00:00:00"/>
    <d v="2025-02-25T00:00:00"/>
    <d v="2025-03-17T00:00:00"/>
    <n v="20"/>
    <s v="2-2025"/>
    <x v="2"/>
    <x v="9"/>
    <s v="San Francisco"/>
    <s v="Non-Profit"/>
    <x v="2"/>
    <s v="H. Kim"/>
    <s v="Phones"/>
    <s v="PHN-1044"/>
    <n v="1205.26"/>
    <n v="1696.35"/>
    <n v="1.9E-2"/>
    <n v="6"/>
    <n v="9984.7160999999978"/>
    <n v="7231.5599999999995"/>
    <n v="2753.1560999999983"/>
    <n v="0.27573704374028213"/>
    <s v="Q1-2025"/>
    <s v="Americas → USA → San Francisco"/>
    <s v="Medium"/>
    <n v="2025"/>
    <n v="2"/>
    <s v="No"/>
    <s v="No"/>
    <n v="1.9E-2"/>
    <n v="1265.5230000000001"/>
    <n v="6.24"/>
    <n v="10384.104744"/>
    <n v="7896.8635200000008"/>
    <n v="2487.2412239999994"/>
  </r>
  <r>
    <s v="ORD-2025-650841"/>
    <d v="2025-07-03T00:00:00"/>
    <d v="2025-07-06T00:00:00"/>
    <d v="2025-07-03T00:00:00"/>
    <d v="2025-07-06T00:00:00"/>
    <n v="3"/>
    <s v="7-2025"/>
    <x v="0"/>
    <x v="1"/>
    <s v="Lagos"/>
    <s v="Consumer"/>
    <x v="1"/>
    <s v="Unknown Salesperson"/>
    <s v="Laptops"/>
    <s v="LAP-8910"/>
    <n v="1313.3"/>
    <n v="2884.34"/>
    <n v="0.157"/>
    <n v="42"/>
    <n v="102122.94203999999"/>
    <n v="55158.6"/>
    <n v="46964.342039999996"/>
    <n v="0.45988042551305253"/>
    <s v="Q3-2025"/>
    <s v="Africa → Nigeria → Lagos"/>
    <s v="High"/>
    <n v="2025"/>
    <n v="7"/>
    <s v="Yes"/>
    <s v="No"/>
    <n v="0.1"/>
    <n v="1378.9649999999999"/>
    <n v="43.68"/>
    <n v="113389.17408"/>
    <n v="60233.191199999994"/>
    <n v="53155.982880000003"/>
  </r>
  <r>
    <s v="ORD-2025-831576"/>
    <d v="2025-09-15T00:00:00"/>
    <d v="2025-09-25T00:00:00"/>
    <d v="2025-09-15T00:00:00"/>
    <d v="2025-09-25T00:00:00"/>
    <n v="10"/>
    <s v="9-2025"/>
    <x v="1"/>
    <x v="4"/>
    <s v="Delhi"/>
    <s v="Consumer"/>
    <x v="0"/>
    <s v="A. Patel"/>
    <s v="Phones"/>
    <s v="PHN-2859"/>
    <n v="1488.91"/>
    <n v="1483.74"/>
    <n v="0.16800000000000001"/>
    <n v="24"/>
    <n v="29627.320319999999"/>
    <n v="35733.840000000004"/>
    <n v="-6106.5196800000049"/>
    <n v="-0.20611110333450519"/>
    <s v="Q3-2025"/>
    <s v="Asia → India → Delhi"/>
    <s v="Medium"/>
    <n v="2025"/>
    <n v="9"/>
    <s v="No"/>
    <s v="No"/>
    <n v="0.1"/>
    <n v="1563.3555000000001"/>
    <n v="24.96"/>
    <n v="33330.735359999999"/>
    <n v="39021.353280000003"/>
    <n v="-5690.6179200000042"/>
  </r>
  <r>
    <s v="ORD-2024-468655"/>
    <d v="2024-02-19T00:00:00"/>
    <d v="2024-03-06T00:00:00"/>
    <d v="2024-02-19T00:00:00"/>
    <d v="2024-03-06T00:00:00"/>
    <n v="16"/>
    <s v="2-2024"/>
    <x v="1"/>
    <x v="8"/>
    <s v="Beijing"/>
    <s v="Education"/>
    <x v="2"/>
    <s v="O. Wang"/>
    <s v="Printers"/>
    <s v="PRN-6308"/>
    <n v="1477.84"/>
    <n v="3197.47"/>
    <n v="0.24299999999999999"/>
    <n v="24"/>
    <n v="58091.634960000003"/>
    <n v="35468.159999999996"/>
    <n v="22623.474960000007"/>
    <n v="0.38944462443823091"/>
    <s v="Q1-2024"/>
    <s v="Asia → China → Beijing"/>
    <s v="High"/>
    <n v="2024"/>
    <n v="2"/>
    <s v="No"/>
    <s v="Yes"/>
    <n v="0.1"/>
    <n v="1551.732"/>
    <n v="24.96"/>
    <n v="71827.966080000013"/>
    <n v="38731.23072"/>
    <n v="33096.735360000013"/>
  </r>
  <r>
    <s v="ORD-2024-515105"/>
    <d v="2024-02-27T00:00:00"/>
    <d v="2024-03-26T00:00:00"/>
    <d v="2024-02-27T00:00:00"/>
    <d v="2024-03-26T00:00:00"/>
    <n v="28"/>
    <s v="2-2024"/>
    <x v="1"/>
    <x v="4"/>
    <s v="Mumbai"/>
    <s v="Education"/>
    <x v="2"/>
    <s v="G. Dubois"/>
    <s v="Laptops"/>
    <s v="LAP-8469"/>
    <n v="1035.19"/>
    <n v="2322.6999999999998"/>
    <n v="0.17299999999999999"/>
    <n v="8"/>
    <n v="15366.983199999999"/>
    <n v="8281.52"/>
    <n v="7085.4631999999983"/>
    <n v="0.46108355217047409"/>
    <s v="Q1-2024"/>
    <s v="Asia → India → Mumbai"/>
    <s v="High"/>
    <n v="2024"/>
    <n v="2"/>
    <s v="No"/>
    <s v="No"/>
    <n v="0.1"/>
    <n v="1086.9495000000002"/>
    <n v="8.32"/>
    <n v="17392.3776"/>
    <n v="9043.4198400000023"/>
    <n v="8348.9577599999975"/>
  </r>
  <r>
    <s v="ORD-2025-803803"/>
    <d v="2025-08-28T00:00:00"/>
    <d v="2025-09-05T00:00:00"/>
    <d v="2025-08-28T00:00:00"/>
    <d v="2025-09-05T00:00:00"/>
    <n v="8"/>
    <s v="8-2025"/>
    <x v="0"/>
    <x v="1"/>
    <s v="Port Harcourt"/>
    <s v="Small Business"/>
    <x v="2"/>
    <s v="E. Garcia"/>
    <s v="Laptops"/>
    <s v="LAP-7553"/>
    <n v="1271.0999999999999"/>
    <n v="1932.42"/>
    <n v="0.25"/>
    <n v="21"/>
    <n v="30435.614999999998"/>
    <n v="26693.1"/>
    <n v="3742.5149999999994"/>
    <n v="0.12296498690760807"/>
    <s v="Q3-2025"/>
    <s v="Africa → Nigeria → Port Harcourt"/>
    <s v="High"/>
    <n v="2025"/>
    <n v="8"/>
    <s v="No"/>
    <s v="Yes"/>
    <n v="0.1"/>
    <n v="1334.655"/>
    <n v="21.84"/>
    <n v="37983.647520000006"/>
    <n v="29148.8652"/>
    <n v="8834.7823200000057"/>
  </r>
  <r>
    <s v="ORD-2024-993481"/>
    <d v="2024-08-18T00:00:00"/>
    <d v="2024-09-12T00:00:00"/>
    <d v="2024-08-18T00:00:00"/>
    <d v="2024-09-12T00:00:00"/>
    <n v="25"/>
    <s v="8-2024"/>
    <x v="1"/>
    <x v="4"/>
    <s v="Mumbai"/>
    <s v="Consumer"/>
    <x v="2"/>
    <s v="C. Otieno"/>
    <s v="Phones"/>
    <s v="PHN-3077"/>
    <n v="1154.03"/>
    <n v="1590.36"/>
    <n v="0.1186"/>
    <n v="18"/>
    <n v="25231.379471999997"/>
    <n v="20772.54"/>
    <n v="4458.839471999996"/>
    <n v="0.17671802197529871"/>
    <s v="Q3-2024"/>
    <s v="Asia → India → Mumbai"/>
    <s v="Medium"/>
    <n v="2024"/>
    <n v="8"/>
    <s v="No"/>
    <s v="No"/>
    <n v="0.1"/>
    <n v="1211.7315000000001"/>
    <n v="18.72"/>
    <n v="26794.385279999995"/>
    <n v="22683.613680000002"/>
    <n v="4110.7715999999928"/>
  </r>
  <r>
    <s v="ORD-2024-811752"/>
    <d v="2024-02-25T00:00:00"/>
    <d v="2024-03-09T00:00:00"/>
    <d v="2024-02-25T00:00:00"/>
    <d v="2024-03-09T00:00:00"/>
    <n v="13"/>
    <s v="2-2024"/>
    <x v="3"/>
    <x v="6"/>
    <s v="Marseille"/>
    <s v="Small Business"/>
    <x v="3"/>
    <s v="E. Garcia"/>
    <s v="Monitors"/>
    <s v="MON-3350"/>
    <n v="322.44"/>
    <n v="395.61"/>
    <n v="0"/>
    <n v="34"/>
    <n v="13450.74"/>
    <n v="10962.96"/>
    <n v="2487.7800000000007"/>
    <n v="0.18495487980586947"/>
    <s v="Q1-2024"/>
    <s v="Europe → France → Marseille"/>
    <s v="Low"/>
    <n v="2024"/>
    <n v="2"/>
    <s v="No"/>
    <s v="No"/>
    <n v="0"/>
    <n v="338.56200000000001"/>
    <n v="35.36"/>
    <n v="13988.7696"/>
    <n v="11971.552320000001"/>
    <n v="2017.2172799999989"/>
  </r>
  <r>
    <s v="ORD-2025-673091"/>
    <d v="2025-05-07T00:00:00"/>
    <d v="2025-05-13T00:00:00"/>
    <d v="2025-05-07T00:00:00"/>
    <d v="2025-05-13T00:00:00"/>
    <n v="6"/>
    <s v="5-2025"/>
    <x v="1"/>
    <x v="4"/>
    <s v="Bengaluru"/>
    <s v="Enterprise"/>
    <x v="4"/>
    <s v="J. Njeri"/>
    <s v="Phones"/>
    <s v="PHN-5683"/>
    <n v="935.98"/>
    <n v="2077.69"/>
    <n v="0.17499999999999999"/>
    <n v="24"/>
    <n v="41138.261999999995"/>
    <n v="22463.52"/>
    <n v="18674.741999999995"/>
    <n v="0.45395067978321491"/>
    <s v="Q2-2025"/>
    <s v="Asia → India → Bengaluru"/>
    <s v="High"/>
    <n v="2025"/>
    <n v="5"/>
    <s v="Yes"/>
    <s v="No"/>
    <n v="0.1"/>
    <n v="982.77900000000011"/>
    <n v="24.96"/>
    <n v="46673.228160000006"/>
    <n v="24530.163840000005"/>
    <n v="22143.064320000001"/>
  </r>
  <r>
    <s v="ORD-2024-381197"/>
    <d v="2024-11-01T00:00:00"/>
    <d v="2024-11-12T00:00:00"/>
    <d v="2024-11-01T00:00:00"/>
    <d v="2024-11-12T00:00:00"/>
    <n v="11"/>
    <s v="11-2024"/>
    <x v="3"/>
    <x v="11"/>
    <s v="Frankfurt"/>
    <s v="Consumer"/>
    <x v="1"/>
    <s v="B. Chen"/>
    <s v="Printers"/>
    <s v="PRN-2409"/>
    <n v="599.84"/>
    <n v="1330.85"/>
    <n v="0.115"/>
    <n v="11"/>
    <n v="12955.824749999998"/>
    <n v="6598.2400000000007"/>
    <n v="6357.5847499999973"/>
    <n v="0.49071246892252063"/>
    <s v="Q4-2024"/>
    <s v="Europe → Germany → Frankfurt"/>
    <s v="Medium"/>
    <n v="2024"/>
    <n v="11"/>
    <s v="No"/>
    <s v="No"/>
    <n v="0.1"/>
    <n v="629.83200000000011"/>
    <n v="11.440000000000001"/>
    <n v="13702.431600000002"/>
    <n v="7205.2780800000019"/>
    <n v="6497.1535199999998"/>
  </r>
  <r>
    <s v="ORD-2024-651852"/>
    <d v="2024-12-28T00:00:00"/>
    <d v="2025-01-08T00:00:00"/>
    <d v="2024-12-28T00:00:00"/>
    <d v="2025-01-08T00:00:00"/>
    <n v="11"/>
    <s v="12-2024"/>
    <x v="1"/>
    <x v="8"/>
    <s v="Shenzhen"/>
    <s v="Enterprise"/>
    <x v="1"/>
    <s v="K. Singh"/>
    <s v="Laptops"/>
    <s v="LAP-8825"/>
    <n v="1201.31"/>
    <n v="2764.65"/>
    <n v="0"/>
    <n v="21"/>
    <n v="58057.65"/>
    <n v="25227.51"/>
    <n v="32830.14"/>
    <n v="0.56547483406579491"/>
    <s v="Q4-2024"/>
    <s v="Asia → China → Shenzhen"/>
    <s v="High"/>
    <n v="2024"/>
    <n v="12"/>
    <s v="No"/>
    <s v="No"/>
    <n v="0"/>
    <n v="1261.3755000000001"/>
    <n v="21.84"/>
    <n v="60379.955999999998"/>
    <n v="27548.440920000001"/>
    <n v="32831.515079999997"/>
  </r>
  <r>
    <s v="ORD-2023-659070"/>
    <d v="2023-10-21T00:00:00"/>
    <d v="2023-10-21T00:00:00"/>
    <d v="2023-10-21T00:00:00"/>
    <d v="2023-10-21T00:00:00"/>
    <n v="0"/>
    <s v="10-2023"/>
    <x v="3"/>
    <x v="7"/>
    <s v="Manchester"/>
    <s v="Enterprise"/>
    <x v="3"/>
    <s v="J. Njeri"/>
    <s v="Monitors"/>
    <s v="MON-8697"/>
    <n v="384.19"/>
    <n v="278.35000000000002"/>
    <n v="5.6000000000000001E-2"/>
    <n v="10"/>
    <n v="2627.6239999999998"/>
    <n v="3841.9"/>
    <n v="-1214.2760000000003"/>
    <n v="-0.46211938998882657"/>
    <s v="Q4-2023"/>
    <s v="Europe → United Kingdom → Manchester"/>
    <s v="Low"/>
    <n v="2023"/>
    <n v="10"/>
    <s v="Yes"/>
    <s v="No"/>
    <n v="5.6000000000000001E-2"/>
    <n v="403.39949999999999"/>
    <n v="10.4"/>
    <n v="2732.7289599999999"/>
    <n v="4195.3548000000001"/>
    <n v="-1462.6258400000002"/>
  </r>
  <r>
    <s v="ORD-2024-837651"/>
    <d v="2024-12-10T00:00:00"/>
    <d v="2024-12-19T00:00:00"/>
    <d v="2024-12-10T00:00:00"/>
    <d v="2024-12-19T00:00:00"/>
    <n v="9"/>
    <s v="12-2024"/>
    <x v="0"/>
    <x v="1"/>
    <s v="Lagos"/>
    <s v="Corporate"/>
    <x v="0"/>
    <s v="O. Wang"/>
    <s v="Monitors"/>
    <s v="MON-4789"/>
    <n v="488.68"/>
    <n v="984.36"/>
    <n v="5.8999999999999997E-2"/>
    <n v="14"/>
    <n v="12967.958640000001"/>
    <n v="6841.52"/>
    <n v="6126.4386400000003"/>
    <n v="0.47242891576649876"/>
    <s v="Q4-2024"/>
    <s v="Africa → Nigeria → Lagos"/>
    <s v="Low"/>
    <n v="2024"/>
    <n v="12"/>
    <s v="No"/>
    <s v="No"/>
    <n v="5.8999999999999997E-2"/>
    <n v="513.11400000000003"/>
    <n v="14.56"/>
    <n v="13486.676985600001"/>
    <n v="7470.9398400000009"/>
    <n v="6015.7371456000001"/>
  </r>
  <r>
    <s v="ORD-2024-581530"/>
    <d v="2024-09-07T00:00:00"/>
    <d v="2024-09-18T00:00:00"/>
    <d v="2024-09-07T00:00:00"/>
    <d v="2024-09-18T00:00:00"/>
    <n v="11"/>
    <s v="9-2024"/>
    <x v="1"/>
    <x v="8"/>
    <s v="Beijing"/>
    <s v="Consumer"/>
    <x v="3"/>
    <s v="O. Wang"/>
    <s v="Networking"/>
    <s v="NET-7998"/>
    <n v="181.74"/>
    <n v="190.84"/>
    <n v="0.214"/>
    <n v="13"/>
    <n v="1950.0031200000001"/>
    <n v="2362.62"/>
    <n v="-412.61687999999981"/>
    <n v="-0.21159806144310159"/>
    <s v="Q3-2024"/>
    <s v="Asia → China → Beijing"/>
    <s v="Low"/>
    <n v="2024"/>
    <n v="9"/>
    <s v="No"/>
    <s v="Yes"/>
    <n v="0.1"/>
    <n v="190.82700000000003"/>
    <n v="13.52"/>
    <n v="2322.1411199999998"/>
    <n v="2579.9810400000001"/>
    <n v="-257.83992000000035"/>
  </r>
  <r>
    <s v="ORD-2023-378104"/>
    <d v="2023-10-18T00:00:00"/>
    <d v="2023-10-20T00:00:00"/>
    <d v="2023-10-18T00:00:00"/>
    <d v="2023-10-20T00:00:00"/>
    <n v="2"/>
    <s v="10-2023"/>
    <x v="0"/>
    <x v="0"/>
    <s v="Kisumu"/>
    <s v="Consumer"/>
    <x v="0"/>
    <s v="J. Njeri"/>
    <s v="Phones"/>
    <s v="PHN-8891"/>
    <n v="774.12"/>
    <n v="908.3"/>
    <n v="0"/>
    <n v="30"/>
    <n v="27249"/>
    <n v="23223.599999999999"/>
    <n v="4025.4000000000015"/>
    <n v="0.14772652207420461"/>
    <s v="Q4-2023"/>
    <s v="Africa → Kenya → Kisumu"/>
    <s v="Low"/>
    <n v="2023"/>
    <n v="10"/>
    <s v="Yes"/>
    <s v="No"/>
    <n v="0"/>
    <n v="812.82600000000002"/>
    <n v="31.200000000000003"/>
    <n v="28338.960000000003"/>
    <n v="25360.171200000004"/>
    <n v="2978.7887999999984"/>
  </r>
  <r>
    <s v="ORD-2024-972318"/>
    <d v="2024-12-24T00:00:00"/>
    <d v="2025-01-13T00:00:00"/>
    <d v="2024-12-24T00:00:00"/>
    <d v="2025-01-13T00:00:00"/>
    <n v="20"/>
    <s v="12-2024"/>
    <x v="1"/>
    <x v="4"/>
    <s v="Bengaluru"/>
    <s v="Corporate"/>
    <x v="2"/>
    <s v="D. Smith"/>
    <s v="Networking"/>
    <s v="NET-9832"/>
    <n v="126.15"/>
    <n v="284.23"/>
    <n v="0.113"/>
    <n v="22"/>
    <n v="5546.4642200000008"/>
    <n v="2775.3"/>
    <n v="2771.1642200000006"/>
    <n v="0.49962716968541088"/>
    <s v="Q4-2024"/>
    <s v="Asia → India → Bengaluru"/>
    <s v="Low"/>
    <n v="2024"/>
    <n v="12"/>
    <s v="No"/>
    <s v="No"/>
    <n v="0.1"/>
    <n v="132.45750000000001"/>
    <n v="22.880000000000003"/>
    <n v="5852.8641600000019"/>
    <n v="3030.6276000000007"/>
    <n v="2822.2365600000012"/>
  </r>
  <r>
    <s v="ORD-2023-752962"/>
    <d v="2023-04-21T00:00:00"/>
    <d v="2023-04-19T00:00:00"/>
    <d v="2023-04-19T00:00:00"/>
    <d v="2023-04-21T00:00:00"/>
    <n v="2"/>
    <s v="4-2023"/>
    <x v="1"/>
    <x v="2"/>
    <s v="Nagoya"/>
    <s v="Small Business"/>
    <x v="4"/>
    <s v="M. Rossi"/>
    <s v="Components"/>
    <s v="CMP-8604"/>
    <n v="607.04"/>
    <n v="1229.3399999999999"/>
    <n v="0.14699999999999999"/>
    <n v="7"/>
    <n v="7340.3891399999993"/>
    <n v="4249.28"/>
    <n v="3091.1091399999996"/>
    <n v="0.42110970972310058"/>
    <s v="Q2-2023"/>
    <s v="Asia → Japan → Nagoya"/>
    <s v="Medium"/>
    <n v="2023"/>
    <n v="4"/>
    <s v="Yes"/>
    <s v="No"/>
    <n v="0.1"/>
    <n v="637.39199999999994"/>
    <n v="7.28"/>
    <n v="8054.6356800000003"/>
    <n v="4640.2137599999996"/>
    <n v="3414.4219200000007"/>
  </r>
  <r>
    <s v="ORD-2025-898843"/>
    <d v="2025-02-02T00:00:00"/>
    <d v="2025-03-04T00:00:00"/>
    <d v="2025-02-02T00:00:00"/>
    <d v="2025-03-04T00:00:00"/>
    <n v="30"/>
    <s v="2-2025"/>
    <x v="1"/>
    <x v="2"/>
    <s v="Osaka"/>
    <s v="Education"/>
    <x v="3"/>
    <s v="L. Okafor"/>
    <s v="Accessories"/>
    <s v="ACC-9591"/>
    <n v="766.59"/>
    <n v="1912.8"/>
    <n v="0.19600000000000001"/>
    <n v="5"/>
    <n v="7689.4560000000001"/>
    <n v="3832.9500000000003"/>
    <n v="3856.5059999999999"/>
    <n v="0.50153170783472845"/>
    <s v="Q1-2025"/>
    <s v="Asia → Japan → Osaka"/>
    <s v="High"/>
    <n v="2025"/>
    <n v="2"/>
    <s v="No"/>
    <s v="No"/>
    <n v="0.1"/>
    <n v="804.91950000000008"/>
    <n v="5.2"/>
    <n v="8951.9040000000005"/>
    <n v="4185.5814000000009"/>
    <n v="4766.3225999999995"/>
  </r>
  <r>
    <s v="ORD-2023-156396"/>
    <d v="2023-02-21T00:00:00"/>
    <d v="2023-03-12T00:00:00"/>
    <d v="2023-02-21T00:00:00"/>
    <d v="2023-03-12T00:00:00"/>
    <n v="19"/>
    <s v="2-2023"/>
    <x v="0"/>
    <x v="0"/>
    <s v="Nakuru"/>
    <s v="Corporate"/>
    <x v="1"/>
    <s v="F. Müller"/>
    <s v="Networking"/>
    <s v="NET-2499"/>
    <n v="352.65"/>
    <n v="485.86"/>
    <n v="4.1000000000000002E-2"/>
    <n v="6"/>
    <n v="2795.6384399999997"/>
    <n v="2115.8999999999996"/>
    <n v="679.73844000000008"/>
    <n v="0.24314247159943908"/>
    <s v="Q1-2023"/>
    <s v="Africa → Kenya → Nakuru"/>
    <s v="Low"/>
    <n v="2023"/>
    <n v="2"/>
    <s v="No"/>
    <s v="No"/>
    <n v="4.1000000000000002E-2"/>
    <n v="370.28249999999997"/>
    <n v="6.24"/>
    <n v="2907.4639775999999"/>
    <n v="2310.5627999999997"/>
    <n v="596.90117760000021"/>
  </r>
  <r>
    <s v="ORD-2023-184577"/>
    <d v="2023-05-17T00:00:00"/>
    <d v="2023-06-03T00:00:00"/>
    <d v="2023-05-17T00:00:00"/>
    <d v="2023-06-03T00:00:00"/>
    <n v="17"/>
    <s v="5-2023"/>
    <x v="1"/>
    <x v="8"/>
    <s v="Beijing"/>
    <s v="Non-Profit"/>
    <x v="3"/>
    <s v="M. Rossi"/>
    <s v="Printers"/>
    <s v="PRN-1923"/>
    <n v="979.59"/>
    <n v="2210.94"/>
    <n v="0.15"/>
    <n v="11"/>
    <n v="20672.289000000001"/>
    <n v="10775.49"/>
    <n v="9896.7990000000009"/>
    <n v="0.47874712858358359"/>
    <s v="Q2-2023"/>
    <s v="Asia → China → Beijing"/>
    <s v="High"/>
    <n v="2023"/>
    <n v="5"/>
    <s v="No"/>
    <s v="No"/>
    <n v="0.1"/>
    <n v="1028.5695000000001"/>
    <n v="11.440000000000001"/>
    <n v="22763.838240000005"/>
    <n v="11766.835080000003"/>
    <n v="10997.003160000002"/>
  </r>
  <r>
    <s v="ORD-2024-446030"/>
    <d v="2024-03-23T00:00:00"/>
    <d v="2024-03-26T00:00:00"/>
    <d v="2024-03-23T00:00:00"/>
    <d v="2024-03-26T00:00:00"/>
    <n v="3"/>
    <s v="3-2024"/>
    <x v="1"/>
    <x v="4"/>
    <s v="Bengaluru"/>
    <s v="Education"/>
    <x v="4"/>
    <s v="G. Dubois"/>
    <s v="Phones"/>
    <s v="PHN-4346"/>
    <n v="382.21"/>
    <n v="571.89"/>
    <n v="0.14799999999999999"/>
    <n v="26"/>
    <n v="12668.50728"/>
    <n v="9937.4599999999991"/>
    <n v="2731.0472800000007"/>
    <n v="0.2155776698578809"/>
    <s v="Q1-2024"/>
    <s v="Asia → India → Bengaluru"/>
    <s v="Low"/>
    <n v="2024"/>
    <n v="3"/>
    <s v="Yes"/>
    <s v="No"/>
    <n v="0.1"/>
    <n v="401.32049999999998"/>
    <n v="27.04"/>
    <n v="13917.51504"/>
    <n v="10851.706319999999"/>
    <n v="3065.8087200000009"/>
  </r>
  <r>
    <s v="ORD-2025-840976"/>
    <d v="2025-09-01T00:00:00"/>
    <d v="2025-09-30T00:00:00"/>
    <d v="2025-09-01T00:00:00"/>
    <d v="2025-09-30T00:00:00"/>
    <n v="29"/>
    <s v="9-2025"/>
    <x v="2"/>
    <x v="5"/>
    <s v="Brasília"/>
    <s v="Education"/>
    <x v="0"/>
    <s v="K. Singh"/>
    <s v="Accessories"/>
    <s v="ACC-1663"/>
    <n v="780.59"/>
    <n v="631.57000000000005"/>
    <n v="0"/>
    <n v="12"/>
    <n v="7578.84"/>
    <n v="9367.08"/>
    <n v="-1788.2399999999998"/>
    <n v="-0.23595167598207639"/>
    <s v="Q3-2025"/>
    <s v="Americas → Brazil → Brasília"/>
    <s v="Low"/>
    <n v="2025"/>
    <n v="9"/>
    <s v="No"/>
    <s v="No"/>
    <n v="0"/>
    <n v="819.61950000000002"/>
    <n v="12.48"/>
    <n v="7881.9936000000007"/>
    <n v="10228.851360000001"/>
    <n v="-2346.8577599999999"/>
  </r>
  <r>
    <s v="ORD-2024-745424"/>
    <d v="2024-08-22T00:00:00"/>
    <d v="2024-09-04T00:00:00"/>
    <d v="2024-08-22T00:00:00"/>
    <d v="2024-09-04T00:00:00"/>
    <n v="13"/>
    <s v="8-2024"/>
    <x v="3"/>
    <x v="11"/>
    <s v="Frankfurt"/>
    <s v="Non-Profit"/>
    <x v="0"/>
    <s v="L. Okafor"/>
    <s v="Printers"/>
    <s v="PRN-4892"/>
    <n v="90.04"/>
    <n v="194.62"/>
    <n v="4.2999999999999997E-2"/>
    <n v="32"/>
    <n v="5960.04288"/>
    <n v="2881.28"/>
    <n v="3078.7628799999998"/>
    <n v="0.51656723650954672"/>
    <s v="Q3-2024"/>
    <s v="Europe → Germany → Frankfurt"/>
    <s v="Low"/>
    <n v="2024"/>
    <n v="8"/>
    <s v="No"/>
    <s v="No"/>
    <n v="4.2999999999999997E-2"/>
    <n v="94.542000000000016"/>
    <n v="33.28"/>
    <n v="6198.4445952000005"/>
    <n v="3146.3577600000008"/>
    <n v="3052.0868351999998"/>
  </r>
  <r>
    <s v="ORD-2024-510520"/>
    <d v="2024-09-25T00:00:00"/>
    <d v="2024-10-03T00:00:00"/>
    <d v="2024-09-25T00:00:00"/>
    <d v="2024-10-03T00:00:00"/>
    <n v="8"/>
    <s v="9-2024"/>
    <x v="2"/>
    <x v="3"/>
    <s v="Toronto"/>
    <s v="Consumer"/>
    <x v="1"/>
    <s v="E. Garcia"/>
    <s v="Printers"/>
    <s v="PRN-9557"/>
    <n v="558.19000000000005"/>
    <n v="1031.6400000000001"/>
    <n v="0"/>
    <n v="21"/>
    <n v="21664.440000000002"/>
    <n v="11721.990000000002"/>
    <n v="9942.4500000000007"/>
    <n v="0.45892947152107322"/>
    <s v="Q3-2024"/>
    <s v="Americas → Canada → Toronto"/>
    <s v="Low"/>
    <n v="2024"/>
    <n v="9"/>
    <s v="No"/>
    <s v="No"/>
    <n v="0"/>
    <n v="586.09950000000003"/>
    <n v="21.84"/>
    <n v="22531.017600000003"/>
    <n v="12800.41308"/>
    <n v="9730.6045200000026"/>
  </r>
  <r>
    <s v="ORD-2023-769774"/>
    <d v="2023-06-13T00:00:00"/>
    <d v="2023-06-24T00:00:00"/>
    <d v="2023-06-13T00:00:00"/>
    <d v="2023-06-24T00:00:00"/>
    <n v="11"/>
    <s v="6-2023"/>
    <x v="2"/>
    <x v="3"/>
    <s v="Toronto"/>
    <s v="Corporate"/>
    <x v="1"/>
    <s v="C. Otieno"/>
    <s v="Printers"/>
    <s v="PRN-8008"/>
    <n v="247.07"/>
    <n v="495.19"/>
    <n v="2.8000000000000001E-2"/>
    <n v="4"/>
    <n v="1925.29872"/>
    <n v="988.28"/>
    <n v="937.01872000000003"/>
    <n v="0.48668744764968214"/>
    <s v="Q2-2023"/>
    <s v="Americas → Canada → Toronto"/>
    <s v="Low"/>
    <n v="2023"/>
    <n v="6"/>
    <s v="No"/>
    <s v="No"/>
    <n v="2.8000000000000001E-2"/>
    <n v="259.42349999999999"/>
    <n v="4.16"/>
    <n v="2002.3106688"/>
    <n v="1079.2017599999999"/>
    <n v="923.10890880000011"/>
  </r>
  <r>
    <s v="ORD-2023-580751"/>
    <d v="2023-12-24T00:00:00"/>
    <d v="2024-01-13T00:00:00"/>
    <d v="2023-12-24T00:00:00"/>
    <d v="2024-01-13T00:00:00"/>
    <n v="20"/>
    <s v="12-2023"/>
    <x v="1"/>
    <x v="2"/>
    <s v="Nagoya"/>
    <s v="Education"/>
    <x v="4"/>
    <s v="B. Chen"/>
    <s v="Laptops"/>
    <s v="LAP-1946"/>
    <n v="625.37"/>
    <n v="1319.04"/>
    <n v="7.3999999999999996E-2"/>
    <n v="8"/>
    <n v="9771.4483199999995"/>
    <n v="5002.96"/>
    <n v="4768.4883199999995"/>
    <n v="0.48800220436513547"/>
    <s v="Q4-2023"/>
    <s v="Asia → Japan → Nagoya"/>
    <s v="Medium"/>
    <n v="2023"/>
    <n v="12"/>
    <s v="No"/>
    <s v="No"/>
    <n v="7.3999999999999996E-2"/>
    <n v="656.63850000000002"/>
    <n v="8.32"/>
    <n v="10162.306252800001"/>
    <n v="5463.2323200000001"/>
    <n v="4699.0739328000009"/>
  </r>
  <r>
    <s v="ORD-2025-473192"/>
    <d v="2025-03-30T00:00:00"/>
    <d v="2025-04-29T00:00:00"/>
    <d v="2025-03-30T00:00:00"/>
    <d v="2025-04-29T00:00:00"/>
    <n v="30"/>
    <s v="3-2025"/>
    <x v="0"/>
    <x v="10"/>
    <s v="Durban"/>
    <s v="Consumer"/>
    <x v="2"/>
    <s v="J. Njeri"/>
    <s v="Monitors"/>
    <s v="MON-7106"/>
    <n v="194.6"/>
    <n v="314.87"/>
    <n v="0.29299999999999998"/>
    <n v="25"/>
    <n v="5565.3272500000003"/>
    <n v="4865"/>
    <n v="700.32725000000028"/>
    <n v="0.1258375686712763"/>
    <s v="Q1-2025"/>
    <s v="Africa → South Africa → Durban"/>
    <s v="Low"/>
    <n v="2025"/>
    <n v="3"/>
    <s v="No"/>
    <s v="Yes"/>
    <n v="0.1"/>
    <n v="204.33"/>
    <n v="26"/>
    <n v="7367.9580000000005"/>
    <n v="5312.58"/>
    <n v="2055.3780000000006"/>
  </r>
  <r>
    <s v="ORD-2024-886939"/>
    <d v="2024-06-03T00:00:00"/>
    <d v="2024-06-24T00:00:00"/>
    <d v="2024-06-03T00:00:00"/>
    <d v="2024-06-24T00:00:00"/>
    <n v="21"/>
    <s v="6-2024"/>
    <x v="2"/>
    <x v="3"/>
    <s v="Toronto"/>
    <s v="Small Business"/>
    <x v="4"/>
    <s v="G. Dubois"/>
    <s v="Monitors"/>
    <s v="MON-5386"/>
    <n v="1205.5"/>
    <n v="2210.17"/>
    <n v="0.104"/>
    <n v="23"/>
    <n v="45547.183360000003"/>
    <n v="27726.5"/>
    <n v="17820.683360000003"/>
    <n v="0.39125763758314652"/>
    <s v="Q2-2024"/>
    <s v="Americas → Canada → Toronto"/>
    <s v="High"/>
    <n v="2024"/>
    <n v="6"/>
    <s v="No"/>
    <s v="No"/>
    <n v="0.1"/>
    <n v="1265.7750000000001"/>
    <n v="23.92"/>
    <n v="47580.539760000007"/>
    <n v="30277.338000000003"/>
    <n v="17303.201760000004"/>
  </r>
  <r>
    <s v="ORD-2024-566589"/>
    <d v="2024-06-11T00:00:00"/>
    <d v="2024-07-09T00:00:00"/>
    <d v="2024-06-11T00:00:00"/>
    <d v="2024-07-09T00:00:00"/>
    <n v="28"/>
    <s v="6-2024"/>
    <x v="0"/>
    <x v="1"/>
    <s v="Port Harcourt"/>
    <s v="Corporate"/>
    <x v="2"/>
    <s v="I. Johnson"/>
    <s v="Phones"/>
    <s v="PHN-2436"/>
    <n v="895.54"/>
    <n v="1045"/>
    <n v="0.216"/>
    <n v="15"/>
    <n v="12289.2"/>
    <n v="13433.099999999999"/>
    <n v="-1143.8999999999978"/>
    <n v="-9.3081730299775234E-2"/>
    <s v="Q2-2024"/>
    <s v="Africa → Nigeria → Port Harcourt"/>
    <s v="Low"/>
    <n v="2024"/>
    <n v="6"/>
    <s v="No"/>
    <s v="Yes"/>
    <n v="0.1"/>
    <n v="940.31700000000001"/>
    <n v="15.600000000000001"/>
    <n v="14671.800000000001"/>
    <n v="14668.945200000002"/>
    <n v="2.8547999999991589"/>
  </r>
  <r>
    <s v="ORD-2023-109927"/>
    <d v="2023-07-22T00:00:00"/>
    <d v="2023-07-21T00:00:00"/>
    <d v="2023-07-21T00:00:00"/>
    <d v="2023-07-22T00:00:00"/>
    <n v="1"/>
    <s v="7-2023"/>
    <x v="1"/>
    <x v="4"/>
    <s v="Delhi"/>
    <s v="Small Business"/>
    <x v="3"/>
    <s v="E. Garcia"/>
    <s v="Printers"/>
    <s v="PRN-2301"/>
    <n v="946.99"/>
    <n v="2132.19"/>
    <n v="0.16500000000000001"/>
    <n v="7"/>
    <n v="12462.65055"/>
    <n v="6628.93"/>
    <n v="5833.72055"/>
    <n v="0.46809629513362228"/>
    <s v="Q3-2023"/>
    <s v="Asia → India → Delhi"/>
    <s v="High"/>
    <n v="2023"/>
    <n v="7"/>
    <s v="Yes"/>
    <s v="No"/>
    <n v="0.1"/>
    <n v="994.33950000000004"/>
    <n v="7.28"/>
    <n v="13970.108880000002"/>
    <n v="7238.7915600000006"/>
    <n v="6731.317320000001"/>
  </r>
  <r>
    <s v="ORD-2023-888140"/>
    <d v="2023-10-11T00:00:00"/>
    <d v="2023-10-13T00:00:00"/>
    <d v="2023-10-11T00:00:00"/>
    <d v="2023-10-13T00:00:00"/>
    <n v="2"/>
    <s v="10-2023"/>
    <x v="2"/>
    <x v="5"/>
    <s v="Brasília"/>
    <s v="Consumer"/>
    <x v="3"/>
    <s v="Unknown Salesperson"/>
    <s v="Accessories"/>
    <s v="ACC-3567"/>
    <n v="715.94"/>
    <n v="550.07000000000005"/>
    <n v="0.14000000000000001"/>
    <n v="16"/>
    <n v="7568.9632000000001"/>
    <n v="11455.04"/>
    <n v="-3886.0768000000007"/>
    <n v="-0.51342260456491595"/>
    <s v="Q4-2023"/>
    <s v="Americas → Brazil → Brasília"/>
    <s v="Low"/>
    <n v="2023"/>
    <n v="10"/>
    <s v="Yes"/>
    <s v="No"/>
    <n v="0.1"/>
    <n v="751.73700000000008"/>
    <n v="16.64"/>
    <n v="8237.848320000001"/>
    <n v="12508.903680000001"/>
    <n v="-4271.0553600000003"/>
  </r>
  <r>
    <s v="ORD-2024-851993"/>
    <d v="2024-05-01T00:00:00"/>
    <d v="2024-05-16T00:00:00"/>
    <d v="2024-05-01T00:00:00"/>
    <d v="2024-05-16T00:00:00"/>
    <n v="15"/>
    <s v="5-2024"/>
    <x v="1"/>
    <x v="4"/>
    <s v="Bengaluru"/>
    <s v="Small Business"/>
    <x v="0"/>
    <s v="L. Okafor"/>
    <s v="Components"/>
    <s v="CMP-6811"/>
    <n v="901.19"/>
    <n v="2125.44"/>
    <n v="7.0999999999999994E-2"/>
    <n v="12"/>
    <n v="23694.405119999999"/>
    <n v="10814.28"/>
    <n v="12880.125119999999"/>
    <n v="0.54359352154100415"/>
    <s v="Q2-2024"/>
    <s v="Asia → India → Bengaluru"/>
    <s v="High"/>
    <n v="2024"/>
    <n v="5"/>
    <s v="No"/>
    <s v="No"/>
    <n v="7.0999999999999994E-2"/>
    <n v="946.24950000000013"/>
    <n v="12.48"/>
    <n v="24642.1813248"/>
    <n v="11809.193760000002"/>
    <n v="12832.987564799998"/>
  </r>
  <r>
    <s v="ORD-2025-417942"/>
    <d v="2025-06-09T00:00:00"/>
    <d v="2025-06-24T00:00:00"/>
    <d v="2025-06-09T00:00:00"/>
    <d v="2025-06-24T00:00:00"/>
    <n v="15"/>
    <s v="6-2025"/>
    <x v="1"/>
    <x v="2"/>
    <s v="Nagoya"/>
    <s v="Corporate"/>
    <x v="4"/>
    <s v="B. Chen"/>
    <s v="Phones"/>
    <s v="PHN-5675"/>
    <n v="400.39"/>
    <n v="712.75"/>
    <n v="0.115"/>
    <n v="19"/>
    <n v="11984.891250000001"/>
    <n v="7607.41"/>
    <n v="4377.4812500000007"/>
    <n v="0.36524997671547504"/>
    <s v="Q2-2025"/>
    <s v="Asia → Japan → Nagoya"/>
    <s v="Low"/>
    <n v="2025"/>
    <n v="6"/>
    <s v="No"/>
    <s v="No"/>
    <n v="0.1"/>
    <n v="420.40949999999998"/>
    <n v="19.760000000000002"/>
    <n v="12675.546"/>
    <n v="8307.2917200000011"/>
    <n v="4368.2542799999992"/>
  </r>
  <r>
    <s v="ORD-2023-172095"/>
    <d v="2023-05-24T00:00:00"/>
    <d v="2023-06-21T00:00:00"/>
    <d v="2023-05-24T00:00:00"/>
    <d v="2023-06-21T00:00:00"/>
    <n v="28"/>
    <s v="5-2023"/>
    <x v="2"/>
    <x v="9"/>
    <s v="Austin"/>
    <s v="Small Business"/>
    <x v="2"/>
    <s v="G. Dubois"/>
    <s v="Monitors"/>
    <s v="MON-6882"/>
    <n v="813.97"/>
    <n v="1568.83"/>
    <n v="1.7000000000000001E-2"/>
    <n v="15"/>
    <n v="23132.398349999996"/>
    <n v="12209.550000000001"/>
    <n v="10922.848349999995"/>
    <n v="0.4721883215364911"/>
    <s v="Q2-2023"/>
    <s v="Americas → USA → Austin"/>
    <s v="Medium"/>
    <n v="2023"/>
    <n v="5"/>
    <s v="No"/>
    <s v="No"/>
    <n v="1.7000000000000001E-2"/>
    <n v="854.66850000000011"/>
    <n v="15.600000000000001"/>
    <n v="24057.694283999997"/>
    <n v="13332.828600000003"/>
    <n v="10724.865683999995"/>
  </r>
  <r>
    <s v="ORD-2025-703623"/>
    <d v="2025-07-23T00:00:00"/>
    <d v="2025-08-19T00:00:00"/>
    <d v="2025-07-23T00:00:00"/>
    <d v="2025-08-19T00:00:00"/>
    <n v="27"/>
    <s v="7-2025"/>
    <x v="1"/>
    <x v="2"/>
    <s v="Nagoya"/>
    <s v="Consumer"/>
    <x v="2"/>
    <s v="B. Chen"/>
    <s v="Accessories"/>
    <s v="ACC-1596"/>
    <n v="896.09"/>
    <n v="744.27"/>
    <n v="8.3000000000000004E-2"/>
    <n v="11"/>
    <n v="7507.4514899999995"/>
    <n v="9856.99"/>
    <n v="-2349.5385100000003"/>
    <n v="-0.31296086469950679"/>
    <s v="Q3-2025"/>
    <s v="Asia → Japan → Nagoya"/>
    <s v="Low"/>
    <n v="2025"/>
    <n v="7"/>
    <s v="No"/>
    <s v="No"/>
    <n v="8.3000000000000004E-2"/>
    <n v="940.89450000000011"/>
    <n v="11.440000000000001"/>
    <n v="7807.7495496000001"/>
    <n v="10763.833080000002"/>
    <n v="-2956.083530400002"/>
  </r>
  <r>
    <s v="ORD-2025-650719"/>
    <d v="2025-02-12T00:00:00"/>
    <d v="2025-02-28T00:00:00"/>
    <d v="2025-02-12T00:00:00"/>
    <d v="2025-02-28T00:00:00"/>
    <n v="16"/>
    <s v="2-2025"/>
    <x v="2"/>
    <x v="5"/>
    <s v="São Paulo"/>
    <s v="Non-Profit"/>
    <x v="4"/>
    <s v="B. Chen"/>
    <s v="Monitors"/>
    <s v="MON-5179"/>
    <n v="414.95"/>
    <n v="1027.73"/>
    <n v="6.3E-2"/>
    <n v="8"/>
    <n v="7703.8640800000003"/>
    <n v="3319.6"/>
    <n v="4384.2640800000008"/>
    <n v="0.56909935513815568"/>
    <s v="Q1-2025"/>
    <s v="Americas → Brazil → São Paulo"/>
    <s v="Low"/>
    <n v="2025"/>
    <n v="2"/>
    <s v="No"/>
    <s v="No"/>
    <n v="6.3E-2"/>
    <n v="435.69749999999999"/>
    <n v="8.32"/>
    <n v="8012.018643200001"/>
    <n v="3625.0032000000001"/>
    <n v="4387.0154432000008"/>
  </r>
  <r>
    <s v="ORD-2023-880296"/>
    <d v="2023-05-02T00:00:00"/>
    <d v="2023-05-19T00:00:00"/>
    <d v="2023-05-02T00:00:00"/>
    <d v="2023-05-19T00:00:00"/>
    <n v="17"/>
    <s v="5-2023"/>
    <x v="1"/>
    <x v="8"/>
    <s v="Shanghai"/>
    <s v="Non-Profit"/>
    <x v="4"/>
    <s v="J. Njeri"/>
    <s v="Monitors"/>
    <s v="MON-5086"/>
    <n v="714.28"/>
    <n v="757.59"/>
    <n v="0.13600000000000001"/>
    <n v="12"/>
    <n v="7854.6931199999999"/>
    <n v="8571.36"/>
    <n v="-716.66688000000067"/>
    <n v="-9.1240595787910383E-2"/>
    <s v="Q2-2023"/>
    <s v="Asia → China → Shanghai"/>
    <s v="Low"/>
    <n v="2023"/>
    <n v="5"/>
    <s v="No"/>
    <s v="No"/>
    <n v="0.1"/>
    <n v="749.99400000000003"/>
    <n v="12.48"/>
    <n v="8509.2508800000014"/>
    <n v="9359.9251199999999"/>
    <n v="-850.67423999999846"/>
  </r>
  <r>
    <s v="ORD-2023-191563"/>
    <d v="2023-11-30T00:00:00"/>
    <d v="2023-12-10T00:00:00"/>
    <d v="2023-11-30T00:00:00"/>
    <d v="2023-12-10T00:00:00"/>
    <n v="10"/>
    <s v="11-2023"/>
    <x v="3"/>
    <x v="11"/>
    <s v="Munich"/>
    <s v="Small Business"/>
    <x v="4"/>
    <s v="F. Müller"/>
    <s v="Laptops"/>
    <s v="LAP-4899"/>
    <n v="174.74"/>
    <n v="415.96"/>
    <n v="0.125"/>
    <n v="21"/>
    <n v="7643.2649999999994"/>
    <n v="3669.54"/>
    <n v="3973.7249999999995"/>
    <n v="0.51989889137691803"/>
    <s v="Q4-2023"/>
    <s v="Europe → Germany → Munich"/>
    <s v="Low"/>
    <n v="2023"/>
    <n v="11"/>
    <s v="No"/>
    <s v="No"/>
    <n v="0.1"/>
    <n v="183.477"/>
    <n v="21.84"/>
    <n v="8176.1097600000003"/>
    <n v="4007.1376800000003"/>
    <n v="4168.9720799999996"/>
  </r>
  <r>
    <s v="ORD-2024-202166"/>
    <d v="2024-05-05T00:00:00"/>
    <d v="2024-05-18T00:00:00"/>
    <d v="2024-05-05T00:00:00"/>
    <d v="2024-05-18T00:00:00"/>
    <n v="13"/>
    <s v="5-2024"/>
    <x v="3"/>
    <x v="6"/>
    <s v="Marseille"/>
    <s v="Corporate"/>
    <x v="2"/>
    <s v="A. Patel"/>
    <s v="Components"/>
    <s v="CMP-3313"/>
    <n v="1264.04"/>
    <n v="1870.89"/>
    <n v="0"/>
    <n v="13"/>
    <n v="24321.57"/>
    <n v="16432.52"/>
    <n v="7889.0499999999993"/>
    <n v="0.32436433996653996"/>
    <s v="Q2-2024"/>
    <s v="Europe → France → Marseille"/>
    <s v="Medium"/>
    <n v="2024"/>
    <n v="5"/>
    <s v="No"/>
    <s v="No"/>
    <n v="0"/>
    <n v="1327.242"/>
    <n v="13.52"/>
    <n v="25294.432800000002"/>
    <n v="17944.311839999998"/>
    <n v="7350.1209600000038"/>
  </r>
  <r>
    <s v="ORD-2023-539967"/>
    <d v="2023-07-09T00:00:00"/>
    <d v="2023-07-19T00:00:00"/>
    <d v="2023-07-09T00:00:00"/>
    <d v="2023-07-19T00:00:00"/>
    <n v="10"/>
    <s v="7-2023"/>
    <x v="1"/>
    <x v="2"/>
    <s v="Tokyo"/>
    <s v="Enterprise"/>
    <x v="3"/>
    <s v="N. Brown"/>
    <s v="Components"/>
    <s v="CMP-6649"/>
    <n v="141.26"/>
    <n v="206.88"/>
    <n v="0.107"/>
    <n v="9"/>
    <n v="1662.6945600000001"/>
    <n v="1271.3399999999999"/>
    <n v="391.35456000000022"/>
    <n v="0.23537369365062469"/>
    <s v="Q3-2023"/>
    <s v="Asia → Japan → Tokyo"/>
    <s v="Low"/>
    <n v="2023"/>
    <n v="7"/>
    <s v="No"/>
    <s v="No"/>
    <n v="0.1"/>
    <n v="148.32300000000001"/>
    <n v="9.36"/>
    <n v="1742.7571199999998"/>
    <n v="1388.3032800000001"/>
    <n v="354.45383999999967"/>
  </r>
  <r>
    <s v="ORD-2023-375011"/>
    <d v="2023-08-23T00:00:00"/>
    <d v="2023-09-22T00:00:00"/>
    <d v="2023-08-23T00:00:00"/>
    <d v="2023-09-22T00:00:00"/>
    <n v="30"/>
    <s v="8-2023"/>
    <x v="3"/>
    <x v="7"/>
    <s v="London"/>
    <s v="Consumer"/>
    <x v="3"/>
    <s v="O. Wang"/>
    <s v="Accessories"/>
    <s v="ACC-1492"/>
    <n v="209.81"/>
    <n v="523"/>
    <n v="5.8999999999999997E-2"/>
    <n v="15"/>
    <n v="7382.1450000000004"/>
    <n v="3147.15"/>
    <n v="4234.9950000000008"/>
    <n v="0.57368082041195356"/>
    <s v="Q3-2023"/>
    <s v="Europe → United Kingdom → London"/>
    <s v="Low"/>
    <n v="2023"/>
    <n v="8"/>
    <s v="No"/>
    <s v="No"/>
    <n v="5.8999999999999997E-2"/>
    <n v="220.3005"/>
    <n v="15.600000000000001"/>
    <n v="7677.4308000000019"/>
    <n v="3436.6878000000002"/>
    <n v="4240.7430000000022"/>
  </r>
  <r>
    <s v="ORD-2024-356812"/>
    <d v="2024-03-07T00:00:00"/>
    <d v="2024-04-03T00:00:00"/>
    <d v="2024-03-07T00:00:00"/>
    <d v="2024-04-03T00:00:00"/>
    <n v="27"/>
    <s v="3-2024"/>
    <x v="3"/>
    <x v="11"/>
    <s v="Frankfurt"/>
    <s v="Corporate"/>
    <x v="4"/>
    <s v="M. Rossi"/>
    <s v="Printers"/>
    <s v="PRN-6911"/>
    <n v="738.16"/>
    <n v="956.49"/>
    <n v="0.152"/>
    <n v="5"/>
    <n v="4055.5175999999997"/>
    <n v="3690.7999999999997"/>
    <n v="364.71759999999995"/>
    <n v="8.9931208780847108E-2"/>
    <s v="Q1-2024"/>
    <s v="Europe → Germany → Frankfurt"/>
    <s v="Low"/>
    <n v="2024"/>
    <n v="3"/>
    <s v="No"/>
    <s v="No"/>
    <n v="0.1"/>
    <n v="775.06799999999998"/>
    <n v="5.2"/>
    <n v="4476.3732000000009"/>
    <n v="4030.3535999999999"/>
    <n v="446.01960000000099"/>
  </r>
  <r>
    <s v="ORD-2025-306251"/>
    <d v="2025-04-10T00:00:00"/>
    <d v="2025-04-19T00:00:00"/>
    <d v="2025-04-10T00:00:00"/>
    <d v="2025-04-19T00:00:00"/>
    <n v="9"/>
    <s v="4-2025"/>
    <x v="0"/>
    <x v="10"/>
    <s v="Durban"/>
    <s v="Enterprise"/>
    <x v="5"/>
    <s v="G. Dubois"/>
    <s v="Networking"/>
    <s v="NET-5270"/>
    <n v="113.74"/>
    <n v="165.7"/>
    <n v="0.124"/>
    <n v="13"/>
    <n v="1886.9915999999998"/>
    <n v="1478.62"/>
    <n v="408.37159999999994"/>
    <n v="0.21641410592394794"/>
    <s v="Q2-2025"/>
    <s v="Africa → South Africa → Durban"/>
    <s v="Low"/>
    <n v="2025"/>
    <n v="4"/>
    <s v="No"/>
    <s v="No"/>
    <n v="0.1"/>
    <n v="119.42700000000001"/>
    <n v="13.52"/>
    <n v="2016.2375999999997"/>
    <n v="1614.6530400000001"/>
    <n v="401.58455999999956"/>
  </r>
  <r>
    <s v="ORD-2025-496178"/>
    <d v="2025-07-27T00:00:00"/>
    <d v="2025-08-15T00:00:00"/>
    <d v="2025-07-27T00:00:00"/>
    <d v="2025-08-15T00:00:00"/>
    <n v="19"/>
    <s v="7-2025"/>
    <x v="1"/>
    <x v="2"/>
    <s v="Tokyo"/>
    <s v="Small Business"/>
    <x v="2"/>
    <s v="J. Njeri"/>
    <s v="Components"/>
    <s v="CMP-5658"/>
    <n v="275.43"/>
    <n v="608.36"/>
    <n v="0.25700000000000001"/>
    <n v="4"/>
    <n v="1808.04592"/>
    <n v="1101.72"/>
    <n v="706.32592"/>
    <n v="0.39065706915231446"/>
    <s v="Q3-2025"/>
    <s v="Asia → Japan → Tokyo"/>
    <s v="Low"/>
    <n v="2025"/>
    <n v="7"/>
    <s v="No"/>
    <s v="Yes"/>
    <n v="0.1"/>
    <n v="289.20150000000001"/>
    <n v="4.16"/>
    <n v="2277.6998400000002"/>
    <n v="1203.0782400000001"/>
    <n v="1074.6216000000002"/>
  </r>
  <r>
    <s v="ORD-2024-508213"/>
    <d v="2024-11-22T00:00:00"/>
    <d v="2024-12-15T00:00:00"/>
    <d v="2024-11-22T00:00:00"/>
    <d v="2024-12-15T00:00:00"/>
    <n v="23"/>
    <s v="11-2024"/>
    <x v="0"/>
    <x v="0"/>
    <s v="Mombasa"/>
    <s v="Non-Profit"/>
    <x v="3"/>
    <s v="C. Otieno"/>
    <s v="Components"/>
    <s v="CMP-3938"/>
    <n v="1335.76"/>
    <n v="2665.91"/>
    <n v="0.21099999999999999"/>
    <n v="40"/>
    <n v="84136.119600000005"/>
    <n v="53430.400000000001"/>
    <n v="30705.719600000004"/>
    <n v="0.36495288522909253"/>
    <s v="Q4-2024"/>
    <s v="Africa → Kenya → Mombasa"/>
    <s v="High"/>
    <n v="2024"/>
    <n v="11"/>
    <s v="No"/>
    <s v="Yes"/>
    <n v="0.1"/>
    <n v="1402.548"/>
    <n v="41.6"/>
    <n v="99811.670400000003"/>
    <n v="58345.996800000001"/>
    <n v="41465.673600000002"/>
  </r>
  <r>
    <s v="ORD-2023-253245"/>
    <d v="2023-08-03T00:00:00"/>
    <d v="2023-08-14T00:00:00"/>
    <d v="2023-08-03T00:00:00"/>
    <d v="2023-08-14T00:00:00"/>
    <n v="11"/>
    <s v="8-2023"/>
    <x v="2"/>
    <x v="5"/>
    <s v="Brasília"/>
    <s v="Corporate"/>
    <x v="4"/>
    <s v="J. Njeri"/>
    <s v="Accessories"/>
    <s v="ACC-3951"/>
    <n v="232.73"/>
    <n v="334.19"/>
    <n v="0.13400000000000001"/>
    <n v="25"/>
    <n v="7235.2134999999998"/>
    <n v="5818.25"/>
    <n v="1416.9634999999998"/>
    <n v="0.1958426658729559"/>
    <s v="Q3-2023"/>
    <s v="Americas → Brazil → Brasília"/>
    <s v="Low"/>
    <n v="2023"/>
    <n v="8"/>
    <s v="No"/>
    <s v="No"/>
    <n v="0.1"/>
    <n v="244.3665"/>
    <n v="26"/>
    <n v="7820.0460000000003"/>
    <n v="6353.5290000000005"/>
    <n v="1466.5169999999998"/>
  </r>
  <r>
    <s v="ORD-2023-728177"/>
    <d v="2023-12-18T00:00:00"/>
    <d v="2024-01-14T00:00:00"/>
    <d v="2023-12-18T00:00:00"/>
    <d v="2024-01-14T00:00:00"/>
    <n v="27"/>
    <s v="12-2023"/>
    <x v="1"/>
    <x v="4"/>
    <s v="Mumbai"/>
    <s v="Consumer"/>
    <x v="3"/>
    <s v="D. Smith"/>
    <s v="Networking"/>
    <s v="NET-6014"/>
    <n v="1408.3"/>
    <n v="2193.13"/>
    <n v="7.0999999999999994E-2"/>
    <n v="7"/>
    <n v="14261.92439"/>
    <n v="9858.1"/>
    <n v="4403.8243899999998"/>
    <n v="0.30878191957656281"/>
    <s v="Q4-2023"/>
    <s v="Asia → India → Mumbai"/>
    <s v="High"/>
    <n v="2023"/>
    <n v="12"/>
    <s v="No"/>
    <s v="No"/>
    <n v="7.0999999999999994E-2"/>
    <n v="1478.7149999999999"/>
    <n v="7.28"/>
    <n v="14832.401365600002"/>
    <n v="10765.0452"/>
    <n v="4067.356165600002"/>
  </r>
  <r>
    <s v="ORD-2025-795385"/>
    <d v="2025-06-01T00:00:00"/>
    <d v="2025-06-05T00:00:00"/>
    <d v="2025-06-01T00:00:00"/>
    <d v="2025-06-05T00:00:00"/>
    <n v="4"/>
    <s v="6-2025"/>
    <x v="3"/>
    <x v="11"/>
    <s v="Munich"/>
    <s v="Enterprise"/>
    <x v="4"/>
    <s v="M. Rossi"/>
    <s v="Components"/>
    <s v="CMP-4159"/>
    <n v="1171.42"/>
    <n v="2187.8000000000002"/>
    <n v="0.23"/>
    <n v="15"/>
    <n v="25269.09"/>
    <n v="17571.300000000003"/>
    <n v="7697.7899999999972"/>
    <n v="0.30463265594447592"/>
    <s v="Q2-2025"/>
    <s v="Europe → Germany → Munich"/>
    <s v="High"/>
    <n v="2025"/>
    <n v="6"/>
    <s v="Yes"/>
    <s v="Yes"/>
    <n v="0.1"/>
    <n v="1229.9910000000002"/>
    <n v="15.600000000000001"/>
    <n v="30716.712000000007"/>
    <n v="19187.859600000003"/>
    <n v="11528.852400000003"/>
  </r>
  <r>
    <s v="ORD-2025-947929"/>
    <d v="2025-03-23T00:00:00"/>
    <d v="2025-04-02T00:00:00"/>
    <d v="2025-03-23T00:00:00"/>
    <d v="2025-04-02T00:00:00"/>
    <n v="10"/>
    <s v="3-2025"/>
    <x v="3"/>
    <x v="11"/>
    <s v="Berlin"/>
    <s v="Enterprise"/>
    <x v="1"/>
    <s v="E. Garcia"/>
    <s v="Printers"/>
    <s v="PRN-3159"/>
    <n v="663.61"/>
    <n v="1002.11"/>
    <n v="4.5999999999999999E-2"/>
    <n v="17"/>
    <n v="16252.219979999998"/>
    <n v="11281.37"/>
    <n v="4970.8499799999972"/>
    <n v="0.30585667595670812"/>
    <s v="Q1-2025"/>
    <s v="Europe → Germany → Berlin"/>
    <s v="Low"/>
    <n v="2025"/>
    <n v="3"/>
    <s v="No"/>
    <s v="No"/>
    <n v="4.5999999999999999E-2"/>
    <n v="696.79050000000007"/>
    <n v="17.68"/>
    <n v="16902.308779200001"/>
    <n v="12319.25604"/>
    <n v="4583.0527392000004"/>
  </r>
  <r>
    <s v="ORD-2023-931633"/>
    <d v="2023-05-14T00:00:00"/>
    <d v="2023-05-22T00:00:00"/>
    <d v="2023-05-14T00:00:00"/>
    <d v="2023-05-22T00:00:00"/>
    <n v="8"/>
    <s v="5-2023"/>
    <x v="0"/>
    <x v="0"/>
    <s v="Mombasa"/>
    <s v="Small Business"/>
    <x v="3"/>
    <s v="F. Müller"/>
    <s v="Printers"/>
    <s v="PRN-9488"/>
    <n v="432.01"/>
    <n v="913.78"/>
    <n v="4.9000000000000002E-2"/>
    <n v="12"/>
    <n v="10428.057360000001"/>
    <n v="5184.12"/>
    <n v="5243.9373600000008"/>
    <n v="0.50286809699711899"/>
    <s v="Q2-2023"/>
    <s v="Africa → Kenya → Mombasa"/>
    <s v="Low"/>
    <n v="2023"/>
    <n v="5"/>
    <s v="No"/>
    <s v="No"/>
    <n v="4.9000000000000002E-2"/>
    <n v="453.6105"/>
    <n v="12.48"/>
    <n v="10845.179654399999"/>
    <n v="5661.0590400000001"/>
    <n v="5184.1206143999989"/>
  </r>
  <r>
    <s v="ORD-2023-243704"/>
    <d v="2023-08-29T00:00:00"/>
    <d v="2023-09-19T00:00:00"/>
    <d v="2023-08-29T00:00:00"/>
    <d v="2023-09-19T00:00:00"/>
    <n v="21"/>
    <s v="8-2023"/>
    <x v="3"/>
    <x v="6"/>
    <s v="Lyon"/>
    <s v="Small Business"/>
    <x v="4"/>
    <s v="B. Chen"/>
    <s v="Printers"/>
    <s v="PRN-7079"/>
    <n v="784.46"/>
    <n v="1843.51"/>
    <n v="0.13800000000000001"/>
    <n v="23"/>
    <n v="36549.429260000004"/>
    <n v="18042.580000000002"/>
    <n v="18506.849260000003"/>
    <n v="0.50635125184441798"/>
    <s v="Q3-2023"/>
    <s v="Europe → France → Lyon"/>
    <s v="Medium"/>
    <n v="2023"/>
    <n v="8"/>
    <s v="No"/>
    <s v="No"/>
    <n v="0.1"/>
    <n v="823.68300000000011"/>
    <n v="23.92"/>
    <n v="39687.083279999999"/>
    <n v="19702.497360000005"/>
    <n v="19984.585919999994"/>
  </r>
  <r>
    <s v="ORD-2025-779659"/>
    <d v="2025-07-03T00:00:00"/>
    <d v="2025-07-23T00:00:00"/>
    <d v="2025-07-03T00:00:00"/>
    <d v="2025-07-23T00:00:00"/>
    <n v="20"/>
    <s v="7-2025"/>
    <x v="1"/>
    <x v="8"/>
    <s v="Beijing"/>
    <s v="Small Business"/>
    <x v="1"/>
    <s v="M. Rossi"/>
    <s v="Components"/>
    <s v="CMP-1220"/>
    <n v="647.36"/>
    <n v="1383.6"/>
    <n v="7.3999999999999996E-2"/>
    <n v="12"/>
    <n v="15374.563199999999"/>
    <n v="7768.32"/>
    <n v="7606.243199999999"/>
    <n v="0.49472906000997802"/>
    <s v="Q3-2025"/>
    <s v="Asia → China → Beijing"/>
    <s v="Medium"/>
    <n v="2025"/>
    <n v="7"/>
    <s v="No"/>
    <s v="No"/>
    <n v="7.3999999999999996E-2"/>
    <n v="679.72800000000007"/>
    <n v="12.48"/>
    <n v="15989.545727999999"/>
    <n v="8483.0054400000008"/>
    <n v="7506.5402879999983"/>
  </r>
  <r>
    <s v="ORD-2024-647571"/>
    <d v="2024-02-06T00:00:00"/>
    <d v="2024-02-28T00:00:00"/>
    <d v="2024-02-06T00:00:00"/>
    <d v="2024-02-28T00:00:00"/>
    <n v="22"/>
    <s v="2-2024"/>
    <x v="0"/>
    <x v="0"/>
    <s v="Kisumu"/>
    <s v="Non-Profit"/>
    <x v="1"/>
    <s v="K. Singh"/>
    <s v="Monitors"/>
    <s v="MON-2462"/>
    <n v="834.93"/>
    <n v="1588.53"/>
    <n v="0.126"/>
    <n v="6"/>
    <n v="8330.2513199999994"/>
    <n v="5009.58"/>
    <n v="3320.6713199999995"/>
    <n v="0.39862798761274343"/>
    <s v="Q1-2024"/>
    <s v="Africa → Kenya → Kisumu"/>
    <s v="Medium"/>
    <n v="2024"/>
    <n v="2"/>
    <s v="No"/>
    <s v="No"/>
    <n v="0.1"/>
    <n v="876.67650000000003"/>
    <n v="6.24"/>
    <n v="8921.1844799999999"/>
    <n v="5470.4613600000002"/>
    <n v="3450.7231199999997"/>
  </r>
  <r>
    <s v="ORD-2025-683043"/>
    <d v="2025-08-13T00:00:00"/>
    <d v="2025-09-03T00:00:00"/>
    <d v="2025-08-13T00:00:00"/>
    <d v="2025-09-03T00:00:00"/>
    <n v="21"/>
    <s v="8-2025"/>
    <x v="3"/>
    <x v="6"/>
    <s v="Paris"/>
    <s v="Education"/>
    <x v="0"/>
    <s v="I. Johnson"/>
    <s v="Phones"/>
    <s v="PHN-9465"/>
    <n v="603.47"/>
    <n v="1344.05"/>
    <n v="0.20499999999999999"/>
    <n v="18"/>
    <n v="19233.355499999998"/>
    <n v="10862.460000000001"/>
    <n v="8370.8954999999969"/>
    <n v="0.43522803392262976"/>
    <s v="Q3-2025"/>
    <s v="Europe → France → Paris"/>
    <s v="Medium"/>
    <n v="2025"/>
    <n v="8"/>
    <s v="No"/>
    <s v="Yes"/>
    <n v="0.1"/>
    <n v="633.64350000000002"/>
    <n v="18.72"/>
    <n v="22644.554399999997"/>
    <n v="11861.80632"/>
    <n v="10782.748079999998"/>
  </r>
  <r>
    <s v="ORD-2025-487261"/>
    <d v="2025-03-06T00:00:00"/>
    <d v="2025-03-31T00:00:00"/>
    <d v="2025-03-06T00:00:00"/>
    <d v="2025-03-31T00:00:00"/>
    <n v="25"/>
    <s v="3-2025"/>
    <x v="2"/>
    <x v="5"/>
    <s v="Brasília"/>
    <s v="Non-Profit"/>
    <x v="1"/>
    <s v="J. Njeri"/>
    <s v="Components"/>
    <s v="CMP-3693"/>
    <n v="331.57"/>
    <n v="548.4"/>
    <n v="9.4E-2"/>
    <n v="10"/>
    <n v="4968.5039999999999"/>
    <n v="3315.7"/>
    <n v="1652.8040000000001"/>
    <n v="0.33265626836568918"/>
    <s v="Q1-2025"/>
    <s v="Americas → Brazil → Brasília"/>
    <s v="Low"/>
    <n v="2025"/>
    <n v="3"/>
    <s v="No"/>
    <s v="No"/>
    <n v="9.4E-2"/>
    <n v="348.14850000000001"/>
    <n v="10.4"/>
    <n v="5167.2441600000002"/>
    <n v="3620.7444"/>
    <n v="1546.4997600000002"/>
  </r>
  <r>
    <s v="ORD-2024-641220"/>
    <d v="2024-05-10T00:00:00"/>
    <d v="2024-05-16T00:00:00"/>
    <d v="2024-05-10T00:00:00"/>
    <d v="2024-05-16T00:00:00"/>
    <n v="6"/>
    <s v="5-2024"/>
    <x v="3"/>
    <x v="7"/>
    <s v="Birmingham"/>
    <s v="Non-Profit"/>
    <x v="4"/>
    <s v="G. Dubois"/>
    <s v="Laptops"/>
    <s v="LAP-1066"/>
    <n v="210.76"/>
    <n v="221.58"/>
    <n v="8.8999999999999996E-2"/>
    <n v="5"/>
    <n v="1009.2969000000002"/>
    <n v="1053.8"/>
    <n v="-44.50309999999979"/>
    <n v="-4.4093170205912434E-2"/>
    <s v="Q2-2024"/>
    <s v="Europe → United Kingdom → Birmingham"/>
    <s v="Low"/>
    <n v="2024"/>
    <n v="5"/>
    <s v="Yes"/>
    <s v="No"/>
    <n v="8.8999999999999996E-2"/>
    <n v="221.298"/>
    <n v="5.2"/>
    <n v="1049.6687760000002"/>
    <n v="1150.7496000000001"/>
    <n v="-101.08082399999989"/>
  </r>
  <r>
    <s v="ORD-2023-799597"/>
    <d v="2023-03-14T00:00:00"/>
    <d v="2023-03-18T00:00:00"/>
    <d v="2023-03-14T00:00:00"/>
    <d v="2023-03-18T00:00:00"/>
    <n v="4"/>
    <s v="3-2023"/>
    <x v="3"/>
    <x v="11"/>
    <s v="Frankfurt"/>
    <s v="Enterprise"/>
    <x v="4"/>
    <s v="A. Patel"/>
    <s v="Components"/>
    <s v="CMP-8675"/>
    <n v="472.33"/>
    <n v="360.34"/>
    <n v="0.16500000000000001"/>
    <n v="14"/>
    <n v="4212.3745999999992"/>
    <n v="6612.62"/>
    <n v="-2400.2454000000007"/>
    <n v="-0.56980815523861561"/>
    <s v="Q1-2023"/>
    <s v="Europe → Germany → Frankfurt"/>
    <s v="Low"/>
    <n v="2023"/>
    <n v="3"/>
    <s v="Yes"/>
    <s v="No"/>
    <n v="0.1"/>
    <n v="495.94650000000001"/>
    <n v="14.56"/>
    <n v="4721.8953600000004"/>
    <n v="7220.9810400000006"/>
    <n v="-2499.0856800000001"/>
  </r>
  <r>
    <s v="ORD-2023-569862"/>
    <d v="2023-07-16T00:00:00"/>
    <d v="2023-08-13T00:00:00"/>
    <d v="2023-07-16T00:00:00"/>
    <d v="2023-08-13T00:00:00"/>
    <n v="28"/>
    <s v="7-2023"/>
    <x v="3"/>
    <x v="7"/>
    <s v="Manchester"/>
    <s v="Non-Profit"/>
    <x v="1"/>
    <s v="J. Njeri"/>
    <s v="Laptops"/>
    <s v="LAP-1178"/>
    <n v="1039.03"/>
    <n v="2545.81"/>
    <n v="0.216"/>
    <n v="21"/>
    <n v="41914.215840000004"/>
    <n v="21819.63"/>
    <n v="20094.585840000003"/>
    <n v="0.47942172929364774"/>
    <s v="Q3-2023"/>
    <s v="Europe → United Kingdom → Manchester"/>
    <s v="High"/>
    <n v="2023"/>
    <n v="7"/>
    <s v="No"/>
    <s v="Yes"/>
    <n v="0.1"/>
    <n v="1090.9815000000001"/>
    <n v="21.84"/>
    <n v="50040.441359999997"/>
    <n v="23827.035960000001"/>
    <n v="26213.405399999996"/>
  </r>
  <r>
    <s v="ORD-2023-944052"/>
    <d v="2023-08-30T00:00:00"/>
    <d v="2023-09-03T00:00:00"/>
    <d v="2023-08-30T00:00:00"/>
    <d v="2023-09-03T00:00:00"/>
    <n v="4"/>
    <s v="8-2023"/>
    <x v="1"/>
    <x v="4"/>
    <s v="Delhi"/>
    <s v="Small Business"/>
    <x v="2"/>
    <s v="L. Okafor"/>
    <s v="Accessories"/>
    <s v="ACC-3068"/>
    <n v="1082.25"/>
    <n v="2433.34"/>
    <n v="0.27"/>
    <n v="4"/>
    <n v="7105.3528000000006"/>
    <n v="4329"/>
    <n v="2776.3528000000006"/>
    <n v="0.3907410199251472"/>
    <s v="Q3-2023"/>
    <s v="Asia → India → Delhi"/>
    <s v="High"/>
    <n v="2023"/>
    <n v="8"/>
    <s v="Yes"/>
    <s v="Yes"/>
    <n v="0.1"/>
    <n v="1136.3625"/>
    <n v="4.16"/>
    <n v="9110.4249600000003"/>
    <n v="4727.268"/>
    <n v="4383.1569600000003"/>
  </r>
  <r>
    <s v="ORD-2024-105586"/>
    <d v="2024-01-02T00:00:00"/>
    <d v="2024-01-15T00:00:00"/>
    <d v="2024-01-02T00:00:00"/>
    <d v="2024-01-15T00:00:00"/>
    <n v="13"/>
    <s v="1-2024"/>
    <x v="1"/>
    <x v="2"/>
    <s v="Nagoya"/>
    <s v="Small Business"/>
    <x v="2"/>
    <s v="G. Dubois"/>
    <s v="Networking"/>
    <s v="NET-1893"/>
    <n v="1219.06"/>
    <n v="2738.69"/>
    <n v="7.5999999999999998E-2"/>
    <n v="16"/>
    <n v="40488.792960000006"/>
    <n v="19504.96"/>
    <n v="20983.832960000007"/>
    <n v="0.51826274447673737"/>
    <s v="Q1-2024"/>
    <s v="Asia → Japan → Nagoya"/>
    <s v="High"/>
    <n v="2024"/>
    <n v="1"/>
    <s v="No"/>
    <s v="No"/>
    <n v="7.5999999999999998E-2"/>
    <n v="1280.0129999999999"/>
    <n v="16.64"/>
    <n v="42108.344678400004"/>
    <n v="21299.41632"/>
    <n v="20808.928358400004"/>
  </r>
  <r>
    <s v="ORD-2024-207792"/>
    <d v="2024-09-03T00:00:00"/>
    <d v="2024-09-07T00:00:00"/>
    <d v="2024-09-03T00:00:00"/>
    <d v="2024-09-07T00:00:00"/>
    <n v="4"/>
    <s v="9-2024"/>
    <x v="1"/>
    <x v="2"/>
    <s v="Tokyo"/>
    <s v="Small Business"/>
    <x v="3"/>
    <s v="N. Brown"/>
    <s v="Printers"/>
    <s v="PRN-3917"/>
    <n v="43.23"/>
    <n v="94.78"/>
    <n v="9.0999999999999998E-2"/>
    <n v="55"/>
    <n v="4738.5261"/>
    <n v="2377.6499999999996"/>
    <n v="2360.8761000000004"/>
    <n v="0.49823005090127082"/>
    <s v="Q3-2024"/>
    <s v="Asia → Japan → Tokyo"/>
    <s v="Low"/>
    <n v="2024"/>
    <n v="9"/>
    <s v="Yes"/>
    <s v="No"/>
    <n v="9.0999999999999998E-2"/>
    <n v="45.391500000000001"/>
    <n v="57.2"/>
    <n v="4928.0671440000006"/>
    <n v="2596.3938000000003"/>
    <n v="2331.6733440000003"/>
  </r>
  <r>
    <s v="ORD-2025-417336"/>
    <d v="2025-08-30T00:00:00"/>
    <d v="2025-09-03T00:00:00"/>
    <d v="2025-08-30T00:00:00"/>
    <d v="2025-09-03T00:00:00"/>
    <n v="4"/>
    <s v="8-2025"/>
    <x v="3"/>
    <x v="6"/>
    <s v="Marseille"/>
    <s v="Small Business"/>
    <x v="2"/>
    <s v="J. Njeri"/>
    <s v="Laptops"/>
    <s v="LAP-3220"/>
    <n v="1286.56"/>
    <n v="2777.35"/>
    <n v="0.13200000000000001"/>
    <n v="15"/>
    <n v="36161.097000000002"/>
    <n v="19298.399999999998"/>
    <n v="16862.697000000004"/>
    <n v="0.46632150014696744"/>
    <s v="Q3-2025"/>
    <s v="Europe → France → Marseille"/>
    <s v="High"/>
    <n v="2025"/>
    <n v="8"/>
    <s v="Yes"/>
    <s v="No"/>
    <n v="0.1"/>
    <n v="1350.8879999999999"/>
    <n v="15.600000000000001"/>
    <n v="38993.994000000006"/>
    <n v="21073.852800000001"/>
    <n v="17920.141200000005"/>
  </r>
  <r>
    <s v="ORD-2025-252117"/>
    <d v="2025-04-28T00:00:00"/>
    <d v="2025-05-19T00:00:00"/>
    <d v="2025-04-28T00:00:00"/>
    <d v="2025-05-19T00:00:00"/>
    <n v="21"/>
    <s v="4-2025"/>
    <x v="3"/>
    <x v="11"/>
    <s v="Berlin"/>
    <s v="Corporate"/>
    <x v="3"/>
    <s v="B. Chen"/>
    <s v="Phones"/>
    <s v="PHN-2462"/>
    <n v="350.76"/>
    <n v="492.18"/>
    <n v="5.2999999999999999E-2"/>
    <n v="11"/>
    <n v="5127.0390600000001"/>
    <n v="3858.3599999999997"/>
    <n v="1268.6790600000004"/>
    <n v="0.24744868239798437"/>
    <s v="Q2-2025"/>
    <s v="Europe → Germany → Berlin"/>
    <s v="Low"/>
    <n v="2025"/>
    <n v="4"/>
    <s v="No"/>
    <s v="No"/>
    <n v="5.2999999999999999E-2"/>
    <n v="368.298"/>
    <n v="11.440000000000001"/>
    <n v="5332.1206224000007"/>
    <n v="4213.3291200000003"/>
    <n v="1118.7915024000004"/>
  </r>
  <r>
    <s v="ORD-2025-680118"/>
    <d v="2025-03-10T00:00:00"/>
    <d v="2025-03-27T00:00:00"/>
    <d v="2025-03-10T00:00:00"/>
    <d v="2025-03-27T00:00:00"/>
    <n v="17"/>
    <s v="3-2025"/>
    <x v="2"/>
    <x v="5"/>
    <s v="Rio de Janeiro"/>
    <s v="Enterprise"/>
    <x v="4"/>
    <s v="F. Müller"/>
    <s v="Networking"/>
    <s v="NET-6269"/>
    <n v="996.73"/>
    <n v="1217.43"/>
    <n v="7.0000000000000007E-2"/>
    <n v="9"/>
    <n v="10189.8891"/>
    <n v="8970.57"/>
    <n v="1219.3191000000006"/>
    <n v="0.11965970267527255"/>
    <s v="Q1-2025"/>
    <s v="Americas → Brazil → Rio de Janeiro"/>
    <s v="Medium"/>
    <n v="2025"/>
    <n v="3"/>
    <s v="No"/>
    <s v="No"/>
    <n v="7.0000000000000007E-2"/>
    <n v="1046.5665000000001"/>
    <n v="9.36"/>
    <n v="10597.484664"/>
    <n v="9795.8624400000008"/>
    <n v="801.62222399999882"/>
  </r>
  <r>
    <s v="ORD-2024-382152"/>
    <d v="2024-12-08T00:00:00"/>
    <d v="2024-12-08T00:00:00"/>
    <d v="2024-12-08T00:00:00"/>
    <d v="2024-12-08T00:00:00"/>
    <n v="0"/>
    <s v="12-2024"/>
    <x v="3"/>
    <x v="6"/>
    <s v="Lyon"/>
    <s v="Enterprise"/>
    <x v="0"/>
    <s v="H. Kim"/>
    <s v="Components"/>
    <s v="CMP-2335"/>
    <n v="257.44"/>
    <n v="290.33"/>
    <n v="9.1999999999999998E-2"/>
    <n v="23"/>
    <n v="6063.2517199999993"/>
    <n v="5921.12"/>
    <n v="142.1317199999994"/>
    <n v="2.3441500792581216E-2"/>
    <s v="Q4-2024"/>
    <s v="Europe → France → Lyon"/>
    <s v="Low"/>
    <n v="2024"/>
    <n v="12"/>
    <s v="Yes"/>
    <s v="No"/>
    <n v="9.1999999999999998E-2"/>
    <n v="270.31200000000001"/>
    <n v="23.92"/>
    <n v="6305.7817888000009"/>
    <n v="6465.8630400000011"/>
    <n v="-160.08125120000022"/>
  </r>
  <r>
    <s v="ORD-2023-597666"/>
    <d v="2023-10-25T00:00:00"/>
    <d v="2023-11-24T00:00:00"/>
    <d v="2023-10-25T00:00:00"/>
    <d v="2023-11-24T00:00:00"/>
    <n v="30"/>
    <s v="10-2023"/>
    <x v="3"/>
    <x v="6"/>
    <s v="Paris"/>
    <s v="Enterprise"/>
    <x v="3"/>
    <s v="C. Otieno"/>
    <s v="Phones"/>
    <s v="PHN-5938"/>
    <n v="287.85000000000002"/>
    <n v="602.91999999999996"/>
    <n v="0.222"/>
    <n v="11"/>
    <n v="5159.7893599999998"/>
    <n v="3166.3500000000004"/>
    <n v="1993.4393599999994"/>
    <n v="0.38634122847216373"/>
    <s v="Q4-2023"/>
    <s v="Europe → France → Paris"/>
    <s v="Low"/>
    <n v="2023"/>
    <n v="10"/>
    <s v="No"/>
    <s v="Yes"/>
    <n v="0.1"/>
    <n v="302.24250000000006"/>
    <n v="11.440000000000001"/>
    <n v="6207.6643200000008"/>
    <n v="3457.6542000000013"/>
    <n v="2750.0101199999995"/>
  </r>
  <r>
    <s v="ORD-2024-371409"/>
    <d v="2024-11-17T00:00:00"/>
    <d v="2024-11-28T00:00:00"/>
    <d v="2024-11-17T00:00:00"/>
    <d v="2024-11-28T00:00:00"/>
    <n v="11"/>
    <s v="11-2024"/>
    <x v="2"/>
    <x v="3"/>
    <s v="Unknown City"/>
    <s v="Consumer"/>
    <x v="3"/>
    <s v="A. Patel"/>
    <s v="Printers"/>
    <s v="PRN-1371"/>
    <n v="1008.16"/>
    <n v="2077.5"/>
    <n v="7.3999999999999996E-2"/>
    <n v="15"/>
    <n v="28856.475000000002"/>
    <n v="15122.4"/>
    <n v="13734.075000000003"/>
    <n v="0.47594430712691005"/>
    <s v="Q4-2024"/>
    <s v="Americas → Canada → Unknown City"/>
    <s v="High"/>
    <n v="2024"/>
    <n v="11"/>
    <s v="No"/>
    <s v="No"/>
    <n v="7.3999999999999996E-2"/>
    <n v="1058.568"/>
    <n v="15.600000000000001"/>
    <n v="30010.734000000004"/>
    <n v="16513.660800000001"/>
    <n v="13497.073200000003"/>
  </r>
  <r>
    <s v="ORD-2024-973420"/>
    <d v="2024-05-12T00:00:00"/>
    <d v="2024-05-24T00:00:00"/>
    <d v="2024-05-12T00:00:00"/>
    <d v="2024-05-24T00:00:00"/>
    <n v="12"/>
    <s v="5-2024"/>
    <x v="3"/>
    <x v="7"/>
    <s v="Manchester"/>
    <s v="Education"/>
    <x v="2"/>
    <s v="K. Singh"/>
    <s v="Printers"/>
    <s v="PRN-5813"/>
    <n v="111.02"/>
    <n v="172.88"/>
    <n v="0.19700000000000001"/>
    <n v="29"/>
    <n v="4025.8565599999993"/>
    <n v="3219.58"/>
    <n v="806.27655999999934"/>
    <n v="0.20027453735212053"/>
    <s v="Q2-2024"/>
    <s v="Europe → United Kingdom → Manchester"/>
    <s v="Low"/>
    <n v="2024"/>
    <n v="5"/>
    <s v="No"/>
    <s v="No"/>
    <n v="0.1"/>
    <n v="116.571"/>
    <n v="30.16"/>
    <n v="4692.6547200000005"/>
    <n v="3515.7813599999999"/>
    <n v="1176.8733600000005"/>
  </r>
  <r>
    <s v="ORD-2025-254721"/>
    <d v="2025-05-15T00:00:00"/>
    <d v="2025-06-05T00:00:00"/>
    <d v="2025-05-15T00:00:00"/>
    <d v="2025-06-05T00:00:00"/>
    <n v="21"/>
    <s v="5-2025"/>
    <x v="1"/>
    <x v="2"/>
    <s v="Osaka"/>
    <s v="Enterprise"/>
    <x v="4"/>
    <s v="H. Kim"/>
    <s v="Phones"/>
    <s v="PHN-6480"/>
    <n v="1466.5"/>
    <n v="2778.74"/>
    <n v="0.13500000000000001"/>
    <n v="4"/>
    <n v="9614.4403999999995"/>
    <n v="5866"/>
    <n v="3748.4403999999995"/>
    <n v="0.38987608680792279"/>
    <s v="Q2-2025"/>
    <s v="Asia → Japan → Osaka"/>
    <s v="High"/>
    <n v="2025"/>
    <n v="5"/>
    <s v="No"/>
    <s v="No"/>
    <n v="0.1"/>
    <n v="1539.825"/>
    <n v="4.16"/>
    <n v="10403.602559999999"/>
    <n v="6405.6720000000005"/>
    <n v="3997.9305599999989"/>
  </r>
  <r>
    <s v="ORD-2023-173313"/>
    <d v="2023-06-15T00:00:00"/>
    <d v="2023-07-12T00:00:00"/>
    <d v="2023-06-15T00:00:00"/>
    <d v="2023-07-12T00:00:00"/>
    <n v="27"/>
    <s v="6-2023"/>
    <x v="3"/>
    <x v="7"/>
    <s v="Manchester"/>
    <s v="Consumer"/>
    <x v="4"/>
    <s v="I. Johnson"/>
    <s v="Accessories"/>
    <s v="ACC-3833"/>
    <n v="751.28"/>
    <n v="1111.8800000000001"/>
    <n v="0.13500000000000001"/>
    <n v="7"/>
    <n v="6732.4334000000008"/>
    <n v="5258.96"/>
    <n v="1473.4734000000008"/>
    <n v="0.21886193482433863"/>
    <s v="Q2-2023"/>
    <s v="Europe → United Kingdom → Manchester"/>
    <s v="Low"/>
    <n v="2023"/>
    <n v="6"/>
    <s v="No"/>
    <s v="No"/>
    <n v="0.1"/>
    <n v="788.84400000000005"/>
    <n v="7.28"/>
    <n v="7285.0377600000011"/>
    <n v="5742.7843200000007"/>
    <n v="1542.2534400000004"/>
  </r>
  <r>
    <s v="ORD-2024-792353"/>
    <d v="2024-08-19T00:00:00"/>
    <d v="2024-09-07T00:00:00"/>
    <d v="2024-08-19T00:00:00"/>
    <d v="2024-09-07T00:00:00"/>
    <n v="19"/>
    <s v="8-2024"/>
    <x v="3"/>
    <x v="6"/>
    <s v="Lyon"/>
    <s v="Corporate"/>
    <x v="4"/>
    <s v="J. Njeri"/>
    <s v="Components"/>
    <s v="CMP-5435"/>
    <n v="297.58999999999997"/>
    <n v="666.41"/>
    <n v="0"/>
    <n v="10"/>
    <n v="6664.0999999999995"/>
    <n v="2975.8999999999996"/>
    <n v="3688.2"/>
    <n v="0.55344307558409989"/>
    <s v="Q3-2024"/>
    <s v="Europe → France → Lyon"/>
    <s v="Low"/>
    <n v="2024"/>
    <n v="8"/>
    <s v="No"/>
    <s v="No"/>
    <n v="0"/>
    <n v="312.46949999999998"/>
    <n v="10.4"/>
    <n v="6930.6639999999998"/>
    <n v="3249.6828"/>
    <n v="3680.9811999999997"/>
  </r>
  <r>
    <s v="ORD-2025-678328"/>
    <d v="2025-06-24T00:00:00"/>
    <d v="2025-07-14T00:00:00"/>
    <d v="2025-06-24T00:00:00"/>
    <d v="2025-07-14T00:00:00"/>
    <n v="20"/>
    <s v="6-2025"/>
    <x v="3"/>
    <x v="11"/>
    <s v="Berlin"/>
    <s v="Corporate"/>
    <x v="4"/>
    <s v="O. Wang"/>
    <s v="Accessories"/>
    <s v="ACC-8094"/>
    <n v="385.08"/>
    <n v="893.19"/>
    <n v="0.151"/>
    <n v="8"/>
    <n v="6066.54648"/>
    <n v="3080.64"/>
    <n v="2985.9064800000001"/>
    <n v="0.49219213762621666"/>
    <s v="Q2-2025"/>
    <s v="Europe → Germany → Berlin"/>
    <s v="Low"/>
    <n v="2025"/>
    <n v="6"/>
    <s v="No"/>
    <s v="No"/>
    <n v="0.1"/>
    <n v="404.334"/>
    <n v="8.32"/>
    <n v="6688.206720000001"/>
    <n v="3364.05888"/>
    <n v="3324.147840000001"/>
  </r>
  <r>
    <s v="ORD-2025-752845"/>
    <d v="2025-03-30T00:00:00"/>
    <d v="2025-04-07T00:00:00"/>
    <d v="2025-03-30T00:00:00"/>
    <d v="2025-04-07T00:00:00"/>
    <n v="8"/>
    <s v="3-2025"/>
    <x v="2"/>
    <x v="5"/>
    <s v="São Paulo"/>
    <s v="Non-Profit"/>
    <x v="4"/>
    <s v="L. Okafor"/>
    <s v="Printers"/>
    <s v="PRN-8763"/>
    <n v="71.62"/>
    <n v="118.37"/>
    <n v="0.156"/>
    <n v="11"/>
    <n v="1098.9470800000001"/>
    <n v="787.82"/>
    <n v="311.12708000000009"/>
    <n v="0.28311379652603474"/>
    <s v="Q1-2025"/>
    <s v="Americas → Brazil → São Paulo"/>
    <s v="Low"/>
    <n v="2025"/>
    <n v="3"/>
    <s v="No"/>
    <s v="No"/>
    <n v="0.1"/>
    <n v="75.201000000000008"/>
    <n v="11.440000000000001"/>
    <n v="1218.7375200000004"/>
    <n v="860.29944000000023"/>
    <n v="358.43808000000013"/>
  </r>
  <r>
    <s v="ORD-2024-478165"/>
    <d v="2024-12-05T00:00:00"/>
    <d v="2024-12-28T00:00:00"/>
    <d v="2024-12-05T00:00:00"/>
    <d v="2024-12-28T00:00:00"/>
    <n v="23"/>
    <s v="12-2024"/>
    <x v="2"/>
    <x v="3"/>
    <s v="Vancouver"/>
    <s v="Corporate"/>
    <x v="4"/>
    <s v="F. Müller"/>
    <s v="Accessories"/>
    <s v="ACC-2386"/>
    <n v="107.03"/>
    <n v="242.29"/>
    <n v="0.18"/>
    <n v="30"/>
    <n v="5960.3340000000007"/>
    <n v="3210.9"/>
    <n v="2749.4340000000007"/>
    <n v="0.46128857879440988"/>
    <s v="Q4-2024"/>
    <s v="Americas → Canada → Vancouver"/>
    <s v="Low"/>
    <n v="2024"/>
    <n v="12"/>
    <s v="No"/>
    <s v="No"/>
    <n v="0.1"/>
    <n v="112.3815"/>
    <n v="31.200000000000003"/>
    <n v="6803.5032000000001"/>
    <n v="3506.3028000000004"/>
    <n v="3297.2003999999997"/>
  </r>
  <r>
    <s v="ORD-2024-433936"/>
    <d v="2024-08-04T00:00:00"/>
    <d v="2024-08-17T00:00:00"/>
    <d v="2024-08-04T00:00:00"/>
    <d v="2024-08-17T00:00:00"/>
    <n v="13"/>
    <s v="8-2024"/>
    <x v="2"/>
    <x v="9"/>
    <s v="Austin"/>
    <s v="Consumer"/>
    <x v="0"/>
    <s v="D. Smith"/>
    <s v="Monitors"/>
    <s v="MON-8867"/>
    <n v="352.79"/>
    <n v="754.22"/>
    <n v="0.113"/>
    <n v="7"/>
    <n v="4682.9519799999998"/>
    <n v="2469.5300000000002"/>
    <n v="2213.4219799999996"/>
    <n v="0.47265528014233443"/>
    <s v="Q3-2024"/>
    <s v="Americas → USA → Austin"/>
    <s v="Low"/>
    <n v="2024"/>
    <n v="8"/>
    <s v="No"/>
    <s v="No"/>
    <n v="0.1"/>
    <n v="370.42950000000002"/>
    <n v="7.28"/>
    <n v="4941.6494400000011"/>
    <n v="2696.72676"/>
    <n v="2244.922680000001"/>
  </r>
  <r>
    <s v="ORD-2025-765220"/>
    <d v="2025-04-06T00:00:00"/>
    <d v="2025-04-30T00:00:00"/>
    <d v="2025-04-06T00:00:00"/>
    <d v="2025-04-30T00:00:00"/>
    <n v="24"/>
    <s v="4-2025"/>
    <x v="2"/>
    <x v="5"/>
    <s v="Brasília"/>
    <s v="Education"/>
    <x v="1"/>
    <s v="K. Singh"/>
    <s v="Monitors"/>
    <s v="MON-4925"/>
    <n v="855.78"/>
    <n v="977.38"/>
    <n v="0.14699999999999999"/>
    <n v="38"/>
    <n v="31680.795320000001"/>
    <n v="32519.64"/>
    <n v="-838.84467999999833"/>
    <n v="-2.6478018355506307E-2"/>
    <s v="Q2-2025"/>
    <s v="Americas → Brazil → Brasília"/>
    <s v="Low"/>
    <n v="2025"/>
    <n v="4"/>
    <s v="No"/>
    <s v="No"/>
    <n v="0.1"/>
    <n v="898.56899999999996"/>
    <n v="39.520000000000003"/>
    <n v="34763.451840000002"/>
    <n v="35511.446880000003"/>
    <n v="-747.99504000000161"/>
  </r>
  <r>
    <s v="ORD-2024-728474"/>
    <d v="2024-09-09T00:00:00"/>
    <d v="2024-09-13T00:00:00"/>
    <d v="2024-09-09T00:00:00"/>
    <d v="2024-09-13T00:00:00"/>
    <n v="4"/>
    <s v="9-2024"/>
    <x v="3"/>
    <x v="7"/>
    <s v="London"/>
    <s v="Consumer"/>
    <x v="2"/>
    <s v="F. Müller"/>
    <s v="Networking"/>
    <s v="NET-1145"/>
    <n v="1133.08"/>
    <n v="976.17"/>
    <n v="4.2000000000000003E-2"/>
    <n v="27"/>
    <n v="25249.613219999999"/>
    <n v="30593.159999999996"/>
    <n v="-5343.5467799999969"/>
    <n v="-0.21162885678452373"/>
    <s v="Q3-2024"/>
    <s v="Europe → United Kingdom → London"/>
    <s v="Low"/>
    <n v="2024"/>
    <n v="9"/>
    <s v="Yes"/>
    <s v="No"/>
    <n v="4.2000000000000003E-2"/>
    <n v="1189.7339999999999"/>
    <n v="28.080000000000002"/>
    <n v="26259.597748800003"/>
    <n v="33407.73072"/>
    <n v="-7148.132971199997"/>
  </r>
  <r>
    <s v="ORD-2025-640677"/>
    <d v="2025-04-09T00:00:00"/>
    <d v="2025-05-06T00:00:00"/>
    <d v="2025-04-09T00:00:00"/>
    <d v="2025-05-06T00:00:00"/>
    <n v="27"/>
    <s v="4-2025"/>
    <x v="2"/>
    <x v="5"/>
    <s v="Brasília"/>
    <s v="Enterprise"/>
    <x v="2"/>
    <s v="F. Müller"/>
    <s v="Laptops"/>
    <s v="LAP-4517"/>
    <n v="264.19"/>
    <n v="620.92999999999995"/>
    <n v="0.14199999999999999"/>
    <n v="12"/>
    <n v="6393.0952799999995"/>
    <n v="3170.2799999999997"/>
    <n v="3222.8152799999998"/>
    <n v="0.50410875152794532"/>
    <s v="Q2-2025"/>
    <s v="Americas → Brazil → Brasília"/>
    <s v="Low"/>
    <n v="2025"/>
    <n v="4"/>
    <s v="No"/>
    <s v="No"/>
    <n v="0.1"/>
    <n v="277.39949999999999"/>
    <n v="12.48"/>
    <n v="6974.2857599999998"/>
    <n v="3461.9457600000001"/>
    <n v="3512.3399999999997"/>
  </r>
  <r>
    <s v="ORD-2025-246692"/>
    <d v="2025-04-17T00:00:00"/>
    <d v="2025-04-17T00:00:00"/>
    <d v="2025-04-17T00:00:00"/>
    <d v="2025-04-17T00:00:00"/>
    <n v="0"/>
    <s v="4-2025"/>
    <x v="2"/>
    <x v="5"/>
    <s v="São Paulo"/>
    <s v="Corporate"/>
    <x v="3"/>
    <s v="L. Okafor"/>
    <s v="Phones"/>
    <s v="PHN-4566"/>
    <n v="719.41"/>
    <n v="1125.99"/>
    <n v="4.1000000000000002E-2"/>
    <n v="21"/>
    <n v="22676.312610000001"/>
    <n v="15107.609999999999"/>
    <n v="7568.7026100000021"/>
    <n v="0.33377131194876403"/>
    <s v="Q2-2025"/>
    <s v="Americas → Brazil → São Paulo"/>
    <s v="Low"/>
    <n v="2025"/>
    <n v="4"/>
    <s v="Yes"/>
    <s v="No"/>
    <n v="4.1000000000000002E-2"/>
    <n v="755.38049999999998"/>
    <n v="21.84"/>
    <n v="23583.365114399996"/>
    <n v="16497.510119999999"/>
    <n v="7085.8549943999969"/>
  </r>
  <r>
    <s v="ORD-2023-573656"/>
    <d v="2023-05-02T00:00:00"/>
    <d v="2023-05-16T00:00:00"/>
    <d v="2023-05-02T00:00:00"/>
    <d v="2023-05-16T00:00:00"/>
    <n v="14"/>
    <s v="5-2023"/>
    <x v="1"/>
    <x v="4"/>
    <s v="Bengaluru"/>
    <s v="Non-Profit"/>
    <x v="0"/>
    <s v="L. Okafor"/>
    <s v="Monitors"/>
    <s v="MON-4830"/>
    <n v="475.37"/>
    <n v="963.73"/>
    <n v="4.1000000000000002E-2"/>
    <n v="22"/>
    <n v="20332.775539999999"/>
    <n v="10458.14"/>
    <n v="9874.6355399999993"/>
    <n v="0.48565113604750881"/>
    <s v="Q2-2023"/>
    <s v="Asia → India → Bengaluru"/>
    <s v="Low"/>
    <n v="2023"/>
    <n v="5"/>
    <s v="No"/>
    <s v="No"/>
    <n v="4.1000000000000002E-2"/>
    <n v="499.13850000000002"/>
    <n v="22.880000000000003"/>
    <n v="21146.086561600005"/>
    <n v="11420.288880000002"/>
    <n v="9725.7976816000028"/>
  </r>
  <r>
    <s v="ORD-2024-567435"/>
    <d v="2024-04-26T00:00:00"/>
    <d v="2024-04-24T00:00:00"/>
    <d v="2024-04-24T00:00:00"/>
    <d v="2024-04-26T00:00:00"/>
    <n v="2"/>
    <s v="4-2024"/>
    <x v="3"/>
    <x v="7"/>
    <s v="London"/>
    <s v="Non-Profit"/>
    <x v="3"/>
    <s v="N. Brown"/>
    <s v="Phones"/>
    <s v="PHN-9107"/>
    <n v="1232.77"/>
    <n v="891.73"/>
    <n v="0.16700000000000001"/>
    <n v="10"/>
    <n v="7428.1108999999988"/>
    <n v="12327.7"/>
    <n v="-4899.589100000002"/>
    <n v="-0.65960096260813805"/>
    <s v="Q2-2024"/>
    <s v="Europe → United Kingdom → London"/>
    <s v="Low"/>
    <n v="2024"/>
    <n v="4"/>
    <s v="Yes"/>
    <s v="No"/>
    <n v="0.1"/>
    <n v="1294.4085"/>
    <n v="10.4"/>
    <n v="8346.5928000000004"/>
    <n v="13461.848400000001"/>
    <n v="-5115.2556000000004"/>
  </r>
  <r>
    <s v="ORD-2023-744942"/>
    <d v="2023-02-23T00:00:00"/>
    <d v="2023-03-18T00:00:00"/>
    <d v="2023-02-23T00:00:00"/>
    <d v="2023-03-18T00:00:00"/>
    <n v="23"/>
    <s v="2-2023"/>
    <x v="1"/>
    <x v="8"/>
    <s v="Beijing"/>
    <s v="Education"/>
    <x v="3"/>
    <s v="K. Singh"/>
    <s v="Printers"/>
    <s v="PRN-1060"/>
    <n v="770.11"/>
    <n v="1667.82"/>
    <n v="6.9000000000000006E-2"/>
    <n v="7"/>
    <n v="10869.182940000001"/>
    <n v="5390.77"/>
    <n v="5478.4129400000002"/>
    <n v="0.50403171703355287"/>
    <s v="Q1-2023"/>
    <s v="Asia → China → Beijing"/>
    <s v="Medium"/>
    <n v="2023"/>
    <n v="2"/>
    <s v="No"/>
    <s v="No"/>
    <n v="6.9000000000000006E-2"/>
    <n v="808.6155"/>
    <n v="7.28"/>
    <n v="11303.950257600001"/>
    <n v="5886.72084"/>
    <n v="5417.2294176000014"/>
  </r>
  <r>
    <s v="ORD-2025-331237"/>
    <d v="2025-03-24T00:00:00"/>
    <d v="2025-03-25T00:00:00"/>
    <d v="2025-03-24T00:00:00"/>
    <d v="2025-03-25T00:00:00"/>
    <n v="1"/>
    <s v="3-2025"/>
    <x v="1"/>
    <x v="8"/>
    <s v="Beijing"/>
    <s v="Non-Profit"/>
    <x v="1"/>
    <s v="G. Dubois"/>
    <s v="Networking"/>
    <s v="NET-8329"/>
    <n v="1133.03"/>
    <n v="1921.51"/>
    <n v="0.10100000000000001"/>
    <n v="5"/>
    <n v="8637.1874499999994"/>
    <n v="5665.15"/>
    <n v="2972.0374499999998"/>
    <n v="0.3440978289755654"/>
    <s v="Q1-2025"/>
    <s v="Asia → China → Beijing"/>
    <s v="High"/>
    <n v="2025"/>
    <n v="3"/>
    <s v="Yes"/>
    <s v="No"/>
    <n v="0.1"/>
    <n v="1189.6814999999999"/>
    <n v="5.2"/>
    <n v="8992.6668000000009"/>
    <n v="6186.3437999999996"/>
    <n v="2806.3230000000012"/>
  </r>
  <r>
    <s v="ORD-2025-907040"/>
    <d v="2025-04-17T00:00:00"/>
    <d v="2025-05-03T00:00:00"/>
    <d v="2025-04-17T00:00:00"/>
    <d v="2025-05-03T00:00:00"/>
    <n v="16"/>
    <s v="4-2025"/>
    <x v="2"/>
    <x v="5"/>
    <s v="Rio de Janeiro"/>
    <s v="Consumer"/>
    <x v="2"/>
    <s v="J. Njeri"/>
    <s v="Networking"/>
    <s v="NET-8610"/>
    <n v="168.68"/>
    <n v="413.34"/>
    <n v="0.186"/>
    <n v="7"/>
    <n v="2355.2113199999999"/>
    <n v="1180.76"/>
    <n v="1174.4513199999999"/>
    <n v="0.49866069767361682"/>
    <s v="Q2-2025"/>
    <s v="Americas → Brazil → Rio de Janeiro"/>
    <s v="Low"/>
    <n v="2025"/>
    <n v="4"/>
    <s v="No"/>
    <s v="No"/>
    <n v="0.1"/>
    <n v="177.114"/>
    <n v="7.28"/>
    <n v="2708.2036799999996"/>
    <n v="1289.3899200000001"/>
    <n v="1418.8137599999995"/>
  </r>
  <r>
    <s v="ORD-2024-310809"/>
    <d v="2024-04-05T00:00:00"/>
    <d v="2024-04-09T00:00:00"/>
    <d v="2024-04-05T00:00:00"/>
    <d v="2024-04-09T00:00:00"/>
    <n v="4"/>
    <s v="4-2024"/>
    <x v="0"/>
    <x v="1"/>
    <s v="Lagos"/>
    <s v="Non-Profit"/>
    <x v="4"/>
    <s v="K. Singh"/>
    <s v="Components"/>
    <s v="CMP-6529"/>
    <n v="395.07"/>
    <n v="970.27"/>
    <n v="0.123"/>
    <n v="38"/>
    <n v="32335.21802"/>
    <n v="15012.66"/>
    <n v="17322.55802"/>
    <n v="0.53571799049833657"/>
    <s v="Q2-2024"/>
    <s v="Africa → Nigeria → Lagos"/>
    <s v="Low"/>
    <n v="2024"/>
    <n v="4"/>
    <s v="Yes"/>
    <s v="No"/>
    <n v="0.1"/>
    <n v="414.82350000000002"/>
    <n v="39.520000000000003"/>
    <n v="34510.563360000007"/>
    <n v="16393.824720000001"/>
    <n v="18116.738640000007"/>
  </r>
  <r>
    <s v="ORD-2025-474368"/>
    <d v="2025-04-27T00:00:00"/>
    <d v="2025-05-17T00:00:00"/>
    <d v="2025-04-27T00:00:00"/>
    <d v="2025-05-17T00:00:00"/>
    <n v="20"/>
    <s v="4-2025"/>
    <x v="2"/>
    <x v="9"/>
    <s v="Austin"/>
    <s v="Corporate"/>
    <x v="4"/>
    <s v="N. Brown"/>
    <s v="Phones"/>
    <s v="PHN-8776"/>
    <n v="932.26"/>
    <n v="1624.67"/>
    <n v="0.23499999999999999"/>
    <n v="28"/>
    <n v="34800.431400000001"/>
    <n v="26103.279999999999"/>
    <n v="8697.1514000000025"/>
    <n v="0.24991504559337163"/>
    <s v="Q2-2025"/>
    <s v="Americas → USA → Austin"/>
    <s v="Medium"/>
    <n v="2025"/>
    <n v="4"/>
    <s v="No"/>
    <s v="Yes"/>
    <n v="0.1"/>
    <n v="978.87300000000005"/>
    <n v="29.12"/>
    <n v="42579.351360000008"/>
    <n v="28504.781760000002"/>
    <n v="14074.569600000006"/>
  </r>
  <r>
    <s v="ORD-2024-732543"/>
    <d v="2024-10-24T00:00:00"/>
    <d v="2024-10-28T00:00:00"/>
    <d v="2024-10-24T00:00:00"/>
    <d v="2024-10-28T00:00:00"/>
    <n v="4"/>
    <s v="10-2024"/>
    <x v="1"/>
    <x v="8"/>
    <s v="Shanghai"/>
    <s v="Small Business"/>
    <x v="3"/>
    <s v="I. Johnson"/>
    <s v="Networking"/>
    <s v="NET-3728"/>
    <n v="1331.77"/>
    <n v="2606.11"/>
    <n v="0.02"/>
    <n v="6"/>
    <n v="15323.926799999999"/>
    <n v="7990.62"/>
    <n v="7333.3067999999994"/>
    <n v="0.47855271665745619"/>
    <s v="Q4-2024"/>
    <s v="Asia → China → Shanghai"/>
    <s v="High"/>
    <n v="2024"/>
    <n v="10"/>
    <s v="Yes"/>
    <s v="No"/>
    <n v="0.02"/>
    <n v="1398.3585"/>
    <n v="6.24"/>
    <n v="15936.883872"/>
    <n v="8725.7570400000004"/>
    <n v="7211.1268319999999"/>
  </r>
  <r>
    <s v="ORD-2023-867166"/>
    <d v="2023-04-13T00:00:00"/>
    <d v="2023-04-20T00:00:00"/>
    <d v="2023-04-13T00:00:00"/>
    <d v="2023-04-20T00:00:00"/>
    <n v="7"/>
    <s v="4-2023"/>
    <x v="3"/>
    <x v="6"/>
    <s v="Lyon"/>
    <s v="Small Business"/>
    <x v="1"/>
    <s v="A. Patel"/>
    <s v="Laptops"/>
    <s v="LAP-3565"/>
    <n v="227.02"/>
    <n v="434.72"/>
    <n v="9.8000000000000004E-2"/>
    <n v="10"/>
    <n v="3921.1744000000008"/>
    <n v="2270.2000000000003"/>
    <n v="1650.9744000000005"/>
    <n v="0.42104079838938052"/>
    <s v="Q2-2023"/>
    <s v="Europe → France → Lyon"/>
    <s v="Low"/>
    <n v="2023"/>
    <n v="4"/>
    <s v="Yes"/>
    <s v="No"/>
    <n v="9.8000000000000004E-2"/>
    <n v="238.37100000000001"/>
    <n v="10.4"/>
    <n v="4078.0213760000006"/>
    <n v="2479.0584000000003"/>
    <n v="1598.9629760000003"/>
  </r>
  <r>
    <s v="ORD-2024-776337"/>
    <d v="2024-11-12T00:00:00"/>
    <d v="2024-11-21T00:00:00"/>
    <d v="2024-11-12T00:00:00"/>
    <d v="2024-11-21T00:00:00"/>
    <n v="9"/>
    <s v="11-2024"/>
    <x v="1"/>
    <x v="4"/>
    <s v="Mumbai"/>
    <s v="Corporate"/>
    <x v="4"/>
    <s v="H. Kim"/>
    <s v="Laptops"/>
    <s v="LAP-5078"/>
    <n v="903.41"/>
    <n v="1860.41"/>
    <n v="0.108"/>
    <n v="5"/>
    <n v="8297.4286000000011"/>
    <n v="4517.05"/>
    <n v="3780.3786000000009"/>
    <n v="0.455608451996803"/>
    <s v="Q4-2024"/>
    <s v="Asia → India → Mumbai"/>
    <s v="Medium"/>
    <n v="2024"/>
    <n v="11"/>
    <s v="No"/>
    <s v="No"/>
    <n v="0.1"/>
    <n v="948.58050000000003"/>
    <n v="5.2"/>
    <n v="8706.7188000000024"/>
    <n v="4932.6186000000007"/>
    <n v="3774.1002000000017"/>
  </r>
  <r>
    <s v="ORD-2023-913592"/>
    <d v="2023-05-10T00:00:00"/>
    <d v="2023-05-14T00:00:00"/>
    <d v="2023-05-10T00:00:00"/>
    <d v="2023-05-14T00:00:00"/>
    <n v="4"/>
    <s v="5-2023"/>
    <x v="1"/>
    <x v="4"/>
    <s v="Delhi"/>
    <s v="Non-Profit"/>
    <x v="3"/>
    <s v="C. Otieno"/>
    <s v="Monitors"/>
    <s v="MON-2465"/>
    <n v="622.6"/>
    <n v="833.69"/>
    <n v="0.20899999999999999"/>
    <n v="14"/>
    <n v="9232.2830599999998"/>
    <n v="8716.4"/>
    <n v="515.88306000000011"/>
    <n v="5.5878167582959715E-2"/>
    <s v="Q2-2023"/>
    <s v="Asia → India → Delhi"/>
    <s v="Low"/>
    <n v="2023"/>
    <n v="5"/>
    <s v="Yes"/>
    <s v="Yes"/>
    <n v="0.1"/>
    <n v="653.73"/>
    <n v="14.56"/>
    <n v="10924.673760000001"/>
    <n v="9518.3088000000007"/>
    <n v="1406.3649600000008"/>
  </r>
  <r>
    <s v="ORD-2024-961501"/>
    <d v="2024-03-02T00:00:00"/>
    <d v="2024-03-23T00:00:00"/>
    <d v="2024-03-02T00:00:00"/>
    <d v="2024-03-23T00:00:00"/>
    <n v="21"/>
    <s v="3-2024"/>
    <x v="2"/>
    <x v="9"/>
    <s v="Chicago"/>
    <s v="Small Business"/>
    <x v="1"/>
    <s v="F. Müller"/>
    <s v="Components"/>
    <s v="CMP-3223"/>
    <n v="225.01"/>
    <n v="333.48"/>
    <n v="0.11899999999999999"/>
    <n v="12"/>
    <n v="3525.5505600000001"/>
    <n v="2700.12"/>
    <n v="825.43056000000024"/>
    <n v="0.23412813004729685"/>
    <s v="Q1-2024"/>
    <s v="Americas → USA → Chicago"/>
    <s v="Low"/>
    <n v="2024"/>
    <n v="3"/>
    <s v="No"/>
    <s v="No"/>
    <n v="0.1"/>
    <n v="236.26050000000001"/>
    <n v="12.48"/>
    <n v="3745.6473600000008"/>
    <n v="2948.5310400000003"/>
    <n v="797.11632000000054"/>
  </r>
  <r>
    <s v="ORD-2024-964950"/>
    <d v="2024-10-10T00:00:00"/>
    <d v="2024-10-11T00:00:00"/>
    <d v="2024-10-10T00:00:00"/>
    <d v="2024-10-11T00:00:00"/>
    <n v="1"/>
    <s v="10-2024"/>
    <x v="3"/>
    <x v="7"/>
    <s v="Manchester"/>
    <s v="Non-Profit"/>
    <x v="3"/>
    <s v="L. Okafor"/>
    <s v="Components"/>
    <s v="CMP-8127"/>
    <n v="1389.46"/>
    <n v="1784.7"/>
    <n v="0.14599999999999999"/>
    <n v="33"/>
    <n v="50296.415399999998"/>
    <n v="45852.18"/>
    <n v="4444.2353999999978"/>
    <n v="8.8360877503011831E-2"/>
    <s v="Q4-2024"/>
    <s v="Europe → United Kingdom → Manchester"/>
    <s v="Medium"/>
    <n v="2024"/>
    <n v="10"/>
    <s v="Yes"/>
    <s v="No"/>
    <n v="0.1"/>
    <n v="1458.933"/>
    <n v="34.32"/>
    <n v="55125.813600000001"/>
    <n v="50070.580560000002"/>
    <n v="5055.2330399999992"/>
  </r>
  <r>
    <s v="ORD-2023-349264"/>
    <d v="2023-06-01T00:00:00"/>
    <d v="2023-06-08T00:00:00"/>
    <d v="2023-06-01T00:00:00"/>
    <d v="2023-06-08T00:00:00"/>
    <n v="7"/>
    <s v="6-2023"/>
    <x v="3"/>
    <x v="11"/>
    <s v="Frankfurt"/>
    <s v="Consumer"/>
    <x v="1"/>
    <s v="A. Patel"/>
    <s v="Phones"/>
    <s v="PHN-1924"/>
    <n v="804.17"/>
    <n v="1072.29"/>
    <n v="3.2000000000000001E-2"/>
    <n v="5"/>
    <n v="5189.8836000000001"/>
    <n v="4020.85"/>
    <n v="1169.0336000000002"/>
    <n v="0.2252523736755869"/>
    <s v="Q2-2023"/>
    <s v="Europe → Germany → Frankfurt"/>
    <s v="Low"/>
    <n v="2023"/>
    <n v="6"/>
    <s v="Yes"/>
    <s v="No"/>
    <n v="3.2000000000000001E-2"/>
    <n v="844.37850000000003"/>
    <n v="5.2"/>
    <n v="5397.4789440000004"/>
    <n v="4390.7682000000004"/>
    <n v="1006.710744"/>
  </r>
  <r>
    <s v="ORD-2025-137394"/>
    <d v="2025-01-04T00:00:00"/>
    <d v="2025-01-05T00:00:00"/>
    <d v="2025-01-04T00:00:00"/>
    <d v="2025-01-05T00:00:00"/>
    <n v="1"/>
    <s v="1-2025"/>
    <x v="1"/>
    <x v="4"/>
    <s v="Delhi"/>
    <s v="Education"/>
    <x v="0"/>
    <s v="I. Johnson"/>
    <s v="Components"/>
    <s v="CMP-1156"/>
    <n v="1428.33"/>
    <n v="3028.05"/>
    <n v="0"/>
    <n v="11"/>
    <n v="33308.550000000003"/>
    <n v="15711.63"/>
    <n v="17596.920000000006"/>
    <n v="0.52830039134096207"/>
    <s v="Q1-2025"/>
    <s v="Asia → India → Delhi"/>
    <s v="High"/>
    <n v="2025"/>
    <n v="1"/>
    <s v="Yes"/>
    <s v="No"/>
    <n v="0"/>
    <n v="1499.7465"/>
    <n v="11.440000000000001"/>
    <n v="34640.892000000007"/>
    <n v="17157.099960000003"/>
    <n v="17483.792040000004"/>
  </r>
  <r>
    <s v="ORD-2025-635337"/>
    <d v="2025-08-05T00:00:00"/>
    <d v="2025-08-28T00:00:00"/>
    <d v="2025-08-05T00:00:00"/>
    <d v="2025-08-28T00:00:00"/>
    <n v="23"/>
    <s v="8-2025"/>
    <x v="1"/>
    <x v="4"/>
    <s v="Mumbai"/>
    <s v="Non-Profit"/>
    <x v="3"/>
    <s v="N. Brown"/>
    <s v="Laptops"/>
    <s v="LAP-3905"/>
    <n v="638.54"/>
    <n v="987.24"/>
    <n v="0"/>
    <n v="11"/>
    <n v="10859.64"/>
    <n v="7023.94"/>
    <n v="3835.7"/>
    <n v="0.35320692030306716"/>
    <s v="Q3-2025"/>
    <s v="Asia → India → Mumbai"/>
    <s v="Low"/>
    <n v="2025"/>
    <n v="8"/>
    <s v="No"/>
    <s v="No"/>
    <n v="0"/>
    <n v="670.46699999999998"/>
    <n v="11.440000000000001"/>
    <n v="11294.025600000001"/>
    <n v="7670.1424800000004"/>
    <n v="3623.8831200000004"/>
  </r>
  <r>
    <s v="ORD-2023-568013"/>
    <d v="2023-09-30T00:00:00"/>
    <d v="2023-10-30T00:00:00"/>
    <d v="2023-09-30T00:00:00"/>
    <d v="2023-10-30T00:00:00"/>
    <n v="30"/>
    <s v="9-2023"/>
    <x v="1"/>
    <x v="2"/>
    <s v="Tokyo"/>
    <s v="Enterprise"/>
    <x v="1"/>
    <s v="D. Smith"/>
    <s v="Printers"/>
    <s v="PRN-1786"/>
    <n v="649.13"/>
    <n v="975.43"/>
    <n v="0.157"/>
    <n v="27"/>
    <n v="22201.762229999997"/>
    <n v="17526.509999999998"/>
    <n v="4675.2522299999982"/>
    <n v="0.21058023149543473"/>
    <s v="Q3-2023"/>
    <s v="Asia → Japan → Tokyo"/>
    <s v="Low"/>
    <n v="2023"/>
    <n v="9"/>
    <s v="No"/>
    <s v="No"/>
    <n v="0.1"/>
    <n v="681.5865"/>
    <n v="28.080000000000002"/>
    <n v="24651.06696"/>
    <n v="19138.948920000003"/>
    <n v="5512.1180399999976"/>
  </r>
  <r>
    <s v="ORD-2023-181257"/>
    <d v="2023-11-15T00:00:00"/>
    <d v="2023-12-06T00:00:00"/>
    <d v="2023-11-15T00:00:00"/>
    <d v="2023-12-06T00:00:00"/>
    <n v="21"/>
    <s v="11-2023"/>
    <x v="3"/>
    <x v="7"/>
    <s v="Manchester"/>
    <s v="Education"/>
    <x v="4"/>
    <s v="H. Kim"/>
    <s v="Accessories"/>
    <s v="ACC-1060"/>
    <n v="1184.99"/>
    <n v="1154.3399999999999"/>
    <n v="2.8000000000000001E-2"/>
    <n v="5"/>
    <n v="5610.0923999999995"/>
    <n v="5924.95"/>
    <n v="-314.85760000000028"/>
    <n v="-5.6123424990290764E-2"/>
    <s v="Q4-2023"/>
    <s v="Europe → United Kingdom → Manchester"/>
    <s v="Low"/>
    <n v="2023"/>
    <n v="11"/>
    <s v="No"/>
    <s v="No"/>
    <n v="2.8000000000000001E-2"/>
    <n v="1244.2395000000001"/>
    <n v="5.2"/>
    <n v="5834.4960959999999"/>
    <n v="6470.0454000000009"/>
    <n v="-635.54930400000103"/>
  </r>
  <r>
    <s v="ORD-2024-402240"/>
    <d v="2024-05-01T00:00:00"/>
    <d v="2024-05-26T00:00:00"/>
    <d v="2024-05-01T00:00:00"/>
    <d v="2024-05-26T00:00:00"/>
    <n v="25"/>
    <s v="5-2024"/>
    <x v="3"/>
    <x v="11"/>
    <s v="Berlin"/>
    <s v="Non-Profit"/>
    <x v="0"/>
    <s v="B. Chen"/>
    <s v="Networking"/>
    <s v="NET-4228"/>
    <n v="930.71"/>
    <n v="1625.42"/>
    <n v="0.13800000000000001"/>
    <n v="7"/>
    <n v="9807.7842799999999"/>
    <n v="6514.97"/>
    <n v="3292.8142799999996"/>
    <n v="0.33573477821231196"/>
    <s v="Q2-2024"/>
    <s v="Europe → Germany → Berlin"/>
    <s v="Medium"/>
    <n v="2024"/>
    <n v="5"/>
    <s v="No"/>
    <s v="No"/>
    <n v="0.1"/>
    <n v="977.24550000000011"/>
    <n v="7.28"/>
    <n v="10649.751840000001"/>
    <n v="7114.347240000001"/>
    <n v="3535.4045999999998"/>
  </r>
  <r>
    <s v="ORD-2023-125739"/>
    <d v="2023-05-01T00:00:00"/>
    <d v="2023-05-18T00:00:00"/>
    <d v="2023-05-01T00:00:00"/>
    <d v="2023-05-18T00:00:00"/>
    <n v="17"/>
    <s v="5-2023"/>
    <x v="0"/>
    <x v="1"/>
    <s v="Port Harcourt"/>
    <s v="Corporate"/>
    <x v="4"/>
    <s v="F. Müller"/>
    <s v="Components"/>
    <s v="CMP-5633"/>
    <n v="327.97"/>
    <n v="299.94"/>
    <n v="4.9000000000000002E-2"/>
    <n v="3"/>
    <n v="855.72881999999993"/>
    <n v="983.91000000000008"/>
    <n v="-128.18118000000015"/>
    <n v="-0.14979182306843442"/>
    <s v="Q2-2023"/>
    <s v="Africa → Nigeria → Port Harcourt"/>
    <s v="Low"/>
    <n v="2023"/>
    <n v="5"/>
    <s v="No"/>
    <s v="No"/>
    <n v="4.9000000000000002E-2"/>
    <n v="344.36850000000004"/>
    <n v="3.12"/>
    <n v="889.95797279999999"/>
    <n v="1074.4297200000001"/>
    <n v="-184.4717472000001"/>
  </r>
  <r>
    <s v="ORD-2024-892879"/>
    <d v="2024-07-09T00:00:00"/>
    <d v="2024-08-08T00:00:00"/>
    <d v="2024-07-09T00:00:00"/>
    <d v="2024-08-08T00:00:00"/>
    <n v="30"/>
    <s v="7-2024"/>
    <x v="3"/>
    <x v="6"/>
    <s v="Marseille"/>
    <s v="Corporate"/>
    <x v="4"/>
    <s v="J. Njeri"/>
    <s v="Components"/>
    <s v="CMP-5825"/>
    <n v="1062.3800000000001"/>
    <n v="1503.96"/>
    <n v="0.18"/>
    <n v="6"/>
    <n v="7399.4832000000006"/>
    <n v="6374.2800000000007"/>
    <n v="1025.2031999999999"/>
    <n v="0.13855064905073369"/>
    <s v="Q3-2024"/>
    <s v="Europe → France → Marseille"/>
    <s v="Medium"/>
    <n v="2024"/>
    <n v="7"/>
    <s v="No"/>
    <s v="No"/>
    <n v="0.1"/>
    <n v="1115.4990000000003"/>
    <n v="6.24"/>
    <n v="8446.2393599999996"/>
    <n v="6960.7137600000015"/>
    <n v="1485.5255999999981"/>
  </r>
  <r>
    <s v="ORD-2023-472050"/>
    <d v="2023-05-10T00:00:00"/>
    <d v="2023-05-27T00:00:00"/>
    <d v="2023-05-10T00:00:00"/>
    <d v="2023-05-27T00:00:00"/>
    <n v="17"/>
    <s v="5-2023"/>
    <x v="1"/>
    <x v="4"/>
    <s v="Mumbai"/>
    <s v="Consumer"/>
    <x v="0"/>
    <s v="M. Rossi"/>
    <s v="Laptops"/>
    <s v="LAP-6499"/>
    <n v="1286.1600000000001"/>
    <n v="3101.11"/>
    <n v="0.1"/>
    <n v="23"/>
    <n v="64192.976999999999"/>
    <n v="29581.68"/>
    <n v="34611.296999999999"/>
    <n v="0.53917575749758417"/>
    <s v="Q2-2023"/>
    <s v="Asia → India → Mumbai"/>
    <s v="High"/>
    <n v="2023"/>
    <n v="5"/>
    <s v="No"/>
    <s v="No"/>
    <n v="0.1"/>
    <n v="1350.4680000000001"/>
    <n v="23.92"/>
    <n v="66760.696080000009"/>
    <n v="32303.194560000004"/>
    <n v="34457.501520000005"/>
  </r>
  <r>
    <s v="ORD-2023-302041"/>
    <d v="2023-10-04T00:00:00"/>
    <d v="2023-10-29T00:00:00"/>
    <d v="2023-10-04T00:00:00"/>
    <d v="2023-10-29T00:00:00"/>
    <n v="25"/>
    <s v="10-2023"/>
    <x v="2"/>
    <x v="9"/>
    <s v="San Francisco"/>
    <s v="Small Business"/>
    <x v="3"/>
    <s v="O. Wang"/>
    <s v="Accessories"/>
    <s v="ACC-5079"/>
    <n v="1239.8399999999999"/>
    <n v="1482.75"/>
    <n v="6.7000000000000004E-2"/>
    <n v="4"/>
    <n v="5533.6230000000005"/>
    <n v="4959.3599999999997"/>
    <n v="574.26300000000083"/>
    <n v="0.10377703721413634"/>
    <s v="Q4-2023"/>
    <s v="Americas → USA → San Francisco"/>
    <s v="Medium"/>
    <n v="2023"/>
    <n v="10"/>
    <s v="No"/>
    <s v="No"/>
    <n v="6.7000000000000004E-2"/>
    <n v="1301.8319999999999"/>
    <n v="4.16"/>
    <n v="5754.96792"/>
    <n v="5415.6211199999998"/>
    <n v="339.34680000000026"/>
  </r>
  <r>
    <s v="ORD-2024-833375"/>
    <d v="2024-04-24T00:00:00"/>
    <d v="2024-05-10T00:00:00"/>
    <d v="2024-04-24T00:00:00"/>
    <d v="2024-05-10T00:00:00"/>
    <n v="16"/>
    <s v="4-2024"/>
    <x v="0"/>
    <x v="0"/>
    <s v="Kisumu"/>
    <s v="Non-Profit"/>
    <x v="1"/>
    <s v="N. Brown"/>
    <s v="Monitors"/>
    <s v="MON-6190"/>
    <n v="513.30999999999995"/>
    <n v="1186.26"/>
    <n v="9.4E-2"/>
    <n v="15"/>
    <n v="16121.273400000002"/>
    <n v="7699.65"/>
    <n v="8421.6234000000022"/>
    <n v="0.52239194702820446"/>
    <s v="Q2-2024"/>
    <s v="Africa → Kenya → Kisumu"/>
    <s v="Low"/>
    <n v="2024"/>
    <n v="4"/>
    <s v="No"/>
    <s v="No"/>
    <n v="9.4E-2"/>
    <n v="538.97550000000001"/>
    <n v="15.600000000000001"/>
    <n v="16766.124336000004"/>
    <n v="8408.0178000000014"/>
    <n v="8358.106536000003"/>
  </r>
  <r>
    <s v="ORD-2024-206311"/>
    <d v="2024-01-13T00:00:00"/>
    <d v="2024-01-15T00:00:00"/>
    <d v="2024-01-13T00:00:00"/>
    <d v="2024-01-15T00:00:00"/>
    <n v="2"/>
    <s v="1-2024"/>
    <x v="2"/>
    <x v="9"/>
    <s v="San Francisco"/>
    <s v="Non-Profit"/>
    <x v="4"/>
    <s v="E. Garcia"/>
    <s v="Components"/>
    <s v="CMP-2410"/>
    <n v="1061.3699999999999"/>
    <n v="1938.33"/>
    <n v="0.17"/>
    <n v="4"/>
    <n v="6435.2555999999995"/>
    <n v="4245.4799999999996"/>
    <n v="2189.7755999999999"/>
    <n v="0.34027795259600879"/>
    <s v="Q1-2024"/>
    <s v="Americas → USA → San Francisco"/>
    <s v="High"/>
    <n v="2024"/>
    <n v="1"/>
    <s v="Yes"/>
    <s v="No"/>
    <n v="0.1"/>
    <n v="1114.4385"/>
    <n v="4.16"/>
    <n v="7257.1075200000005"/>
    <n v="4636.0641599999999"/>
    <n v="2621.0433600000006"/>
  </r>
  <r>
    <s v="ORD-2024-364080"/>
    <d v="2024-04-16T00:00:00"/>
    <d v="2024-04-27T00:00:00"/>
    <d v="2024-04-16T00:00:00"/>
    <d v="2024-04-27T00:00:00"/>
    <n v="11"/>
    <s v="4-2024"/>
    <x v="0"/>
    <x v="0"/>
    <s v="Nakuru"/>
    <s v="Enterprise"/>
    <x v="1"/>
    <s v="D. Smith"/>
    <s v="Printers"/>
    <s v="PRN-2641"/>
    <n v="401.3"/>
    <n v="826.47"/>
    <n v="0.22500000000000001"/>
    <n v="13"/>
    <n v="8326.6852500000005"/>
    <n v="5216.9000000000005"/>
    <n v="3109.7852499999999"/>
    <n v="0.37347217489696755"/>
    <s v="Q2-2024"/>
    <s v="Africa → Kenya → Nakuru"/>
    <s v="Low"/>
    <n v="2024"/>
    <n v="4"/>
    <s v="No"/>
    <s v="Yes"/>
    <n v="0.1"/>
    <n v="421.36500000000001"/>
    <n v="13.52"/>
    <n v="10056.48696"/>
    <n v="5696.8548000000001"/>
    <n v="4359.6321600000001"/>
  </r>
  <r>
    <s v="ORD-2025-460466"/>
    <d v="2025-02-07T00:00:00"/>
    <d v="2025-02-16T00:00:00"/>
    <d v="2025-02-07T00:00:00"/>
    <d v="2025-02-16T00:00:00"/>
    <n v="9"/>
    <s v="2-2025"/>
    <x v="0"/>
    <x v="1"/>
    <s v="Lagos"/>
    <s v="Small Business"/>
    <x v="3"/>
    <s v="C. Otieno"/>
    <s v="Printers"/>
    <s v="PRN-1882"/>
    <n v="90.68"/>
    <n v="118.17"/>
    <n v="0.13500000000000001"/>
    <n v="21"/>
    <n v="2146.5580500000001"/>
    <n v="1904.2800000000002"/>
    <n v="242.27804999999989"/>
    <n v="0.11286815653552899"/>
    <s v="Q1-2025"/>
    <s v="Africa → Nigeria → Lagos"/>
    <s v="Low"/>
    <n v="2025"/>
    <n v="2"/>
    <s v="No"/>
    <s v="No"/>
    <n v="0.1"/>
    <n v="95.214000000000013"/>
    <n v="21.84"/>
    <n v="2322.7495200000003"/>
    <n v="2079.4737600000003"/>
    <n v="243.27575999999999"/>
  </r>
  <r>
    <s v="ORD-2023-700699"/>
    <d v="2023-01-12T00:00:00"/>
    <d v="2023-01-26T00:00:00"/>
    <d v="2023-01-12T00:00:00"/>
    <d v="2023-01-26T00:00:00"/>
    <n v="14"/>
    <s v="1-2023"/>
    <x v="1"/>
    <x v="8"/>
    <s v="Shenzhen"/>
    <s v="Non-Profit"/>
    <x v="0"/>
    <s v="M. Rossi"/>
    <s v="Printers"/>
    <s v="PRN-1641"/>
    <n v="1083.0899999999999"/>
    <n v="1425.87"/>
    <n v="0"/>
    <n v="8"/>
    <n v="11406.96"/>
    <n v="8664.7199999999993"/>
    <n v="2742.24"/>
    <n v="0.24040059752992909"/>
    <s v="Q1-2023"/>
    <s v="Asia → China → Shenzhen"/>
    <s v="Medium"/>
    <n v="2023"/>
    <n v="1"/>
    <s v="No"/>
    <s v="No"/>
    <n v="0"/>
    <n v="1137.2445"/>
    <n v="8.32"/>
    <n v="11863.2384"/>
    <n v="9461.874240000001"/>
    <n v="2401.3641599999992"/>
  </r>
  <r>
    <s v="ORD-2024-713332"/>
    <d v="2024-06-05T00:00:00"/>
    <d v="2024-06-23T00:00:00"/>
    <d v="2024-06-05T00:00:00"/>
    <d v="2024-06-23T00:00:00"/>
    <n v="18"/>
    <s v="6-2024"/>
    <x v="0"/>
    <x v="0"/>
    <s v="Nairobi"/>
    <s v="Consumer"/>
    <x v="3"/>
    <s v="D. Smith"/>
    <s v="Laptops"/>
    <s v="LAP-1739"/>
    <n v="1208.74"/>
    <n v="1594.78"/>
    <n v="5.8999999999999997E-2"/>
    <n v="39"/>
    <n v="58526.83122"/>
    <n v="47140.86"/>
    <n v="11385.971219999999"/>
    <n v="0.1945427589817838"/>
    <s v="Q2-2024"/>
    <s v="Africa → Kenya → Nairobi"/>
    <s v="Medium"/>
    <n v="2024"/>
    <n v="6"/>
    <s v="No"/>
    <s v="No"/>
    <n v="5.8999999999999997E-2"/>
    <n v="1269.1770000000001"/>
    <n v="40.56"/>
    <n v="60867.904468800007"/>
    <n v="51477.819120000007"/>
    <n v="9390.0853487999993"/>
  </r>
  <r>
    <s v="ORD-2023-640022"/>
    <d v="2023-08-24T00:00:00"/>
    <d v="2023-09-20T00:00:00"/>
    <d v="2023-08-24T00:00:00"/>
    <d v="2023-09-20T00:00:00"/>
    <n v="27"/>
    <s v="8-2023"/>
    <x v="0"/>
    <x v="10"/>
    <s v="Durban"/>
    <s v="Small Business"/>
    <x v="2"/>
    <s v="M. Rossi"/>
    <s v="Printers"/>
    <s v="PRN-4732"/>
    <n v="1399.64"/>
    <n v="3342.11"/>
    <n v="0"/>
    <n v="10"/>
    <n v="33421.1"/>
    <n v="13996.400000000001"/>
    <n v="19424.699999999997"/>
    <n v="0.58121067229983447"/>
    <s v="Q3-2023"/>
    <s v="Africa → South Africa → Durban"/>
    <s v="High"/>
    <n v="2023"/>
    <n v="8"/>
    <s v="No"/>
    <s v="No"/>
    <n v="0"/>
    <n v="1469.6220000000001"/>
    <n v="10.4"/>
    <n v="34757.944000000003"/>
    <n v="15284.068800000001"/>
    <n v="19473.875200000002"/>
  </r>
  <r>
    <s v="ORD-2024-532184"/>
    <d v="2024-01-25T00:00:00"/>
    <d v="2024-02-08T00:00:00"/>
    <d v="2024-01-25T00:00:00"/>
    <d v="2024-02-08T00:00:00"/>
    <n v="14"/>
    <s v="1-2024"/>
    <x v="1"/>
    <x v="2"/>
    <s v="Osaka"/>
    <s v="Consumer"/>
    <x v="2"/>
    <s v="I. Johnson"/>
    <s v="Networking"/>
    <s v="NET-9569"/>
    <n v="937.16"/>
    <n v="1069.77"/>
    <n v="3.7999999999999999E-2"/>
    <n v="9"/>
    <n v="9262.0686600000008"/>
    <n v="8434.44"/>
    <n v="827.62866000000031"/>
    <n v="8.9356783066645962E-2"/>
    <s v="Q1-2024"/>
    <s v="Asia → Japan → Osaka"/>
    <s v="Low"/>
    <n v="2024"/>
    <n v="1"/>
    <s v="No"/>
    <s v="No"/>
    <n v="3.7999999999999999E-2"/>
    <n v="984.01800000000003"/>
    <n v="9.36"/>
    <n v="9632.5514063999981"/>
    <n v="9210.4084800000001"/>
    <n v="422.14292639999803"/>
  </r>
  <r>
    <s v="ORD-2025-926547"/>
    <d v="2025-03-11T00:00:00"/>
    <d v="2025-03-26T00:00:00"/>
    <d v="2025-03-11T00:00:00"/>
    <d v="2025-03-26T00:00:00"/>
    <n v="15"/>
    <s v="3-2025"/>
    <x v="3"/>
    <x v="11"/>
    <s v="Berlin"/>
    <s v="Small Business"/>
    <x v="1"/>
    <s v="I. Johnson"/>
    <s v="Phones"/>
    <s v="PHN-3007"/>
    <n v="116.97"/>
    <n v="140.82"/>
    <n v="0.122"/>
    <n v="5"/>
    <n v="618.19979999999987"/>
    <n v="584.85"/>
    <n v="33.349799999999846"/>
    <n v="5.3946636669891926E-2"/>
    <s v="Q1-2025"/>
    <s v="Europe → Germany → Berlin"/>
    <s v="Low"/>
    <n v="2025"/>
    <n v="3"/>
    <s v="No"/>
    <s v="No"/>
    <n v="0.1"/>
    <n v="122.8185"/>
    <n v="5.2"/>
    <n v="659.0376"/>
    <n v="638.65620000000001"/>
    <n v="20.381399999999985"/>
  </r>
  <r>
    <s v="ORD-2025-778145"/>
    <d v="2025-04-22T00:00:00"/>
    <d v="2025-05-12T00:00:00"/>
    <d v="2025-04-22T00:00:00"/>
    <d v="2025-05-12T00:00:00"/>
    <n v="20"/>
    <s v="4-2025"/>
    <x v="3"/>
    <x v="6"/>
    <s v="Lyon"/>
    <s v="Enterprise"/>
    <x v="2"/>
    <s v="K. Singh"/>
    <s v="Monitors"/>
    <s v="MON-9216"/>
    <n v="59.51"/>
    <n v="67.040000000000006"/>
    <n v="0.114"/>
    <n v="9"/>
    <n v="534.57695999999999"/>
    <n v="535.59"/>
    <n v="-1.0130400000000463"/>
    <n v="-1.8950311663264469E-3"/>
    <s v="Q2-2025"/>
    <s v="Europe → France → Lyon"/>
    <s v="Low"/>
    <n v="2025"/>
    <n v="4"/>
    <s v="No"/>
    <s v="No"/>
    <n v="0.1"/>
    <n v="62.485500000000002"/>
    <n v="9.36"/>
    <n v="564.74496000000011"/>
    <n v="584.86428000000001"/>
    <n v="-20.119319999999902"/>
  </r>
  <r>
    <s v="ORD-2023-525643"/>
    <d v="2023-08-17T00:00:00"/>
    <d v="2023-09-03T00:00:00"/>
    <d v="2023-08-17T00:00:00"/>
    <d v="2023-09-03T00:00:00"/>
    <n v="17"/>
    <s v="8-2023"/>
    <x v="0"/>
    <x v="10"/>
    <s v="Durban"/>
    <s v="Enterprise"/>
    <x v="0"/>
    <s v="A. Patel"/>
    <s v="Phones"/>
    <s v="PHN-8072"/>
    <n v="676.37"/>
    <n v="1276.67"/>
    <n v="6.6000000000000003E-2"/>
    <n v="10"/>
    <n v="11924.0978"/>
    <n v="6763.7"/>
    <n v="5160.3977999999997"/>
    <n v="0.4327705027712872"/>
    <s v="Q3-2023"/>
    <s v="Africa → South Africa → Durban"/>
    <s v="Medium"/>
    <n v="2023"/>
    <n v="8"/>
    <s v="No"/>
    <s v="No"/>
    <n v="6.6000000000000003E-2"/>
    <n v="710.18850000000009"/>
    <n v="10.4"/>
    <n v="12401.061711999999"/>
    <n v="7385.9604000000008"/>
    <n v="5015.101311999998"/>
  </r>
  <r>
    <s v="ORD-2025-312803"/>
    <d v="2025-06-24T00:00:00"/>
    <d v="2025-07-14T00:00:00"/>
    <d v="2025-06-24T00:00:00"/>
    <d v="2025-07-14T00:00:00"/>
    <n v="20"/>
    <s v="6-2025"/>
    <x v="0"/>
    <x v="10"/>
    <s v="Johannesburg"/>
    <s v="Enterprise"/>
    <x v="2"/>
    <s v="J. Njeri"/>
    <s v="Laptops"/>
    <s v="LAP-1308"/>
    <n v="1151.06"/>
    <n v="2821.36"/>
    <n v="0.248"/>
    <n v="20"/>
    <n v="42433.254400000005"/>
    <n v="23021.199999999997"/>
    <n v="19412.054400000008"/>
    <n v="0.45747267501594235"/>
    <s v="Q2-2025"/>
    <s v="Africa → South Africa → Johannesburg"/>
    <s v="High"/>
    <n v="2025"/>
    <n v="6"/>
    <s v="No"/>
    <s v="Yes"/>
    <n v="0.1"/>
    <n v="1208.6130000000001"/>
    <n v="20.8"/>
    <n v="52815.859200000006"/>
    <n v="25139.150400000002"/>
    <n v="27676.708800000004"/>
  </r>
  <r>
    <s v="ORD-2025-757957"/>
    <d v="2025-04-24T00:00:00"/>
    <d v="2025-05-06T00:00:00"/>
    <d v="2025-04-24T00:00:00"/>
    <d v="2025-05-06T00:00:00"/>
    <n v="12"/>
    <s v="4-2025"/>
    <x v="2"/>
    <x v="5"/>
    <s v="Brasília"/>
    <s v="Consumer"/>
    <x v="1"/>
    <s v="C. Otieno"/>
    <s v="Phones"/>
    <s v="PHN-2787"/>
    <n v="394.13"/>
    <n v="932.29"/>
    <n v="0.109"/>
    <n v="7"/>
    <n v="5814.6927299999998"/>
    <n v="2758.91"/>
    <n v="3055.7827299999999"/>
    <n v="0.5255278089303268"/>
    <s v="Q2-2025"/>
    <s v="Americas → Brazil → Brasília"/>
    <s v="Low"/>
    <n v="2025"/>
    <n v="4"/>
    <s v="No"/>
    <s v="No"/>
    <n v="0.1"/>
    <n v="413.8365"/>
    <n v="7.28"/>
    <n v="6108.3640800000003"/>
    <n v="3012.7297200000003"/>
    <n v="3095.63436"/>
  </r>
  <r>
    <s v="ORD-2023-215819"/>
    <d v="2023-07-01T00:00:00"/>
    <d v="2023-07-11T00:00:00"/>
    <d v="2023-07-01T00:00:00"/>
    <d v="2023-07-11T00:00:00"/>
    <n v="10"/>
    <s v="7-2023"/>
    <x v="3"/>
    <x v="6"/>
    <s v="Paris"/>
    <s v="Corporate"/>
    <x v="4"/>
    <s v="F. Müller"/>
    <s v="Networking"/>
    <s v="NET-6533"/>
    <n v="479.5"/>
    <n v="656.66"/>
    <n v="0.14899999999999999"/>
    <n v="14"/>
    <n v="7823.4472399999995"/>
    <n v="6713"/>
    <n v="1110.4472399999995"/>
    <n v="0.14193835606412289"/>
    <s v="Q3-2023"/>
    <s v="Europe → France → Paris"/>
    <s v="Low"/>
    <n v="2023"/>
    <n v="7"/>
    <s v="No"/>
    <s v="No"/>
    <n v="0.1"/>
    <n v="503.47500000000002"/>
    <n v="14.56"/>
    <n v="8604.8726400000014"/>
    <n v="7330.5960000000005"/>
    <n v="1274.276640000001"/>
  </r>
  <r>
    <s v="ORD-2024-353078"/>
    <d v="2024-08-16T00:00:00"/>
    <d v="2024-08-26T00:00:00"/>
    <d v="2024-08-16T00:00:00"/>
    <d v="2024-08-26T00:00:00"/>
    <n v="10"/>
    <s v="8-2024"/>
    <x v="2"/>
    <x v="9"/>
    <s v="Chicago"/>
    <s v="Corporate"/>
    <x v="3"/>
    <s v="L. Okafor"/>
    <s v="Laptops"/>
    <s v="LAP-5763"/>
    <n v="1291.7"/>
    <n v="2657.84"/>
    <n v="8.6999999999999994E-2"/>
    <n v="21"/>
    <n v="50958.766320000002"/>
    <n v="27125.7"/>
    <n v="23833.066320000002"/>
    <n v="0.46769315745083367"/>
    <s v="Q3-2024"/>
    <s v="Americas → USA → Chicago"/>
    <s v="High"/>
    <n v="2024"/>
    <n v="8"/>
    <s v="No"/>
    <s v="No"/>
    <n v="8.6999999999999994E-2"/>
    <n v="1356.2850000000001"/>
    <n v="21.84"/>
    <n v="52997.11697280001"/>
    <n v="29621.2644"/>
    <n v="23375.85257280001"/>
  </r>
  <r>
    <s v="ORD-2024-289089"/>
    <d v="2024-12-17T00:00:00"/>
    <d v="2024-12-18T00:00:00"/>
    <d v="2024-12-17T00:00:00"/>
    <d v="2024-12-18T00:00:00"/>
    <n v="1"/>
    <s v="12-2024"/>
    <x v="3"/>
    <x v="11"/>
    <s v="Munich"/>
    <s v="Education"/>
    <x v="0"/>
    <s v="L. Okafor"/>
    <s v="Accessories"/>
    <s v="ACC-5780"/>
    <n v="346.82"/>
    <n v="701.95"/>
    <n v="0.14699999999999999"/>
    <n v="8"/>
    <n v="4790.1068000000005"/>
    <n v="2774.56"/>
    <n v="2015.5468000000005"/>
    <n v="0.42077283120284509"/>
    <s v="Q4-2024"/>
    <s v="Europe → Germany → Munich"/>
    <s v="Low"/>
    <n v="2024"/>
    <n v="12"/>
    <s v="Yes"/>
    <s v="No"/>
    <n v="0.1"/>
    <n v="364.161"/>
    <n v="8.32"/>
    <n v="5256.2016000000003"/>
    <n v="3029.81952"/>
    <n v="2226.3820800000003"/>
  </r>
  <r>
    <s v="ORD-2023-974506"/>
    <d v="2023-12-28T00:00:00"/>
    <d v="2024-01-01T00:00:00"/>
    <d v="2023-12-28T00:00:00"/>
    <d v="2024-01-01T00:00:00"/>
    <n v="4"/>
    <s v="12-2023"/>
    <x v="0"/>
    <x v="10"/>
    <s v="Cape Town"/>
    <s v="Education"/>
    <x v="3"/>
    <s v="A. Patel"/>
    <s v="Printers"/>
    <s v="PRN-1654"/>
    <n v="1141.8"/>
    <n v="2318.7399999999998"/>
    <n v="0.107"/>
    <n v="32"/>
    <n v="66260.314239999992"/>
    <n v="36537.599999999999"/>
    <n v="29722.714239999994"/>
    <n v="0.44857490612468304"/>
    <s v="Q4-2023"/>
    <s v="Africa → South Africa → Cape Town"/>
    <s v="High"/>
    <n v="2023"/>
    <n v="12"/>
    <s v="Yes"/>
    <s v="No"/>
    <n v="0.1"/>
    <n v="1198.8900000000001"/>
    <n v="33.28"/>
    <n v="69450.900479999997"/>
    <n v="39899.059200000003"/>
    <n v="29551.841279999993"/>
  </r>
  <r>
    <s v="ORD-2023-811823"/>
    <d v="2023-01-26T00:00:00"/>
    <d v="2023-02-15T00:00:00"/>
    <d v="2023-01-26T00:00:00"/>
    <d v="2023-02-15T00:00:00"/>
    <n v="20"/>
    <s v="1-2023"/>
    <x v="3"/>
    <x v="11"/>
    <s v="Berlin"/>
    <s v="Small Business"/>
    <x v="1"/>
    <s v="O. Wang"/>
    <s v="Networking"/>
    <s v="NET-8787"/>
    <n v="492.62"/>
    <n v="366.7"/>
    <n v="8.8999999999999996E-2"/>
    <n v="10"/>
    <n v="3340.6370000000002"/>
    <n v="4926.2"/>
    <n v="-1585.5629999999996"/>
    <n v="-0.47462894052840809"/>
    <s v="Q1-2023"/>
    <s v="Europe → Germany → Berlin"/>
    <s v="Low"/>
    <n v="2023"/>
    <n v="1"/>
    <s v="No"/>
    <s v="No"/>
    <n v="8.8999999999999996E-2"/>
    <n v="517.25099999999998"/>
    <n v="10.4"/>
    <n v="3474.2624799999999"/>
    <n v="5379.4103999999998"/>
    <n v="-1905.1479199999999"/>
  </r>
  <r>
    <s v="ORD-2023-286720"/>
    <d v="2023-07-08T00:00:00"/>
    <d v="2023-07-09T00:00:00"/>
    <d v="2023-07-08T00:00:00"/>
    <d v="2023-07-09T00:00:00"/>
    <n v="1"/>
    <s v="7-2023"/>
    <x v="0"/>
    <x v="0"/>
    <s v="Nairobi"/>
    <s v="Consumer"/>
    <x v="1"/>
    <s v="D. Smith"/>
    <s v="Laptops"/>
    <s v="LAP-1989"/>
    <n v="1258.72"/>
    <n v="2797.41"/>
    <n v="0"/>
    <n v="7"/>
    <n v="19581.87"/>
    <n v="8811.0400000000009"/>
    <n v="10770.829999999998"/>
    <n v="0.55004093071805704"/>
    <s v="Q3-2023"/>
    <s v="Africa → Kenya → Nairobi"/>
    <s v="High"/>
    <n v="2023"/>
    <n v="7"/>
    <s v="Yes"/>
    <s v="No"/>
    <n v="0"/>
    <n v="1321.6560000000002"/>
    <n v="7.28"/>
    <n v="20365.144799999998"/>
    <n v="9621.6556800000017"/>
    <n v="10743.489119999997"/>
  </r>
  <r>
    <s v="ORD-2024-626925"/>
    <d v="2024-06-07T00:00:00"/>
    <d v="2024-06-09T00:00:00"/>
    <d v="2024-06-07T00:00:00"/>
    <d v="2024-06-09T00:00:00"/>
    <n v="2"/>
    <s v="6-2024"/>
    <x v="1"/>
    <x v="8"/>
    <s v="Shanghai"/>
    <s v="Corporate"/>
    <x v="0"/>
    <s v="O. Wang"/>
    <s v="Monitors"/>
    <s v="MON-8688"/>
    <n v="1370.28"/>
    <n v="2209.66"/>
    <n v="0.13300000000000001"/>
    <n v="16"/>
    <n v="30652.403519999996"/>
    <n v="21924.48"/>
    <n v="8727.9235199999966"/>
    <n v="0.28473863442079589"/>
    <s v="Q2-2024"/>
    <s v="Asia → China → Shanghai"/>
    <s v="High"/>
    <n v="2024"/>
    <n v="6"/>
    <s v="Yes"/>
    <s v="No"/>
    <n v="0.1"/>
    <n v="1438.7940000000001"/>
    <n v="16.64"/>
    <n v="33091.868159999998"/>
    <n v="23941.532160000002"/>
    <n v="9150.3359999999957"/>
  </r>
  <r>
    <s v="ORD-2023-960380"/>
    <d v="2023-02-11T00:00:00"/>
    <d v="2023-02-12T00:00:00"/>
    <d v="2023-02-11T00:00:00"/>
    <d v="2023-02-12T00:00:00"/>
    <n v="1"/>
    <s v="2-2023"/>
    <x v="0"/>
    <x v="1"/>
    <s v="Port Harcourt"/>
    <s v="Non-Profit"/>
    <x v="4"/>
    <s v="D. Smith"/>
    <s v="Accessories"/>
    <s v="ACC-8242"/>
    <n v="944.61"/>
    <n v="839.04"/>
    <n v="5.8999999999999997E-2"/>
    <n v="6"/>
    <n v="4737.2198399999997"/>
    <n v="5667.66"/>
    <n v="-930.44016000000011"/>
    <n v="-0.19641059343363726"/>
    <s v="Q1-2023"/>
    <s v="Africa → Nigeria → Port Harcourt"/>
    <s v="Low"/>
    <n v="2023"/>
    <n v="2"/>
    <s v="Yes"/>
    <s v="No"/>
    <n v="5.8999999999999997E-2"/>
    <n v="991.84050000000002"/>
    <n v="6.24"/>
    <n v="4926.7086336000002"/>
    <n v="6189.0847200000007"/>
    <n v="-1262.3760864000005"/>
  </r>
  <r>
    <s v="ORD-2023-453699"/>
    <d v="2023-07-01T00:00:00"/>
    <d v="2023-07-08T00:00:00"/>
    <d v="2023-07-01T00:00:00"/>
    <d v="2023-07-08T00:00:00"/>
    <n v="7"/>
    <s v="7-2023"/>
    <x v="3"/>
    <x v="11"/>
    <s v="Frankfurt"/>
    <s v="Small Business"/>
    <x v="3"/>
    <s v="N. Brown"/>
    <s v="Laptops"/>
    <s v="LAP-4666"/>
    <n v="460.21"/>
    <n v="1139.1500000000001"/>
    <n v="0.115"/>
    <n v="14"/>
    <n v="14114.068500000001"/>
    <n v="6442.94"/>
    <n v="7671.1285000000016"/>
    <n v="0.54350937151821255"/>
    <s v="Q3-2023"/>
    <s v="Europe → Germany → Frankfurt"/>
    <s v="Low"/>
    <n v="2023"/>
    <n v="7"/>
    <s v="Yes"/>
    <s v="No"/>
    <n v="0.1"/>
    <n v="483.22050000000002"/>
    <n v="14.56"/>
    <n v="14927.421600000001"/>
    <n v="7035.6904800000002"/>
    <n v="7891.7311200000013"/>
  </r>
  <r>
    <s v="ORD-2025-960931"/>
    <d v="2025-08-20T00:00:00"/>
    <d v="2025-08-26T00:00:00"/>
    <d v="2025-08-20T00:00:00"/>
    <d v="2025-08-26T00:00:00"/>
    <n v="6"/>
    <s v="8-2025"/>
    <x v="2"/>
    <x v="9"/>
    <s v="New York"/>
    <s v="Corporate"/>
    <x v="0"/>
    <s v="M. Rossi"/>
    <s v="Networking"/>
    <s v="NET-5196"/>
    <n v="1304.95"/>
    <n v="1712.03"/>
    <n v="0.21199999999999999"/>
    <n v="8"/>
    <n v="10792.637119999999"/>
    <n v="10439.6"/>
    <n v="353.03711999999905"/>
    <n v="3.2710922833287949E-2"/>
    <s v="Q3-2025"/>
    <s v="Americas → USA → New York"/>
    <s v="Medium"/>
    <n v="2025"/>
    <n v="8"/>
    <s v="Yes"/>
    <s v="Yes"/>
    <n v="0.1"/>
    <n v="1370.1975000000002"/>
    <n v="8.32"/>
    <n v="12819.68064"/>
    <n v="11400.043200000002"/>
    <n v="1419.6374399999986"/>
  </r>
  <r>
    <s v="ORD-2024-419248"/>
    <d v="2024-03-04T00:00:00"/>
    <d v="2024-03-16T00:00:00"/>
    <d v="2024-03-04T00:00:00"/>
    <d v="2024-03-16T00:00:00"/>
    <n v="12"/>
    <s v="3-2024"/>
    <x v="0"/>
    <x v="10"/>
    <s v="Johannesburg"/>
    <s v="Enterprise"/>
    <x v="3"/>
    <s v="M. Rossi"/>
    <s v="Monitors"/>
    <s v="MON-8422"/>
    <n v="441.08"/>
    <n v="1054.29"/>
    <n v="0.23699999999999999"/>
    <n v="6"/>
    <n v="4826.5396199999996"/>
    <n v="2646.48"/>
    <n v="2180.0596199999995"/>
    <n v="0.45168169985932899"/>
    <s v="Q1-2024"/>
    <s v="Africa → South Africa → Johannesburg"/>
    <s v="Low"/>
    <n v="2024"/>
    <n v="3"/>
    <s v="No"/>
    <s v="Yes"/>
    <n v="0.1"/>
    <n v="463.13400000000001"/>
    <n v="6.24"/>
    <n v="5920.89264"/>
    <n v="2889.9561600000002"/>
    <n v="3030.9364799999998"/>
  </r>
  <r>
    <s v="ORD-2023-868460"/>
    <d v="2023-06-01T00:00:00"/>
    <d v="2023-06-01T00:00:00"/>
    <d v="2023-06-01T00:00:00"/>
    <d v="2023-06-01T00:00:00"/>
    <n v="0"/>
    <s v="6-2023"/>
    <x v="1"/>
    <x v="4"/>
    <s v="Bengaluru"/>
    <s v="Corporate"/>
    <x v="0"/>
    <s v="E. Garcia"/>
    <s v="Accessories"/>
    <s v="ACC-4587"/>
    <n v="669.37"/>
    <n v="997.2"/>
    <n v="8.2000000000000003E-2"/>
    <n v="5"/>
    <n v="4577.1480000000001"/>
    <n v="3346.85"/>
    <n v="1230.2980000000002"/>
    <n v="0.26879139586484863"/>
    <s v="Q2-2023"/>
    <s v="Asia → India → Bengaluru"/>
    <s v="Low"/>
    <n v="2023"/>
    <n v="6"/>
    <s v="Yes"/>
    <s v="No"/>
    <n v="8.2000000000000003E-2"/>
    <n v="702.83850000000007"/>
    <n v="5.2"/>
    <n v="4760.2339200000006"/>
    <n v="3654.7602000000006"/>
    <n v="1105.47372"/>
  </r>
  <r>
    <s v="ORD-2023-472078"/>
    <d v="2023-02-28T00:00:00"/>
    <d v="2023-03-06T00:00:00"/>
    <d v="2023-02-28T00:00:00"/>
    <d v="2023-03-06T00:00:00"/>
    <n v="6"/>
    <s v="2-2023"/>
    <x v="3"/>
    <x v="11"/>
    <s v="Frankfurt"/>
    <s v="Small Business"/>
    <x v="2"/>
    <s v="D. Smith"/>
    <s v="Printers"/>
    <s v="PRN-9624"/>
    <n v="880.02"/>
    <n v="1251.21"/>
    <n v="0.123"/>
    <n v="29"/>
    <n v="31822.023930000003"/>
    <n v="25520.579999999998"/>
    <n v="6301.4439300000049"/>
    <n v="0.19802146915172672"/>
    <s v="Q1-2023"/>
    <s v="Europe → Germany → Frankfurt"/>
    <s v="Medium"/>
    <n v="2023"/>
    <n v="2"/>
    <s v="Yes"/>
    <s v="No"/>
    <n v="0.1"/>
    <n v="924.02100000000007"/>
    <n v="30.16"/>
    <n v="33962.844240000006"/>
    <n v="27868.473360000004"/>
    <n v="6094.3708800000022"/>
  </r>
  <r>
    <s v="ORD-2025-779530"/>
    <d v="2025-05-19T00:00:00"/>
    <d v="2025-05-17T00:00:00"/>
    <d v="2025-05-17T00:00:00"/>
    <d v="2025-05-19T00:00:00"/>
    <n v="2"/>
    <s v="5-2025"/>
    <x v="2"/>
    <x v="5"/>
    <s v="São Paulo"/>
    <s v="Small Business"/>
    <x v="3"/>
    <s v="L. Okafor"/>
    <s v="Monitors"/>
    <s v="MON-2993"/>
    <n v="383.77"/>
    <n v="952.56"/>
    <n v="0.1186"/>
    <n v="10"/>
    <n v="8395.8638399999982"/>
    <n v="3837.7"/>
    <n v="4558.1638399999983"/>
    <n v="0.54290587923588807"/>
    <s v="Q2-2025"/>
    <s v="Americas → Brazil → São Paulo"/>
    <s v="Low"/>
    <n v="2025"/>
    <n v="5"/>
    <s v="Yes"/>
    <s v="No"/>
    <n v="0.1"/>
    <n v="402.95850000000002"/>
    <n v="10.4"/>
    <n v="8915.9616000000005"/>
    <n v="4190.7683999999999"/>
    <n v="4725.1932000000006"/>
  </r>
  <r>
    <s v="ORD-2024-140633"/>
    <d v="2024-12-07T00:00:00"/>
    <d v="2024-12-26T00:00:00"/>
    <d v="2024-12-07T00:00:00"/>
    <d v="2024-12-26T00:00:00"/>
    <n v="19"/>
    <s v="12-2024"/>
    <x v="3"/>
    <x v="7"/>
    <s v="London"/>
    <s v="Enterprise"/>
    <x v="1"/>
    <s v="D. Smith"/>
    <s v="Networking"/>
    <s v="NET-4491"/>
    <n v="1035.24"/>
    <n v="2383.41"/>
    <n v="0.17"/>
    <n v="15"/>
    <n v="29673.454499999993"/>
    <n v="15528.6"/>
    <n v="14144.854499999992"/>
    <n v="0.47668378145860962"/>
    <s v="Q4-2024"/>
    <s v="Europe → United Kingdom → London"/>
    <s v="High"/>
    <n v="2024"/>
    <n v="12"/>
    <s v="No"/>
    <s v="No"/>
    <n v="0.1"/>
    <n v="1087.002"/>
    <n v="15.600000000000001"/>
    <n v="33463.076400000005"/>
    <n v="16957.231200000002"/>
    <n v="16505.845200000003"/>
  </r>
  <r>
    <s v="ORD-2025-997421"/>
    <d v="2025-05-21T00:00:00"/>
    <d v="2025-06-09T00:00:00"/>
    <d v="2025-05-21T00:00:00"/>
    <d v="2025-06-09T00:00:00"/>
    <n v="19"/>
    <s v="5-2025"/>
    <x v="2"/>
    <x v="5"/>
    <s v="São Paulo"/>
    <s v="Non-Profit"/>
    <x v="1"/>
    <s v="A. Patel"/>
    <s v="Components"/>
    <s v="CMP-3731"/>
    <n v="1331.38"/>
    <n v="2309.56"/>
    <n v="0.14899999999999999"/>
    <n v="31"/>
    <n v="60928.502359999999"/>
    <n v="41272.780000000006"/>
    <n v="19655.722359999992"/>
    <n v="0.32260307735553528"/>
    <s v="Q2-2025"/>
    <s v="Americas → Brazil → São Paulo"/>
    <s v="High"/>
    <n v="2025"/>
    <n v="5"/>
    <s v="No"/>
    <s v="No"/>
    <n v="0.1"/>
    <n v="1397.9490000000001"/>
    <n v="32.24"/>
    <n v="67014.19296"/>
    <n v="45069.875760000003"/>
    <n v="21944.317199999998"/>
  </r>
  <r>
    <s v="ORD-2023-139236"/>
    <d v="2023-03-03T00:00:00"/>
    <d v="2023-03-20T00:00:00"/>
    <d v="2023-03-03T00:00:00"/>
    <d v="2023-03-20T00:00:00"/>
    <n v="17"/>
    <s v="3-2023"/>
    <x v="1"/>
    <x v="2"/>
    <s v="Nagoya"/>
    <s v="Small Business"/>
    <x v="1"/>
    <s v="D. Smith"/>
    <s v="Networking"/>
    <s v="NET-7349"/>
    <n v="1171.17"/>
    <n v="2030.64"/>
    <n v="0.157"/>
    <n v="11"/>
    <n v="18830.12472"/>
    <n v="12882.87"/>
    <n v="5947.254719999999"/>
    <n v="0.31583724528830415"/>
    <s v="Q1-2023"/>
    <s v="Asia → Japan → Nagoya"/>
    <s v="High"/>
    <n v="2023"/>
    <n v="3"/>
    <s v="No"/>
    <s v="No"/>
    <n v="0.1"/>
    <n v="1229.7285000000002"/>
    <n v="11.440000000000001"/>
    <n v="20907.469440000004"/>
    <n v="14068.094040000004"/>
    <n v="6839.3754000000008"/>
  </r>
  <r>
    <s v="ORD-2025-762301"/>
    <d v="2025-05-02T00:00:00"/>
    <d v="2025-05-13T00:00:00"/>
    <d v="2025-05-02T00:00:00"/>
    <d v="2025-05-13T00:00:00"/>
    <n v="11"/>
    <s v="5-2025"/>
    <x v="0"/>
    <x v="0"/>
    <s v="Nakuru"/>
    <s v="Small Business"/>
    <x v="1"/>
    <s v="A. Patel"/>
    <s v="Accessories"/>
    <s v="ACC-2252"/>
    <n v="1057.5999999999999"/>
    <n v="1437.06"/>
    <n v="0.20499999999999999"/>
    <n v="4"/>
    <n v="4569.8508000000002"/>
    <n v="4230.3999999999996"/>
    <n v="339.45080000000053"/>
    <n v="7.4280499485891424E-2"/>
    <s v="Q2-2025"/>
    <s v="Africa → Kenya → Nakuru"/>
    <s v="Medium"/>
    <n v="2025"/>
    <n v="5"/>
    <s v="No"/>
    <s v="Yes"/>
    <n v="0.1"/>
    <n v="1110.48"/>
    <n v="4.16"/>
    <n v="5380.3526400000001"/>
    <n v="4619.5968000000003"/>
    <n v="760.75583999999981"/>
  </r>
  <r>
    <s v="ORD-2025-501927"/>
    <d v="2025-03-03T00:00:00"/>
    <d v="2025-03-24T00:00:00"/>
    <d v="2025-03-03T00:00:00"/>
    <d v="2025-03-24T00:00:00"/>
    <n v="21"/>
    <s v="3-2025"/>
    <x v="0"/>
    <x v="1"/>
    <s v="Abuja"/>
    <s v="Enterprise"/>
    <x v="4"/>
    <s v="H. Kim"/>
    <s v="Accessories"/>
    <s v="ACC-4056"/>
    <n v="555.95000000000005"/>
    <n v="468.09"/>
    <n v="0.14199999999999999"/>
    <n v="11"/>
    <n v="4417.8334199999999"/>
    <n v="6115.4500000000007"/>
    <n v="-1697.6165800000008"/>
    <n v="-0.38426450674095375"/>
    <s v="Q1-2025"/>
    <s v="Africa → Nigeria → Abuja"/>
    <s v="Low"/>
    <n v="2025"/>
    <n v="3"/>
    <s v="No"/>
    <s v="No"/>
    <n v="0.1"/>
    <n v="583.74750000000006"/>
    <n v="11.440000000000001"/>
    <n v="4819.4546399999999"/>
    <n v="6678.0714000000016"/>
    <n v="-1858.6167600000017"/>
  </r>
  <r>
    <s v="ORD-2024-536442"/>
    <d v="2024-08-31T00:00:00"/>
    <d v="2024-09-26T00:00:00"/>
    <d v="2024-08-31T00:00:00"/>
    <d v="2024-09-26T00:00:00"/>
    <n v="26"/>
    <s v="8-2024"/>
    <x v="1"/>
    <x v="2"/>
    <s v="Tokyo"/>
    <s v="Education"/>
    <x v="1"/>
    <s v="I. Johnson"/>
    <s v="Phones"/>
    <s v="PHN-6111"/>
    <n v="1189.03"/>
    <n v="2949.62"/>
    <n v="0.125"/>
    <n v="13"/>
    <n v="33551.927499999998"/>
    <n v="15457.39"/>
    <n v="18094.537499999999"/>
    <n v="0.53929949330034765"/>
    <s v="Q3-2024"/>
    <s v="Asia → Japan → Tokyo"/>
    <s v="High"/>
    <n v="2024"/>
    <n v="8"/>
    <s v="No"/>
    <s v="No"/>
    <n v="0.1"/>
    <n v="1248.4815000000001"/>
    <n v="13.52"/>
    <n v="35890.976159999998"/>
    <n v="16879.469880000001"/>
    <n v="19011.506279999998"/>
  </r>
  <r>
    <s v="ORD-2024-961756"/>
    <d v="2024-11-25T00:00:00"/>
    <d v="2024-12-07T00:00:00"/>
    <d v="2024-11-25T00:00:00"/>
    <d v="2024-12-07T00:00:00"/>
    <n v="12"/>
    <s v="11-2024"/>
    <x v="1"/>
    <x v="8"/>
    <s v="Shanghai"/>
    <s v="Corporate"/>
    <x v="3"/>
    <s v="A. Patel"/>
    <s v="Accessories"/>
    <s v="ACC-7047"/>
    <n v="769.9"/>
    <n v="814.36"/>
    <n v="0"/>
    <n v="5"/>
    <n v="4071.8"/>
    <n v="3849.5"/>
    <n v="222.30000000000018"/>
    <n v="5.4595019401738831E-2"/>
    <s v="Q4-2024"/>
    <s v="Asia → China → Shanghai"/>
    <s v="Low"/>
    <n v="2024"/>
    <n v="11"/>
    <s v="No"/>
    <s v="No"/>
    <n v="0"/>
    <n v="808.39499999999998"/>
    <n v="5.2"/>
    <n v="4234.6720000000005"/>
    <n v="4203.6540000000005"/>
    <n v="31.018000000000029"/>
  </r>
  <r>
    <s v="ORD-2025-874124"/>
    <d v="2025-05-14T00:00:00"/>
    <d v="2025-05-12T00:00:00"/>
    <d v="2025-05-12T00:00:00"/>
    <d v="2025-05-14T00:00:00"/>
    <n v="2"/>
    <s v="5-2025"/>
    <x v="2"/>
    <x v="3"/>
    <s v="Vancouver"/>
    <s v="Non-Profit"/>
    <x v="3"/>
    <s v="F. Müller"/>
    <s v="Printers"/>
    <s v="PRN-2407"/>
    <n v="883.5"/>
    <n v="1978.91"/>
    <n v="5.3999999999999999E-2"/>
    <n v="27"/>
    <n v="50545.319219999998"/>
    <n v="23854.5"/>
    <n v="26690.819219999998"/>
    <n v="0.52805718970390547"/>
    <s v="Q2-2025"/>
    <s v="Americas → Canada → Vancouver"/>
    <s v="High"/>
    <n v="2025"/>
    <n v="5"/>
    <s v="Yes"/>
    <s v="No"/>
    <n v="5.3999999999999999E-2"/>
    <n v="927.67500000000007"/>
    <n v="28.080000000000002"/>
    <n v="52567.1319888"/>
    <n v="26049.114000000005"/>
    <n v="26518.017988799995"/>
  </r>
  <r>
    <s v="ORD-2024-687073"/>
    <d v="2024-03-11T00:00:00"/>
    <d v="2024-03-29T00:00:00"/>
    <d v="2024-03-11T00:00:00"/>
    <d v="2024-03-29T00:00:00"/>
    <n v="18"/>
    <s v="3-2024"/>
    <x v="2"/>
    <x v="9"/>
    <s v="New York"/>
    <s v="Corporate"/>
    <x v="0"/>
    <s v="M. Rossi"/>
    <s v="Monitors"/>
    <s v="MON-7099"/>
    <n v="710.98"/>
    <n v="1481.45"/>
    <n v="0.21099999999999999"/>
    <n v="9"/>
    <n v="10519.776450000001"/>
    <n v="6398.82"/>
    <n v="4120.9564500000015"/>
    <n v="0.39173422264120461"/>
    <s v="Q1-2024"/>
    <s v="Americas → USA → New York"/>
    <s v="Medium"/>
    <n v="2024"/>
    <n v="3"/>
    <s v="No"/>
    <s v="Yes"/>
    <n v="0.1"/>
    <n v="746.529"/>
    <n v="9.36"/>
    <n v="12479.7348"/>
    <n v="6987.5114399999993"/>
    <n v="5492.2233600000009"/>
  </r>
  <r>
    <s v="ORD-2023-660608"/>
    <d v="2023-07-25T00:00:00"/>
    <d v="2023-08-10T00:00:00"/>
    <d v="2023-07-25T00:00:00"/>
    <d v="2023-08-10T00:00:00"/>
    <n v="16"/>
    <s v="7-2023"/>
    <x v="0"/>
    <x v="1"/>
    <s v="Port Harcourt"/>
    <s v="Corporate"/>
    <x v="3"/>
    <s v="I. Johnson"/>
    <s v="Accessories"/>
    <s v="ACC-8178"/>
    <n v="506.83"/>
    <n v="441.74"/>
    <n v="0.24"/>
    <n v="9"/>
    <n v="3021.5016000000001"/>
    <n v="4561.47"/>
    <n v="-1539.9684000000002"/>
    <n v="-0.50966989393618067"/>
    <s v="Q3-2023"/>
    <s v="Africa → Nigeria → Port Harcourt"/>
    <s v="Low"/>
    <n v="2023"/>
    <n v="7"/>
    <s v="No"/>
    <s v="Yes"/>
    <n v="0.1"/>
    <n v="532.17150000000004"/>
    <n v="9.36"/>
    <n v="3721.2177599999995"/>
    <n v="4981.1252400000003"/>
    <n v="-1259.9074800000008"/>
  </r>
  <r>
    <s v="ORD-2024-872291"/>
    <d v="2024-01-08T00:00:00"/>
    <d v="2024-01-12T00:00:00"/>
    <d v="2024-01-08T00:00:00"/>
    <d v="2024-01-12T00:00:00"/>
    <n v="4"/>
    <s v="1-2024"/>
    <x v="1"/>
    <x v="4"/>
    <s v="Bengaluru"/>
    <s v="Corporate"/>
    <x v="4"/>
    <s v="E. Garcia"/>
    <s v="Printers"/>
    <s v="PRN-6585"/>
    <n v="802.32"/>
    <n v="602.34"/>
    <n v="0.12"/>
    <n v="25"/>
    <n v="13251.48"/>
    <n v="20058"/>
    <n v="-6806.52"/>
    <n v="-0.51364224977134632"/>
    <s v="Q1-2024"/>
    <s v="Asia → India → Bengaluru"/>
    <s v="Low"/>
    <n v="2024"/>
    <n v="1"/>
    <s v="Yes"/>
    <s v="No"/>
    <n v="0.1"/>
    <n v="842.43600000000004"/>
    <n v="26"/>
    <n v="14094.756000000001"/>
    <n v="21903.335999999999"/>
    <n v="-7808.5799999999981"/>
  </r>
  <r>
    <s v="ORD-2024-250862"/>
    <d v="2024-10-25T00:00:00"/>
    <d v="2024-11-05T00:00:00"/>
    <d v="2024-10-25T00:00:00"/>
    <d v="2024-11-05T00:00:00"/>
    <n v="11"/>
    <s v="10-2024"/>
    <x v="2"/>
    <x v="9"/>
    <s v="New York"/>
    <s v="Corporate"/>
    <x v="3"/>
    <s v="N. Brown"/>
    <s v="Components"/>
    <s v="CMP-9498"/>
    <n v="446.66"/>
    <n v="527.64"/>
    <n v="0.14499999999999999"/>
    <n v="15"/>
    <n v="6766.9829999999993"/>
    <n v="6699.9000000000005"/>
    <n v="67.082999999998719"/>
    <n v="9.9132804087137105E-3"/>
    <s v="Q4-2024"/>
    <s v="Americas → USA → New York"/>
    <s v="Low"/>
    <n v="2024"/>
    <n v="10"/>
    <s v="No"/>
    <s v="No"/>
    <n v="0.1"/>
    <n v="468.99300000000005"/>
    <n v="15.600000000000001"/>
    <n v="7408.0656000000008"/>
    <n v="7316.2908000000016"/>
    <n v="91.774799999999232"/>
  </r>
  <r>
    <s v="ORD-2024-331226"/>
    <d v="2024-11-30T00:00:00"/>
    <d v="2024-12-19T00:00:00"/>
    <d v="2024-11-30T00:00:00"/>
    <d v="2024-12-19T00:00:00"/>
    <n v="19"/>
    <s v="11-2024"/>
    <x v="0"/>
    <x v="0"/>
    <s v="Kisumu"/>
    <s v="Corporate"/>
    <x v="1"/>
    <s v="L. Okafor"/>
    <s v="Phones"/>
    <s v="PHN-1919"/>
    <n v="1195.98"/>
    <n v="1841.9"/>
    <n v="5.5E-2"/>
    <n v="19"/>
    <n v="33071.3145"/>
    <n v="22723.62"/>
    <n v="10347.694500000001"/>
    <n v="0.31289032977506842"/>
    <s v="Q4-2024"/>
    <s v="Africa → Kenya → Kisumu"/>
    <s v="Medium"/>
    <n v="2024"/>
    <n v="11"/>
    <s v="No"/>
    <s v="No"/>
    <n v="5.5E-2"/>
    <n v="1255.779"/>
    <n v="19.760000000000002"/>
    <n v="34394.167079999999"/>
    <n v="24814.193040000002"/>
    <n v="9579.9740399999973"/>
  </r>
  <r>
    <s v="ORD-2023-356427"/>
    <d v="2023-04-13T00:00:00"/>
    <d v="2023-05-02T00:00:00"/>
    <d v="2023-04-13T00:00:00"/>
    <d v="2023-05-02T00:00:00"/>
    <n v="19"/>
    <s v="4-2023"/>
    <x v="2"/>
    <x v="3"/>
    <s v="Montreal"/>
    <s v="Consumer"/>
    <x v="3"/>
    <s v="E. Garcia"/>
    <s v="Monitors"/>
    <s v="MON-6053"/>
    <n v="671.05"/>
    <n v="1645.48"/>
    <n v="0.13700000000000001"/>
    <n v="6"/>
    <n v="8520.2954399999999"/>
    <n v="4026.2999999999997"/>
    <n v="4493.9954400000006"/>
    <n v="0.52744596377517172"/>
    <s v="Q2-2023"/>
    <s v="Americas → Canada → Montreal"/>
    <s v="Medium"/>
    <n v="2023"/>
    <n v="4"/>
    <s v="No"/>
    <s v="No"/>
    <n v="0.1"/>
    <n v="704.60249999999996"/>
    <n v="6.24"/>
    <n v="9241.0156800000004"/>
    <n v="4396.7196000000004"/>
    <n v="4844.2960800000001"/>
  </r>
  <r>
    <s v="ORD-2025-659650"/>
    <d v="2025-02-04T00:00:00"/>
    <d v="2025-02-08T00:00:00"/>
    <d v="2025-02-04T00:00:00"/>
    <d v="2025-02-08T00:00:00"/>
    <n v="4"/>
    <s v="2-2025"/>
    <x v="3"/>
    <x v="7"/>
    <s v="Manchester"/>
    <s v="Enterprise"/>
    <x v="2"/>
    <s v="L. Okafor"/>
    <s v="Networking"/>
    <s v="NET-2502"/>
    <n v="586.21"/>
    <n v="727.22"/>
    <n v="6.8000000000000005E-2"/>
    <n v="15"/>
    <n v="10166.535600000001"/>
    <n v="8793.1500000000015"/>
    <n v="1373.3855999999996"/>
    <n v="0.13508884973559721"/>
    <s v="Q1-2025"/>
    <s v="Europe → United Kingdom → Manchester"/>
    <s v="Low"/>
    <n v="2025"/>
    <n v="2"/>
    <s v="Yes"/>
    <s v="No"/>
    <n v="6.8000000000000005E-2"/>
    <n v="615.52050000000008"/>
    <n v="15.600000000000001"/>
    <n v="10573.197024000001"/>
    <n v="9602.1198000000022"/>
    <n v="971.07722399999875"/>
  </r>
  <r>
    <s v="ORD-2024-207669"/>
    <d v="2024-01-24T00:00:00"/>
    <d v="2024-02-04T00:00:00"/>
    <d v="2024-01-24T00:00:00"/>
    <d v="2024-02-04T00:00:00"/>
    <n v="11"/>
    <s v="1-2024"/>
    <x v="3"/>
    <x v="7"/>
    <s v="Manchester"/>
    <s v="Consumer"/>
    <x v="0"/>
    <s v="B. Chen"/>
    <s v="Laptops"/>
    <s v="LAP-5689"/>
    <n v="525.34"/>
    <n v="1233.79"/>
    <n v="0.14299999999999999"/>
    <n v="4"/>
    <n v="4229.4321199999995"/>
    <n v="2101.36"/>
    <n v="2128.0721199999994"/>
    <n v="0.50315788494082736"/>
    <s v="Q1-2024"/>
    <s v="Europe → United Kingdom → Manchester"/>
    <s v="Medium"/>
    <n v="2024"/>
    <n v="1"/>
    <s v="No"/>
    <s v="No"/>
    <n v="0.1"/>
    <n v="551.60700000000008"/>
    <n v="4.16"/>
    <n v="4619.3097600000001"/>
    <n v="2294.6851200000006"/>
    <n v="2324.6246399999995"/>
  </r>
  <r>
    <s v="ORD-2024-979401"/>
    <d v="2024-02-08T00:00:00"/>
    <d v="2024-02-09T00:00:00"/>
    <d v="2024-02-08T00:00:00"/>
    <d v="2024-02-09T00:00:00"/>
    <n v="1"/>
    <s v="2-2024"/>
    <x v="0"/>
    <x v="0"/>
    <s v="Mombasa"/>
    <s v="Corporate"/>
    <x v="4"/>
    <s v="F. Müller"/>
    <s v="Components"/>
    <s v="CMP-5911"/>
    <n v="1233.52"/>
    <n v="1543.76"/>
    <n v="0.126"/>
    <n v="13"/>
    <n v="17540.201120000002"/>
    <n v="16035.76"/>
    <n v="1504.4411200000013"/>
    <n v="8.5771030201277493E-2"/>
    <s v="Q1-2024"/>
    <s v="Africa → Kenya → Mombasa"/>
    <s v="Medium"/>
    <n v="2024"/>
    <n v="2"/>
    <s v="Yes"/>
    <s v="No"/>
    <n v="0.1"/>
    <n v="1295.1960000000001"/>
    <n v="13.52"/>
    <n v="18784.471680000002"/>
    <n v="17511.049920000001"/>
    <n v="1273.4217600000011"/>
  </r>
  <r>
    <s v="ORD-2025-929414"/>
    <d v="2025-06-26T00:00:00"/>
    <d v="2025-07-11T00:00:00"/>
    <d v="2025-06-26T00:00:00"/>
    <d v="2025-07-11T00:00:00"/>
    <n v="15"/>
    <s v="6-2025"/>
    <x v="0"/>
    <x v="1"/>
    <s v="Port Harcourt"/>
    <s v="Small Business"/>
    <x v="1"/>
    <s v="A. Patel"/>
    <s v="Laptops"/>
    <s v="LAP-7523"/>
    <n v="1170.1500000000001"/>
    <n v="2115.19"/>
    <n v="9.1999999999999998E-2"/>
    <n v="23"/>
    <n v="44173.627960000005"/>
    <n v="26913.45"/>
    <n v="17260.177960000005"/>
    <n v="0.39073489674946776"/>
    <s v="Q2-2025"/>
    <s v="Africa → Nigeria → Port Harcourt"/>
    <s v="High"/>
    <n v="2025"/>
    <n v="6"/>
    <s v="No"/>
    <s v="No"/>
    <n v="9.1999999999999998E-2"/>
    <n v="1228.6575000000003"/>
    <n v="23.92"/>
    <n v="45940.573078400004"/>
    <n v="29389.487400000009"/>
    <n v="16551.085678399995"/>
  </r>
  <r>
    <s v="ORD-2024-766980"/>
    <d v="2024-11-04T00:00:00"/>
    <d v="2024-11-07T00:00:00"/>
    <d v="2024-11-04T00:00:00"/>
    <d v="2024-11-07T00:00:00"/>
    <n v="3"/>
    <s v="11-2024"/>
    <x v="3"/>
    <x v="6"/>
    <s v="Lyon"/>
    <s v="Corporate"/>
    <x v="1"/>
    <s v="O. Wang"/>
    <s v="Monitors"/>
    <s v="MON-1118"/>
    <n v="740.68"/>
    <n v="1837.19"/>
    <n v="0.19700000000000001"/>
    <n v="17"/>
    <n v="25079.480689999997"/>
    <n v="12591.56"/>
    <n v="12487.920689999997"/>
    <n v="0.4979337827748298"/>
    <s v="Q4-2024"/>
    <s v="Europe → France → Lyon"/>
    <s v="Medium"/>
    <n v="2024"/>
    <n v="11"/>
    <s v="Yes"/>
    <s v="No"/>
    <n v="0.1"/>
    <n v="777.71399999999994"/>
    <n v="17.68"/>
    <n v="29233.367279999999"/>
    <n v="13749.983519999998"/>
    <n v="15483.383760000001"/>
  </r>
  <r>
    <s v="ORD-2024-437164"/>
    <d v="2024-02-20T00:00:00"/>
    <d v="2024-02-20T00:00:00"/>
    <d v="2024-02-20T00:00:00"/>
    <d v="2024-02-20T00:00:00"/>
    <n v="0"/>
    <s v="2-2024"/>
    <x v="2"/>
    <x v="9"/>
    <s v="New York"/>
    <s v="Enterprise"/>
    <x v="1"/>
    <s v="C. Otieno"/>
    <s v="Networking"/>
    <s v="NET-9177"/>
    <n v="1407.05"/>
    <n v="2858.93"/>
    <n v="0"/>
    <n v="12"/>
    <n v="34307.159999999996"/>
    <n v="16884.599999999999"/>
    <n v="17422.559999999998"/>
    <n v="0.50784034586366222"/>
    <s v="Q1-2024"/>
    <s v="Americas → USA → New York"/>
    <s v="High"/>
    <n v="2024"/>
    <n v="2"/>
    <s v="Yes"/>
    <s v="No"/>
    <n v="0"/>
    <n v="1477.4024999999999"/>
    <n v="12.48"/>
    <n v="35679.446400000001"/>
    <n v="18437.983199999999"/>
    <n v="17241.463200000002"/>
  </r>
  <r>
    <s v="ORD-2025-169093"/>
    <d v="2025-04-13T00:00:00"/>
    <d v="2025-04-14T00:00:00"/>
    <d v="2025-04-13T00:00:00"/>
    <d v="2025-04-14T00:00:00"/>
    <n v="1"/>
    <s v="4-2025"/>
    <x v="1"/>
    <x v="2"/>
    <s v="Osaka"/>
    <s v="Enterprise"/>
    <x v="1"/>
    <s v="G. Dubois"/>
    <s v="Components"/>
    <s v="CMP-6495"/>
    <n v="138.9"/>
    <n v="289.92"/>
    <n v="2.9000000000000001E-2"/>
    <n v="12"/>
    <n v="3378.1478400000001"/>
    <n v="1666.8000000000002"/>
    <n v="1711.3478399999999"/>
    <n v="0.50659353025828491"/>
    <s v="Q2-2025"/>
    <s v="Asia → Japan → Osaka"/>
    <s v="Low"/>
    <n v="2025"/>
    <n v="4"/>
    <s v="Yes"/>
    <s v="No"/>
    <n v="2.9000000000000001E-2"/>
    <n v="145.845"/>
    <n v="12.48"/>
    <n v="3513.2737536000004"/>
    <n v="1820.1456000000001"/>
    <n v="1693.1281536000004"/>
  </r>
  <r>
    <s v="ORD-2024-787018"/>
    <d v="2024-06-23T00:00:00"/>
    <d v="2024-06-28T00:00:00"/>
    <d v="2024-06-23T00:00:00"/>
    <d v="2024-06-28T00:00:00"/>
    <n v="5"/>
    <s v="6-2024"/>
    <x v="0"/>
    <x v="1"/>
    <s v="Port Harcourt"/>
    <s v="Non-Profit"/>
    <x v="4"/>
    <s v="M. Rossi"/>
    <s v="Accessories"/>
    <s v="ACC-7671"/>
    <n v="242.31"/>
    <n v="587.95000000000005"/>
    <n v="0.22900000000000001"/>
    <n v="6"/>
    <n v="2719.8567000000003"/>
    <n v="1453.8600000000001"/>
    <n v="1265.9967000000001"/>
    <n v="0.46546448568411714"/>
    <s v="Q2-2024"/>
    <s v="Africa → Nigeria → Port Harcourt"/>
    <s v="Low"/>
    <n v="2024"/>
    <n v="6"/>
    <s v="Yes"/>
    <s v="Yes"/>
    <n v="0.1"/>
    <n v="254.4255"/>
    <n v="6.24"/>
    <n v="3301.9272000000005"/>
    <n v="1587.6151200000002"/>
    <n v="1714.3120800000004"/>
  </r>
  <r>
    <s v="ORD-2025-177994"/>
    <d v="2025-03-24T00:00:00"/>
    <d v="2025-04-04T00:00:00"/>
    <d v="2025-03-24T00:00:00"/>
    <d v="2025-04-04T00:00:00"/>
    <n v="11"/>
    <s v="3-2025"/>
    <x v="1"/>
    <x v="4"/>
    <s v="Mumbai"/>
    <s v="Education"/>
    <x v="2"/>
    <s v="J. Njeri"/>
    <s v="Phones"/>
    <s v="PHN-4395"/>
    <n v="23.83"/>
    <n v="47.29"/>
    <n v="6.4000000000000001E-2"/>
    <n v="19"/>
    <n v="841.00536"/>
    <n v="452.77"/>
    <n v="388.23536000000001"/>
    <n v="0.46163244429262618"/>
    <s v="Q1-2025"/>
    <s v="Asia → India → Mumbai"/>
    <s v="Low"/>
    <n v="2025"/>
    <n v="3"/>
    <s v="No"/>
    <s v="No"/>
    <n v="6.4000000000000001E-2"/>
    <n v="25.0215"/>
    <n v="19.760000000000002"/>
    <n v="874.64557439999999"/>
    <n v="494.42484000000002"/>
    <n v="380.22073439999997"/>
  </r>
  <r>
    <s v="ORD-2024-355095"/>
    <d v="2024-01-02T00:00:00"/>
    <d v="2024-01-02T00:00:00"/>
    <d v="2024-01-02T00:00:00"/>
    <d v="2024-01-02T00:00:00"/>
    <n v="0"/>
    <s v="1-2024"/>
    <x v="2"/>
    <x v="3"/>
    <s v="Vancouver"/>
    <s v="Education"/>
    <x v="4"/>
    <s v="A. Patel"/>
    <s v="Laptops"/>
    <s v="LAP-3581"/>
    <n v="444.41"/>
    <n v="754.24"/>
    <n v="0.20699999999999999"/>
    <n v="32"/>
    <n v="19139.594240000002"/>
    <n v="14221.12"/>
    <n v="4918.4742400000014"/>
    <n v="0.25697902360546598"/>
    <s v="Q1-2024"/>
    <s v="Americas → Canada → Vancouver"/>
    <s v="Low"/>
    <n v="2024"/>
    <n v="1"/>
    <s v="Yes"/>
    <s v="Yes"/>
    <n v="0.1"/>
    <n v="466.63050000000004"/>
    <n v="33.28"/>
    <n v="22590.996480000002"/>
    <n v="15529.463040000002"/>
    <n v="7061.5334399999992"/>
  </r>
  <r>
    <s v="ORD-2023-126505"/>
    <d v="2023-12-19T00:00:00"/>
    <d v="2024-01-01T00:00:00"/>
    <d v="2023-12-19T00:00:00"/>
    <d v="2024-01-01T00:00:00"/>
    <n v="13"/>
    <s v="12-2023"/>
    <x v="2"/>
    <x v="3"/>
    <s v="Toronto"/>
    <s v="Enterprise"/>
    <x v="0"/>
    <s v="K. Singh"/>
    <s v="Monitors"/>
    <s v="MON-6065"/>
    <n v="856.1"/>
    <n v="901.48"/>
    <n v="5.6000000000000001E-2"/>
    <n v="17"/>
    <n v="14466.95104"/>
    <n v="14553.7"/>
    <n v="-86.748960000000807"/>
    <n v="-5.9963540182134192E-3"/>
    <s v="Q4-2023"/>
    <s v="Americas → Canada → Toronto"/>
    <s v="Low"/>
    <n v="2023"/>
    <n v="12"/>
    <s v="No"/>
    <s v="No"/>
    <n v="5.6000000000000001E-2"/>
    <n v="898.90500000000009"/>
    <n v="17.68"/>
    <n v="15045.6290816"/>
    <n v="15892.640400000002"/>
    <n v="-847.01131840000198"/>
  </r>
  <r>
    <s v="ORD-2023-340056"/>
    <d v="2023-04-26T00:00:00"/>
    <d v="2023-04-26T00:00:00"/>
    <d v="2023-04-26T00:00:00"/>
    <d v="2023-04-26T00:00:00"/>
    <n v="0"/>
    <s v="4-2023"/>
    <x v="3"/>
    <x v="6"/>
    <s v="Marseille"/>
    <s v="Consumer"/>
    <x v="4"/>
    <s v="M. Rossi"/>
    <s v="Components"/>
    <s v="CMP-4945"/>
    <n v="81.489999999999995"/>
    <n v="113.08"/>
    <n v="0.121"/>
    <n v="5"/>
    <n v="496.98660000000001"/>
    <n v="407.45"/>
    <n v="89.536600000000021"/>
    <n v="0.18015898215364362"/>
    <s v="Q2-2023"/>
    <s v="Europe → France → Marseille"/>
    <s v="Low"/>
    <n v="2023"/>
    <n v="4"/>
    <s v="Yes"/>
    <s v="No"/>
    <n v="0.1"/>
    <n v="85.564499999999995"/>
    <n v="5.2"/>
    <n v="529.21439999999996"/>
    <n v="444.93540000000002"/>
    <n v="84.27899999999994"/>
  </r>
  <r>
    <s v="ORD-2025-281413"/>
    <d v="2025-08-03T00:00:00"/>
    <d v="2025-08-16T00:00:00"/>
    <d v="2025-08-03T00:00:00"/>
    <d v="2025-08-16T00:00:00"/>
    <n v="13"/>
    <s v="8-2025"/>
    <x v="2"/>
    <x v="3"/>
    <s v="Montreal"/>
    <s v="Enterprise"/>
    <x v="3"/>
    <s v="O. Wang"/>
    <s v="Networking"/>
    <s v="NET-3785"/>
    <n v="698.66"/>
    <n v="868.62"/>
    <n v="7.1999999999999995E-2"/>
    <n v="15"/>
    <n v="12091.190399999999"/>
    <n v="10479.9"/>
    <n v="1611.2903999999999"/>
    <n v="0.13326151906432637"/>
    <s v="Q3-2025"/>
    <s v="Americas → Canada → Montreal"/>
    <s v="Low"/>
    <n v="2025"/>
    <n v="8"/>
    <s v="No"/>
    <s v="No"/>
    <n v="7.1999999999999995E-2"/>
    <n v="733.59299999999996"/>
    <n v="15.600000000000001"/>
    <n v="12574.838016000002"/>
    <n v="11444.050800000001"/>
    <n v="1130.7872160000006"/>
  </r>
  <r>
    <s v="ORD-2023-713614"/>
    <d v="2023-08-02T00:00:00"/>
    <d v="2023-08-19T00:00:00"/>
    <d v="2023-08-02T00:00:00"/>
    <d v="2023-08-19T00:00:00"/>
    <n v="17"/>
    <s v="8-2023"/>
    <x v="2"/>
    <x v="3"/>
    <s v="Vancouver"/>
    <s v="Corporate"/>
    <x v="1"/>
    <s v="F. Müller"/>
    <s v="Networking"/>
    <s v="NET-3689"/>
    <n v="175.38"/>
    <n v="347.9"/>
    <n v="7.1999999999999995E-2"/>
    <n v="43"/>
    <n v="13882.6016"/>
    <n v="7541.34"/>
    <n v="6341.2615999999998"/>
    <n v="0.45677761148169804"/>
    <s v="Q3-2023"/>
    <s v="Americas → Canada → Vancouver"/>
    <s v="Low"/>
    <n v="2023"/>
    <n v="8"/>
    <s v="No"/>
    <s v="No"/>
    <n v="7.1999999999999995E-2"/>
    <n v="184.149"/>
    <n v="44.72"/>
    <n v="14437.905663999998"/>
    <n v="8235.1432800000002"/>
    <n v="6202.7623839999978"/>
  </r>
  <r>
    <s v="ORD-2025-649239"/>
    <d v="2025-01-17T00:00:00"/>
    <d v="2025-01-24T00:00:00"/>
    <d v="2025-01-17T00:00:00"/>
    <d v="2025-01-24T00:00:00"/>
    <n v="7"/>
    <s v="1-2025"/>
    <x v="2"/>
    <x v="9"/>
    <s v="Austin"/>
    <s v="Enterprise"/>
    <x v="1"/>
    <s v="G. Dubois"/>
    <s v="Accessories"/>
    <s v="ACC-4511"/>
    <n v="142.09"/>
    <n v="218.5"/>
    <n v="0.11899999999999999"/>
    <n v="11"/>
    <n v="2117.4834999999998"/>
    <n v="1562.99"/>
    <n v="554.49349999999981"/>
    <n v="0.26186437816398561"/>
    <s v="Q1-2025"/>
    <s v="Americas → USA → Austin"/>
    <s v="Low"/>
    <n v="2025"/>
    <n v="1"/>
    <s v="Yes"/>
    <s v="No"/>
    <n v="0.1"/>
    <n v="149.19450000000001"/>
    <n v="11.440000000000001"/>
    <n v="2249.6760000000004"/>
    <n v="1706.7850800000003"/>
    <n v="542.89092000000005"/>
  </r>
  <r>
    <s v="ORD-2024-496601"/>
    <d v="2024-11-11T00:00:00"/>
    <d v="2024-11-24T00:00:00"/>
    <d v="2024-11-11T00:00:00"/>
    <d v="2024-11-24T00:00:00"/>
    <n v="13"/>
    <s v="11-2024"/>
    <x v="3"/>
    <x v="7"/>
    <s v="London"/>
    <s v="Corporate"/>
    <x v="0"/>
    <s v="E. Garcia"/>
    <s v="Networking"/>
    <s v="NET-2932"/>
    <n v="164.53"/>
    <n v="327.72"/>
    <n v="6.7000000000000004E-2"/>
    <n v="14"/>
    <n v="4280.6786400000001"/>
    <n v="2303.42"/>
    <n v="1977.25864"/>
    <n v="0.46190307805960412"/>
    <s v="Q4-2024"/>
    <s v="Europe → United Kingdom → London"/>
    <s v="Low"/>
    <n v="2024"/>
    <n v="11"/>
    <s v="No"/>
    <s v="No"/>
    <n v="6.7000000000000004E-2"/>
    <n v="172.75650000000002"/>
    <n v="14.56"/>
    <n v="4451.9057856000009"/>
    <n v="2515.3346400000005"/>
    <n v="1936.5711456000004"/>
  </r>
  <r>
    <s v="ORD-2025-155182"/>
    <d v="2025-07-11T00:00:00"/>
    <d v="2025-08-03T00:00:00"/>
    <d v="2025-07-11T00:00:00"/>
    <d v="2025-08-03T00:00:00"/>
    <n v="23"/>
    <s v="7-2025"/>
    <x v="0"/>
    <x v="0"/>
    <s v="Nakuru"/>
    <s v="Small Business"/>
    <x v="0"/>
    <s v="C. Otieno"/>
    <s v="Phones"/>
    <s v="PHN-7636"/>
    <n v="389.93"/>
    <n v="486.13"/>
    <n v="0.13200000000000001"/>
    <n v="17"/>
    <n v="7173.3342799999991"/>
    <n v="6628.81"/>
    <n v="544.52427999999873"/>
    <n v="7.5909508569562828E-2"/>
    <s v="Q3-2025"/>
    <s v="Africa → Kenya → Nakuru"/>
    <s v="Low"/>
    <n v="2025"/>
    <n v="7"/>
    <s v="No"/>
    <s v="No"/>
    <n v="0.1"/>
    <n v="409.42650000000003"/>
    <n v="17.68"/>
    <n v="7735.3005599999997"/>
    <n v="7238.6605200000004"/>
    <n v="496.64003999999932"/>
  </r>
  <r>
    <s v="ORD-2024-247032"/>
    <d v="2024-04-21T00:00:00"/>
    <d v="2024-05-19T00:00:00"/>
    <d v="2024-04-21T00:00:00"/>
    <d v="2024-05-19T00:00:00"/>
    <n v="28"/>
    <s v="4-2024"/>
    <x v="0"/>
    <x v="1"/>
    <s v="Lagos"/>
    <s v="Corporate"/>
    <x v="3"/>
    <s v="A. Patel"/>
    <s v="Accessories"/>
    <s v="ACC-2990"/>
    <n v="187.22"/>
    <n v="309.47000000000003"/>
    <n v="0"/>
    <n v="5"/>
    <n v="1547.3500000000001"/>
    <n v="936.1"/>
    <n v="611.25000000000011"/>
    <n v="0.39503021294471197"/>
    <s v="Q2-2024"/>
    <s v="Africa → Nigeria → Lagos"/>
    <s v="Low"/>
    <n v="2024"/>
    <n v="4"/>
    <s v="No"/>
    <s v="No"/>
    <n v="0"/>
    <n v="196.58100000000002"/>
    <n v="5.2"/>
    <n v="1609.2440000000001"/>
    <n v="1022.2212000000002"/>
    <n v="587.02279999999996"/>
  </r>
  <r>
    <s v="ORD-2025-419532"/>
    <d v="2025-08-06T00:00:00"/>
    <d v="2025-08-23T00:00:00"/>
    <d v="2025-08-06T00:00:00"/>
    <d v="2025-08-23T00:00:00"/>
    <n v="17"/>
    <s v="8-2025"/>
    <x v="2"/>
    <x v="5"/>
    <s v="Brasília"/>
    <s v="Consumer"/>
    <x v="3"/>
    <s v="A. Patel"/>
    <s v="Monitors"/>
    <s v="MON-4317"/>
    <n v="86.64"/>
    <n v="213.06"/>
    <n v="0.21199999999999999"/>
    <n v="11"/>
    <n v="1846.8040799999999"/>
    <n v="953.04"/>
    <n v="893.76407999999992"/>
    <n v="0.48395175735154322"/>
    <s v="Q3-2025"/>
    <s v="Americas → Brazil → Brasília"/>
    <s v="Low"/>
    <n v="2025"/>
    <n v="8"/>
    <s v="No"/>
    <s v="Yes"/>
    <n v="0.1"/>
    <n v="90.972000000000008"/>
    <n v="11.440000000000001"/>
    <n v="2193.6657600000003"/>
    <n v="1040.7196800000002"/>
    <n v="1152.9460800000002"/>
  </r>
  <r>
    <s v="ORD-2024-594527"/>
    <d v="2024-09-06T00:00:00"/>
    <d v="2024-09-04T00:00:00"/>
    <d v="2024-09-04T00:00:00"/>
    <d v="2024-09-06T00:00:00"/>
    <n v="2"/>
    <s v="9-2024"/>
    <x v="1"/>
    <x v="2"/>
    <s v="Osaka"/>
    <s v="Corporate"/>
    <x v="4"/>
    <s v="A. Patel"/>
    <s v="Laptops"/>
    <s v="LAP-4483"/>
    <n v="1368.17"/>
    <n v="2307.75"/>
    <n v="0.16300000000000001"/>
    <n v="21"/>
    <n v="40563.321749999996"/>
    <n v="28731.57"/>
    <n v="11831.751749999996"/>
    <n v="0.29168596750831921"/>
    <s v="Q3-2024"/>
    <s v="Asia → Japan → Osaka"/>
    <s v="High"/>
    <n v="2024"/>
    <n v="9"/>
    <s v="Yes"/>
    <s v="No"/>
    <n v="0.1"/>
    <n v="1436.5785000000001"/>
    <n v="21.84"/>
    <n v="45361.134000000005"/>
    <n v="31374.874440000003"/>
    <n v="13986.259560000002"/>
  </r>
  <r>
    <s v="ORD-2024-689872"/>
    <d v="2024-08-03T00:00:00"/>
    <d v="2024-08-09T00:00:00"/>
    <d v="2024-08-03T00:00:00"/>
    <d v="2024-08-09T00:00:00"/>
    <n v="6"/>
    <s v="8-2024"/>
    <x v="0"/>
    <x v="0"/>
    <s v="Mombasa"/>
    <s v="Consumer"/>
    <x v="2"/>
    <s v="H. Kim"/>
    <s v="Laptops"/>
    <s v="LAP-1969"/>
    <n v="643.21"/>
    <n v="1112.81"/>
    <n v="0.14099999999999999"/>
    <n v="4"/>
    <n v="3823.6151599999998"/>
    <n v="2572.84"/>
    <n v="1250.7751599999997"/>
    <n v="0.32711847496702562"/>
    <s v="Q3-2024"/>
    <s v="Africa → Kenya → Mombasa"/>
    <s v="Low"/>
    <n v="2024"/>
    <n v="8"/>
    <s v="Yes"/>
    <s v="No"/>
    <n v="0.1"/>
    <n v="675.37050000000011"/>
    <n v="4.16"/>
    <n v="4166.3606399999999"/>
    <n v="2809.5412800000004"/>
    <n v="1356.8193599999995"/>
  </r>
  <r>
    <s v="ORD-2025-949776"/>
    <d v="2025-08-14T00:00:00"/>
    <d v="2025-09-11T00:00:00"/>
    <d v="2025-08-14T00:00:00"/>
    <d v="2025-09-11T00:00:00"/>
    <n v="28"/>
    <s v="8-2025"/>
    <x v="2"/>
    <x v="5"/>
    <s v="São Paulo"/>
    <s v="Non-Profit"/>
    <x v="4"/>
    <s v="F. Müller"/>
    <s v="Printers"/>
    <s v="PRN-9490"/>
    <n v="1203.02"/>
    <n v="2439.33"/>
    <n v="0"/>
    <n v="18"/>
    <n v="43907.94"/>
    <n v="21654.36"/>
    <n v="22253.58"/>
    <n v="0.50682359500354612"/>
    <s v="Q3-2025"/>
    <s v="Americas → Brazil → São Paulo"/>
    <s v="High"/>
    <n v="2025"/>
    <n v="8"/>
    <s v="No"/>
    <s v="No"/>
    <n v="0"/>
    <n v="1263.171"/>
    <n v="18.72"/>
    <n v="45664.257599999997"/>
    <n v="23646.561119999998"/>
    <n v="22017.696479999999"/>
  </r>
  <r>
    <s v="ORD-2023-378676"/>
    <d v="2023-05-03T00:00:00"/>
    <d v="2023-05-16T00:00:00"/>
    <d v="2023-05-03T00:00:00"/>
    <d v="2023-05-16T00:00:00"/>
    <n v="13"/>
    <s v="5-2023"/>
    <x v="2"/>
    <x v="9"/>
    <s v="New York"/>
    <s v="Corporate"/>
    <x v="2"/>
    <s v="L. Okafor"/>
    <s v="Phones"/>
    <s v="PHN-5366"/>
    <n v="64.5"/>
    <n v="123.62"/>
    <n v="0"/>
    <n v="3"/>
    <n v="370.86"/>
    <n v="193.5"/>
    <n v="177.36"/>
    <n v="0.47823976702798904"/>
    <s v="Q2-2023"/>
    <s v="Americas → USA → New York"/>
    <s v="Low"/>
    <n v="2023"/>
    <n v="5"/>
    <s v="No"/>
    <s v="No"/>
    <n v="0"/>
    <n v="67.725000000000009"/>
    <n v="3.12"/>
    <n v="385.69440000000003"/>
    <n v="211.30200000000002"/>
    <n v="174.39240000000001"/>
  </r>
  <r>
    <s v="ORD-2024-243988"/>
    <d v="2024-03-13T00:00:00"/>
    <d v="2024-04-06T00:00:00"/>
    <d v="2024-03-13T00:00:00"/>
    <d v="2024-04-06T00:00:00"/>
    <n v="24"/>
    <s v="3-2024"/>
    <x v="0"/>
    <x v="1"/>
    <s v="Abuja"/>
    <s v="Consumer"/>
    <x v="3"/>
    <s v="L. Okafor"/>
    <s v="Components"/>
    <s v="CMP-9001"/>
    <n v="1232.78"/>
    <n v="1731.75"/>
    <n v="9.2999999999999999E-2"/>
    <n v="16"/>
    <n v="25131.155999999999"/>
    <n v="19724.48"/>
    <n v="5406.6759999999995"/>
    <n v="0.21513837246484005"/>
    <s v="Q1-2024"/>
    <s v="Africa → Nigeria → Abuja"/>
    <s v="Medium"/>
    <n v="2024"/>
    <n v="3"/>
    <s v="No"/>
    <s v="No"/>
    <n v="9.2999999999999999E-2"/>
    <n v="1294.4190000000001"/>
    <n v="16.64"/>
    <n v="26136.402239999999"/>
    <n v="21539.132160000001"/>
    <n v="4597.2700799999984"/>
  </r>
  <r>
    <s v="ORD-2024-572312"/>
    <d v="2024-06-16T00:00:00"/>
    <d v="2024-06-21T00:00:00"/>
    <d v="2024-06-16T00:00:00"/>
    <d v="2024-06-21T00:00:00"/>
    <n v="5"/>
    <s v="6-2024"/>
    <x v="1"/>
    <x v="2"/>
    <s v="Tokyo"/>
    <s v="Small Business"/>
    <x v="3"/>
    <s v="F. Müller"/>
    <s v="Phones"/>
    <s v="PHN-9677"/>
    <n v="1367.13"/>
    <n v="3062.01"/>
    <n v="0.10299999999999999"/>
    <n v="25"/>
    <n v="68665.574250000005"/>
    <n v="34178.25"/>
    <n v="34487.324250000005"/>
    <n v="0.50225057645971705"/>
    <s v="Q2-2024"/>
    <s v="Asia → Japan → Tokyo"/>
    <s v="High"/>
    <n v="2024"/>
    <n v="6"/>
    <s v="Yes"/>
    <s v="No"/>
    <n v="0.1"/>
    <n v="1435.4865000000002"/>
    <n v="26"/>
    <n v="71651.034000000014"/>
    <n v="37322.649000000005"/>
    <n v="34328.385000000009"/>
  </r>
  <r>
    <s v="ORD-2024-232632"/>
    <d v="2024-02-14T00:00:00"/>
    <d v="2024-02-14T00:00:00"/>
    <d v="2024-02-14T00:00:00"/>
    <d v="2024-02-14T00:00:00"/>
    <n v="0"/>
    <s v="2-2024"/>
    <x v="1"/>
    <x v="8"/>
    <s v="Beijing"/>
    <s v="Corporate"/>
    <x v="3"/>
    <s v="L. Okafor"/>
    <s v="Accessories"/>
    <s v="ACC-1021"/>
    <n v="65.930000000000007"/>
    <n v="84.9"/>
    <n v="0.25900000000000001"/>
    <n v="23"/>
    <n v="1446.9507000000001"/>
    <n v="1516.39"/>
    <n v="-69.439300000000003"/>
    <n v="-4.7990093926489688E-2"/>
    <s v="Q1-2024"/>
    <s v="Asia → China → Beijing"/>
    <s v="Low"/>
    <n v="2024"/>
    <n v="2"/>
    <s v="Yes"/>
    <s v="Yes"/>
    <n v="0.1"/>
    <n v="69.226500000000016"/>
    <n v="23.92"/>
    <n v="1827.7272000000003"/>
    <n v="1655.8978800000004"/>
    <n v="171.82931999999983"/>
  </r>
  <r>
    <s v="ORD-2023-755337"/>
    <d v="2023-09-08T00:00:00"/>
    <d v="2023-09-14T00:00:00"/>
    <d v="2023-09-08T00:00:00"/>
    <d v="2023-09-14T00:00:00"/>
    <n v="6"/>
    <s v="9-2023"/>
    <x v="0"/>
    <x v="0"/>
    <s v="Nakuru"/>
    <s v="Education"/>
    <x v="4"/>
    <s v="I. Johnson"/>
    <s v="Accessories"/>
    <s v="ACC-4766"/>
    <n v="251.03"/>
    <n v="411.48"/>
    <n v="0.16500000000000001"/>
    <n v="3"/>
    <n v="1030.7574"/>
    <n v="753.09"/>
    <n v="277.66739999999993"/>
    <n v="0.26938191275658069"/>
    <s v="Q3-2023"/>
    <s v="Africa → Kenya → Nakuru"/>
    <s v="Low"/>
    <n v="2023"/>
    <n v="9"/>
    <s v="Yes"/>
    <s v="No"/>
    <n v="0.1"/>
    <n v="263.58150000000001"/>
    <n v="3.12"/>
    <n v="1155.4358400000001"/>
    <n v="822.37428"/>
    <n v="333.0615600000001"/>
  </r>
  <r>
    <s v="ORD-2025-993993"/>
    <d v="2025-08-30T00:00:00"/>
    <d v="2025-09-22T00:00:00"/>
    <d v="2025-08-30T00:00:00"/>
    <d v="2025-09-22T00:00:00"/>
    <n v="23"/>
    <s v="8-2025"/>
    <x v="3"/>
    <x v="6"/>
    <s v="Marseille"/>
    <s v="Corporate"/>
    <x v="4"/>
    <s v="E. Garcia"/>
    <s v="Components"/>
    <s v="CMP-5311"/>
    <n v="663.9"/>
    <n v="947.77"/>
    <n v="0.17399999999999999"/>
    <n v="15"/>
    <n v="11742.8703"/>
    <n v="9958.5"/>
    <n v="1784.3703000000005"/>
    <n v="0.1519535049280073"/>
    <s v="Q3-2025"/>
    <s v="Europe → France → Marseille"/>
    <s v="Low"/>
    <n v="2025"/>
    <n v="8"/>
    <s v="No"/>
    <s v="No"/>
    <n v="0.1"/>
    <n v="697.09500000000003"/>
    <n v="15.600000000000001"/>
    <n v="13306.690800000002"/>
    <n v="10874.682000000001"/>
    <n v="2432.0088000000014"/>
  </r>
  <r>
    <s v="ORD-2023-619493"/>
    <d v="2023-02-27T00:00:00"/>
    <d v="2023-02-26T00:00:00"/>
    <d v="2023-02-26T00:00:00"/>
    <d v="2023-02-27T00:00:00"/>
    <n v="1"/>
    <s v="2-2023"/>
    <x v="2"/>
    <x v="9"/>
    <s v="San Francisco"/>
    <s v="Non-Profit"/>
    <x v="1"/>
    <s v="L. Okafor"/>
    <s v="Networking"/>
    <s v="NET-1282"/>
    <n v="1015.91"/>
    <n v="2331.48"/>
    <n v="0.14599999999999999"/>
    <n v="26"/>
    <n v="51768.181920000003"/>
    <n v="26413.66"/>
    <n v="25354.521920000003"/>
    <n v="0.48977037592669626"/>
    <s v="Q1-2023"/>
    <s v="Americas → USA → San Francisco"/>
    <s v="High"/>
    <n v="2023"/>
    <n v="2"/>
    <s v="Yes"/>
    <s v="No"/>
    <n v="0.1"/>
    <n v="1066.7055"/>
    <n v="27.04"/>
    <n v="56738.897279999997"/>
    <n v="28843.71672"/>
    <n v="27895.180559999997"/>
  </r>
  <r>
    <s v="ORD-2024-947056"/>
    <d v="2024-07-31T00:00:00"/>
    <d v="2024-08-15T00:00:00"/>
    <d v="2024-07-31T00:00:00"/>
    <d v="2024-08-15T00:00:00"/>
    <n v="15"/>
    <s v="7-2024"/>
    <x v="1"/>
    <x v="2"/>
    <s v="Tokyo"/>
    <s v="Corporate"/>
    <x v="2"/>
    <s v="F. Müller"/>
    <s v="Monitors"/>
    <s v="MON-1564"/>
    <n v="1252.52"/>
    <n v="1417.24"/>
    <n v="0.192"/>
    <n v="5"/>
    <n v="5725.6496000000006"/>
    <n v="6262.6"/>
    <n v="-536.95039999999972"/>
    <n v="-9.3779821943696953E-2"/>
    <s v="Q3-2024"/>
    <s v="Asia → Japan → Tokyo"/>
    <s v="Medium"/>
    <n v="2024"/>
    <n v="7"/>
    <s v="No"/>
    <s v="No"/>
    <n v="0.1"/>
    <n v="1315.146"/>
    <n v="5.2"/>
    <n v="6632.6832000000004"/>
    <n v="6838.7592000000004"/>
    <n v="-206.07600000000002"/>
  </r>
  <r>
    <s v="ORD-2025-828263"/>
    <d v="2025-05-17T00:00:00"/>
    <d v="2025-05-30T00:00:00"/>
    <d v="2025-05-17T00:00:00"/>
    <d v="2025-05-30T00:00:00"/>
    <n v="13"/>
    <s v="5-2025"/>
    <x v="0"/>
    <x v="1"/>
    <s v="Lagos"/>
    <s v="Consumer"/>
    <x v="3"/>
    <s v="F. Müller"/>
    <s v="Accessories"/>
    <s v="ACC-3349"/>
    <n v="66.400000000000006"/>
    <n v="141.43"/>
    <n v="0.107"/>
    <n v="8"/>
    <n v="1010.3759200000001"/>
    <n v="531.20000000000005"/>
    <n v="479.17592000000002"/>
    <n v="0.47425508715607551"/>
    <s v="Q2-2025"/>
    <s v="Africa → Nigeria → Lagos"/>
    <s v="Low"/>
    <n v="2025"/>
    <n v="5"/>
    <s v="No"/>
    <s v="No"/>
    <n v="0.1"/>
    <n v="69.720000000000013"/>
    <n v="8.32"/>
    <n v="1059.0278400000002"/>
    <n v="580.07040000000018"/>
    <n v="478.95744000000002"/>
  </r>
  <r>
    <s v="ORD-2024-442776"/>
    <d v="2024-06-30T00:00:00"/>
    <d v="2024-07-21T00:00:00"/>
    <d v="2024-06-30T00:00:00"/>
    <d v="2024-07-21T00:00:00"/>
    <n v="21"/>
    <s v="6-2024"/>
    <x v="0"/>
    <x v="0"/>
    <s v="Kisumu"/>
    <s v="Small Business"/>
    <x v="0"/>
    <s v="K. Singh"/>
    <s v="Laptops"/>
    <s v="LAP-6577"/>
    <n v="753.43"/>
    <n v="1787.2"/>
    <n v="7.2999999999999995E-2"/>
    <n v="9"/>
    <n v="14910.609600000002"/>
    <n v="6780.87"/>
    <n v="8129.7396000000017"/>
    <n v="0.54523187301476939"/>
    <s v="Q2-2024"/>
    <s v="Africa → Kenya → Kisumu"/>
    <s v="Medium"/>
    <n v="2024"/>
    <n v="6"/>
    <s v="No"/>
    <s v="No"/>
    <n v="7.2999999999999995E-2"/>
    <n v="791.10149999999999"/>
    <n v="9.36"/>
    <n v="15507.033984"/>
    <n v="7404.710039999999"/>
    <n v="8102.3239440000007"/>
  </r>
  <r>
    <s v="ORD-2025-705398"/>
    <d v="2025-02-17T00:00:00"/>
    <d v="2025-02-15T00:00:00"/>
    <d v="2025-02-15T00:00:00"/>
    <d v="2025-02-17T00:00:00"/>
    <n v="2"/>
    <s v="2-2025"/>
    <x v="2"/>
    <x v="3"/>
    <s v="Toronto"/>
    <s v="Small Business"/>
    <x v="0"/>
    <s v="D. Smith"/>
    <s v="Components"/>
    <s v="CMP-5065"/>
    <n v="1133.47"/>
    <n v="1698.75"/>
    <n v="4.2999999999999997E-2"/>
    <n v="5"/>
    <n v="8128.5187499999993"/>
    <n v="5667.35"/>
    <n v="2461.1687499999989"/>
    <n v="0.30278194904821976"/>
    <s v="Q1-2025"/>
    <s v="Americas → Canada → Toronto"/>
    <s v="Medium"/>
    <n v="2025"/>
    <n v="2"/>
    <s v="Yes"/>
    <s v="No"/>
    <n v="4.2999999999999997E-2"/>
    <n v="1190.1435000000001"/>
    <n v="5.2"/>
    <n v="8453.6594999999998"/>
    <n v="6188.7462000000005"/>
    <n v="2264.9132999999993"/>
  </r>
  <r>
    <s v="ORD-2023-689428"/>
    <d v="2023-01-07T00:00:00"/>
    <d v="2023-01-30T00:00:00"/>
    <d v="2023-01-07T00:00:00"/>
    <d v="2023-01-30T00:00:00"/>
    <n v="23"/>
    <s v="1-2023"/>
    <x v="0"/>
    <x v="10"/>
    <s v="Cape Town"/>
    <s v="Consumer"/>
    <x v="1"/>
    <s v="A. Patel"/>
    <s v="Printers"/>
    <s v="PRN-4787"/>
    <n v="299.02"/>
    <n v="724.7"/>
    <n v="0.14000000000000001"/>
    <n v="5"/>
    <n v="3116.21"/>
    <n v="1495.1"/>
    <n v="1621.1100000000001"/>
    <n v="0.52021847051386139"/>
    <s v="Q1-2023"/>
    <s v="Africa → South Africa → Cape Town"/>
    <s v="Low"/>
    <n v="2023"/>
    <n v="1"/>
    <s v="No"/>
    <s v="No"/>
    <n v="0.1"/>
    <n v="313.971"/>
    <n v="5.2"/>
    <n v="3391.5960000000005"/>
    <n v="1632.6492000000001"/>
    <n v="1758.9468000000004"/>
  </r>
  <r>
    <s v="ORD-2025-683247"/>
    <d v="2025-03-10T00:00:00"/>
    <d v="2025-04-04T00:00:00"/>
    <d v="2025-03-10T00:00:00"/>
    <d v="2025-04-04T00:00:00"/>
    <n v="25"/>
    <s v="3-2025"/>
    <x v="1"/>
    <x v="2"/>
    <s v="Osaka"/>
    <s v="Corporate"/>
    <x v="4"/>
    <s v="H. Kim"/>
    <s v="Printers"/>
    <s v="PRN-9867"/>
    <n v="783.72"/>
    <n v="1355.94"/>
    <n v="0.187"/>
    <n v="4"/>
    <n v="4409.5168800000001"/>
    <n v="3134.88"/>
    <n v="1274.63688"/>
    <n v="0.28906497348525856"/>
    <s v="Q1-2025"/>
    <s v="Asia → Japan → Osaka"/>
    <s v="Medium"/>
    <n v="2025"/>
    <n v="3"/>
    <s v="No"/>
    <s v="No"/>
    <n v="0.1"/>
    <n v="822.90600000000006"/>
    <n v="4.16"/>
    <n v="5076.639360000001"/>
    <n v="3423.2889600000003"/>
    <n v="1653.3504000000007"/>
  </r>
  <r>
    <s v="ORD-2023-704111"/>
    <d v="2023-05-17T00:00:00"/>
    <d v="2023-06-15T00:00:00"/>
    <d v="2023-05-17T00:00:00"/>
    <d v="2023-06-15T00:00:00"/>
    <n v="29"/>
    <s v="5-2023"/>
    <x v="0"/>
    <x v="10"/>
    <s v="Durban"/>
    <s v="Enterprise"/>
    <x v="0"/>
    <s v="K. Singh"/>
    <s v="Accessories"/>
    <s v="ACC-5206"/>
    <n v="40.89"/>
    <n v="62.82"/>
    <n v="0.129"/>
    <n v="17"/>
    <n v="930.17574000000002"/>
    <n v="695.13"/>
    <n v="235.04574000000002"/>
    <n v="0.25268960465470752"/>
    <s v="Q2-2023"/>
    <s v="Africa → South Africa → Durban"/>
    <s v="Low"/>
    <n v="2023"/>
    <n v="5"/>
    <s v="No"/>
    <s v="No"/>
    <n v="0.1"/>
    <n v="42.9345"/>
    <n v="17.68"/>
    <n v="999.59184000000005"/>
    <n v="759.08195999999998"/>
    <n v="240.50988000000007"/>
  </r>
  <r>
    <s v="ORD-2024-907733"/>
    <d v="2024-03-09T00:00:00"/>
    <d v="2024-03-22T00:00:00"/>
    <d v="2024-03-09T00:00:00"/>
    <d v="2024-03-22T00:00:00"/>
    <n v="13"/>
    <s v="3-2024"/>
    <x v="3"/>
    <x v="7"/>
    <s v="Manchester"/>
    <s v="Consumer"/>
    <x v="1"/>
    <s v="E. Garcia"/>
    <s v="Laptops"/>
    <s v="LAP-8633"/>
    <n v="985.45"/>
    <n v="1802.44"/>
    <n v="8.9999999999999993E-3"/>
    <n v="19"/>
    <n v="33938.142760000002"/>
    <n v="18723.55"/>
    <n v="15214.592760000003"/>
    <n v="0.44830363486867486"/>
    <s v="Q1-2024"/>
    <s v="Europe → United Kingdom → Manchester"/>
    <s v="Medium"/>
    <n v="2024"/>
    <n v="3"/>
    <s v="No"/>
    <s v="No"/>
    <n v="8.9999999999999993E-3"/>
    <n v="1034.7225000000001"/>
    <n v="19.760000000000002"/>
    <n v="35295.668470400007"/>
    <n v="20446.116600000005"/>
    <n v="14849.551870400002"/>
  </r>
  <r>
    <s v="ORD-2024-550400"/>
    <d v="2024-08-19T00:00:00"/>
    <d v="2024-09-02T00:00:00"/>
    <d v="2024-08-19T00:00:00"/>
    <d v="2024-09-02T00:00:00"/>
    <n v="14"/>
    <s v="8-2024"/>
    <x v="2"/>
    <x v="3"/>
    <s v="Toronto"/>
    <s v="Consumer"/>
    <x v="3"/>
    <s v="C. Otieno"/>
    <s v="Printers"/>
    <s v="PRN-9793"/>
    <n v="1337.01"/>
    <n v="1269.78"/>
    <n v="0.16"/>
    <n v="7"/>
    <n v="7466.3063999999986"/>
    <n v="9359.07"/>
    <n v="-1892.7636000000011"/>
    <n v="-0.25350735672996244"/>
    <s v="Q3-2024"/>
    <s v="Americas → Canada → Toronto"/>
    <s v="Medium"/>
    <n v="2024"/>
    <n v="8"/>
    <s v="No"/>
    <s v="No"/>
    <n v="0.1"/>
    <n v="1403.8605"/>
    <n v="7.28"/>
    <n v="8319.5985600000004"/>
    <n v="10220.104440000001"/>
    <n v="-1900.5058800000006"/>
  </r>
  <r>
    <s v="ORD-2025-189846"/>
    <d v="2025-08-11T00:00:00"/>
    <d v="2025-08-28T00:00:00"/>
    <d v="2025-08-11T00:00:00"/>
    <d v="2025-08-28T00:00:00"/>
    <n v="17"/>
    <s v="8-2025"/>
    <x v="3"/>
    <x v="6"/>
    <s v="Paris"/>
    <s v="Education"/>
    <x v="1"/>
    <s v="F. Müller"/>
    <s v="Networking"/>
    <s v="NET-6218"/>
    <n v="416.16"/>
    <n v="571.9"/>
    <n v="7.0999999999999994E-2"/>
    <n v="2"/>
    <n v="1062.5902000000001"/>
    <n v="832.32"/>
    <n v="230.27020000000005"/>
    <n v="0.21670649701079497"/>
    <s v="Q3-2025"/>
    <s v="Europe → France → Paris"/>
    <s v="Low"/>
    <n v="2025"/>
    <n v="8"/>
    <s v="No"/>
    <s v="No"/>
    <n v="7.0999999999999994E-2"/>
    <n v="436.96800000000002"/>
    <n v="2.08"/>
    <n v="1105.0938080000001"/>
    <n v="908.89344000000006"/>
    <n v="196.20036800000003"/>
  </r>
  <r>
    <s v="ORD-2025-752192"/>
    <d v="2025-05-16T00:00:00"/>
    <d v="2025-05-18T00:00:00"/>
    <d v="2025-05-16T00:00:00"/>
    <d v="2025-05-18T00:00:00"/>
    <n v="2"/>
    <s v="5-2025"/>
    <x v="1"/>
    <x v="2"/>
    <s v="Tokyo"/>
    <s v="Enterprise"/>
    <x v="0"/>
    <s v="J. Njeri"/>
    <s v="Printers"/>
    <s v="PRN-6131"/>
    <n v="1144.3800000000001"/>
    <n v="2755.04"/>
    <n v="0.15"/>
    <n v="17"/>
    <n v="39810.328000000001"/>
    <n v="19454.460000000003"/>
    <n v="20355.867999999999"/>
    <n v="0.51132128326096682"/>
    <s v="Q2-2025"/>
    <s v="Asia → Japan → Tokyo"/>
    <s v="High"/>
    <n v="2025"/>
    <n v="5"/>
    <s v="Yes"/>
    <s v="No"/>
    <n v="0.1"/>
    <n v="1201.5990000000002"/>
    <n v="17.68"/>
    <n v="43838.196479999999"/>
    <n v="21244.270320000003"/>
    <n v="22593.926159999995"/>
  </r>
  <r>
    <s v="ORD-2023-294716"/>
    <d v="2023-04-10T00:00:00"/>
    <d v="2023-04-25T00:00:00"/>
    <d v="2023-04-10T00:00:00"/>
    <d v="2023-04-25T00:00:00"/>
    <n v="15"/>
    <s v="4-2023"/>
    <x v="3"/>
    <x v="7"/>
    <s v="London"/>
    <s v="Small Business"/>
    <x v="0"/>
    <s v="D. Smith"/>
    <s v="Printers"/>
    <s v="PRN-5067"/>
    <n v="405.66"/>
    <n v="962.51"/>
    <n v="0.19"/>
    <n v="7"/>
    <n v="5457.4317000000001"/>
    <n v="2839.6200000000003"/>
    <n v="2617.8116999999997"/>
    <n v="0.47967832561239376"/>
    <s v="Q2-2023"/>
    <s v="Europe → United Kingdom → London"/>
    <s v="Low"/>
    <n v="2023"/>
    <n v="4"/>
    <s v="No"/>
    <s v="No"/>
    <n v="0.1"/>
    <n v="425.94300000000004"/>
    <n v="7.28"/>
    <n v="6306.3655200000003"/>
    <n v="3100.8650400000006"/>
    <n v="3205.5004799999997"/>
  </r>
  <r>
    <s v="ORD-2025-823055"/>
    <d v="2025-09-08T00:00:00"/>
    <d v="2025-10-05T00:00:00"/>
    <d v="2025-09-08T00:00:00"/>
    <d v="2025-10-05T00:00:00"/>
    <n v="27"/>
    <s v="9-2025"/>
    <x v="2"/>
    <x v="5"/>
    <s v="Rio de Janeiro"/>
    <s v="Education"/>
    <x v="1"/>
    <s v="C. Otieno"/>
    <s v="Monitors"/>
    <s v="MON-9274"/>
    <n v="660.78"/>
    <n v="1630.39"/>
    <n v="0.218"/>
    <n v="13"/>
    <n v="16574.544740000001"/>
    <n v="8590.14"/>
    <n v="7984.4047400000018"/>
    <n v="0.48172694123724097"/>
    <s v="Q3-2025"/>
    <s v="Americas → Brazil → Rio de Janeiro"/>
    <s v="Medium"/>
    <n v="2025"/>
    <n v="9"/>
    <s v="No"/>
    <s v="Yes"/>
    <n v="0.1"/>
    <n v="693.81899999999996"/>
    <n v="13.52"/>
    <n v="19838.585520000001"/>
    <n v="9380.4328799999985"/>
    <n v="10458.152640000002"/>
  </r>
  <r>
    <s v="ORD-2023-271918"/>
    <d v="2023-09-25T00:00:00"/>
    <d v="2023-10-02T00:00:00"/>
    <d v="2023-09-25T00:00:00"/>
    <d v="2023-10-02T00:00:00"/>
    <n v="7"/>
    <s v="9-2023"/>
    <x v="2"/>
    <x v="9"/>
    <s v="New York"/>
    <s v="Education"/>
    <x v="2"/>
    <s v="I. Johnson"/>
    <s v="Accessories"/>
    <s v="ACC-3551"/>
    <n v="145.58000000000001"/>
    <n v="228.15"/>
    <n v="0.20399999999999999"/>
    <n v="5"/>
    <n v="908.03700000000003"/>
    <n v="727.90000000000009"/>
    <n v="180.13699999999994"/>
    <n v="0.19838068272548359"/>
    <s v="Q3-2023"/>
    <s v="Americas → USA → New York"/>
    <s v="Low"/>
    <n v="2023"/>
    <n v="9"/>
    <s v="Yes"/>
    <s v="Yes"/>
    <n v="0.1"/>
    <n v="152.85900000000001"/>
    <n v="5.2"/>
    <n v="1067.7420000000002"/>
    <n v="794.86680000000013"/>
    <n v="272.87520000000006"/>
  </r>
  <r>
    <s v="ORD-2025-262434"/>
    <d v="2025-06-19T00:00:00"/>
    <d v="2025-06-21T00:00:00"/>
    <d v="2025-06-19T00:00:00"/>
    <d v="2025-06-21T00:00:00"/>
    <n v="2"/>
    <s v="6-2025"/>
    <x v="0"/>
    <x v="10"/>
    <s v="Johannesburg"/>
    <s v="Small Business"/>
    <x v="5"/>
    <s v="H. Kim"/>
    <s v="Phones"/>
    <s v="PHN-7379"/>
    <n v="1466.27"/>
    <n v="3589.89"/>
    <n v="9.7000000000000003E-2"/>
    <n v="9"/>
    <n v="29175.036029999999"/>
    <n v="13196.43"/>
    <n v="15978.606029999999"/>
    <n v="0.54768076425234147"/>
    <s v="Q2-2025"/>
    <s v="Africa → South Africa → Johannesburg"/>
    <s v="High"/>
    <n v="2025"/>
    <n v="6"/>
    <s v="Yes"/>
    <s v="No"/>
    <n v="9.7000000000000003E-2"/>
    <n v="1539.5835"/>
    <n v="9.36"/>
    <n v="30342.037471200001"/>
    <n v="14410.501559999999"/>
    <n v="15931.535911200002"/>
  </r>
  <r>
    <s v="ORD-2024-266562"/>
    <d v="2024-11-27T00:00:00"/>
    <d v="2024-12-24T00:00:00"/>
    <d v="2024-11-27T00:00:00"/>
    <d v="2024-12-24T00:00:00"/>
    <n v="27"/>
    <s v="11-2024"/>
    <x v="0"/>
    <x v="0"/>
    <s v="Mombasa"/>
    <s v="Corporate"/>
    <x v="3"/>
    <s v="B. Chen"/>
    <s v="Printers"/>
    <s v="PRN-5569"/>
    <n v="143.33000000000001"/>
    <n v="233.51"/>
    <n v="0.16300000000000001"/>
    <n v="14"/>
    <n v="2736.27018"/>
    <n v="2006.6200000000001"/>
    <n v="729.65017999999986"/>
    <n v="0.26665867476580835"/>
    <s v="Q4-2024"/>
    <s v="Africa → Kenya → Mombasa"/>
    <s v="Low"/>
    <n v="2024"/>
    <n v="11"/>
    <s v="No"/>
    <s v="No"/>
    <n v="0.1"/>
    <n v="150.49650000000003"/>
    <n v="14.56"/>
    <n v="3059.9150400000003"/>
    <n v="2191.2290400000006"/>
    <n v="868.68599999999969"/>
  </r>
  <r>
    <s v="ORD-2024-838925"/>
    <d v="2024-01-28T00:00:00"/>
    <d v="2024-01-27T00:00:00"/>
    <d v="2024-01-27T00:00:00"/>
    <d v="2024-01-28T00:00:00"/>
    <n v="1"/>
    <s v="1-2024"/>
    <x v="0"/>
    <x v="10"/>
    <s v="Cape Town"/>
    <s v="Enterprise"/>
    <x v="4"/>
    <s v="O. Wang"/>
    <s v="Components"/>
    <s v="CMP-1470"/>
    <n v="109.75"/>
    <n v="124.25"/>
    <n v="0.12"/>
    <n v="19"/>
    <n v="2077.46"/>
    <n v="2085.25"/>
    <n v="-7.7899999999999636"/>
    <n v="-3.7497713554051405E-3"/>
    <s v="Q1-2024"/>
    <s v="Africa → South Africa → Cape Town"/>
    <s v="Low"/>
    <n v="2024"/>
    <n v="1"/>
    <s v="Yes"/>
    <s v="No"/>
    <n v="0.1"/>
    <n v="115.23750000000001"/>
    <n v="19.760000000000002"/>
    <n v="2209.6620000000003"/>
    <n v="2277.0930000000003"/>
    <n v="-67.43100000000004"/>
  </r>
  <r>
    <s v="ORD-2023-664790"/>
    <d v="2023-04-16T00:00:00"/>
    <d v="2023-04-23T00:00:00"/>
    <d v="2023-04-16T00:00:00"/>
    <d v="2023-04-23T00:00:00"/>
    <n v="7"/>
    <s v="4-2023"/>
    <x v="2"/>
    <x v="9"/>
    <s v="Austin"/>
    <s v="Corporate"/>
    <x v="3"/>
    <s v="O. Wang"/>
    <s v="Printers"/>
    <s v="PRN-9249"/>
    <n v="1099.1500000000001"/>
    <n v="1431.37"/>
    <n v="0.104"/>
    <n v="8"/>
    <n v="10260.060159999999"/>
    <n v="8793.2000000000007"/>
    <n v="1466.8601599999984"/>
    <n v="0.14296798821109433"/>
    <s v="Q2-2023"/>
    <s v="Americas → USA → Austin"/>
    <s v="Medium"/>
    <n v="2023"/>
    <n v="4"/>
    <s v="Yes"/>
    <s v="No"/>
    <n v="0.1"/>
    <n v="1154.1075000000001"/>
    <n v="8.32"/>
    <n v="10718.09856"/>
    <n v="9602.1744000000017"/>
    <n v="1115.9241599999987"/>
  </r>
  <r>
    <s v="ORD-2024-331408"/>
    <d v="2024-02-01T00:00:00"/>
    <d v="2024-02-01T00:00:00"/>
    <d v="2024-02-01T00:00:00"/>
    <d v="2024-02-01T00:00:00"/>
    <n v="0"/>
    <s v="2-2024"/>
    <x v="2"/>
    <x v="9"/>
    <s v="Austin"/>
    <s v="Consumer"/>
    <x v="3"/>
    <s v="H. Kim"/>
    <s v="Printers"/>
    <s v="PRN-4906"/>
    <n v="714.43"/>
    <n v="1595.52"/>
    <n v="0.19400000000000001"/>
    <n v="14"/>
    <n v="18003.847679999999"/>
    <n v="10002.019999999999"/>
    <n v="8001.8276800000003"/>
    <n v="0.44445097638151093"/>
    <s v="Q1-2024"/>
    <s v="Americas → USA → Austin"/>
    <s v="Medium"/>
    <n v="2024"/>
    <n v="2"/>
    <s v="Yes"/>
    <s v="No"/>
    <n v="0.1"/>
    <n v="750.15149999999994"/>
    <n v="14.56"/>
    <n v="20907.694080000001"/>
    <n v="10922.205839999999"/>
    <n v="9985.4882400000024"/>
  </r>
  <r>
    <s v="ORD-2024-741404"/>
    <d v="2024-10-19T00:00:00"/>
    <d v="2024-11-06T00:00:00"/>
    <d v="2024-10-19T00:00:00"/>
    <d v="2024-11-06T00:00:00"/>
    <n v="18"/>
    <s v="10-2024"/>
    <x v="2"/>
    <x v="9"/>
    <s v="Chicago"/>
    <s v="Education"/>
    <x v="5"/>
    <s v="C. Otieno"/>
    <s v="Monitors"/>
    <s v="MON-8129"/>
    <n v="942.02"/>
    <n v="1028.46"/>
    <n v="0"/>
    <n v="9"/>
    <n v="9256.14"/>
    <n v="8478.18"/>
    <n v="777.95999999999913"/>
    <n v="8.4047994088248354E-2"/>
    <s v="Q4-2024"/>
    <s v="Americas → USA → Chicago"/>
    <s v="Low"/>
    <n v="2024"/>
    <n v="10"/>
    <s v="No"/>
    <s v="No"/>
    <n v="0"/>
    <n v="989.12099999999998"/>
    <n v="9.36"/>
    <n v="9626.3855999999996"/>
    <n v="9258.1725599999991"/>
    <n v="368.21304000000055"/>
  </r>
  <r>
    <s v="ORD-2024-341535"/>
    <d v="2024-06-25T00:00:00"/>
    <d v="2024-06-30T00:00:00"/>
    <d v="2024-06-25T00:00:00"/>
    <d v="2024-06-30T00:00:00"/>
    <n v="5"/>
    <s v="6-2024"/>
    <x v="0"/>
    <x v="0"/>
    <s v="Kisumu"/>
    <s v="Education"/>
    <x v="4"/>
    <s v="M. Rossi"/>
    <s v="Networking"/>
    <s v="NET-5987"/>
    <n v="1323.55"/>
    <n v="3230.35"/>
    <n v="2.1999999999999999E-2"/>
    <n v="26"/>
    <n v="82141.339799999987"/>
    <n v="34412.299999999996"/>
    <n v="47729.039799999991"/>
    <n v="0.58105991351263542"/>
    <s v="Q2-2024"/>
    <s v="Africa → Kenya → Kisumu"/>
    <s v="High"/>
    <n v="2024"/>
    <n v="6"/>
    <s v="Yes"/>
    <s v="No"/>
    <n v="2.1999999999999999E-2"/>
    <n v="1389.7275"/>
    <n v="27.04"/>
    <n v="85426.993391999989"/>
    <n v="37578.231599999999"/>
    <n v="47848.76179199999"/>
  </r>
  <r>
    <s v="ORD-2023-451931"/>
    <d v="2023-07-30T00:00:00"/>
    <d v="2023-08-19T00:00:00"/>
    <d v="2023-07-30T00:00:00"/>
    <d v="2023-08-19T00:00:00"/>
    <n v="20"/>
    <s v="7-2023"/>
    <x v="3"/>
    <x v="6"/>
    <s v="Paris"/>
    <s v="Enterprise"/>
    <x v="2"/>
    <s v="G. Dubois"/>
    <s v="Networking"/>
    <s v="NET-5423"/>
    <n v="1418.51"/>
    <n v="2789.61"/>
    <n v="0.17100000000000001"/>
    <n v="8"/>
    <n v="18500.693520000001"/>
    <n v="11348.08"/>
    <n v="7152.6135200000008"/>
    <n v="0.38661326464695689"/>
    <s v="Q3-2023"/>
    <s v="Europe → France → Paris"/>
    <s v="High"/>
    <n v="2023"/>
    <n v="7"/>
    <s v="No"/>
    <s v="No"/>
    <n v="0.1"/>
    <n v="1489.4355"/>
    <n v="8.32"/>
    <n v="20888.599680000003"/>
    <n v="12392.103360000001"/>
    <n v="8496.496320000002"/>
  </r>
  <r>
    <s v="ORD-2025-532859"/>
    <d v="2025-03-11T00:00:00"/>
    <d v="2025-03-27T00:00:00"/>
    <d v="2025-03-11T00:00:00"/>
    <d v="2025-03-27T00:00:00"/>
    <n v="16"/>
    <s v="3-2025"/>
    <x v="1"/>
    <x v="2"/>
    <s v="Tokyo"/>
    <s v="Enterprise"/>
    <x v="3"/>
    <s v="B. Chen"/>
    <s v="Printers"/>
    <s v="PRN-5264"/>
    <n v="1317.58"/>
    <n v="1897.74"/>
    <n v="8.1000000000000003E-2"/>
    <n v="6"/>
    <n v="10464.138360000001"/>
    <n v="7905.48"/>
    <n v="2558.6583600000013"/>
    <n v="0.24451687009230266"/>
    <s v="Q1-2025"/>
    <s v="Asia → Japan → Tokyo"/>
    <s v="Medium"/>
    <n v="2025"/>
    <n v="3"/>
    <s v="No"/>
    <s v="No"/>
    <n v="8.1000000000000003E-2"/>
    <n v="1383.4590000000001"/>
    <n v="6.24"/>
    <n v="10882.703894400001"/>
    <n v="8632.7841600000011"/>
    <n v="2249.9197344000004"/>
  </r>
  <r>
    <s v="ORD-2023-502205"/>
    <d v="2023-10-09T00:00:00"/>
    <d v="2023-10-11T00:00:00"/>
    <d v="2023-10-09T00:00:00"/>
    <d v="2023-10-11T00:00:00"/>
    <n v="2"/>
    <s v="10-2023"/>
    <x v="0"/>
    <x v="1"/>
    <s v="Port Harcourt"/>
    <s v="Education"/>
    <x v="2"/>
    <s v="K. Singh"/>
    <s v="Networking"/>
    <s v="NET-8856"/>
    <n v="391.16"/>
    <n v="902.47"/>
    <n v="4.0000000000000001E-3"/>
    <n v="12"/>
    <n v="10786.32144"/>
    <n v="4693.92"/>
    <n v="6092.4014399999996"/>
    <n v="0.56482661618139207"/>
    <s v="Q4-2023"/>
    <s v="Africa → Nigeria → Port Harcourt"/>
    <s v="Low"/>
    <n v="2023"/>
    <n v="10"/>
    <s v="Yes"/>
    <s v="No"/>
    <n v="4.0000000000000001E-3"/>
    <n v="410.71800000000002"/>
    <n v="12.48"/>
    <n v="11217.774297600001"/>
    <n v="5125.7606400000004"/>
    <n v="6092.0136576000004"/>
  </r>
  <r>
    <s v="ORD-2024-930679"/>
    <d v="2024-12-17T00:00:00"/>
    <d v="2025-01-16T00:00:00"/>
    <d v="2024-12-17T00:00:00"/>
    <d v="2025-01-16T00:00:00"/>
    <n v="30"/>
    <s v="12-2024"/>
    <x v="3"/>
    <x v="7"/>
    <s v="Manchester"/>
    <s v="Corporate"/>
    <x v="0"/>
    <s v="D. Smith"/>
    <s v="Monitors"/>
    <s v="MON-4215"/>
    <n v="722.87"/>
    <n v="33.659999999999997"/>
    <n v="0.10199999999999999"/>
    <n v="28"/>
    <n v="846.34703999999988"/>
    <n v="20240.36"/>
    <n v="-19394.01296"/>
    <n v="-22.914965189693348"/>
    <s v="Q4-2024"/>
    <s v="Europe → United Kingdom → Manchester"/>
    <s v="Low"/>
    <n v="2024"/>
    <n v="12"/>
    <s v="No"/>
    <s v="No"/>
    <n v="0.1"/>
    <n v="759.01350000000002"/>
    <n v="29.12"/>
    <n v="882.16127999999992"/>
    <n v="22102.473120000002"/>
    <n v="-21220.311840000002"/>
  </r>
  <r>
    <s v="ORD-2025-150713"/>
    <d v="2025-07-11T00:00:00"/>
    <d v="2025-07-16T00:00:00"/>
    <d v="2025-07-11T00:00:00"/>
    <d v="2025-07-16T00:00:00"/>
    <n v="5"/>
    <s v="7-2025"/>
    <x v="3"/>
    <x v="7"/>
    <s v="London"/>
    <s v="Enterprise"/>
    <x v="1"/>
    <s v="K. Singh"/>
    <s v="Printers"/>
    <s v="PRN-5753"/>
    <n v="930.03"/>
    <n v="1086.68"/>
    <n v="0.109"/>
    <n v="26"/>
    <n v="25174.028880000002"/>
    <n v="24180.78"/>
    <n v="993.24888000000283"/>
    <n v="3.9455300728168656E-2"/>
    <s v="Q3-2025"/>
    <s v="Europe → United Kingdom → London"/>
    <s v="Low"/>
    <n v="2025"/>
    <n v="7"/>
    <s v="Yes"/>
    <s v="No"/>
    <n v="0.1"/>
    <n v="976.53150000000005"/>
    <n v="27.04"/>
    <n v="26445.444480000002"/>
    <n v="26405.411759999999"/>
    <n v="40.032720000002882"/>
  </r>
  <r>
    <s v="ORD-2024-756884"/>
    <d v="2024-10-13T00:00:00"/>
    <d v="2024-10-24T00:00:00"/>
    <d v="2024-10-13T00:00:00"/>
    <d v="2024-10-24T00:00:00"/>
    <n v="11"/>
    <s v="10-2024"/>
    <x v="3"/>
    <x v="6"/>
    <s v="Paris"/>
    <s v="Education"/>
    <x v="3"/>
    <s v="F. Müller"/>
    <s v="Components"/>
    <s v="CMP-5006"/>
    <n v="816.7"/>
    <n v="1010.75"/>
    <n v="4.7E-2"/>
    <n v="43"/>
    <n v="41419.524249999995"/>
    <n v="35118.1"/>
    <n v="6301.4242499999964"/>
    <n v="0.15213656757537472"/>
    <s v="Q4-2024"/>
    <s v="Europe → France → Paris"/>
    <s v="Low"/>
    <n v="2024"/>
    <n v="10"/>
    <s v="No"/>
    <s v="No"/>
    <n v="4.7E-2"/>
    <n v="857.53500000000008"/>
    <n v="44.72"/>
    <n v="43076.305219999995"/>
    <n v="38348.965200000006"/>
    <n v="4727.3400199999887"/>
  </r>
  <r>
    <s v="ORD-2024-166150"/>
    <d v="2024-06-02T00:00:00"/>
    <d v="2024-06-08T00:00:00"/>
    <d v="2024-06-02T00:00:00"/>
    <d v="2024-06-08T00:00:00"/>
    <n v="6"/>
    <s v="6-2024"/>
    <x v="0"/>
    <x v="0"/>
    <s v="Kisumu"/>
    <s v="Consumer"/>
    <x v="2"/>
    <s v="A. Patel"/>
    <s v="Accessories"/>
    <s v="ACC-9820"/>
    <n v="292.94"/>
    <n v="356.55"/>
    <n v="0.22900000000000001"/>
    <n v="2"/>
    <n v="549.80010000000004"/>
    <n v="585.88"/>
    <n v="-36.079899999999952"/>
    <n v="-6.5623669402751925E-2"/>
    <s v="Q2-2024"/>
    <s v="Africa → Kenya → Kisumu"/>
    <s v="Low"/>
    <n v="2024"/>
    <n v="6"/>
    <s v="Yes"/>
    <s v="Yes"/>
    <n v="0.1"/>
    <n v="307.58699999999999"/>
    <n v="2.08"/>
    <n v="667.46160000000009"/>
    <n v="639.78096000000005"/>
    <n v="27.680640000000039"/>
  </r>
  <r>
    <s v="ORD-2025-639542"/>
    <d v="2025-06-09T00:00:00"/>
    <d v="2025-06-18T00:00:00"/>
    <d v="2025-06-09T00:00:00"/>
    <d v="2025-06-18T00:00:00"/>
    <n v="9"/>
    <s v="6-2025"/>
    <x v="3"/>
    <x v="6"/>
    <s v="Marseille"/>
    <s v="Small Business"/>
    <x v="2"/>
    <s v="H. Kim"/>
    <s v="Accessories"/>
    <s v="ACC-1770"/>
    <n v="1225.5"/>
    <n v="5.27"/>
    <n v="7.4999999999999997E-2"/>
    <n v="56"/>
    <n v="272.98599999999999"/>
    <n v="68628"/>
    <n v="-68355.013999999996"/>
    <n v="-250.39750756449047"/>
    <s v="Q2-2025"/>
    <s v="Europe → France → Marseille"/>
    <s v="Low"/>
    <n v="2025"/>
    <n v="6"/>
    <s v="No"/>
    <s v="No"/>
    <n v="7.4999999999999997E-2"/>
    <n v="1286.7750000000001"/>
    <n v="58.24"/>
    <n v="283.90544"/>
    <n v="74941.776000000013"/>
    <n v="-74657.87056000001"/>
  </r>
  <r>
    <s v="ORD-2024-817997"/>
    <d v="2024-07-28T00:00:00"/>
    <d v="2024-08-23T00:00:00"/>
    <d v="2024-07-28T00:00:00"/>
    <d v="2024-08-23T00:00:00"/>
    <n v="26"/>
    <s v="7-2024"/>
    <x v="1"/>
    <x v="4"/>
    <s v="Hyderabad"/>
    <s v="Corporate"/>
    <x v="0"/>
    <s v="J. Njeri"/>
    <s v="Networking"/>
    <s v="NET-4675"/>
    <n v="1339.24"/>
    <n v="1558.89"/>
    <n v="0.192"/>
    <n v="24"/>
    <n v="30229.994880000002"/>
    <n v="32141.760000000002"/>
    <n v="-1911.76512"/>
    <n v="-6.3240669659021781E-2"/>
    <s v="Q3-2024"/>
    <s v="Asia → India → Hyderabad"/>
    <s v="Medium"/>
    <n v="2024"/>
    <n v="7"/>
    <s v="No"/>
    <s v="No"/>
    <n v="0.1"/>
    <n v="1406.202"/>
    <n v="24.96"/>
    <n v="35018.904960000007"/>
    <n v="35098.801919999998"/>
    <n v="-79.896959999990941"/>
  </r>
  <r>
    <s v="ORD-2025-667201"/>
    <d v="2025-09-15T00:00:00"/>
    <d v="2025-09-18T00:00:00"/>
    <d v="2025-09-15T00:00:00"/>
    <d v="2025-09-18T00:00:00"/>
    <n v="3"/>
    <s v="9-2025"/>
    <x v="2"/>
    <x v="5"/>
    <s v="Rio de Janeiro"/>
    <s v="Non-Profit"/>
    <x v="4"/>
    <s v="L. Okafor"/>
    <s v="Accessories"/>
    <s v="ACC-6777"/>
    <n v="5.5"/>
    <n v="5.92"/>
    <n v="0.21199999999999999"/>
    <n v="4"/>
    <n v="18.659839999999999"/>
    <n v="22"/>
    <n v="-3.3401600000000009"/>
    <n v="-0.17900260666758133"/>
    <s v="Q3-2025"/>
    <s v="Americas → Brazil → Rio de Janeiro"/>
    <s v="Low"/>
    <n v="2025"/>
    <n v="9"/>
    <s v="Yes"/>
    <s v="Yes"/>
    <n v="0.1"/>
    <n v="5.7750000000000004"/>
    <n v="4.16"/>
    <n v="22.164480000000001"/>
    <n v="24.024000000000001"/>
    <n v="-1.8595199999999998"/>
  </r>
  <r>
    <s v="ORD-2023-885216"/>
    <d v="2023-08-03T00:00:00"/>
    <d v="2023-08-02T00:00:00"/>
    <d v="2023-08-02T00:00:00"/>
    <d v="2023-08-03T00:00:00"/>
    <n v="1"/>
    <s v="8-2023"/>
    <x v="1"/>
    <x v="8"/>
    <s v="Shanghai"/>
    <s v="Non-Profit"/>
    <x v="4"/>
    <s v="J. Njeri"/>
    <s v="Networking"/>
    <s v="NET-4735"/>
    <n v="1021.97"/>
    <n v="2296.25"/>
    <n v="0.161"/>
    <n v="26"/>
    <n v="50090.397499999999"/>
    <n v="26571.22"/>
    <n v="23519.177499999998"/>
    <n v="0.46953465482081669"/>
    <s v="Q3-2023"/>
    <s v="Asia → China → Shanghai"/>
    <s v="High"/>
    <n v="2023"/>
    <n v="8"/>
    <s v="Yes"/>
    <s v="No"/>
    <n v="0.1"/>
    <n v="1073.0685000000001"/>
    <n v="27.04"/>
    <n v="55881.54"/>
    <n v="29015.772240000002"/>
    <n v="26865.767759999999"/>
  </r>
  <r>
    <s v="ORD-2023-561823"/>
    <d v="2023-11-19T00:00:00"/>
    <d v="2023-12-12T00:00:00"/>
    <d v="2023-11-19T00:00:00"/>
    <d v="2023-12-12T00:00:00"/>
    <n v="23"/>
    <s v="11-2023"/>
    <x v="1"/>
    <x v="4"/>
    <s v="Delhi"/>
    <s v="Small Business"/>
    <x v="4"/>
    <s v="C. Otieno"/>
    <s v="Networking"/>
    <s v="NET-2460"/>
    <n v="1349.04"/>
    <n v="2636.6"/>
    <n v="0.114"/>
    <n v="14"/>
    <n v="32704.386400000003"/>
    <n v="18886.559999999998"/>
    <n v="13817.826400000005"/>
    <n v="0.42250682312143928"/>
    <s v="Q4-2023"/>
    <s v="Asia → India → Delhi"/>
    <s v="High"/>
    <n v="2023"/>
    <n v="11"/>
    <s v="No"/>
    <s v="No"/>
    <n v="0.1"/>
    <n v="1416.492"/>
    <n v="14.56"/>
    <n v="34550.006399999998"/>
    <n v="20624.123520000001"/>
    <n v="13925.882879999997"/>
  </r>
  <r>
    <s v="ORD-2023-249805"/>
    <d v="2023-12-22T00:00:00"/>
    <d v="2024-01-16T00:00:00"/>
    <d v="2023-12-22T00:00:00"/>
    <d v="2024-01-16T00:00:00"/>
    <n v="25"/>
    <s v="12-2023"/>
    <x v="1"/>
    <x v="4"/>
    <s v="Hyderabad"/>
    <s v="Small Business"/>
    <x v="0"/>
    <s v="A. Patel"/>
    <s v="Components"/>
    <s v="CMP-1555"/>
    <n v="1346.81"/>
    <n v="978.09"/>
    <n v="0.159"/>
    <n v="17"/>
    <n v="13983.752729999998"/>
    <n v="22895.77"/>
    <n v="-8912.0172700000021"/>
    <n v="-0.6373122753293996"/>
    <s v="Q4-2023"/>
    <s v="Asia → India → Hyderabad"/>
    <s v="Low"/>
    <n v="2023"/>
    <n v="12"/>
    <s v="No"/>
    <s v="No"/>
    <n v="0.1"/>
    <n v="1414.1505"/>
    <n v="17.68"/>
    <n v="15563.36808"/>
    <n v="25002.180839999997"/>
    <n v="-9438.8127599999971"/>
  </r>
  <r>
    <s v="ORD-2023-548934"/>
    <d v="2023-08-03T00:00:00"/>
    <d v="2023-08-30T00:00:00"/>
    <d v="2023-08-03T00:00:00"/>
    <d v="2023-08-30T00:00:00"/>
    <n v="27"/>
    <s v="8-2023"/>
    <x v="1"/>
    <x v="8"/>
    <s v="Shanghai"/>
    <s v="Consumer"/>
    <x v="3"/>
    <s v="N. Brown"/>
    <s v="Monitors"/>
    <s v="MON-3773"/>
    <n v="226.04"/>
    <n v="545.72"/>
    <n v="0.151"/>
    <n v="11"/>
    <n v="5096.4790800000001"/>
    <n v="2486.44"/>
    <n v="2610.03908"/>
    <n v="0.51212592831834014"/>
    <s v="Q3-2023"/>
    <s v="Asia → China → Shanghai"/>
    <s v="Low"/>
    <n v="2023"/>
    <n v="8"/>
    <s v="No"/>
    <s v="No"/>
    <n v="0.1"/>
    <n v="237.34200000000001"/>
    <n v="11.440000000000001"/>
    <n v="5618.7331200000008"/>
    <n v="2715.1924800000006"/>
    <n v="2903.5406400000002"/>
  </r>
  <r>
    <s v="ORD-2023-921939"/>
    <d v="2023-06-23T00:00:00"/>
    <d v="2023-07-18T00:00:00"/>
    <d v="2023-06-23T00:00:00"/>
    <d v="2023-07-18T00:00:00"/>
    <n v="25"/>
    <s v="6-2023"/>
    <x v="2"/>
    <x v="3"/>
    <s v="Vancouver"/>
    <s v="Enterprise"/>
    <x v="1"/>
    <s v="N. Brown"/>
    <s v="Phones"/>
    <s v="PHN-4677"/>
    <n v="807.02"/>
    <n v="1435.54"/>
    <n v="0"/>
    <n v="23"/>
    <n v="33017.42"/>
    <n v="18561.46"/>
    <n v="14455.96"/>
    <n v="0.43782827368098415"/>
    <s v="Q2-2023"/>
    <s v="Americas → Canada → Vancouver"/>
    <s v="Medium"/>
    <n v="2023"/>
    <n v="6"/>
    <s v="No"/>
    <s v="No"/>
    <n v="0"/>
    <n v="847.37099999999998"/>
    <n v="23.92"/>
    <n v="34338.116800000003"/>
    <n v="20269.114320000001"/>
    <n v="14069.002480000003"/>
  </r>
  <r>
    <s v="ORD-2023-961864"/>
    <d v="2023-12-07T00:00:00"/>
    <d v="2024-01-02T00:00:00"/>
    <d v="2023-12-07T00:00:00"/>
    <d v="2024-01-02T00:00:00"/>
    <n v="26"/>
    <s v="12-2023"/>
    <x v="3"/>
    <x v="11"/>
    <s v="Frankfurt"/>
    <s v="Enterprise"/>
    <x v="3"/>
    <s v="E. Garcia"/>
    <s v="Components"/>
    <s v="CMP-1940"/>
    <n v="1071.99"/>
    <n v="2397.3000000000002"/>
    <n v="6.2E-2"/>
    <n v="18"/>
    <n v="40476.013200000001"/>
    <n v="19295.82"/>
    <n v="21180.193200000002"/>
    <n v="0.52327765324476183"/>
    <s v="Q4-2023"/>
    <s v="Europe → Germany → Frankfurt"/>
    <s v="High"/>
    <n v="2023"/>
    <n v="12"/>
    <s v="No"/>
    <s v="No"/>
    <n v="6.2E-2"/>
    <n v="1125.5895"/>
    <n v="18.72"/>
    <n v="42095.053727999999"/>
    <n v="21071.03544"/>
    <n v="21024.018287999999"/>
  </r>
  <r>
    <s v="ORD-2023-455933"/>
    <d v="2023-11-19T00:00:00"/>
    <d v="2023-12-19T00:00:00"/>
    <d v="2023-11-19T00:00:00"/>
    <d v="2023-12-19T00:00:00"/>
    <n v="30"/>
    <s v="11-2023"/>
    <x v="1"/>
    <x v="2"/>
    <s v="Nagoya"/>
    <s v="Consumer"/>
    <x v="0"/>
    <s v="Unknown Salesperson"/>
    <s v="Phones"/>
    <s v="PHN-9184"/>
    <n v="807.11"/>
    <n v="1853.86"/>
    <n v="0.13900000000000001"/>
    <n v="8"/>
    <n v="12769.38768"/>
    <n v="6456.88"/>
    <n v="6312.5076799999997"/>
    <n v="0.49434693645388639"/>
    <s v="Q4-2023"/>
    <s v="Asia → Japan → Nagoya"/>
    <s v="Medium"/>
    <n v="2023"/>
    <n v="11"/>
    <s v="No"/>
    <s v="No"/>
    <n v="0.1"/>
    <n v="847.46550000000002"/>
    <n v="8.32"/>
    <n v="13881.703680000001"/>
    <n v="7050.9129600000006"/>
    <n v="6830.79072"/>
  </r>
  <r>
    <s v="ORD-2025-728935"/>
    <d v="2025-02-28T00:00:00"/>
    <d v="2025-03-10T00:00:00"/>
    <d v="2025-02-28T00:00:00"/>
    <d v="2025-03-10T00:00:00"/>
    <n v="10"/>
    <s v="2-2025"/>
    <x v="1"/>
    <x v="2"/>
    <s v="Osaka"/>
    <s v="Education"/>
    <x v="3"/>
    <s v="N. Brown"/>
    <s v="Laptops"/>
    <s v="LAP-3017"/>
    <n v="51.86"/>
    <n v="45.98"/>
    <n v="0.17299999999999999"/>
    <n v="7"/>
    <n v="266.17821999999995"/>
    <n v="363.02"/>
    <n v="-96.841780000000028"/>
    <n v="-0.3638230806412337"/>
    <s v="Q1-2025"/>
    <s v="Asia → Japan → Osaka"/>
    <s v="Low"/>
    <n v="2025"/>
    <n v="2"/>
    <s v="No"/>
    <s v="No"/>
    <n v="0.1"/>
    <n v="54.453000000000003"/>
    <n v="7.28"/>
    <n v="301.26096000000001"/>
    <n v="396.41784000000001"/>
    <n v="-95.156880000000001"/>
  </r>
</pivotCacheRecords>
</file>

<file path=xl/pivotCache/pivotCacheRecords3.xml><?xml version="1.0" encoding="utf-8"?>
<pivotCacheRecords xmlns="http://schemas.openxmlformats.org/spreadsheetml/2006/main" xmlns:r="http://schemas.openxmlformats.org/officeDocument/2006/relationships" count="632">
  <r>
    <s v="ORD-2024-275203"/>
    <d v="2024-03-11T00:00:00"/>
    <d v="2024-04-06T00:00:00"/>
    <d v="2024-03-11T00:00:00"/>
    <d v="2024-04-06T00:00:00"/>
    <n v="26"/>
    <s v="3-2024"/>
    <s v="Africa"/>
    <s v="Kenya"/>
    <s v="Kisumu"/>
    <s v="Corporate"/>
    <s v="Retail"/>
    <s v="C. Otieno"/>
    <s v="Components"/>
    <s v="CMP-8270"/>
    <n v="279.24"/>
    <n v="608.9"/>
    <n v="0.112"/>
    <n v="9"/>
    <n v="4866.3287999999993"/>
    <n v="2513.16"/>
    <n v="2353.1687999999995"/>
    <n v="0.48356140670149533"/>
    <s v="Q1-2024"/>
    <s v="Africa → Kenya → Kisumu"/>
    <s v="Low"/>
    <n v="2024"/>
    <n v="3"/>
    <x v="0"/>
  </r>
  <r>
    <s v="ORD-2024-358795"/>
    <d v="2024-10-23T00:00:00"/>
    <d v="2024-10-22T00:00:00"/>
    <d v="2024-10-22T00:00:00"/>
    <d v="2024-10-23T00:00:00"/>
    <n v="1"/>
    <s v="10-2024"/>
    <s v="Africa"/>
    <s v="Nigeria"/>
    <s v="Port Harcourt"/>
    <s v="Education"/>
    <s v="Online"/>
    <s v="J. Njeri"/>
    <s v="Printers"/>
    <s v="PRN-9322"/>
    <n v="1084.3900000000001"/>
    <n v="759.33"/>
    <n v="0.23699999999999999"/>
    <n v="31"/>
    <n v="17960.432489999999"/>
    <n v="33616.090000000004"/>
    <n v="-15655.657510000005"/>
    <n v="-0.87167486187856302"/>
    <s v="Q4-2024"/>
    <s v="Africa → Nigeria → Port Harcourt"/>
    <s v="Low"/>
    <n v="2024"/>
    <n v="10"/>
    <x v="1"/>
  </r>
  <r>
    <s v="ORD-2023-373538"/>
    <d v="2023-02-28T00:00:00"/>
    <d v="2023-03-25T00:00:00"/>
    <d v="2023-02-28T00:00:00"/>
    <d v="2023-03-25T00:00:00"/>
    <n v="25"/>
    <s v="2-2023"/>
    <s v="Africa"/>
    <s v="Kenya"/>
    <s v="Nairobi"/>
    <s v="Corporate"/>
    <s v="Retail"/>
    <s v="I. Johnson"/>
    <s v="Networking"/>
    <s v="NET-9666"/>
    <n v="1460.76"/>
    <n v="30.66"/>
    <n v="0.13100000000000001"/>
    <n v="12"/>
    <n v="319.72248000000002"/>
    <n v="17529.12"/>
    <n v="-17209.397519999999"/>
    <n v="-53.826047890032626"/>
    <s v="Q1-2023"/>
    <s v="Africa → Kenya → Nairobi"/>
    <s v="Low"/>
    <n v="2023"/>
    <n v="2"/>
    <x v="0"/>
  </r>
  <r>
    <s v="ORD-2025-168148"/>
    <d v="2025-03-29T00:00:00"/>
    <d v="2025-04-02T00:00:00"/>
    <d v="2025-03-29T00:00:00"/>
    <d v="2025-04-02T00:00:00"/>
    <n v="4"/>
    <s v="3-2025"/>
    <s v="Africa"/>
    <s v="Nigeria"/>
    <s v="Lagos"/>
    <s v="Non-Profit"/>
    <s v="Marketplace"/>
    <s v="G. Dubois"/>
    <s v="Phones"/>
    <s v="PHN-4556"/>
    <n v="259.93"/>
    <n v="255.94"/>
    <n v="7.1999999999999995E-2"/>
    <n v="22"/>
    <n v="5225.2710400000005"/>
    <n v="5718.46"/>
    <n v="-493.1889599999995"/>
    <n v="-9.4385335463861311E-2"/>
    <s v="Q1-2025"/>
    <s v="Africa → Nigeria → Lagos"/>
    <s v="Low"/>
    <n v="2025"/>
    <n v="3"/>
    <x v="1"/>
  </r>
  <r>
    <s v="ORD-2023-824839"/>
    <d v="2023-12-06T00:00:00"/>
    <d v="2023-12-31T00:00:00"/>
    <d v="2023-12-06T00:00:00"/>
    <d v="2023-12-31T00:00:00"/>
    <n v="25"/>
    <s v="12-2023"/>
    <s v="Asia"/>
    <s v="Japan"/>
    <s v="Osaka"/>
    <s v="Consumer"/>
    <s v="Retail"/>
    <s v="L. Okafor"/>
    <s v="Printers"/>
    <s v="PRN-8041"/>
    <n v="663.03"/>
    <n v="813.51"/>
    <n v="0.10199999999999999"/>
    <n v="15"/>
    <n v="10957.9797"/>
    <n v="9945.4499999999989"/>
    <n v="1012.529700000001"/>
    <n v="9.2401129379715952E-2"/>
    <s v="Q4-2023"/>
    <s v="Asia → Japan → Osaka"/>
    <s v="Low"/>
    <n v="2023"/>
    <n v="12"/>
    <x v="0"/>
  </r>
  <r>
    <s v="ORD-2023-723587"/>
    <d v="2023-01-02T00:00:00"/>
    <d v="2023-01-05T00:00:00"/>
    <d v="2023-01-02T00:00:00"/>
    <d v="2023-01-05T00:00:00"/>
    <n v="3"/>
    <s v="1-2023"/>
    <s v="Americas"/>
    <s v="Canada"/>
    <s v="Toronto"/>
    <s v="Corporate"/>
    <s v="Distributor"/>
    <s v="B. Chen"/>
    <s v="Laptops"/>
    <s v="LAP-8555"/>
    <n v="315.87"/>
    <n v="591.67999999999995"/>
    <n v="0"/>
    <n v="7"/>
    <n v="4141.7599999999993"/>
    <n v="2211.09"/>
    <n v="1930.6699999999992"/>
    <n v="0.46614724175229844"/>
    <s v="Q1-2023"/>
    <s v="Americas → Canada → Toronto"/>
    <s v="Low"/>
    <n v="2023"/>
    <n v="1"/>
    <x v="1"/>
  </r>
  <r>
    <s v="ORD-2024-336584"/>
    <d v="2024-12-27T00:00:00"/>
    <d v="2025-01-14T00:00:00"/>
    <d v="2024-12-27T00:00:00"/>
    <d v="2025-01-14T00:00:00"/>
    <n v="18"/>
    <s v="12-2024"/>
    <s v="Asia"/>
    <s v="India"/>
    <s v="Bengaluru"/>
    <s v="Small Business"/>
    <s v="Marketplace"/>
    <s v="E. Garcia"/>
    <s v="Monitors"/>
    <s v="MON-8629"/>
    <n v="586.07000000000005"/>
    <n v="845.97"/>
    <n v="0.14699999999999999"/>
    <n v="4"/>
    <n v="2886.4496399999998"/>
    <n v="2344.2800000000002"/>
    <n v="542.16963999999962"/>
    <n v="0.18783270370862928"/>
    <s v="Q4-2024"/>
    <s v="Asia → India → Bengaluru"/>
    <s v="Low"/>
    <n v="2024"/>
    <n v="12"/>
    <x v="0"/>
  </r>
  <r>
    <s v="ORD-2023-112666"/>
    <d v="2023-01-15T00:00:00"/>
    <d v="2023-01-13T00:00:00"/>
    <d v="2023-01-13T00:00:00"/>
    <d v="2023-01-15T00:00:00"/>
    <n v="2"/>
    <s v="1-2023"/>
    <s v="Africa"/>
    <s v="Nigeria"/>
    <s v="Abuja"/>
    <s v="Education"/>
    <s v="Online"/>
    <s v="O. Wang"/>
    <s v="Printers"/>
    <s v="PRN-6276"/>
    <n v="28.38"/>
    <n v="47.22"/>
    <n v="0.19400000000000001"/>
    <n v="18"/>
    <n v="685.06776000000002"/>
    <n v="510.84"/>
    <n v="174.22776000000005"/>
    <n v="0.25432193743871417"/>
    <s v="Q1-2023"/>
    <s v="Africa → Nigeria → Abuja"/>
    <s v="Low"/>
    <n v="2023"/>
    <n v="1"/>
    <x v="1"/>
  </r>
  <r>
    <s v="ORD-2024-589570"/>
    <d v="2024-05-04T00:00:00"/>
    <d v="2024-05-29T00:00:00"/>
    <d v="2024-05-04T00:00:00"/>
    <d v="2024-05-29T00:00:00"/>
    <n v="25"/>
    <s v="5-2024"/>
    <s v="Africa"/>
    <s v="Nigeria"/>
    <s v="Abuja"/>
    <s v="Non-Profit"/>
    <s v="Marketplace"/>
    <s v="O. Wang"/>
    <s v="Monitors"/>
    <s v="MON-6892"/>
    <n v="1295.3399999999999"/>
    <n v="2530.81"/>
    <n v="3.1E-2"/>
    <n v="6"/>
    <n v="14714.12934"/>
    <n v="7772.0399999999991"/>
    <n v="6942.0893400000004"/>
    <n v="0.4717974933880798"/>
    <s v="Q2-2024"/>
    <s v="Africa → Nigeria → Abuja"/>
    <s v="High"/>
    <n v="2024"/>
    <n v="5"/>
    <x v="0"/>
  </r>
  <r>
    <s v="ORD-2023-856322"/>
    <d v="2023-01-29T00:00:00"/>
    <d v="2023-02-06T00:00:00"/>
    <d v="2023-01-29T00:00:00"/>
    <d v="2023-02-06T00:00:00"/>
    <n v="8"/>
    <s v="1-2023"/>
    <s v="Americas"/>
    <s v="Brazil"/>
    <s v="Brasília"/>
    <s v="Corporate"/>
    <s v="Marketplace"/>
    <s v="D. Smith"/>
    <s v="Monitors"/>
    <s v="MON-7207"/>
    <n v="41.84"/>
    <n v="86.2"/>
    <n v="0.22600000000000001"/>
    <n v="27"/>
    <n v="1801.4076000000002"/>
    <n v="1129.68"/>
    <n v="671.72760000000017"/>
    <n v="0.37289039970742882"/>
    <s v="Q1-2023"/>
    <s v="Americas → Brazil → Brasília"/>
    <s v="Low"/>
    <n v="2023"/>
    <n v="1"/>
    <x v="0"/>
  </r>
  <r>
    <s v="ORD-2024-901115"/>
    <d v="2024-07-25T00:00:00"/>
    <d v="2024-08-02T00:00:00"/>
    <d v="2024-07-25T00:00:00"/>
    <d v="2024-08-02T00:00:00"/>
    <n v="8"/>
    <s v="7-2024"/>
    <s v="Americas"/>
    <s v="Canada"/>
    <s v="Montreal"/>
    <s v="Consumer"/>
    <s v="Direct"/>
    <s v="J. Njeri"/>
    <s v="Accessories"/>
    <s v="ACC-6626"/>
    <n v="986.81"/>
    <n v="2050.31"/>
    <n v="0.10299999999999999"/>
    <n v="43"/>
    <n v="79082.507010000001"/>
    <n v="42432.829999999994"/>
    <n v="36649.677010000007"/>
    <n v="0.46343595310358138"/>
    <s v="Q3-2024"/>
    <s v="Americas → Canada → Montreal"/>
    <s v="High"/>
    <n v="2024"/>
    <n v="7"/>
    <x v="0"/>
  </r>
  <r>
    <s v="ORD-2025-515515"/>
    <d v="2025-01-03T00:00:00"/>
    <d v="2025-01-23T00:00:00"/>
    <d v="2025-01-03T00:00:00"/>
    <d v="2025-01-23T00:00:00"/>
    <n v="20"/>
    <s v="1-2025"/>
    <s v="Asia"/>
    <s v="Japan"/>
    <s v="Osaka"/>
    <s v="Corporate"/>
    <s v="Distributor"/>
    <s v="F. Müller"/>
    <s v="Phones"/>
    <s v="PHN-7019"/>
    <n v="908.6"/>
    <n v="691.37"/>
    <n v="0.25"/>
    <n v="20"/>
    <n v="10370.549999999999"/>
    <n v="18172"/>
    <n v="-7801.4500000000007"/>
    <n v="-0.75226964818645115"/>
    <s v="Q1-2025"/>
    <s v="Asia → Japan → Osaka"/>
    <s v="Low"/>
    <n v="2025"/>
    <n v="1"/>
    <x v="0"/>
  </r>
  <r>
    <s v="ORD-2023-271836"/>
    <d v="2023-02-07T00:00:00"/>
    <d v="2023-02-12T00:00:00"/>
    <d v="2023-02-07T00:00:00"/>
    <d v="2023-02-12T00:00:00"/>
    <n v="5"/>
    <s v="2-2023"/>
    <s v="Americas"/>
    <s v="Brazil"/>
    <s v="São Paulo"/>
    <s v="Education"/>
    <s v="Online"/>
    <s v="N. Brown"/>
    <s v="Components"/>
    <s v="CMP-2693"/>
    <n v="948.55"/>
    <n v="2089.16"/>
    <n v="7.0000000000000001E-3"/>
    <n v="12"/>
    <n v="24894.430559999997"/>
    <n v="11382.599999999999"/>
    <n v="13511.830559999999"/>
    <n v="0.54276519912492427"/>
    <s v="Q1-2023"/>
    <s v="Americas → Brazil → São Paulo"/>
    <s v="High"/>
    <n v="2023"/>
    <n v="2"/>
    <x v="1"/>
  </r>
  <r>
    <s v="ORD-2024-890180"/>
    <d v="2024-01-20T00:00:00"/>
    <d v="2024-02-13T00:00:00"/>
    <d v="2024-01-20T00:00:00"/>
    <d v="2024-02-13T00:00:00"/>
    <n v="24"/>
    <s v="1-2024"/>
    <s v="Europe"/>
    <s v="France"/>
    <s v="Marseille"/>
    <s v="Corporate"/>
    <s v="Retail"/>
    <s v="H. Kim"/>
    <s v="Printers"/>
    <s v="PRN-8392"/>
    <n v="643.53"/>
    <n v="1439.01"/>
    <n v="0"/>
    <n v="15"/>
    <n v="21585.15"/>
    <n v="9652.9499999999989"/>
    <n v="11932.200000000003"/>
    <n v="0.55279671440782208"/>
    <s v="Q1-2024"/>
    <s v="Europe → France → Marseille"/>
    <s v="Medium"/>
    <n v="2024"/>
    <n v="1"/>
    <x v="0"/>
  </r>
  <r>
    <s v="ORD-2023-869884"/>
    <d v="2023-03-02T00:00:00"/>
    <d v="2023-03-05T00:00:00"/>
    <d v="2023-03-02T00:00:00"/>
    <d v="2023-03-05T00:00:00"/>
    <n v="3"/>
    <s v="3-2023"/>
    <s v="Americas"/>
    <s v="Brazil"/>
    <s v="Brasília"/>
    <s v="Enterprise"/>
    <s v="Direct"/>
    <s v="G. Dubois"/>
    <s v="Monitors"/>
    <s v="MON-2828"/>
    <n v="1473.58"/>
    <n v="3436.52"/>
    <n v="0.108"/>
    <n v="8"/>
    <n v="24523.006720000001"/>
    <n v="11788.64"/>
    <n v="12734.366720000002"/>
    <n v="0.51928243813652564"/>
    <s v="Q1-2023"/>
    <s v="Americas → Brazil → Brasília"/>
    <s v="High"/>
    <n v="2023"/>
    <n v="3"/>
    <x v="1"/>
  </r>
  <r>
    <s v="ORD-2023-937291"/>
    <d v="2023-04-23T00:00:00"/>
    <d v="2023-04-22T00:00:00"/>
    <d v="2023-04-22T00:00:00"/>
    <d v="2023-04-23T00:00:00"/>
    <n v="1"/>
    <s v="4-2023"/>
    <s v="Africa"/>
    <s v="Kenya"/>
    <s v="Nairobi"/>
    <s v="Small Business"/>
    <s v="Direct"/>
    <s v="E. Garcia"/>
    <s v="Laptops"/>
    <s v="LAP-1698"/>
    <n v="756.51"/>
    <n v="850.8"/>
    <n v="7.3999999999999996E-2"/>
    <n v="9"/>
    <n v="7090.5672000000004"/>
    <n v="6808.59"/>
    <n v="281.97720000000027"/>
    <n v="3.9767932810791252E-2"/>
    <s v="Q2-2023"/>
    <s v="Africa → Kenya → Nairobi"/>
    <s v="Low"/>
    <n v="2023"/>
    <n v="4"/>
    <x v="1"/>
  </r>
  <r>
    <s v="ORD-2024-206081"/>
    <d v="2024-12-10T00:00:00"/>
    <d v="2025-01-08T00:00:00"/>
    <d v="2024-12-10T00:00:00"/>
    <d v="2025-01-08T00:00:00"/>
    <n v="29"/>
    <s v="12-2024"/>
    <s v="Europe"/>
    <s v="France"/>
    <s v="Marseille"/>
    <s v="Small Business"/>
    <s v="Retail"/>
    <s v="K. Singh"/>
    <s v="Printers"/>
    <s v="PRN-6791"/>
    <n v="891.08"/>
    <n v="1040.0999999999999"/>
    <n v="0.109"/>
    <n v="28"/>
    <n v="25948.414799999995"/>
    <n v="24950.240000000002"/>
    <n v="998.17479999999341"/>
    <n v="3.8467660074556598E-2"/>
    <s v="Q4-2024"/>
    <s v="Europe → France → Marseille"/>
    <s v="Low"/>
    <n v="2024"/>
    <n v="12"/>
    <x v="0"/>
  </r>
  <r>
    <s v="ORD-2025-233883"/>
    <d v="2025-09-08T00:00:00"/>
    <d v="2025-09-16T00:00:00"/>
    <d v="2025-09-08T00:00:00"/>
    <d v="2025-09-16T00:00:00"/>
    <n v="8"/>
    <s v="9-2025"/>
    <s v="Asia"/>
    <s v="Japan"/>
    <s v="Osaka"/>
    <s v="Corporate"/>
    <s v="Distributor"/>
    <s v="C. Otieno"/>
    <s v="Phones"/>
    <s v="PHN-1197"/>
    <n v="1225.57"/>
    <n v="2705.57"/>
    <n v="0.183"/>
    <n v="16"/>
    <n v="35367.211040000002"/>
    <n v="19609.12"/>
    <n v="15758.091040000003"/>
    <n v="0.44555650775453404"/>
    <s v="Q3-2025"/>
    <s v="Asia → Japan → Osaka"/>
    <s v="High"/>
    <n v="2025"/>
    <n v="9"/>
    <x v="0"/>
  </r>
  <r>
    <s v="ORD-2023-747341"/>
    <d v="2023-04-19T00:00:00"/>
    <d v="2023-04-28T00:00:00"/>
    <d v="2023-04-19T00:00:00"/>
    <d v="2023-04-28T00:00:00"/>
    <n v="9"/>
    <s v="4-2023"/>
    <s v="Americas"/>
    <s v="Brazil"/>
    <s v="Rio de Janeiro"/>
    <s v="Corporate"/>
    <s v="Distributor"/>
    <s v="M. Rossi"/>
    <s v="Phones"/>
    <s v="PHN-7132"/>
    <n v="1013.54"/>
    <n v="927.93"/>
    <n v="0.17499999999999999"/>
    <n v="16"/>
    <n v="12248.675999999999"/>
    <n v="16216.64"/>
    <n v="-3967.9639999999999"/>
    <n v="-0.32395044166406234"/>
    <s v="Q2-2023"/>
    <s v="Americas → Brazil → Rio de Janeiro"/>
    <s v="Low"/>
    <n v="2023"/>
    <n v="4"/>
    <x v="0"/>
  </r>
  <r>
    <s v="ORD-2025-745263"/>
    <d v="2025-05-21T00:00:00"/>
    <d v="2025-05-19T00:00:00"/>
    <d v="2025-05-19T00:00:00"/>
    <d v="2025-05-21T00:00:00"/>
    <n v="2"/>
    <s v="5-2025"/>
    <s v="Europe"/>
    <s v="United Kingdom"/>
    <s v="Birmingham"/>
    <s v="Enterprise"/>
    <s v="Online"/>
    <s v="M. Rossi"/>
    <s v="Laptops"/>
    <s v="LAP-3385"/>
    <n v="1015.16"/>
    <n v="2148.14"/>
    <n v="3.7999999999999999E-2"/>
    <n v="19"/>
    <n v="39263.702919999996"/>
    <n v="19288.04"/>
    <n v="19975.662919999995"/>
    <n v="0.50875647059322227"/>
    <s v="Q2-2025"/>
    <s v="Europe → United Kingdom → Birmingham"/>
    <s v="High"/>
    <n v="2025"/>
    <n v="5"/>
    <x v="1"/>
  </r>
  <r>
    <s v="ORD-2024-798002"/>
    <d v="2024-07-25T00:00:00"/>
    <d v="2024-07-24T00:00:00"/>
    <d v="2024-07-24T00:00:00"/>
    <d v="2024-07-25T00:00:00"/>
    <n v="1"/>
    <s v="7-2024"/>
    <s v="Africa"/>
    <s v="Kenya"/>
    <s v="Mombasa"/>
    <s v="Non-Profit"/>
    <s v="Direct"/>
    <s v="J. Njeri"/>
    <s v="Laptops"/>
    <s v="LAP-9815"/>
    <n v="1494.4"/>
    <n v="3661.07"/>
    <n v="7.1999999999999995E-2"/>
    <n v="7"/>
    <n v="23782.310720000001"/>
    <n v="10460.800000000001"/>
    <n v="13321.51072"/>
    <n v="0.56014366630897339"/>
    <s v="Q3-2024"/>
    <s v="Africa → Kenya → Mombasa"/>
    <s v="High"/>
    <n v="2024"/>
    <n v="7"/>
    <x v="1"/>
  </r>
  <r>
    <s v="ORD-2023-867836"/>
    <d v="2023-05-11T00:00:00"/>
    <d v="2023-05-28T00:00:00"/>
    <d v="2023-05-11T00:00:00"/>
    <d v="2023-05-28T00:00:00"/>
    <n v="17"/>
    <s v="5-2023"/>
    <s v="Asia"/>
    <s v="China"/>
    <s v="Shenzhen"/>
    <s v="Enterprise"/>
    <s v="Marketplace"/>
    <s v="E. Garcia"/>
    <s v="Networking"/>
    <s v="NET-3255"/>
    <n v="1331.19"/>
    <n v="2903.09"/>
    <n v="0.14299999999999999"/>
    <n v="8"/>
    <n v="19903.585040000002"/>
    <n v="10649.52"/>
    <n v="9254.0650400000013"/>
    <n v="0.46494463290920784"/>
    <s v="Q2-2023"/>
    <s v="Asia → China → Shenzhen"/>
    <s v="High"/>
    <n v="2023"/>
    <n v="5"/>
    <x v="0"/>
  </r>
  <r>
    <s v="ORD-2023-835010"/>
    <d v="2023-03-23T00:00:00"/>
    <d v="2023-04-15T00:00:00"/>
    <d v="2023-03-23T00:00:00"/>
    <d v="2023-04-15T00:00:00"/>
    <n v="23"/>
    <s v="3-2023"/>
    <s v="Africa"/>
    <s v="Kenya"/>
    <s v="Mombasa"/>
    <s v="Small Business"/>
    <s v="Retail"/>
    <s v="C. Otieno"/>
    <s v="Accessories"/>
    <s v="ACC-2988"/>
    <n v="875.36"/>
    <n v="1178.6199999999999"/>
    <n v="0.151"/>
    <n v="53"/>
    <n v="53034.364139999991"/>
    <n v="46394.080000000002"/>
    <n v="6640.2841399999888"/>
    <n v="0.12520719815685888"/>
    <s v="Q1-2023"/>
    <s v="Africa → Kenya → Mombasa"/>
    <s v="Low"/>
    <n v="2023"/>
    <n v="3"/>
    <x v="0"/>
  </r>
  <r>
    <s v="ORD-2024-500109"/>
    <d v="2024-05-18T00:00:00"/>
    <d v="2024-05-23T00:00:00"/>
    <d v="2024-05-18T00:00:00"/>
    <d v="2024-05-23T00:00:00"/>
    <n v="5"/>
    <s v="5-2024"/>
    <s v="Americas"/>
    <s v="USA"/>
    <s v="Chicago"/>
    <s v="Enterprise"/>
    <s v="Retail"/>
    <s v="H. Kim"/>
    <s v="Laptops"/>
    <s v="LAP-4987"/>
    <n v="1274.5899999999999"/>
    <n v="2553.69"/>
    <n v="0.01"/>
    <n v="8"/>
    <n v="20225.2248"/>
    <n v="10196.719999999999"/>
    <n v="10028.504800000001"/>
    <n v="0.49584145042481803"/>
    <s v="Q2-2024"/>
    <s v="Americas → USA → Chicago"/>
    <s v="High"/>
    <n v="2024"/>
    <n v="5"/>
    <x v="1"/>
  </r>
  <r>
    <s v="ORD-2023-588455"/>
    <d v="2023-05-23T00:00:00"/>
    <d v="2023-05-25T00:00:00"/>
    <d v="2023-05-23T00:00:00"/>
    <d v="2023-05-25T00:00:00"/>
    <n v="2"/>
    <s v="5-2023"/>
    <s v="Americas"/>
    <s v="Brazil"/>
    <s v="Rio de Janeiro"/>
    <s v="Enterprise"/>
    <s v="Retail"/>
    <s v="M. Rossi"/>
    <s v="Printers"/>
    <s v="PRN-1271"/>
    <n v="690.49"/>
    <n v="1290.29"/>
    <n v="4.2000000000000003E-2"/>
    <n v="22"/>
    <n v="27194.152039999997"/>
    <n v="15190.78"/>
    <n v="12003.372039999997"/>
    <n v="0.44139534199647718"/>
    <s v="Q2-2023"/>
    <s v="Americas → Brazil → Rio de Janeiro"/>
    <s v="Medium"/>
    <n v="2023"/>
    <n v="5"/>
    <x v="1"/>
  </r>
  <r>
    <s v="ORD-2023-244375"/>
    <d v="2023-06-03T00:00:00"/>
    <d v="2023-07-01T00:00:00"/>
    <d v="2023-06-03T00:00:00"/>
    <d v="2023-07-01T00:00:00"/>
    <n v="28"/>
    <s v="6-2023"/>
    <s v="Americas"/>
    <s v="Brazil"/>
    <s v="Brasília"/>
    <s v="Small Business"/>
    <s v="Marketplace"/>
    <s v="A. Patel"/>
    <s v="Components"/>
    <s v="CMP-1223"/>
    <n v="860.4"/>
    <n v="2066.6"/>
    <n v="0.01"/>
    <n v="3"/>
    <n v="6137.8019999999988"/>
    <n v="2581.1999999999998"/>
    <n v="3556.601999999999"/>
    <n v="0.57945857491004105"/>
    <s v="Q2-2023"/>
    <s v="Americas → Brazil → Brasília"/>
    <s v="High"/>
    <n v="2023"/>
    <n v="6"/>
    <x v="0"/>
  </r>
  <r>
    <s v="ORD-2024-788105"/>
    <d v="2024-11-30T00:00:00"/>
    <d v="2024-12-30T00:00:00"/>
    <d v="2024-11-30T00:00:00"/>
    <d v="2024-12-30T00:00:00"/>
    <n v="30"/>
    <s v="11-2024"/>
    <s v="Europe"/>
    <s v="France"/>
    <s v="Marseille"/>
    <s v="Consumer"/>
    <s v="Marketplace"/>
    <s v="F. Müller"/>
    <s v="Printers"/>
    <s v="PRN-4170"/>
    <n v="117.64"/>
    <n v="175.67"/>
    <n v="0"/>
    <n v="10"/>
    <n v="1756.6999999999998"/>
    <n v="1176.4000000000001"/>
    <n v="580.29999999999973"/>
    <n v="0.33033528775545046"/>
    <s v="Q4-2024"/>
    <s v="Europe → France → Marseille"/>
    <s v="Low"/>
    <n v="2024"/>
    <n v="11"/>
    <x v="0"/>
  </r>
  <r>
    <s v="ORD-2024-855073"/>
    <d v="2024-07-19T00:00:00"/>
    <d v="2024-07-19T00:00:00"/>
    <d v="2024-07-19T00:00:00"/>
    <d v="2024-07-19T00:00:00"/>
    <n v="0"/>
    <s v="7-2024"/>
    <s v="Africa"/>
    <s v="Kenya"/>
    <s v="Kisumu"/>
    <s v="Small Business"/>
    <s v="Retail"/>
    <s v="A. Patel"/>
    <s v="Phones"/>
    <s v="PHN-6854"/>
    <n v="857.24"/>
    <n v="758.23"/>
    <n v="0.125"/>
    <n v="6"/>
    <n v="3980.7075"/>
    <n v="5143.4400000000005"/>
    <n v="-1162.7325000000005"/>
    <n v="-0.29209192084572921"/>
    <s v="Q3-2024"/>
    <s v="Africa → Kenya → Kisumu"/>
    <s v="Low"/>
    <n v="2024"/>
    <n v="7"/>
    <x v="1"/>
  </r>
  <r>
    <s v="ORD-2023-897079"/>
    <d v="2023-04-14T00:00:00"/>
    <d v="2023-05-14T00:00:00"/>
    <d v="2023-04-14T00:00:00"/>
    <d v="2023-05-14T00:00:00"/>
    <n v="30"/>
    <s v="4-2023"/>
    <s v="Africa"/>
    <s v="Kenya"/>
    <s v="Nakuru"/>
    <s v="Consumer"/>
    <s v="Marketplace"/>
    <s v="M. Rossi"/>
    <s v="Phones"/>
    <s v="PHN-1784"/>
    <n v="209.25"/>
    <n v="434.8"/>
    <n v="0"/>
    <n v="9"/>
    <n v="3913.2000000000003"/>
    <n v="1883.25"/>
    <n v="2029.9500000000003"/>
    <n v="0.51874425022999082"/>
    <s v="Q2-2023"/>
    <s v="Africa → Kenya → Nakuru"/>
    <s v="Low"/>
    <n v="2023"/>
    <n v="4"/>
    <x v="0"/>
  </r>
  <r>
    <s v="ORD-2025-548982"/>
    <d v="2025-04-07T00:00:00"/>
    <d v="2025-04-11T00:00:00"/>
    <d v="2025-04-07T00:00:00"/>
    <d v="2025-04-11T00:00:00"/>
    <n v="4"/>
    <s v="4-2025"/>
    <s v="Europe"/>
    <s v="France"/>
    <s v="Lyon"/>
    <s v="Education"/>
    <s v="Retail"/>
    <s v="E. Garcia"/>
    <s v="Networking"/>
    <s v="NET-9716"/>
    <n v="754.77"/>
    <n v="1666.18"/>
    <n v="0.13900000000000001"/>
    <n v="14"/>
    <n v="20084.133720000002"/>
    <n v="10566.779999999999"/>
    <n v="9517.3537200000028"/>
    <n v="0.47387424584424653"/>
    <s v="Q2-2025"/>
    <s v="Europe → France → Lyon"/>
    <s v="Medium"/>
    <n v="2025"/>
    <n v="4"/>
    <x v="1"/>
  </r>
  <r>
    <s v="ORD-2024-170313"/>
    <d v="2024-12-27T00:00:00"/>
    <d v="2025-01-15T00:00:00"/>
    <d v="2024-12-27T00:00:00"/>
    <d v="2025-01-15T00:00:00"/>
    <n v="19"/>
    <s v="12-2024"/>
    <s v="Asia"/>
    <s v="India"/>
    <s v="Delhi"/>
    <s v="Non-Profit"/>
    <s v="Distributor"/>
    <s v="G. Dubois"/>
    <s v="Components"/>
    <s v="CMP-6919"/>
    <n v="495.59"/>
    <n v="631.78"/>
    <n v="8.6999999999999994E-2"/>
    <n v="17"/>
    <n v="9805.8573800000013"/>
    <n v="8425.0299999999988"/>
    <n v="1380.8273800000024"/>
    <n v="0.14081658813601899"/>
    <s v="Q4-2024"/>
    <s v="Asia → India → Delhi"/>
    <s v="Low"/>
    <n v="2024"/>
    <n v="12"/>
    <x v="0"/>
  </r>
  <r>
    <s v="ORD-2023-562894"/>
    <d v="2023-02-23T00:00:00"/>
    <d v="2023-03-25T00:00:00"/>
    <d v="2023-02-23T00:00:00"/>
    <d v="2023-03-25T00:00:00"/>
    <n v="30"/>
    <s v="2-2023"/>
    <s v="Americas"/>
    <s v="Canada"/>
    <s v="Montreal"/>
    <s v="Enterprise"/>
    <s v="Online"/>
    <s v="D. Smith"/>
    <s v="Phones"/>
    <s v="PHN-4854"/>
    <n v="1242.6600000000001"/>
    <n v="1794.07"/>
    <n v="8.8999999999999996E-2"/>
    <n v="16"/>
    <n v="26150.364320000001"/>
    <n v="19882.560000000001"/>
    <n v="6267.8043199999993"/>
    <n v="0.23968325042440553"/>
    <s v="Q1-2023"/>
    <s v="Americas → Canada → Montreal"/>
    <s v="Medium"/>
    <n v="2023"/>
    <n v="2"/>
    <x v="0"/>
  </r>
  <r>
    <s v="ORD-2025-474710"/>
    <d v="2025-07-24T00:00:00"/>
    <d v="2025-08-06T00:00:00"/>
    <d v="2025-07-24T00:00:00"/>
    <d v="2025-08-06T00:00:00"/>
    <n v="13"/>
    <s v="7-2025"/>
    <s v="Africa"/>
    <s v="South Africa"/>
    <s v="Johannesburg"/>
    <s v="Education"/>
    <s v="Marketplace"/>
    <s v="D. Smith"/>
    <s v="Networking"/>
    <s v="NET-7966"/>
    <n v="1463.9"/>
    <n v="2633.02"/>
    <n v="8.4000000000000005E-2"/>
    <n v="4"/>
    <n v="9647.3852800000004"/>
    <n v="5855.6"/>
    <n v="3791.7852800000001"/>
    <n v="0.39303761277791527"/>
    <s v="Q3-2025"/>
    <s v="Africa → South Africa → Johannesburg"/>
    <s v="High"/>
    <n v="2025"/>
    <n v="7"/>
    <x v="0"/>
  </r>
  <r>
    <s v="ORD-2024-629525"/>
    <d v="2024-04-18T00:00:00"/>
    <d v="2024-05-08T00:00:00"/>
    <d v="2024-04-18T00:00:00"/>
    <d v="2024-05-08T00:00:00"/>
    <n v="20"/>
    <s v="4-2024"/>
    <s v="Europe"/>
    <s v="United Kingdom"/>
    <s v="London"/>
    <s v="Non-Profit"/>
    <s v="Unknown Channel"/>
    <s v="D. Smith"/>
    <s v="Laptops"/>
    <s v="LAP-9932"/>
    <n v="645.33000000000004"/>
    <n v="1321.85"/>
    <n v="0"/>
    <n v="10"/>
    <n v="13218.5"/>
    <n v="6453.3"/>
    <n v="6765.2"/>
    <n v="0.51179785906116426"/>
    <s v="Q2-2024"/>
    <s v="Europe → United Kingdom → London"/>
    <s v="Medium"/>
    <n v="2024"/>
    <n v="4"/>
    <x v="0"/>
  </r>
  <r>
    <s v="ORD-2024-167215"/>
    <d v="2024-08-23T00:00:00"/>
    <d v="2024-08-21T00:00:00"/>
    <d v="2024-08-21T00:00:00"/>
    <d v="2024-08-23T00:00:00"/>
    <n v="2"/>
    <s v="8-2024"/>
    <s v="Africa"/>
    <s v="South Africa"/>
    <s v="Johannesburg"/>
    <s v="Education"/>
    <s v="Retail"/>
    <s v="E. Garcia"/>
    <s v="Components"/>
    <s v="CMP-1559"/>
    <n v="1432.52"/>
    <n v="3036.87"/>
    <n v="0"/>
    <n v="9"/>
    <n v="27331.829999999998"/>
    <n v="12892.68"/>
    <n v="14439.149999999998"/>
    <n v="0.52829064135112791"/>
    <s v="Q3-2024"/>
    <s v="Africa → South Africa → Johannesburg"/>
    <s v="High"/>
    <n v="2024"/>
    <n v="8"/>
    <x v="1"/>
  </r>
  <r>
    <s v="ORD-2023-864121"/>
    <d v="2023-03-27T00:00:00"/>
    <d v="2023-04-22T00:00:00"/>
    <d v="2023-03-27T00:00:00"/>
    <d v="2023-04-22T00:00:00"/>
    <n v="26"/>
    <s v="3-2023"/>
    <s v="Asia"/>
    <s v="India"/>
    <s v="Delhi"/>
    <s v="Non-Profit"/>
    <s v="Marketplace"/>
    <s v="J. Njeri"/>
    <s v="Printers"/>
    <s v="PRN-4506"/>
    <n v="178.53"/>
    <n v="199.37"/>
    <n v="0.10100000000000001"/>
    <n v="37"/>
    <n v="6631.6443100000006"/>
    <n v="6605.61"/>
    <n v="26.034310000000914"/>
    <n v="3.9257699573457538E-3"/>
    <s v="Q1-2023"/>
    <s v="Asia → India → Delhi"/>
    <s v="Low"/>
    <n v="2023"/>
    <n v="3"/>
    <x v="0"/>
  </r>
  <r>
    <s v="ORD-2024-692673"/>
    <d v="2024-03-07T00:00:00"/>
    <d v="2024-03-25T00:00:00"/>
    <d v="2024-03-07T00:00:00"/>
    <d v="2024-03-25T00:00:00"/>
    <n v="18"/>
    <s v="3-2024"/>
    <s v="Europe"/>
    <s v="Germany"/>
    <s v="Munich"/>
    <s v="Corporate"/>
    <s v="Online"/>
    <s v="B. Chen"/>
    <s v="Components"/>
    <s v="CMP-7617"/>
    <n v="712.84"/>
    <n v="927.51"/>
    <n v="0.24299999999999999"/>
    <n v="27"/>
    <n v="18957.37689"/>
    <n v="19246.68"/>
    <n v="-289.30311000000074"/>
    <n v="-1.5260714163076427E-2"/>
    <s v="Q1-2024"/>
    <s v="Europe → Germany → Munich"/>
    <s v="Low"/>
    <n v="2024"/>
    <n v="3"/>
    <x v="0"/>
  </r>
  <r>
    <s v="ORD-2025-718992"/>
    <d v="2025-06-24T00:00:00"/>
    <d v="2025-07-10T00:00:00"/>
    <d v="2025-06-24T00:00:00"/>
    <d v="2025-07-10T00:00:00"/>
    <n v="16"/>
    <s v="6-2025"/>
    <s v="Asia"/>
    <s v="China"/>
    <s v="Shanghai"/>
    <s v="Enterprise"/>
    <s v="Direct"/>
    <s v="N. Brown"/>
    <s v="Components"/>
    <s v="CMP-8390"/>
    <n v="757.19"/>
    <n v="1735.41"/>
    <n v="0.13600000000000001"/>
    <n v="8"/>
    <n v="11995.153920000001"/>
    <n v="6057.52"/>
    <n v="5937.6339200000002"/>
    <n v="0.4950027285685718"/>
    <s v="Q2-2025"/>
    <s v="Asia → China → Shanghai"/>
    <s v="Medium"/>
    <n v="2025"/>
    <n v="6"/>
    <x v="0"/>
  </r>
  <r>
    <s v="ORD-2024-599522"/>
    <d v="2024-04-19T00:00:00"/>
    <d v="2024-05-06T00:00:00"/>
    <d v="2024-04-19T00:00:00"/>
    <d v="2024-05-06T00:00:00"/>
    <n v="17"/>
    <s v="4-2024"/>
    <s v="Africa"/>
    <s v="Nigeria"/>
    <s v="Port Harcourt"/>
    <s v="Non-Profit"/>
    <s v="Online"/>
    <s v="A. Patel"/>
    <s v="Printers"/>
    <s v="PRN-7303"/>
    <n v="865.33"/>
    <n v="1395.64"/>
    <n v="0.17499999999999999"/>
    <n v="13"/>
    <n v="14968.239"/>
    <n v="11249.29"/>
    <n v="3718.9489999999987"/>
    <n v="0.24845601409758347"/>
    <s v="Q2-2024"/>
    <s v="Africa → Nigeria → Port Harcourt"/>
    <s v="Medium"/>
    <n v="2024"/>
    <n v="4"/>
    <x v="0"/>
  </r>
  <r>
    <s v="ORD-2023-651638"/>
    <d v="2023-06-17T00:00:00"/>
    <d v="2023-06-24T00:00:00"/>
    <d v="2023-06-17T00:00:00"/>
    <d v="2023-06-24T00:00:00"/>
    <n v="7"/>
    <s v="6-2023"/>
    <s v="Americas"/>
    <s v="USA"/>
    <s v="San Francisco"/>
    <s v="Corporate"/>
    <s v="Retail"/>
    <s v="I. Johnson"/>
    <s v="Printers"/>
    <s v="PRN-6536"/>
    <n v="313.99"/>
    <n v="454.42"/>
    <n v="0.129"/>
    <n v="9"/>
    <n v="3562.1983800000003"/>
    <n v="2825.91"/>
    <n v="736.28838000000042"/>
    <n v="0.20669493988147858"/>
    <s v="Q2-2023"/>
    <s v="Americas → USA → San Francisco"/>
    <s v="Low"/>
    <n v="2023"/>
    <n v="6"/>
    <x v="1"/>
  </r>
  <r>
    <s v="ORD-2024-635626"/>
    <d v="2024-08-27T00:00:00"/>
    <d v="2024-09-19T00:00:00"/>
    <d v="2024-08-27T00:00:00"/>
    <d v="2024-09-19T00:00:00"/>
    <n v="23"/>
    <s v="8-2024"/>
    <s v="Europe"/>
    <s v="Germany"/>
    <s v="Berlin"/>
    <s v="Small Business"/>
    <s v="Direct"/>
    <s v="D. Smith"/>
    <s v="Monitors"/>
    <s v="MON-9967"/>
    <n v="1024.01"/>
    <n v="1580.97"/>
    <n v="3.6999999999999998E-2"/>
    <n v="27"/>
    <n v="41106.800970000004"/>
    <n v="27648.27"/>
    <n v="13458.530970000003"/>
    <n v="0.3274039976942531"/>
    <s v="Q3-2024"/>
    <s v="Europe → Germany → Berlin"/>
    <s v="Medium"/>
    <n v="2024"/>
    <n v="8"/>
    <x v="0"/>
  </r>
  <r>
    <s v="ORD-2024-296582"/>
    <d v="2024-01-11T00:00:00"/>
    <d v="2024-02-02T00:00:00"/>
    <d v="2024-01-11T00:00:00"/>
    <d v="2024-02-02T00:00:00"/>
    <n v="22"/>
    <s v="1-2024"/>
    <s v="Africa"/>
    <s v="South Africa"/>
    <s v="Durban"/>
    <s v="Consumer"/>
    <s v="Online"/>
    <s v="K. Singh"/>
    <s v="Networking"/>
    <s v="NET-1412"/>
    <n v="1206.2"/>
    <n v="1759.79"/>
    <n v="0"/>
    <n v="6"/>
    <n v="10558.74"/>
    <n v="7237.2000000000007"/>
    <n v="3321.5399999999991"/>
    <n v="0.31457730751964713"/>
    <s v="Q1-2024"/>
    <s v="Africa → South Africa → Durban"/>
    <s v="Medium"/>
    <n v="2024"/>
    <n v="1"/>
    <x v="0"/>
  </r>
  <r>
    <s v="ORD-2024-998320"/>
    <d v="2024-10-25T00:00:00"/>
    <d v="2024-11-14T00:00:00"/>
    <d v="2024-10-25T00:00:00"/>
    <d v="2024-11-14T00:00:00"/>
    <n v="20"/>
    <s v="10-2024"/>
    <s v="Africa"/>
    <s v="Kenya"/>
    <s v="Mombasa"/>
    <s v="Corporate"/>
    <s v="Direct"/>
    <s v="H. Kim"/>
    <s v="Printers"/>
    <s v="PRN-3143"/>
    <n v="1396.48"/>
    <n v="3204.5"/>
    <n v="0.1186"/>
    <n v="14"/>
    <n v="39542.248200000002"/>
    <n v="19550.72"/>
    <n v="19991.528200000001"/>
    <n v="0.50557388894240973"/>
    <s v="Q4-2024"/>
    <s v="Africa → Kenya → Mombasa"/>
    <s v="High"/>
    <n v="2024"/>
    <n v="10"/>
    <x v="0"/>
  </r>
  <r>
    <s v="ORD-2025-820255"/>
    <d v="2025-05-29T00:00:00"/>
    <d v="2025-06-20T00:00:00"/>
    <d v="2025-05-29T00:00:00"/>
    <d v="2025-06-20T00:00:00"/>
    <n v="22"/>
    <s v="5-2025"/>
    <s v="Europe"/>
    <s v="Germany"/>
    <s v="Berlin"/>
    <s v="Corporate"/>
    <s v="Direct"/>
    <s v="A. Patel"/>
    <s v="Printers"/>
    <s v="PRN-9787"/>
    <n v="483.47"/>
    <n v="1135.43"/>
    <n v="0.14599999999999999"/>
    <n v="11"/>
    <n v="10666.229420000001"/>
    <n v="5318.17"/>
    <n v="5348.0594200000014"/>
    <n v="0.50140112399719983"/>
    <s v="Q2-2025"/>
    <s v="Europe → Germany → Berlin"/>
    <s v="Low"/>
    <n v="2025"/>
    <n v="5"/>
    <x v="0"/>
  </r>
  <r>
    <s v="ORD-2024-389336"/>
    <d v="2024-05-20T00:00:00"/>
    <d v="2024-06-02T00:00:00"/>
    <d v="2024-05-20T00:00:00"/>
    <d v="2024-06-02T00:00:00"/>
    <n v="13"/>
    <s v="5-2024"/>
    <s v="Americas"/>
    <s v="Canada"/>
    <s v="Vancouver"/>
    <s v="Enterprise"/>
    <s v="Marketplace"/>
    <s v="K. Singh"/>
    <s v="Components"/>
    <s v="CMP-5946"/>
    <n v="675.43"/>
    <n v="996.36"/>
    <n v="0.182"/>
    <n v="22"/>
    <n v="17930.494560000003"/>
    <n v="14859.46"/>
    <n v="3071.0345600000037"/>
    <n v="0.17127439233332575"/>
    <s v="Q2-2024"/>
    <s v="Americas → Canada → Vancouver"/>
    <s v="Low"/>
    <n v="2024"/>
    <n v="5"/>
    <x v="0"/>
  </r>
  <r>
    <s v="ORD-2023-308124"/>
    <d v="2023-04-19T00:00:00"/>
    <d v="2023-04-30T00:00:00"/>
    <d v="2023-04-19T00:00:00"/>
    <d v="2023-04-30T00:00:00"/>
    <n v="11"/>
    <s v="4-2023"/>
    <s v="Asia"/>
    <s v="India"/>
    <s v="Delhi"/>
    <s v="Small Business"/>
    <s v="Retail"/>
    <s v="A. Patel"/>
    <s v="Networking"/>
    <s v="NET-2062"/>
    <n v="826.55"/>
    <n v="1397.05"/>
    <n v="0.16900000000000001"/>
    <n v="28"/>
    <n v="32506.559399999998"/>
    <n v="23143.399999999998"/>
    <n v="9363.1594000000005"/>
    <n v="0.28803907804527601"/>
    <s v="Q2-2023"/>
    <s v="Asia → India → Delhi"/>
    <s v="Medium"/>
    <n v="2023"/>
    <n v="4"/>
    <x v="0"/>
  </r>
  <r>
    <s v="ORD-2023-128295"/>
    <d v="2023-06-23T00:00:00"/>
    <d v="2023-07-03T00:00:00"/>
    <d v="2023-06-23T00:00:00"/>
    <d v="2023-07-03T00:00:00"/>
    <n v="10"/>
    <s v="6-2023"/>
    <s v="Africa"/>
    <s v="Nigeria"/>
    <s v="Abuja"/>
    <s v="Consumer"/>
    <s v="Online"/>
    <s v="J. Njeri"/>
    <s v="Printers"/>
    <s v="PRN-2542"/>
    <n v="337.75"/>
    <n v="548.89"/>
    <n v="0"/>
    <n v="13"/>
    <n v="7135.57"/>
    <n v="4390.75"/>
    <n v="2744.8199999999997"/>
    <n v="0.38466723751571352"/>
    <s v="Q2-2023"/>
    <s v="Africa → Nigeria → Abuja"/>
    <s v="Low"/>
    <n v="2023"/>
    <n v="6"/>
    <x v="0"/>
  </r>
  <r>
    <s v="ORD-2024-548345"/>
    <d v="2024-05-14T00:00:00"/>
    <d v="2024-05-28T00:00:00"/>
    <d v="2024-05-14T00:00:00"/>
    <d v="2024-05-28T00:00:00"/>
    <n v="14"/>
    <s v="5-2024"/>
    <s v="Europe"/>
    <s v="United Kingdom"/>
    <s v="Birmingham"/>
    <s v="Consumer"/>
    <s v="Retail"/>
    <s v="B. Chen"/>
    <s v="Networking"/>
    <s v="NET-2365"/>
    <n v="1421.14"/>
    <n v="3524"/>
    <n v="0"/>
    <n v="31"/>
    <n v="109244"/>
    <n v="44055.340000000004"/>
    <n v="65188.659999999996"/>
    <n v="0.59672531214528945"/>
    <s v="Q2-2024"/>
    <s v="Europe → United Kingdom → Birmingham"/>
    <s v="High"/>
    <n v="2024"/>
    <n v="5"/>
    <x v="0"/>
  </r>
  <r>
    <s v="ORD-2024-966651"/>
    <d v="2024-10-14T00:00:00"/>
    <d v="2024-11-08T00:00:00"/>
    <d v="2024-10-14T00:00:00"/>
    <d v="2024-11-08T00:00:00"/>
    <n v="25"/>
    <s v="10-2024"/>
    <s v="Africa"/>
    <s v="Nigeria"/>
    <s v="Lagos"/>
    <s v="Enterprise"/>
    <s v="Online"/>
    <s v="O. Wang"/>
    <s v="Networking"/>
    <s v="NET-5268"/>
    <n v="859.35"/>
    <n v="1825.61"/>
    <n v="0.187"/>
    <n v="24"/>
    <n v="35621.302319999995"/>
    <n v="20624.400000000001"/>
    <n v="14996.902319999994"/>
    <n v="0.42100937762681989"/>
    <s v="Q4-2024"/>
    <s v="Africa → Nigeria → Lagos"/>
    <s v="Medium"/>
    <n v="2024"/>
    <n v="10"/>
    <x v="0"/>
  </r>
  <r>
    <s v="ORD-2023-292714"/>
    <d v="2023-07-10T00:00:00"/>
    <d v="2023-08-01T00:00:00"/>
    <d v="2023-07-10T00:00:00"/>
    <d v="2023-08-01T00:00:00"/>
    <n v="22"/>
    <s v="7-2023"/>
    <s v="Europe"/>
    <s v="France"/>
    <s v="Marseille"/>
    <s v="Consumer"/>
    <s v="Marketplace"/>
    <s v="B. Chen"/>
    <s v="Printers"/>
    <s v="PRN-1504"/>
    <n v="1303.56"/>
    <n v="1791.37"/>
    <n v="0.126"/>
    <n v="22"/>
    <n v="34444.462359999998"/>
    <n v="28678.32"/>
    <n v="5766.142359999998"/>
    <n v="0.16740404596055358"/>
    <s v="Q3-2023"/>
    <s v="Europe → France → Marseille"/>
    <s v="Medium"/>
    <n v="2023"/>
    <n v="7"/>
    <x v="0"/>
  </r>
  <r>
    <s v="ORD-2023-957692"/>
    <d v="2023-05-07T00:00:00"/>
    <d v="2023-05-20T00:00:00"/>
    <d v="2023-05-07T00:00:00"/>
    <d v="2023-05-20T00:00:00"/>
    <n v="13"/>
    <s v="5-2023"/>
    <s v="Asia"/>
    <s v="India"/>
    <s v="Mumbai"/>
    <s v="Enterprise"/>
    <s v="Retail"/>
    <s v="D. Smith"/>
    <s v="Accessories"/>
    <s v="ACC-9283"/>
    <n v="1443.28"/>
    <n v="2580.5700000000002"/>
    <n v="0"/>
    <n v="18"/>
    <n v="46450.26"/>
    <n v="25979.040000000001"/>
    <n v="20471.22"/>
    <n v="0.4407127107577008"/>
    <s v="Q2-2023"/>
    <s v="Asia → India → Mumbai"/>
    <s v="High"/>
    <n v="2023"/>
    <n v="5"/>
    <x v="0"/>
  </r>
  <r>
    <s v="ORD-2024-260775"/>
    <d v="2024-10-17T00:00:00"/>
    <d v="2024-11-06T00:00:00"/>
    <d v="2024-10-17T00:00:00"/>
    <d v="2024-11-06T00:00:00"/>
    <n v="20"/>
    <s v="10-2024"/>
    <s v="Asia"/>
    <s v="India"/>
    <s v="Bengaluru"/>
    <s v="Enterprise"/>
    <s v="Distributor"/>
    <s v="O. Wang"/>
    <s v="Monitors"/>
    <s v="MON-4330"/>
    <n v="72.94"/>
    <n v="106.3"/>
    <n v="0.29499999999999998"/>
    <n v="8"/>
    <n v="599.53200000000004"/>
    <n v="583.52"/>
    <n v="16.012000000000057"/>
    <n v="2.6707498515508857E-2"/>
    <s v="Q4-2024"/>
    <s v="Asia → India → Bengaluru"/>
    <s v="Low"/>
    <n v="2024"/>
    <n v="10"/>
    <x v="0"/>
  </r>
  <r>
    <s v="ORD-2023-419187"/>
    <d v="2023-03-31T00:00:00"/>
    <d v="2023-04-05T00:00:00"/>
    <d v="2023-03-31T00:00:00"/>
    <d v="2023-04-05T00:00:00"/>
    <n v="5"/>
    <s v="3-2023"/>
    <s v="Africa"/>
    <s v="Kenya"/>
    <s v="Nakuru"/>
    <s v="Education"/>
    <s v="Marketplace"/>
    <s v="B. Chen"/>
    <s v="Laptops"/>
    <s v="LAP-7819"/>
    <n v="533.26"/>
    <n v="385.72"/>
    <n v="0"/>
    <n v="15"/>
    <n v="5785.8"/>
    <n v="7998.9"/>
    <n v="-2213.0999999999995"/>
    <n v="-0.38250544436378708"/>
    <s v="Q1-2023"/>
    <s v="Africa → Kenya → Nakuru"/>
    <s v="Low"/>
    <n v="2023"/>
    <n v="3"/>
    <x v="1"/>
  </r>
  <r>
    <s v="ORD-2025-578007"/>
    <d v="2025-01-21T00:00:00"/>
    <d v="2025-02-16T00:00:00"/>
    <d v="2025-01-21T00:00:00"/>
    <d v="2025-02-16T00:00:00"/>
    <n v="26"/>
    <s v="1-2025"/>
    <s v="Europe"/>
    <s v="France"/>
    <s v="Lyon"/>
    <s v="Corporate"/>
    <s v="Distributor"/>
    <s v="O. Wang"/>
    <s v="Laptops"/>
    <s v="LAP-3779"/>
    <n v="204.11"/>
    <n v="236.87"/>
    <n v="0.182"/>
    <n v="13"/>
    <n v="2518.8755800000004"/>
    <n v="2653.4300000000003"/>
    <n v="-134.55441999999994"/>
    <n v="-5.3418446337075494E-2"/>
    <s v="Q1-2025"/>
    <s v="Europe → France → Lyon"/>
    <s v="Low"/>
    <n v="2025"/>
    <n v="1"/>
    <x v="0"/>
  </r>
  <r>
    <s v="ORD-2023-235230"/>
    <d v="2023-08-30T00:00:00"/>
    <d v="2023-09-01T00:00:00"/>
    <d v="2023-08-30T00:00:00"/>
    <d v="2023-09-01T00:00:00"/>
    <n v="2"/>
    <s v="8-2023"/>
    <s v="Europe"/>
    <s v="Germany"/>
    <s v="Munich"/>
    <s v="Corporate"/>
    <s v="Direct"/>
    <s v="N. Brown"/>
    <s v="Networking"/>
    <s v="NET-9989"/>
    <n v="44.42"/>
    <n v="41.9"/>
    <n v="0.14399999999999999"/>
    <n v="6"/>
    <n v="215.19839999999996"/>
    <n v="266.52"/>
    <n v="-51.321600000000018"/>
    <n v="-0.23848504449847224"/>
    <s v="Q3-2023"/>
    <s v="Europe → Germany → Munich"/>
    <s v="Low"/>
    <n v="2023"/>
    <n v="8"/>
    <x v="1"/>
  </r>
  <r>
    <s v="ORD-2023-434071"/>
    <d v="2023-06-20T00:00:00"/>
    <d v="2023-07-04T00:00:00"/>
    <d v="2023-06-20T00:00:00"/>
    <d v="2023-07-04T00:00:00"/>
    <n v="14"/>
    <s v="6-2023"/>
    <s v="Americas"/>
    <s v="Brazil"/>
    <s v="Brasília"/>
    <s v="Non-Profit"/>
    <s v="Direct"/>
    <s v="C. Otieno"/>
    <s v="Networking"/>
    <s v="NET-1228"/>
    <n v="1292.8599999999999"/>
    <n v="2981.01"/>
    <n v="0.14199999999999999"/>
    <n v="12"/>
    <n v="30692.47896"/>
    <n v="15514.32"/>
    <n v="15178.158960000001"/>
    <n v="0.49452372288927687"/>
    <s v="Q2-2023"/>
    <s v="Americas → Brazil → Brasília"/>
    <s v="High"/>
    <n v="2023"/>
    <n v="6"/>
    <x v="0"/>
  </r>
  <r>
    <s v="ORD-2023-374486"/>
    <d v="2023-06-24T00:00:00"/>
    <d v="2023-06-23T00:00:00"/>
    <d v="2023-06-23T00:00:00"/>
    <d v="2023-06-24T00:00:00"/>
    <n v="1"/>
    <s v="6-2023"/>
    <s v="Americas"/>
    <s v="Brazil"/>
    <s v="Rio de Janeiro"/>
    <s v="Non-Profit"/>
    <s v="Retail"/>
    <s v="E. Garcia"/>
    <s v="Printers"/>
    <s v="PRN-6490"/>
    <n v="804.01"/>
    <n v="1405.07"/>
    <n v="9.6000000000000002E-2"/>
    <n v="8"/>
    <n v="10161.46624"/>
    <n v="6432.08"/>
    <n v="3729.3862399999998"/>
    <n v="0.36701260939287439"/>
    <s v="Q2-2023"/>
    <s v="Americas → Brazil → Rio de Janeiro"/>
    <s v="Medium"/>
    <n v="2023"/>
    <n v="6"/>
    <x v="1"/>
  </r>
  <r>
    <s v="ORD-2025-944081"/>
    <d v="2025-03-25T00:00:00"/>
    <d v="2025-03-26T00:00:00"/>
    <d v="2025-03-25T00:00:00"/>
    <d v="2025-03-26T00:00:00"/>
    <n v="1"/>
    <s v="3-2025"/>
    <s v="Africa"/>
    <s v="Nigeria"/>
    <s v="Lagos"/>
    <s v="Education"/>
    <s v="Distributor"/>
    <s v="G. Dubois"/>
    <s v="Accessories"/>
    <s v="ACC-9533"/>
    <n v="1450.43"/>
    <n v="1994.67"/>
    <n v="0.1"/>
    <n v="24"/>
    <n v="43084.872000000003"/>
    <n v="34810.32"/>
    <n v="8274.5520000000033"/>
    <n v="0.19205237513529116"/>
    <s v="Q1-2025"/>
    <s v="Africa → Nigeria → Lagos"/>
    <s v="High"/>
    <n v="2025"/>
    <n v="3"/>
    <x v="1"/>
  </r>
  <r>
    <s v="ORD-2025-843974"/>
    <d v="2025-07-20T00:00:00"/>
    <d v="2025-08-05T00:00:00"/>
    <d v="2025-07-20T00:00:00"/>
    <d v="2025-08-05T00:00:00"/>
    <n v="16"/>
    <s v="7-2025"/>
    <s v="Americas"/>
    <s v="Brazil"/>
    <s v="Brasília"/>
    <s v="Enterprise"/>
    <s v="Marketplace"/>
    <s v="G. Dubois"/>
    <s v="Accessories"/>
    <s v="ACC-8098"/>
    <n v="1068.17"/>
    <n v="2375.37"/>
    <n v="0.109"/>
    <n v="18"/>
    <n v="38096.18406"/>
    <n v="19227.060000000001"/>
    <n v="18869.124059999998"/>
    <n v="0.49530220744108822"/>
    <s v="Q3-2025"/>
    <s v="Americas → Brazil → Brasília"/>
    <s v="High"/>
    <n v="2025"/>
    <n v="7"/>
    <x v="0"/>
  </r>
  <r>
    <s v="ORD-2024-446699"/>
    <d v="2024-08-28T00:00:00"/>
    <d v="2024-09-25T00:00:00"/>
    <d v="2024-08-28T00:00:00"/>
    <d v="2024-09-25T00:00:00"/>
    <n v="28"/>
    <s v="8-2024"/>
    <s v="Americas"/>
    <s v="Brazil"/>
    <s v="Rio de Janeiro"/>
    <s v="Non-Profit"/>
    <s v="Online"/>
    <s v="Unknown Salesperson"/>
    <s v="Accessories"/>
    <s v="ACC-4490"/>
    <n v="1394.65"/>
    <n v="3144.1"/>
    <n v="0.13400000000000001"/>
    <n v="13"/>
    <n v="35396.277799999996"/>
    <n v="18130.45"/>
    <n v="17265.827799999995"/>
    <n v="0.4877865378263021"/>
    <s v="Q3-2024"/>
    <s v="Americas → Brazil → Rio de Janeiro"/>
    <s v="High"/>
    <n v="2024"/>
    <n v="8"/>
    <x v="0"/>
  </r>
  <r>
    <s v="ORD-2024-906395"/>
    <d v="2024-03-10T00:00:00"/>
    <d v="2024-04-09T00:00:00"/>
    <d v="2024-03-10T00:00:00"/>
    <d v="2024-04-09T00:00:00"/>
    <n v="30"/>
    <s v="3-2024"/>
    <s v="Europe"/>
    <s v="France"/>
    <s v="Lyon"/>
    <s v="Corporate"/>
    <s v="Direct"/>
    <s v="I. Johnson"/>
    <s v="Components"/>
    <s v="CMP-8002"/>
    <n v="1176.56"/>
    <n v="1911.89"/>
    <n v="0.11899999999999999"/>
    <n v="20"/>
    <n v="33687.501800000005"/>
    <n v="23531.199999999997"/>
    <n v="10156.301800000008"/>
    <n v="0.30148575160892477"/>
    <s v="Q1-2024"/>
    <s v="Europe → France → Lyon"/>
    <s v="Medium"/>
    <n v="2024"/>
    <n v="3"/>
    <x v="0"/>
  </r>
  <r>
    <s v="ORD-2025-779574"/>
    <d v="2025-09-10T00:00:00"/>
    <d v="2025-09-12T00:00:00"/>
    <d v="2025-09-10T00:00:00"/>
    <d v="2025-09-12T00:00:00"/>
    <n v="2"/>
    <s v="9-2025"/>
    <s v="Asia"/>
    <s v="Japan"/>
    <s v="Tokyo"/>
    <s v="Consumer"/>
    <s v="Online"/>
    <s v="O. Wang"/>
    <s v="Components"/>
    <s v="CMP-6971"/>
    <n v="1470.15"/>
    <n v="2593.7800000000002"/>
    <n v="0.11"/>
    <n v="12"/>
    <n v="27701.570400000001"/>
    <n v="17641.800000000003"/>
    <n v="10059.770399999998"/>
    <n v="0.36314801849645306"/>
    <s v="Q3-2025"/>
    <s v="Asia → Japan → Tokyo"/>
    <s v="High"/>
    <n v="2025"/>
    <n v="9"/>
    <x v="1"/>
  </r>
  <r>
    <s v="ORD-2025-526650"/>
    <d v="2025-04-27T00:00:00"/>
    <d v="2025-05-25T00:00:00"/>
    <d v="2025-04-27T00:00:00"/>
    <d v="2025-05-25T00:00:00"/>
    <n v="28"/>
    <s v="4-2025"/>
    <s v="Europe"/>
    <s v="France"/>
    <s v="Paris"/>
    <s v="Small Business"/>
    <s v="Marketplace"/>
    <s v="I. Johnson"/>
    <s v="Phones"/>
    <s v="PHN-8350"/>
    <n v="603.45000000000005"/>
    <n v="1244.08"/>
    <n v="0.2"/>
    <n v="11"/>
    <n v="10947.904"/>
    <n v="6637.9500000000007"/>
    <n v="4309.9539999999997"/>
    <n v="0.39367846119220623"/>
    <s v="Q2-2025"/>
    <s v="Europe → France → Paris"/>
    <s v="Medium"/>
    <n v="2025"/>
    <n v="4"/>
    <x v="0"/>
  </r>
  <r>
    <s v="ORD-2024-247979"/>
    <d v="2024-11-02T00:00:00"/>
    <d v="2024-11-18T00:00:00"/>
    <d v="2024-11-02T00:00:00"/>
    <d v="2024-11-18T00:00:00"/>
    <n v="16"/>
    <s v="11-2024"/>
    <s v="Asia"/>
    <s v="India"/>
    <s v="Mumbai"/>
    <s v="Small Business"/>
    <s v="Distributor"/>
    <s v="O. Wang"/>
    <s v="Monitors"/>
    <s v="MON-5188"/>
    <n v="1233.58"/>
    <n v="1912.51"/>
    <n v="0.255"/>
    <n v="51"/>
    <n v="72665.817450000002"/>
    <n v="62912.579999999994"/>
    <n v="9753.2374500000078"/>
    <n v="0.134220432553601"/>
    <s v="Q4-2024"/>
    <s v="Asia → India → Mumbai"/>
    <s v="High"/>
    <n v="2024"/>
    <n v="11"/>
    <x v="0"/>
  </r>
  <r>
    <s v="ORD-2023-480975"/>
    <d v="2023-02-15T00:00:00"/>
    <d v="2023-02-26T00:00:00"/>
    <d v="2023-02-15T00:00:00"/>
    <d v="2023-02-26T00:00:00"/>
    <n v="11"/>
    <s v="2-2023"/>
    <s v="Africa"/>
    <s v="South Africa"/>
    <s v="Johannesburg"/>
    <s v="Non-Profit"/>
    <s v="Retail"/>
    <s v="K. Singh"/>
    <s v="Laptops"/>
    <s v="LAP-3393"/>
    <n v="498.5"/>
    <n v="755.87"/>
    <n v="0.13"/>
    <n v="40"/>
    <n v="26304.275999999998"/>
    <n v="19940"/>
    <n v="6364.275999999998"/>
    <n v="0.24194834330357537"/>
    <s v="Q1-2023"/>
    <s v="Africa → South Africa → Johannesburg"/>
    <s v="Low"/>
    <n v="2023"/>
    <n v="2"/>
    <x v="0"/>
  </r>
  <r>
    <s v="ORD-2023-309373"/>
    <d v="2023-07-05T00:00:00"/>
    <d v="2023-07-14T00:00:00"/>
    <d v="2023-07-05T00:00:00"/>
    <d v="2023-07-14T00:00:00"/>
    <n v="9"/>
    <s v="7-2023"/>
    <s v="Americas"/>
    <s v="Brazil"/>
    <s v="Brasília"/>
    <s v="Enterprise"/>
    <s v="Direct"/>
    <s v="B. Chen"/>
    <s v="Networking"/>
    <s v="NET-2394"/>
    <n v="578.85"/>
    <n v="998.76"/>
    <n v="8.2000000000000003E-2"/>
    <n v="28"/>
    <n v="25672.127039999999"/>
    <n v="16207.800000000001"/>
    <n v="9464.3270399999983"/>
    <n v="0.36866158480960831"/>
    <s v="Q3-2023"/>
    <s v="Americas → Brazil → Brasília"/>
    <s v="Low"/>
    <n v="2023"/>
    <n v="7"/>
    <x v="0"/>
  </r>
  <r>
    <s v="ORD-2024-704056"/>
    <d v="2024-06-23T00:00:00"/>
    <d v="2024-06-25T00:00:00"/>
    <d v="2024-06-23T00:00:00"/>
    <d v="2024-06-25T00:00:00"/>
    <n v="2"/>
    <s v="6-2024"/>
    <s v="Europe"/>
    <s v="United Kingdom"/>
    <s v="Birmingham"/>
    <s v="Small Business"/>
    <s v="Marketplace"/>
    <s v="L. Okafor"/>
    <s v="Accessories"/>
    <s v="ACC-7838"/>
    <n v="951.44"/>
    <n v="1646.43"/>
    <n v="0.11"/>
    <n v="24"/>
    <n v="35167.7448"/>
    <n v="22834.560000000001"/>
    <n v="12333.184799999999"/>
    <n v="0.35069592520473475"/>
    <s v="Q2-2024"/>
    <s v="Europe → United Kingdom → Birmingham"/>
    <s v="Medium"/>
    <n v="2024"/>
    <n v="6"/>
    <x v="1"/>
  </r>
  <r>
    <s v="ORD-2024-347736"/>
    <d v="2024-05-22T00:00:00"/>
    <d v="2024-06-06T00:00:00"/>
    <d v="2024-05-22T00:00:00"/>
    <d v="2024-06-06T00:00:00"/>
    <n v="15"/>
    <s v="5-2024"/>
    <s v="Asia"/>
    <s v="Japan"/>
    <s v="Nagoya"/>
    <s v="Corporate"/>
    <s v="Distributor"/>
    <s v="C. Otieno"/>
    <s v="Monitors"/>
    <s v="MON-6870"/>
    <n v="673.88"/>
    <n v="1228.01"/>
    <n v="0.105"/>
    <n v="13"/>
    <n v="14287.896349999999"/>
    <n v="8760.44"/>
    <n v="5527.4563499999986"/>
    <n v="0.38686285332689996"/>
    <s v="Q2-2024"/>
    <s v="Asia → Japan → Nagoya"/>
    <s v="Medium"/>
    <n v="2024"/>
    <n v="5"/>
    <x v="0"/>
  </r>
  <r>
    <s v="ORD-2023-749324"/>
    <d v="2023-08-19T00:00:00"/>
    <d v="2023-09-07T00:00:00"/>
    <d v="2023-08-19T00:00:00"/>
    <d v="2023-09-07T00:00:00"/>
    <n v="19"/>
    <s v="8-2023"/>
    <s v="Africa"/>
    <s v="South Africa"/>
    <s v="Johannesburg"/>
    <s v="Enterprise"/>
    <s v="Retail"/>
    <s v="D. Smith"/>
    <s v="Monitors"/>
    <s v="MON-2296"/>
    <n v="494.61"/>
    <n v="605.23"/>
    <n v="0.20399999999999999"/>
    <n v="18"/>
    <n v="8671.7354400000004"/>
    <n v="8902.98"/>
    <n v="-231.24455999999918"/>
    <n v="-2.6666468505639647E-2"/>
    <s v="Q3-2023"/>
    <s v="Africa → South Africa → Johannesburg"/>
    <s v="Low"/>
    <n v="2023"/>
    <n v="8"/>
    <x v="0"/>
  </r>
  <r>
    <s v="ORD-2023-809913"/>
    <d v="2023-04-21T00:00:00"/>
    <d v="2023-05-10T00:00:00"/>
    <d v="2023-04-21T00:00:00"/>
    <d v="2023-05-10T00:00:00"/>
    <n v="19"/>
    <s v="4-2023"/>
    <s v="Asia"/>
    <s v="China"/>
    <s v="Shanghai"/>
    <s v="Corporate"/>
    <s v="Retail"/>
    <s v="A. Patel"/>
    <s v="Components"/>
    <s v="CMP-7371"/>
    <n v="882.33"/>
    <n v="1880.15"/>
    <n v="0.05"/>
    <n v="5"/>
    <n v="8930.7124999999996"/>
    <n v="4411.6500000000005"/>
    <n v="4519.0624999999991"/>
    <n v="0.50601365792482955"/>
    <s v="Q2-2023"/>
    <s v="Asia → China → Shanghai"/>
    <s v="Medium"/>
    <n v="2023"/>
    <n v="4"/>
    <x v="0"/>
  </r>
  <r>
    <s v="ORD-2023-261081"/>
    <d v="2023-07-24T00:00:00"/>
    <d v="2023-08-19T00:00:00"/>
    <d v="2023-07-24T00:00:00"/>
    <d v="2023-08-19T00:00:00"/>
    <n v="26"/>
    <s v="7-2023"/>
    <s v="Africa"/>
    <s v="Kenya"/>
    <s v="Nairobi"/>
    <s v="Enterprise"/>
    <s v="Distributor"/>
    <s v="M. Rossi"/>
    <s v="Accessories"/>
    <s v="ACC-1238"/>
    <n v="661.45"/>
    <n v="1634.86"/>
    <n v="0.1186"/>
    <n v="24"/>
    <n v="34583.174496"/>
    <n v="15874.800000000001"/>
    <n v="18708.374495999997"/>
    <n v="0.54096753027007016"/>
    <s v="Q3-2023"/>
    <s v="Africa → Kenya → Nairobi"/>
    <s v="Medium"/>
    <n v="2023"/>
    <n v="7"/>
    <x v="0"/>
  </r>
  <r>
    <s v="ORD-2023-594700"/>
    <d v="2023-07-18T00:00:00"/>
    <d v="2023-07-22T00:00:00"/>
    <d v="2023-07-18T00:00:00"/>
    <d v="2023-07-22T00:00:00"/>
    <n v="4"/>
    <s v="7-2023"/>
    <s v="Americas"/>
    <s v="Brazil"/>
    <s v="São Paulo"/>
    <s v="Consumer"/>
    <s v="Direct"/>
    <s v="F. Müller"/>
    <s v="Networking"/>
    <s v="NET-1699"/>
    <n v="1269.55"/>
    <n v="2071.1"/>
    <n v="0.129"/>
    <n v="22"/>
    <n v="39686.4182"/>
    <n v="27930.1"/>
    <n v="11756.318200000002"/>
    <n v="0.29623026549672354"/>
    <s v="Q3-2023"/>
    <s v="Americas → Brazil → São Paulo"/>
    <s v="High"/>
    <n v="2023"/>
    <n v="7"/>
    <x v="1"/>
  </r>
  <r>
    <s v="ORD-2024-939873"/>
    <d v="2024-04-12T00:00:00"/>
    <d v="2024-05-07T00:00:00"/>
    <d v="2024-04-12T00:00:00"/>
    <d v="2024-05-07T00:00:00"/>
    <n v="25"/>
    <s v="4-2024"/>
    <s v="Africa"/>
    <s v="South Africa"/>
    <s v="Johannesburg"/>
    <s v="Education"/>
    <s v="Distributor"/>
    <s v="A. Patel"/>
    <s v="Laptops"/>
    <s v="LAP-8489"/>
    <n v="1376.51"/>
    <n v="1455.91"/>
    <n v="0.185"/>
    <n v="17"/>
    <n v="20171.63305"/>
    <n v="23400.67"/>
    <n v="-3229.0369499999979"/>
    <n v="-0.1600781127634085"/>
    <s v="Q2-2024"/>
    <s v="Africa → South Africa → Johannesburg"/>
    <s v="Medium"/>
    <n v="2024"/>
    <n v="4"/>
    <x v="0"/>
  </r>
  <r>
    <s v="ORD-2024-800947"/>
    <d v="2024-12-15T00:00:00"/>
    <d v="2024-12-20T00:00:00"/>
    <d v="2024-12-15T00:00:00"/>
    <d v="2024-12-20T00:00:00"/>
    <n v="5"/>
    <s v="12-2024"/>
    <s v="Asia"/>
    <s v="China"/>
    <s v="Shenzhen"/>
    <s v="Small Business"/>
    <s v="Direct"/>
    <s v="J. Njeri"/>
    <s v="Networking"/>
    <s v="NET-1846"/>
    <n v="717.55"/>
    <n v="546.42999999999995"/>
    <n v="4.7E-2"/>
    <n v="18"/>
    <n v="9373.460219999999"/>
    <n v="12915.9"/>
    <n v="-3542.4397800000006"/>
    <n v="-0.37792231437026369"/>
    <s v="Q4-2024"/>
    <s v="Asia → China → Shenzhen"/>
    <s v="Low"/>
    <n v="2024"/>
    <n v="12"/>
    <x v="1"/>
  </r>
  <r>
    <s v="ORD-2023-382272"/>
    <d v="2023-05-20T00:00:00"/>
    <d v="2023-05-18T00:00:00"/>
    <d v="2023-05-18T00:00:00"/>
    <d v="2023-05-20T00:00:00"/>
    <n v="2"/>
    <s v="5-2023"/>
    <s v="Africa"/>
    <s v="South Africa"/>
    <s v="Durban"/>
    <s v="Corporate"/>
    <s v="Distributor"/>
    <s v="A. Patel"/>
    <s v="Components"/>
    <s v="CMP-5208"/>
    <n v="917.88"/>
    <n v="1347.92"/>
    <n v="0.1186"/>
    <n v="5"/>
    <n v="5940.2834400000002"/>
    <n v="4589.3999999999996"/>
    <n v="1350.8834400000005"/>
    <n v="0.22741060315465358"/>
    <s v="Q2-2023"/>
    <s v="Africa → South Africa → Durban"/>
    <s v="Medium"/>
    <n v="2023"/>
    <n v="5"/>
    <x v="1"/>
  </r>
  <r>
    <s v="ORD-2023-722117"/>
    <d v="2023-09-18T00:00:00"/>
    <d v="2023-10-08T00:00:00"/>
    <d v="2023-09-18T00:00:00"/>
    <d v="2023-10-08T00:00:00"/>
    <n v="20"/>
    <s v="9-2023"/>
    <s v="Asia"/>
    <s v="India"/>
    <s v="Delhi"/>
    <s v="Small Business"/>
    <s v="Direct"/>
    <s v="B. Chen"/>
    <s v="Components"/>
    <s v="CMP-1009"/>
    <n v="825.64"/>
    <n v="1108.43"/>
    <n v="0.114"/>
    <n v="7"/>
    <n v="6874.4828600000001"/>
    <n v="5779.48"/>
    <n v="1095.0028600000005"/>
    <n v="0.15928512475773349"/>
    <s v="Q3-2023"/>
    <s v="Asia → India → Delhi"/>
    <s v="Low"/>
    <n v="2023"/>
    <n v="9"/>
    <x v="0"/>
  </r>
  <r>
    <s v="ORD-2023-825836"/>
    <d v="2023-07-19T00:00:00"/>
    <d v="2023-07-31T00:00:00"/>
    <d v="2023-07-19T00:00:00"/>
    <d v="2023-07-31T00:00:00"/>
    <n v="12"/>
    <s v="7-2023"/>
    <s v="Americas"/>
    <s v="Brazil"/>
    <s v="Rio de Janeiro"/>
    <s v="Corporate"/>
    <s v="Retail"/>
    <s v="C. Otieno"/>
    <s v="Monitors"/>
    <s v="MON-7869"/>
    <n v="1334.64"/>
    <n v="2273.42"/>
    <n v="0.11799999999999999"/>
    <n v="14"/>
    <n v="28072.190160000002"/>
    <n v="18684.960000000003"/>
    <n v="9387.2301599999992"/>
    <n v="0.33439607335575267"/>
    <s v="Q3-2023"/>
    <s v="Americas → Brazil → Rio de Janeiro"/>
    <s v="High"/>
    <n v="2023"/>
    <n v="7"/>
    <x v="0"/>
  </r>
  <r>
    <s v="ORD-2024-638884"/>
    <d v="2024-05-28T00:00:00"/>
    <d v="2024-05-26T00:00:00"/>
    <d v="2024-05-26T00:00:00"/>
    <d v="2024-05-28T00:00:00"/>
    <n v="2"/>
    <s v="5-2024"/>
    <s v="Africa"/>
    <s v="Nigeria"/>
    <s v="Abuja"/>
    <s v="Enterprise"/>
    <s v="Online"/>
    <s v="F. Müller"/>
    <s v="Accessories"/>
    <s v="ACC-5177"/>
    <n v="1227.08"/>
    <n v="1896.62"/>
    <n v="0"/>
    <n v="18"/>
    <n v="34139.159999999996"/>
    <n v="22087.439999999999"/>
    <n v="12051.719999999998"/>
    <n v="0.353017473189147"/>
    <s v="Q2-2024"/>
    <s v="Africa → Nigeria → Abuja"/>
    <s v="Medium"/>
    <n v="2024"/>
    <n v="5"/>
    <x v="1"/>
  </r>
  <r>
    <s v="ORD-2023-290279"/>
    <d v="2023-06-14T00:00:00"/>
    <d v="2023-06-16T00:00:00"/>
    <d v="2023-06-14T00:00:00"/>
    <d v="2023-06-16T00:00:00"/>
    <n v="2"/>
    <s v="6-2023"/>
    <s v="Europe"/>
    <s v="United Kingdom"/>
    <s v="Manchester"/>
    <s v="Non-Profit"/>
    <s v="Direct"/>
    <s v="K. Singh"/>
    <s v="Components"/>
    <s v="CMP-5820"/>
    <n v="357.36"/>
    <n v="703.62"/>
    <n v="0.25700000000000001"/>
    <n v="20"/>
    <n v="10455.7932"/>
    <n v="7147.2000000000007"/>
    <n v="3308.5931999999993"/>
    <n v="0.31643636563125593"/>
    <s v="Q2-2023"/>
    <s v="Europe → United Kingdom → Manchester"/>
    <s v="Low"/>
    <n v="2023"/>
    <n v="6"/>
    <x v="1"/>
  </r>
  <r>
    <s v="ORD-2024-192263"/>
    <d v="2024-11-21T00:00:00"/>
    <d v="2024-12-21T00:00:00"/>
    <d v="2024-11-21T00:00:00"/>
    <d v="2024-12-21T00:00:00"/>
    <n v="30"/>
    <s v="11-2024"/>
    <s v="Europe"/>
    <s v="France"/>
    <s v="Marseille"/>
    <s v="Small Business"/>
    <s v="Direct"/>
    <s v="I. Johnson"/>
    <s v="Monitors"/>
    <s v="MON-7943"/>
    <n v="1122.68"/>
    <n v="1997.19"/>
    <n v="0.186"/>
    <n v="3"/>
    <n v="4877.1379800000004"/>
    <n v="3368.04"/>
    <n v="1509.0979800000005"/>
    <n v="0.30942285951073306"/>
    <s v="Q4-2024"/>
    <s v="Europe → France → Marseille"/>
    <s v="High"/>
    <n v="2024"/>
    <n v="11"/>
    <x v="0"/>
  </r>
  <r>
    <s v="ORD-2023-159379"/>
    <d v="2023-02-08T00:00:00"/>
    <d v="2023-02-11T00:00:00"/>
    <d v="2023-02-08T00:00:00"/>
    <d v="2023-02-11T00:00:00"/>
    <n v="3"/>
    <s v="2-2023"/>
    <s v="Africa"/>
    <s v="South Africa"/>
    <s v="Cape Town"/>
    <s v="Corporate"/>
    <s v="Direct"/>
    <s v="M. Rossi"/>
    <s v="Networking"/>
    <s v="NET-5018"/>
    <n v="1410.05"/>
    <n v="2763.95"/>
    <n v="0.161"/>
    <n v="26"/>
    <n v="60292.805299999993"/>
    <n v="36661.299999999996"/>
    <n v="23631.505299999997"/>
    <n v="0.39194569206750779"/>
    <s v="Q1-2023"/>
    <s v="Africa → South Africa → Cape Town"/>
    <s v="High"/>
    <n v="2023"/>
    <n v="2"/>
    <x v="1"/>
  </r>
  <r>
    <s v="ORD-2023-343322"/>
    <d v="2023-08-19T00:00:00"/>
    <d v="2023-09-12T00:00:00"/>
    <d v="2023-08-19T00:00:00"/>
    <d v="2023-09-12T00:00:00"/>
    <n v="24"/>
    <s v="8-2023"/>
    <s v="Americas"/>
    <s v="Canada"/>
    <s v="Vancouver"/>
    <s v="Enterprise"/>
    <s v="Retail"/>
    <s v="I. Johnson"/>
    <s v="Printers"/>
    <s v="PRN-9669"/>
    <n v="1183.95"/>
    <n v="1503.53"/>
    <n v="0.24099999999999999"/>
    <n v="16"/>
    <n v="18258.868320000001"/>
    <n v="18943.2"/>
    <n v="-684.33167999999932"/>
    <n v="-3.7479413729623705E-2"/>
    <s v="Q3-2023"/>
    <s v="Americas → Canada → Vancouver"/>
    <s v="Medium"/>
    <n v="2023"/>
    <n v="8"/>
    <x v="0"/>
  </r>
  <r>
    <s v="ORD-2025-114382"/>
    <d v="2025-05-14T00:00:00"/>
    <d v="2025-05-24T00:00:00"/>
    <d v="2025-05-14T00:00:00"/>
    <d v="2025-05-24T00:00:00"/>
    <n v="10"/>
    <s v="5-2025"/>
    <s v="Europe"/>
    <s v="France"/>
    <s v="Paris"/>
    <s v="Small Business"/>
    <s v="Marketplace"/>
    <s v="K. Singh"/>
    <s v="Components"/>
    <s v="CMP-2865"/>
    <n v="170.39"/>
    <n v="388.04"/>
    <n v="8.4000000000000005E-2"/>
    <n v="15"/>
    <n v="5331.6696000000002"/>
    <n v="2555.85"/>
    <n v="2775.8196000000003"/>
    <n v="0.52062858508711796"/>
    <s v="Q2-2025"/>
    <s v="Europe → France → Paris"/>
    <s v="Low"/>
    <n v="2025"/>
    <n v="5"/>
    <x v="0"/>
  </r>
  <r>
    <s v="ORD-2025-488349"/>
    <d v="2025-04-23T00:00:00"/>
    <d v="2025-04-22T00:00:00"/>
    <d v="2025-04-22T00:00:00"/>
    <d v="2025-04-23T00:00:00"/>
    <n v="1"/>
    <s v="4-2025"/>
    <s v="Americas"/>
    <s v="USA"/>
    <s v="San Francisco"/>
    <s v="Non-Profit"/>
    <s v="Distributor"/>
    <s v="D. Smith"/>
    <s v="Monitors"/>
    <s v="MON-3371"/>
    <n v="23.24"/>
    <n v="44.57"/>
    <n v="0.215"/>
    <n v="15"/>
    <n v="524.81174999999996"/>
    <n v="348.59999999999997"/>
    <n v="176.21174999999999"/>
    <n v="0.33576182316802167"/>
    <s v="Q2-2025"/>
    <s v="Americas → USA → San Francisco"/>
    <s v="Low"/>
    <n v="2025"/>
    <n v="4"/>
    <x v="1"/>
  </r>
  <r>
    <s v="ORD-2025-330203"/>
    <d v="2025-03-25T00:00:00"/>
    <d v="2025-04-17T00:00:00"/>
    <d v="2025-03-25T00:00:00"/>
    <d v="2025-04-17T00:00:00"/>
    <n v="23"/>
    <s v="3-2025"/>
    <s v="Europe"/>
    <s v="United Kingdom"/>
    <s v="London"/>
    <s v="Consumer"/>
    <s v="Retail"/>
    <s v="H. Kim"/>
    <s v="Networking"/>
    <s v="NET-7166"/>
    <n v="1421.19"/>
    <n v="1808.26"/>
    <n v="0.104"/>
    <n v="13"/>
    <n v="21062.61248"/>
    <n v="18475.47"/>
    <n v="2587.1424799999986"/>
    <n v="0.12283103449093123"/>
    <s v="Q1-2025"/>
    <s v="Europe → United Kingdom → London"/>
    <s v="Medium"/>
    <n v="2025"/>
    <n v="3"/>
    <x v="0"/>
  </r>
  <r>
    <s v="ORD-2023-841426"/>
    <d v="2023-12-22T00:00:00"/>
    <d v="2023-12-23T00:00:00"/>
    <d v="2023-12-22T00:00:00"/>
    <d v="2023-12-23T00:00:00"/>
    <n v="1"/>
    <s v="12-2023"/>
    <s v="Africa"/>
    <s v="South Africa"/>
    <s v="Cape Town"/>
    <s v="Non-Profit"/>
    <s v="Marketplace"/>
    <s v="D. Smith"/>
    <s v="Components"/>
    <s v="CMP-4531"/>
    <n v="1186.18"/>
    <n v="1285.0899999999999"/>
    <n v="7.0000000000000007E-2"/>
    <n v="11"/>
    <n v="13146.470699999998"/>
    <n v="13047.980000000001"/>
    <n v="98.49069999999665"/>
    <n v="7.4917977796121861E-3"/>
    <s v="Q4-2023"/>
    <s v="Africa → South Africa → Cape Town"/>
    <s v="Medium"/>
    <n v="2023"/>
    <n v="12"/>
    <x v="1"/>
  </r>
  <r>
    <s v="ORD-2024-594592"/>
    <d v="2024-04-06T00:00:00"/>
    <d v="2024-04-25T00:00:00"/>
    <d v="2024-04-06T00:00:00"/>
    <d v="2024-04-25T00:00:00"/>
    <n v="19"/>
    <s v="4-2024"/>
    <s v="Asia"/>
    <s v="China"/>
    <s v="Shanghai"/>
    <s v="Corporate"/>
    <s v="Retail"/>
    <s v="K. Singh"/>
    <s v="Components"/>
    <s v="CMP-8196"/>
    <n v="1366.48"/>
    <n v="1678.14"/>
    <n v="0.154"/>
    <n v="10"/>
    <n v="14197.064400000001"/>
    <n v="13664.8"/>
    <n v="532.26440000000184"/>
    <n v="3.7491159087790132E-2"/>
    <s v="Q2-2024"/>
    <s v="Asia → China → Shanghai"/>
    <s v="Medium"/>
    <n v="2024"/>
    <n v="4"/>
    <x v="0"/>
  </r>
  <r>
    <s v="ORD-2025-863978"/>
    <d v="2025-08-07T00:00:00"/>
    <d v="2025-08-19T00:00:00"/>
    <d v="2025-08-07T00:00:00"/>
    <d v="2025-08-19T00:00:00"/>
    <n v="12"/>
    <s v="8-2025"/>
    <s v="Africa"/>
    <s v="Kenya"/>
    <s v="Nakuru"/>
    <s v="Corporate"/>
    <s v="Unknown Channel"/>
    <s v="M. Rossi"/>
    <s v="Components"/>
    <s v="CMP-2854"/>
    <n v="601.51"/>
    <n v="679.35"/>
    <n v="0.188"/>
    <n v="3"/>
    <n v="1654.8966000000003"/>
    <n v="1804.53"/>
    <n v="-149.63339999999971"/>
    <n v="-9.0418579626062243E-2"/>
    <s v="Q3-2025"/>
    <s v="Africa → Kenya → Nakuru"/>
    <s v="Low"/>
    <n v="2025"/>
    <n v="8"/>
    <x v="0"/>
  </r>
  <r>
    <s v="ORD-2024-604471"/>
    <d v="2024-01-21T00:00:00"/>
    <d v="2024-01-25T00:00:00"/>
    <d v="2024-01-21T00:00:00"/>
    <d v="2024-01-25T00:00:00"/>
    <n v="4"/>
    <s v="1-2024"/>
    <s v="Asia"/>
    <s v="India"/>
    <s v="Delhi"/>
    <s v="Consumer"/>
    <s v="Direct"/>
    <s v="C. Otieno"/>
    <s v="Monitors"/>
    <s v="MON-8973"/>
    <n v="523.70000000000005"/>
    <n v="1109.92"/>
    <n v="0.03"/>
    <n v="11"/>
    <n v="11842.8464"/>
    <n v="5760.7000000000007"/>
    <n v="6082.1463999999996"/>
    <n v="0.51357133197302973"/>
    <s v="Q1-2024"/>
    <s v="Asia → India → Delhi"/>
    <s v="Low"/>
    <n v="2024"/>
    <n v="1"/>
    <x v="1"/>
  </r>
  <r>
    <s v="ORD-2023-258768"/>
    <d v="2023-06-29T00:00:00"/>
    <d v="2023-07-02T00:00:00"/>
    <d v="2023-06-29T00:00:00"/>
    <d v="2023-07-02T00:00:00"/>
    <n v="3"/>
    <s v="6-2023"/>
    <s v="Asia"/>
    <s v="Japan"/>
    <s v="Nagoya"/>
    <s v="Education"/>
    <s v="Marketplace"/>
    <s v="F. Müller"/>
    <s v="Monitors"/>
    <s v="MON-2990"/>
    <n v="55.65"/>
    <n v="83.57"/>
    <n v="6.6000000000000003E-2"/>
    <n v="8"/>
    <n v="624.43503999999996"/>
    <n v="445.2"/>
    <n v="179.23503999999997"/>
    <n v="0.2870355257449998"/>
    <s v="Q2-2023"/>
    <s v="Asia → Japan → Nagoya"/>
    <s v="Low"/>
    <n v="2023"/>
    <n v="6"/>
    <x v="1"/>
  </r>
  <r>
    <s v="ORD-2025-626047"/>
    <d v="2025-04-28T00:00:00"/>
    <d v="2025-05-15T00:00:00"/>
    <d v="2025-04-28T00:00:00"/>
    <d v="2025-05-15T00:00:00"/>
    <n v="17"/>
    <s v="4-2025"/>
    <s v="Asia"/>
    <s v="Japan"/>
    <s v="Nagoya"/>
    <s v="Education"/>
    <s v="Direct"/>
    <s v="N. Brown"/>
    <s v="Networking"/>
    <s v="NET-1966"/>
    <n v="691.19"/>
    <n v="1284.3"/>
    <n v="7.3999999999999996E-2"/>
    <n v="7"/>
    <n v="8324.8326000000015"/>
    <n v="4838.33"/>
    <n v="3486.5026000000016"/>
    <n v="0.41880753253825198"/>
    <s v="Q2-2025"/>
    <s v="Asia → Japan → Nagoya"/>
    <s v="Medium"/>
    <n v="2025"/>
    <n v="4"/>
    <x v="0"/>
  </r>
  <r>
    <s v="ORD-2025-526752"/>
    <d v="2025-06-09T00:00:00"/>
    <d v="2025-06-25T00:00:00"/>
    <d v="2025-06-09T00:00:00"/>
    <d v="2025-06-25T00:00:00"/>
    <n v="16"/>
    <s v="6-2025"/>
    <s v="Asia"/>
    <s v="India"/>
    <s v="Hyderabad"/>
    <s v="Enterprise"/>
    <s v="Distributor"/>
    <s v="M. Rossi"/>
    <s v="Phones"/>
    <s v="PHN-3482"/>
    <n v="527.33000000000004"/>
    <n v="911.72"/>
    <n v="0.14399999999999999"/>
    <n v="25"/>
    <n v="19510.808000000001"/>
    <n v="13183.250000000002"/>
    <n v="6327.5579999999991"/>
    <n v="0.32431040272652978"/>
    <s v="Q2-2025"/>
    <s v="Asia → India → Hyderabad"/>
    <s v="Low"/>
    <n v="2025"/>
    <n v="6"/>
    <x v="0"/>
  </r>
  <r>
    <s v="ORD-2023-630430"/>
    <d v="2023-08-04T00:00:00"/>
    <d v="2023-08-24T00:00:00"/>
    <d v="2023-08-04T00:00:00"/>
    <d v="2023-08-24T00:00:00"/>
    <n v="20"/>
    <s v="8-2023"/>
    <s v="Americas"/>
    <s v="Brazil"/>
    <s v="Brasília"/>
    <s v="Non-Profit"/>
    <s v="Direct"/>
    <s v="Unknown Salesperson"/>
    <s v="Networking"/>
    <s v="NET-9125"/>
    <n v="582.88"/>
    <n v="1044.1400000000001"/>
    <n v="0.216"/>
    <n v="10"/>
    <n v="8186.057600000001"/>
    <n v="5828.8"/>
    <n v="2357.2576000000008"/>
    <n v="0.28796005539956138"/>
    <s v="Q3-2023"/>
    <s v="Americas → Brazil → Brasília"/>
    <s v="Low"/>
    <n v="2023"/>
    <n v="8"/>
    <x v="0"/>
  </r>
  <r>
    <s v="ORD-2024-451005"/>
    <d v="2024-06-30T00:00:00"/>
    <d v="2024-06-28T00:00:00"/>
    <d v="2024-06-28T00:00:00"/>
    <d v="2024-06-30T00:00:00"/>
    <n v="2"/>
    <s v="6-2024"/>
    <s v="Americas"/>
    <s v="Brazil"/>
    <s v="Rio de Janeiro"/>
    <s v="Small Business"/>
    <s v="Direct"/>
    <s v="L. Okafor"/>
    <s v="Accessories"/>
    <s v="ACC-9162"/>
    <n v="1112.98"/>
    <n v="2095.73"/>
    <n v="7.1999999999999995E-2"/>
    <n v="17"/>
    <n v="33062.236480000007"/>
    <n v="18920.66"/>
    <n v="14141.576480000007"/>
    <n v="0.42772594916724777"/>
    <s v="Q2-2024"/>
    <s v="Americas → Brazil → Rio de Janeiro"/>
    <s v="High"/>
    <n v="2024"/>
    <n v="6"/>
    <x v="1"/>
  </r>
  <r>
    <s v="ORD-2025-725646"/>
    <d v="2025-09-10T00:00:00"/>
    <d v="2025-09-30T00:00:00"/>
    <d v="2025-09-10T00:00:00"/>
    <d v="2025-09-30T00:00:00"/>
    <n v="20"/>
    <s v="9-2025"/>
    <s v="Africa"/>
    <s v="Kenya"/>
    <s v="Mombasa"/>
    <s v="Corporate"/>
    <s v="Direct"/>
    <s v="L. Okafor"/>
    <s v="Phones"/>
    <s v="PHN-6954"/>
    <n v="1009.48"/>
    <n v="1088.81"/>
    <n v="0.16"/>
    <n v="6"/>
    <n v="5487.6023999999998"/>
    <n v="6056.88"/>
    <n v="-569.27760000000035"/>
    <n v="-0.10373885688219693"/>
    <s v="Q3-2025"/>
    <s v="Africa → Kenya → Mombasa"/>
    <s v="Low"/>
    <n v="2025"/>
    <n v="9"/>
    <x v="0"/>
  </r>
  <r>
    <s v="ORD-2023-868734"/>
    <d v="2023-04-06T00:00:00"/>
    <d v="2023-04-27T00:00:00"/>
    <d v="2023-04-06T00:00:00"/>
    <d v="2023-04-27T00:00:00"/>
    <n v="21"/>
    <s v="4-2023"/>
    <s v="Europe"/>
    <s v="United Kingdom"/>
    <s v="Manchester"/>
    <s v="Enterprise"/>
    <s v="Distributor"/>
    <s v="I. Johnson"/>
    <s v="Printers"/>
    <s v="PRN-8970"/>
    <n v="1084.79"/>
    <n v="2484.9899999999998"/>
    <n v="3.4000000000000002E-2"/>
    <n v="18"/>
    <n v="43209.006119999991"/>
    <n v="19526.22"/>
    <n v="23682.78611999999"/>
    <n v="0.54809837685755114"/>
    <s v="Q2-2023"/>
    <s v="Europe → United Kingdom → Manchester"/>
    <s v="High"/>
    <n v="2023"/>
    <n v="4"/>
    <x v="0"/>
  </r>
  <r>
    <s v="ORD-2025-262491"/>
    <d v="2025-08-01T00:00:00"/>
    <d v="2025-08-16T00:00:00"/>
    <d v="2025-08-01T00:00:00"/>
    <d v="2025-08-16T00:00:00"/>
    <n v="15"/>
    <s v="8-2025"/>
    <s v="Asia"/>
    <s v="India"/>
    <s v="Unknown City"/>
    <s v="Enterprise"/>
    <s v="Direct"/>
    <s v="O. Wang"/>
    <s v="Monitors"/>
    <s v="MON-1822"/>
    <n v="24.44"/>
    <n v="28.69"/>
    <n v="0.14599999999999999"/>
    <n v="6"/>
    <n v="147.00756000000001"/>
    <n v="146.64000000000001"/>
    <n v="0.36755999999999744"/>
    <n v="2.5002795774584476E-3"/>
    <s v="Q3-2025"/>
    <s v="Asia → India → Unknown City"/>
    <s v="Low"/>
    <n v="2025"/>
    <n v="8"/>
    <x v="0"/>
  </r>
  <r>
    <s v="ORD-2023-912395"/>
    <d v="2023-07-26T00:00:00"/>
    <d v="2023-08-25T00:00:00"/>
    <d v="2023-07-26T00:00:00"/>
    <d v="2023-08-25T00:00:00"/>
    <n v="30"/>
    <s v="7-2023"/>
    <s v="Americas"/>
    <s v="USA"/>
    <s v="New York"/>
    <s v="Consumer"/>
    <s v="Retail"/>
    <s v="M. Rossi"/>
    <s v="Accessories"/>
    <s v="ACC-7078"/>
    <n v="1261.48"/>
    <n v="1643.18"/>
    <n v="0.151"/>
    <n v="23"/>
    <n v="32086.37586"/>
    <n v="29014.04"/>
    <n v="3072.3358599999992"/>
    <n v="9.5752037357079045E-2"/>
    <s v="Q3-2023"/>
    <s v="Americas → USA → New York"/>
    <s v="Medium"/>
    <n v="2023"/>
    <n v="7"/>
    <x v="0"/>
  </r>
  <r>
    <s v="ORD-2025-541501"/>
    <d v="2025-07-22T00:00:00"/>
    <d v="2025-08-18T00:00:00"/>
    <d v="2025-07-22T00:00:00"/>
    <d v="2025-08-18T00:00:00"/>
    <n v="27"/>
    <s v="7-2025"/>
    <s v="Asia"/>
    <s v="China"/>
    <s v="Shenzhen"/>
    <s v="Non-Profit"/>
    <s v="Marketplace"/>
    <s v="M. Rossi"/>
    <s v="Networking"/>
    <s v="NET-1804"/>
    <n v="547.32000000000005"/>
    <n v="419.17"/>
    <n v="9.1999999999999998E-2"/>
    <n v="14"/>
    <n v="5328.4890400000004"/>
    <n v="7662.4800000000005"/>
    <n v="-2333.9909600000001"/>
    <n v="-0.43802116181137907"/>
    <s v="Q3-2025"/>
    <s v="Asia → China → Shenzhen"/>
    <s v="Low"/>
    <n v="2025"/>
    <n v="7"/>
    <x v="0"/>
  </r>
  <r>
    <s v="ORD-2023-422918"/>
    <d v="2023-02-28T00:00:00"/>
    <d v="2023-03-20T00:00:00"/>
    <d v="2023-02-28T00:00:00"/>
    <d v="2023-03-20T00:00:00"/>
    <n v="20"/>
    <s v="2-2023"/>
    <s v="Europe"/>
    <s v="Germany"/>
    <s v="Berlin"/>
    <s v="Small Business"/>
    <s v="Direct"/>
    <s v="H. Kim"/>
    <s v="Laptops"/>
    <s v="LAP-3679"/>
    <n v="1200.78"/>
    <n v="2001.17"/>
    <n v="0.29199999999999998"/>
    <n v="18"/>
    <n v="25502.910479999999"/>
    <n v="21614.04"/>
    <n v="3888.8704799999978"/>
    <n v="0.15248732034132906"/>
    <s v="Q1-2023"/>
    <s v="Europe → Germany → Berlin"/>
    <s v="High"/>
    <n v="2023"/>
    <n v="2"/>
    <x v="0"/>
  </r>
  <r>
    <s v="ORD-2025-328504"/>
    <d v="2025-01-27T00:00:00"/>
    <d v="2025-02-15T00:00:00"/>
    <d v="2025-01-27T00:00:00"/>
    <d v="2025-02-15T00:00:00"/>
    <n v="19"/>
    <s v="1-2025"/>
    <s v="Asia"/>
    <s v="China"/>
    <s v="Shenzhen"/>
    <s v="Non-Profit"/>
    <s v="Direct"/>
    <s v="L. Okafor"/>
    <s v="Phones"/>
    <s v="PHN-8368"/>
    <n v="1253.22"/>
    <n v="3104.71"/>
    <n v="0"/>
    <n v="17"/>
    <n v="52780.07"/>
    <n v="21304.74"/>
    <n v="31475.329999999998"/>
    <n v="0.59634877331538205"/>
    <s v="Q1-2025"/>
    <s v="Asia → China → Shenzhen"/>
    <s v="High"/>
    <n v="2025"/>
    <n v="1"/>
    <x v="0"/>
  </r>
  <r>
    <s v="ORD-2024-851883"/>
    <d v="2024-01-13T00:00:00"/>
    <d v="2024-01-22T00:00:00"/>
    <d v="2024-01-13T00:00:00"/>
    <d v="2024-01-22T00:00:00"/>
    <n v="9"/>
    <s v="1-2024"/>
    <s v="Asia"/>
    <s v="India"/>
    <s v="Mumbai"/>
    <s v="Enterprise"/>
    <s v="Marketplace"/>
    <s v="J. Njeri"/>
    <s v="Components"/>
    <s v="CMP-8141"/>
    <n v="313.60000000000002"/>
    <n v="334.28"/>
    <n v="0.14000000000000001"/>
    <n v="22"/>
    <n v="6324.5775999999996"/>
    <n v="6899.2000000000007"/>
    <n v="-574.62240000000111"/>
    <n v="-9.0855458868905517E-2"/>
    <s v="Q1-2024"/>
    <s v="Asia → India → Mumbai"/>
    <s v="Low"/>
    <n v="2024"/>
    <n v="1"/>
    <x v="0"/>
  </r>
  <r>
    <s v="ORD-2025-662997"/>
    <d v="2025-03-31T00:00:00"/>
    <d v="2025-04-04T00:00:00"/>
    <d v="2025-03-31T00:00:00"/>
    <d v="2025-04-04T00:00:00"/>
    <n v="4"/>
    <s v="3-2025"/>
    <s v="Africa"/>
    <s v="Kenya"/>
    <s v="Nakuru"/>
    <s v="Corporate"/>
    <s v="Direct"/>
    <s v="C. Otieno"/>
    <s v="Laptops"/>
    <s v="LAP-7136"/>
    <n v="862.08"/>
    <n v="1952.83"/>
    <n v="0"/>
    <n v="7"/>
    <n v="13669.81"/>
    <n v="6034.56"/>
    <n v="7635.2499999999991"/>
    <n v="0.5585483631447693"/>
    <s v="Q1-2025"/>
    <s v="Africa → Kenya → Nakuru"/>
    <s v="High"/>
    <n v="2025"/>
    <n v="3"/>
    <x v="1"/>
  </r>
  <r>
    <s v="ORD-2023-842820"/>
    <d v="2023-09-20T00:00:00"/>
    <d v="2023-09-28T00:00:00"/>
    <d v="2023-09-20T00:00:00"/>
    <d v="2023-09-28T00:00:00"/>
    <n v="8"/>
    <s v="9-2023"/>
    <s v="Asia"/>
    <s v="India"/>
    <s v="Unknown City"/>
    <s v="Corporate"/>
    <s v="Unknown Channel"/>
    <s v="B. Chen"/>
    <s v="Accessories"/>
    <s v="ACC-1375"/>
    <n v="1362.06"/>
    <n v="3398.37"/>
    <n v="0.157"/>
    <n v="11"/>
    <n v="31513.085009999999"/>
    <n v="14982.66"/>
    <n v="16530.425009999999"/>
    <n v="0.52455749745714919"/>
    <s v="Q3-2023"/>
    <s v="Asia → India → Unknown City"/>
    <s v="High"/>
    <n v="2023"/>
    <n v="9"/>
    <x v="0"/>
  </r>
  <r>
    <s v="ORD-2024-771210"/>
    <d v="2024-09-14T00:00:00"/>
    <d v="2024-10-05T00:00:00"/>
    <d v="2024-09-14T00:00:00"/>
    <d v="2024-10-05T00:00:00"/>
    <n v="21"/>
    <s v="9-2024"/>
    <s v="Asia"/>
    <s v="China"/>
    <s v="Shanghai"/>
    <s v="Small Business"/>
    <s v="Online"/>
    <s v="H. Kim"/>
    <s v="Laptops"/>
    <s v="LAP-5150"/>
    <n v="1405.56"/>
    <n v="2968.87"/>
    <n v="0.16900000000000001"/>
    <n v="5"/>
    <n v="12335.654849999999"/>
    <n v="7027.7999999999993"/>
    <n v="5307.8548499999997"/>
    <n v="0.4302856163327235"/>
    <s v="Q3-2024"/>
    <s v="Asia → China → Shanghai"/>
    <s v="High"/>
    <n v="2024"/>
    <n v="9"/>
    <x v="0"/>
  </r>
  <r>
    <s v="ORD-2024-155337"/>
    <d v="2024-05-21T00:00:00"/>
    <d v="2024-05-27T00:00:00"/>
    <d v="2024-05-21T00:00:00"/>
    <d v="2024-05-27T00:00:00"/>
    <n v="6"/>
    <s v="5-2024"/>
    <s v="Africa"/>
    <s v="South Africa"/>
    <s v="Johannesburg"/>
    <s v="Non-Profit"/>
    <s v="Online"/>
    <s v="M. Rossi"/>
    <s v="Components"/>
    <s v="CMP-8101"/>
    <n v="1157.51"/>
    <n v="1394.3"/>
    <n v="0.27800000000000002"/>
    <n v="12"/>
    <n v="12080.215199999999"/>
    <n v="13890.119999999999"/>
    <n v="-1809.9048000000003"/>
    <n v="-0.14982388724333326"/>
    <s v="Q2-2024"/>
    <s v="Africa → South Africa → Johannesburg"/>
    <s v="Medium"/>
    <n v="2024"/>
    <n v="5"/>
    <x v="1"/>
  </r>
  <r>
    <s v="ORD-2023-251563"/>
    <d v="2023-05-11T00:00:00"/>
    <d v="2023-06-07T00:00:00"/>
    <d v="2023-05-11T00:00:00"/>
    <d v="2023-06-07T00:00:00"/>
    <n v="27"/>
    <s v="5-2023"/>
    <s v="Africa"/>
    <s v="Kenya"/>
    <s v="Mombasa"/>
    <s v="Corporate"/>
    <s v="Online"/>
    <s v="J. Njeri"/>
    <s v="Phones"/>
    <s v="PHN-8970"/>
    <n v="12.85"/>
    <n v="15.41"/>
    <n v="0.13700000000000001"/>
    <n v="39"/>
    <n v="518.65436999999997"/>
    <n v="501.15"/>
    <n v="17.504369999999994"/>
    <n v="3.3749585489851353E-2"/>
    <s v="Q2-2023"/>
    <s v="Africa → Kenya → Mombasa"/>
    <s v="Low"/>
    <n v="2023"/>
    <n v="5"/>
    <x v="0"/>
  </r>
  <r>
    <s v="ORD-2024-286833"/>
    <d v="2024-08-14T00:00:00"/>
    <d v="2024-09-04T00:00:00"/>
    <d v="2024-08-14T00:00:00"/>
    <d v="2024-09-04T00:00:00"/>
    <n v="21"/>
    <s v="8-2024"/>
    <s v="Europe"/>
    <s v="United Kingdom"/>
    <s v="Manchester"/>
    <s v="Non-Profit"/>
    <s v="Online"/>
    <s v="J. Njeri"/>
    <s v="Phones"/>
    <s v="PHN-2341"/>
    <n v="1138.8"/>
    <n v="2250.81"/>
    <n v="0.123"/>
    <n v="12"/>
    <n v="23687.524440000001"/>
    <n v="13665.599999999999"/>
    <n v="10021.924440000003"/>
    <n v="0.42308872188756258"/>
    <s v="Q3-2024"/>
    <s v="Europe → United Kingdom → Manchester"/>
    <s v="High"/>
    <n v="2024"/>
    <n v="8"/>
    <x v="0"/>
  </r>
  <r>
    <s v="ORD-2024-792558"/>
    <d v="2024-10-16T00:00:00"/>
    <d v="2024-11-08T00:00:00"/>
    <d v="2024-10-16T00:00:00"/>
    <d v="2024-11-08T00:00:00"/>
    <n v="23"/>
    <s v="10-2024"/>
    <s v="Asia"/>
    <s v="Japan"/>
    <s v="Osaka"/>
    <s v="Small Business"/>
    <s v="Retail"/>
    <s v="J. Njeri"/>
    <s v="Networking"/>
    <s v="NET-6387"/>
    <n v="82.14"/>
    <n v="166.04"/>
    <n v="0"/>
    <n v="10"/>
    <n v="1660.3999999999999"/>
    <n v="821.4"/>
    <n v="838.99999999999989"/>
    <n v="0.50529992772825827"/>
    <s v="Q4-2024"/>
    <s v="Asia → Japan → Osaka"/>
    <s v="Low"/>
    <n v="2024"/>
    <n v="10"/>
    <x v="0"/>
  </r>
  <r>
    <s v="ORD-2025-146850"/>
    <d v="2025-01-21T00:00:00"/>
    <d v="2025-02-14T00:00:00"/>
    <d v="2025-01-21T00:00:00"/>
    <d v="2025-02-14T00:00:00"/>
    <n v="24"/>
    <s v="1-2025"/>
    <s v="Africa"/>
    <s v="Kenya"/>
    <s v="Nairobi"/>
    <s v="Small Business"/>
    <s v="Retail"/>
    <s v="J. Njeri"/>
    <s v="Accessories"/>
    <s v="ACC-1659"/>
    <n v="1030.44"/>
    <n v="2562.84"/>
    <n v="0.14799999999999999"/>
    <n v="13"/>
    <n v="28386.015839999996"/>
    <n v="13395.720000000001"/>
    <n v="14990.295839999995"/>
    <n v="0.52808734852027039"/>
    <s v="Q1-2025"/>
    <s v="Africa → Kenya → Nairobi"/>
    <s v="High"/>
    <n v="2025"/>
    <n v="1"/>
    <x v="0"/>
  </r>
  <r>
    <s v="ORD-2024-909942"/>
    <d v="2024-06-09T00:00:00"/>
    <d v="2024-07-07T00:00:00"/>
    <d v="2024-06-09T00:00:00"/>
    <d v="2024-07-07T00:00:00"/>
    <n v="28"/>
    <s v="6-2024"/>
    <s v="Asia"/>
    <s v="China"/>
    <s v="Shenzhen"/>
    <s v="Corporate"/>
    <s v="Online"/>
    <s v="J. Njeri"/>
    <s v="Components"/>
    <s v="CMP-6392"/>
    <n v="550.22"/>
    <n v="1025.05"/>
    <n v="0"/>
    <n v="27"/>
    <n v="27676.35"/>
    <n v="14855.94"/>
    <n v="12820.409999999998"/>
    <n v="0.46322618408858102"/>
    <s v="Q2-2024"/>
    <s v="Asia → China → Shenzhen"/>
    <s v="Low"/>
    <n v="2024"/>
    <n v="6"/>
    <x v="0"/>
  </r>
  <r>
    <s v="ORD-2024-223618"/>
    <d v="2024-06-10T00:00:00"/>
    <d v="2024-06-11T00:00:00"/>
    <d v="2024-06-10T00:00:00"/>
    <d v="2024-06-11T00:00:00"/>
    <n v="1"/>
    <s v="6-2024"/>
    <s v="Europe"/>
    <s v="United Kingdom"/>
    <s v="Birmingham"/>
    <s v="Small Business"/>
    <s v="Marketplace"/>
    <s v="M. Rossi"/>
    <s v="Laptops"/>
    <s v="LAP-9230"/>
    <n v="1187.1300000000001"/>
    <n v="1795.17"/>
    <n v="1.2E-2"/>
    <n v="17"/>
    <n v="30151.675319999998"/>
    <n v="20181.210000000003"/>
    <n v="9970.4653199999957"/>
    <n v="0.33067699271046663"/>
    <s v="Q2-2024"/>
    <s v="Europe → United Kingdom → Birmingham"/>
    <s v="Medium"/>
    <n v="2024"/>
    <n v="6"/>
    <x v="1"/>
  </r>
  <r>
    <s v="ORD-2024-919471"/>
    <d v="2024-06-29T00:00:00"/>
    <d v="2024-07-26T00:00:00"/>
    <d v="2024-06-29T00:00:00"/>
    <d v="2024-07-26T00:00:00"/>
    <n v="27"/>
    <s v="6-2024"/>
    <s v="Africa"/>
    <s v="South Africa"/>
    <s v="Durban"/>
    <s v="Enterprise"/>
    <s v="Distributor"/>
    <s v="B. Chen"/>
    <s v="Networking"/>
    <s v="NET-4241"/>
    <n v="5.36"/>
    <n v="4.37"/>
    <n v="0.11799999999999999"/>
    <n v="9"/>
    <n v="34.689059999999998"/>
    <n v="48.24"/>
    <n v="-13.550940000000004"/>
    <n v="-0.39064016148030545"/>
    <s v="Q2-2024"/>
    <s v="Africa → South Africa → Durban"/>
    <s v="Low"/>
    <n v="2024"/>
    <n v="6"/>
    <x v="0"/>
  </r>
  <r>
    <s v="ORD-2024-277241"/>
    <d v="2024-01-28T00:00:00"/>
    <d v="2024-01-30T00:00:00"/>
    <d v="2024-01-28T00:00:00"/>
    <d v="2024-01-30T00:00:00"/>
    <n v="2"/>
    <s v="1-2024"/>
    <s v="Africa"/>
    <s v="South Africa"/>
    <s v="Cape Town"/>
    <s v="Consumer"/>
    <s v="Direct"/>
    <s v="F. Müller"/>
    <s v="Accessories"/>
    <s v="ACC-6223"/>
    <n v="798.45"/>
    <n v="1592.02"/>
    <n v="6.6000000000000003E-2"/>
    <n v="18"/>
    <n v="26765.040239999998"/>
    <n v="14372.1"/>
    <n v="12392.940239999998"/>
    <n v="0.46302714768494585"/>
    <s v="Q1-2024"/>
    <s v="Africa → South Africa → Cape Town"/>
    <s v="Medium"/>
    <n v="2024"/>
    <n v="1"/>
    <x v="1"/>
  </r>
  <r>
    <s v="ORD-2023-975863"/>
    <d v="2023-11-20T00:00:00"/>
    <d v="2023-12-05T00:00:00"/>
    <d v="2023-11-20T00:00:00"/>
    <d v="2023-12-05T00:00:00"/>
    <n v="15"/>
    <s v="11-2023"/>
    <s v="Asia"/>
    <s v="Japan"/>
    <s v="Tokyo"/>
    <s v="Enterprise"/>
    <s v="Retail"/>
    <s v="L. Okafor"/>
    <s v="Networking"/>
    <s v="NET-3033"/>
    <n v="354.24"/>
    <n v="249.87"/>
    <n v="0"/>
    <n v="6"/>
    <n v="1499.22"/>
    <n v="2125.44"/>
    <n v="-626.22"/>
    <n v="-0.41769720254532355"/>
    <s v="Q4-2023"/>
    <s v="Asia → Japan → Tokyo"/>
    <s v="Low"/>
    <n v="2023"/>
    <n v="11"/>
    <x v="0"/>
  </r>
  <r>
    <s v="ORD-2023-867175"/>
    <d v="2023-08-10T00:00:00"/>
    <d v="2023-08-15T00:00:00"/>
    <d v="2023-08-10T00:00:00"/>
    <d v="2023-08-15T00:00:00"/>
    <n v="5"/>
    <s v="8-2023"/>
    <s v="Americas"/>
    <s v="Brazil"/>
    <s v="São Paulo"/>
    <s v="Education"/>
    <s v="Direct"/>
    <s v="G. Dubois"/>
    <s v="Networking"/>
    <s v="NET-2894"/>
    <n v="1307.52"/>
    <n v="1921.65"/>
    <n v="0.123"/>
    <n v="13"/>
    <n v="21908.731650000002"/>
    <n v="16997.759999999998"/>
    <n v="4910.9716500000031"/>
    <n v="0.22415590863289445"/>
    <s v="Q3-2023"/>
    <s v="Americas → Brazil → São Paulo"/>
    <s v="High"/>
    <n v="2023"/>
    <n v="8"/>
    <x v="1"/>
  </r>
  <r>
    <s v="ORD-2025-698069"/>
    <d v="2025-06-03T00:00:00"/>
    <d v="2025-06-10T00:00:00"/>
    <d v="2025-06-03T00:00:00"/>
    <d v="2025-06-10T00:00:00"/>
    <n v="7"/>
    <s v="6-2025"/>
    <s v="Americas"/>
    <s v="Canada"/>
    <s v="Toronto"/>
    <s v="Consumer"/>
    <s v="Distributor"/>
    <s v="O. Wang"/>
    <s v="Printers"/>
    <s v="PRN-6429"/>
    <n v="75.180000000000007"/>
    <n v="53.45"/>
    <n v="0.157"/>
    <n v="17"/>
    <n v="765.99195000000009"/>
    <n v="1278.0600000000002"/>
    <n v="-512.06805000000008"/>
    <n v="-0.66850317421743144"/>
    <s v="Q2-2025"/>
    <s v="Americas → Canada → Toronto"/>
    <s v="Low"/>
    <n v="2025"/>
    <n v="6"/>
    <x v="1"/>
  </r>
  <r>
    <s v="ORD-2024-474999"/>
    <d v="2024-12-27T00:00:00"/>
    <d v="2025-01-02T00:00:00"/>
    <d v="2024-12-27T00:00:00"/>
    <d v="2025-01-02T00:00:00"/>
    <n v="6"/>
    <s v="12-2024"/>
    <s v="Europe"/>
    <s v="Germany"/>
    <s v="Frankfurt"/>
    <s v="Education"/>
    <s v="Direct"/>
    <s v="F. Müller"/>
    <s v="Laptops"/>
    <s v="LAP-8214"/>
    <n v="1391.99"/>
    <n v="3469.7"/>
    <n v="0.184"/>
    <n v="23"/>
    <n v="65119.329599999997"/>
    <n v="32015.77"/>
    <n v="33103.559599999993"/>
    <n v="0.50835227886006973"/>
    <s v="Q4-2024"/>
    <s v="Europe → Germany → Frankfurt"/>
    <s v="High"/>
    <n v="2024"/>
    <n v="12"/>
    <x v="1"/>
  </r>
  <r>
    <s v="ORD-2023-427304"/>
    <d v="2023-06-09T00:00:00"/>
    <d v="2023-06-19T00:00:00"/>
    <d v="2023-06-09T00:00:00"/>
    <d v="2023-06-19T00:00:00"/>
    <n v="10"/>
    <s v="6-2023"/>
    <s v="Asia"/>
    <s v="China"/>
    <s v="Beijing"/>
    <s v="Enterprise"/>
    <s v="Retail"/>
    <s v="F. Müller"/>
    <s v="Monitors"/>
    <s v="MON-9194"/>
    <n v="339.61"/>
    <n v="621.02"/>
    <n v="7.0999999999999994E-2"/>
    <n v="10"/>
    <n v="5769.2758000000003"/>
    <n v="3396.1000000000004"/>
    <n v="2373.1758"/>
    <n v="0.41134726129750981"/>
    <s v="Q2-2023"/>
    <s v="Asia → China → Beijing"/>
    <s v="Low"/>
    <n v="2023"/>
    <n v="6"/>
    <x v="0"/>
  </r>
  <r>
    <s v="ORD-2025-956101"/>
    <d v="2025-07-09T00:00:00"/>
    <d v="2025-07-18T00:00:00"/>
    <d v="2025-07-09T00:00:00"/>
    <d v="2025-07-18T00:00:00"/>
    <n v="9"/>
    <s v="7-2025"/>
    <s v="Americas"/>
    <s v="Canada"/>
    <s v="Vancouver"/>
    <s v="Education"/>
    <s v="Distributor"/>
    <s v="I. Johnson"/>
    <s v="Laptops"/>
    <s v="LAP-2218"/>
    <n v="57.96"/>
    <n v="88.51"/>
    <n v="4.2999999999999997E-2"/>
    <n v="7"/>
    <n v="592.92849000000001"/>
    <n v="405.72"/>
    <n v="187.20848999999998"/>
    <n v="0.3157353595877978"/>
    <s v="Q3-2025"/>
    <s v="Americas → Canada → Vancouver"/>
    <s v="Low"/>
    <n v="2025"/>
    <n v="7"/>
    <x v="0"/>
  </r>
  <r>
    <s v="ORD-2025-184082"/>
    <d v="2025-06-19T00:00:00"/>
    <d v="2025-07-12T00:00:00"/>
    <d v="2025-06-19T00:00:00"/>
    <d v="2025-07-12T00:00:00"/>
    <n v="23"/>
    <s v="6-2025"/>
    <s v="Europe"/>
    <s v="United Kingdom"/>
    <s v="Unknown City"/>
    <s v="Non-Profit"/>
    <s v="Direct"/>
    <s v="Unknown Salesperson"/>
    <s v="Networking"/>
    <s v="NET-6370"/>
    <n v="801.24"/>
    <n v="1959.09"/>
    <n v="0.123"/>
    <n v="23"/>
    <n v="39516.804389999998"/>
    <n v="18428.52"/>
    <n v="21088.284389999997"/>
    <n v="0.53365358650651762"/>
    <s v="Q2-2025"/>
    <s v="Europe → United Kingdom → Unknown City"/>
    <s v="High"/>
    <n v="2025"/>
    <n v="6"/>
    <x v="0"/>
  </r>
  <r>
    <s v="ORD-2023-576840"/>
    <d v="2023-11-19T00:00:00"/>
    <d v="2023-12-13T00:00:00"/>
    <d v="2023-11-19T00:00:00"/>
    <d v="2023-12-13T00:00:00"/>
    <n v="24"/>
    <s v="11-2023"/>
    <s v="Europe"/>
    <s v="France"/>
    <s v="Lyon"/>
    <s v="Non-Profit"/>
    <s v="Direct"/>
    <s v="H. Kim"/>
    <s v="Monitors"/>
    <s v="MON-3745"/>
    <n v="1297.42"/>
    <n v="2742.97"/>
    <n v="6.9000000000000006E-2"/>
    <n v="9"/>
    <n v="22983.34563"/>
    <n v="11676.78"/>
    <n v="11306.565629999999"/>
    <n v="0.49194602961727291"/>
    <s v="Q4-2023"/>
    <s v="Europe → France → Lyon"/>
    <s v="High"/>
    <n v="2023"/>
    <n v="11"/>
    <x v="0"/>
  </r>
  <r>
    <s v="ORD-2023-178249"/>
    <d v="2023-12-29T00:00:00"/>
    <d v="2024-01-20T00:00:00"/>
    <d v="2023-12-29T00:00:00"/>
    <d v="2024-01-20T00:00:00"/>
    <n v="22"/>
    <s v="12-2023"/>
    <s v="Africa"/>
    <s v="Kenya"/>
    <s v="Kisumu"/>
    <s v="Corporate"/>
    <s v="Direct"/>
    <s v="L. Okafor"/>
    <s v="Phones"/>
    <s v="PHN-7924"/>
    <n v="1395.49"/>
    <n v="1679.42"/>
    <n v="0.20300000000000001"/>
    <n v="12"/>
    <n v="16061.972879999999"/>
    <n v="16745.88"/>
    <n v="-683.90712000000167"/>
    <n v="-4.2579272490964493E-2"/>
    <s v="Q4-2023"/>
    <s v="Africa → Kenya → Kisumu"/>
    <s v="Medium"/>
    <n v="2023"/>
    <n v="12"/>
    <x v="0"/>
  </r>
  <r>
    <s v="ORD-2023-552115"/>
    <d v="2023-09-17T00:00:00"/>
    <d v="2023-10-02T00:00:00"/>
    <d v="2023-09-17T00:00:00"/>
    <d v="2023-10-02T00:00:00"/>
    <n v="15"/>
    <s v="9-2023"/>
    <s v="Americas"/>
    <s v="Brazil"/>
    <s v="Rio de Janeiro"/>
    <s v="Small Business"/>
    <s v="Retail"/>
    <s v="B. Chen"/>
    <s v="Laptops"/>
    <s v="LAP-4932"/>
    <n v="689.33"/>
    <n v="668.27"/>
    <n v="0.186"/>
    <n v="13"/>
    <n v="7071.6331400000008"/>
    <n v="8961.2900000000009"/>
    <n v="-1889.6568600000001"/>
    <n v="-0.26721647214861033"/>
    <s v="Q3-2023"/>
    <s v="Americas → Brazil → Rio de Janeiro"/>
    <s v="Low"/>
    <n v="2023"/>
    <n v="9"/>
    <x v="0"/>
  </r>
  <r>
    <s v="ORD-2023-603238"/>
    <d v="2023-08-21T00:00:00"/>
    <d v="2023-09-04T00:00:00"/>
    <d v="2023-08-21T00:00:00"/>
    <d v="2023-09-04T00:00:00"/>
    <n v="14"/>
    <s v="8-2023"/>
    <s v="Americas"/>
    <s v="Canada"/>
    <s v="Montreal"/>
    <s v="Education"/>
    <s v="Distributor"/>
    <s v="F. Müller"/>
    <s v="Components"/>
    <s v="CMP-2136"/>
    <n v="178.19"/>
    <n v="284.43"/>
    <n v="8.8999999999999996E-2"/>
    <n v="8"/>
    <n v="2072.9258400000003"/>
    <n v="1425.52"/>
    <n v="647.40584000000035"/>
    <n v="0.31231500302972742"/>
    <s v="Q3-2023"/>
    <s v="Americas → Canada → Montreal"/>
    <s v="Low"/>
    <n v="2023"/>
    <n v="8"/>
    <x v="0"/>
  </r>
  <r>
    <s v="ORD-2023-883066"/>
    <d v="2023-08-12T00:00:00"/>
    <d v="2023-09-06T00:00:00"/>
    <d v="2023-08-12T00:00:00"/>
    <d v="2023-09-06T00:00:00"/>
    <n v="25"/>
    <s v="8-2023"/>
    <s v="Asia"/>
    <s v="China"/>
    <s v="Shanghai"/>
    <s v="Small Business"/>
    <s v="Retail"/>
    <s v="B. Chen"/>
    <s v="Components"/>
    <s v="CMP-6352"/>
    <n v="950.77"/>
    <n v="694.78"/>
    <n v="8.4000000000000005E-2"/>
    <n v="14"/>
    <n v="8909.8587200000002"/>
    <n v="13310.779999999999"/>
    <n v="-4400.9212799999987"/>
    <n v="-0.49393839097821279"/>
    <s v="Q3-2023"/>
    <s v="Asia → China → Shanghai"/>
    <s v="Low"/>
    <n v="2023"/>
    <n v="8"/>
    <x v="0"/>
  </r>
  <r>
    <s v="ORD-2024-584090"/>
    <d v="2024-06-07T00:00:00"/>
    <d v="2024-06-26T00:00:00"/>
    <d v="2024-06-07T00:00:00"/>
    <d v="2024-06-26T00:00:00"/>
    <n v="19"/>
    <s v="6-2024"/>
    <s v="Europe"/>
    <s v="Germany"/>
    <s v="Berlin"/>
    <s v="Non-Profit"/>
    <s v="Marketplace"/>
    <s v="M. Rossi"/>
    <s v="Components"/>
    <s v="CMP-2040"/>
    <n v="1064.32"/>
    <n v="1848.39"/>
    <n v="7.2999999999999995E-2"/>
    <n v="38"/>
    <n v="65111.38614000001"/>
    <n v="40444.159999999996"/>
    <n v="24667.226140000013"/>
    <n v="0.3788465827921631"/>
    <s v="Q2-2024"/>
    <s v="Europe → Germany → Berlin"/>
    <s v="Medium"/>
    <n v="2024"/>
    <n v="6"/>
    <x v="0"/>
  </r>
  <r>
    <s v="ORD-2025-537785"/>
    <d v="2025-08-05T00:00:00"/>
    <d v="2025-08-14T00:00:00"/>
    <d v="2025-08-05T00:00:00"/>
    <d v="2025-08-14T00:00:00"/>
    <n v="9"/>
    <s v="8-2025"/>
    <s v="Europe"/>
    <s v="United Kingdom"/>
    <s v="London"/>
    <s v="Non-Profit"/>
    <s v="Direct"/>
    <s v="E. Garcia"/>
    <s v="Components"/>
    <s v="CMP-6346"/>
    <n v="41.76"/>
    <n v="45.19"/>
    <n v="0.17899999999999999"/>
    <n v="23"/>
    <n v="853.32276999999988"/>
    <n v="960.4799999999999"/>
    <n v="-107.15723000000003"/>
    <n v="-0.12557643340514638"/>
    <s v="Q3-2025"/>
    <s v="Europe → United Kingdom → London"/>
    <s v="Low"/>
    <n v="2025"/>
    <n v="8"/>
    <x v="0"/>
  </r>
  <r>
    <s v="ORD-2024-605518"/>
    <d v="2024-05-30T00:00:00"/>
    <d v="2024-06-13T00:00:00"/>
    <d v="2024-05-30T00:00:00"/>
    <d v="2024-06-13T00:00:00"/>
    <n v="14"/>
    <s v="5-2024"/>
    <s v="Americas"/>
    <s v="USA"/>
    <s v="San Francisco"/>
    <s v="Small Business"/>
    <s v="Retail"/>
    <s v="F. Müller"/>
    <s v="Phones"/>
    <s v="PHN-4356"/>
    <n v="157.78"/>
    <n v="361.1"/>
    <n v="0.187"/>
    <n v="9"/>
    <n v="2642.1686999999997"/>
    <n v="1420.02"/>
    <n v="1222.1486999999997"/>
    <n v="0.46255513510549112"/>
    <s v="Q2-2024"/>
    <s v="Americas → USA → San Francisco"/>
    <s v="Low"/>
    <n v="2024"/>
    <n v="5"/>
    <x v="0"/>
  </r>
  <r>
    <s v="ORD-2023-521818"/>
    <d v="2023-01-22T00:00:00"/>
    <d v="2023-01-30T00:00:00"/>
    <d v="2023-01-22T00:00:00"/>
    <d v="2023-01-30T00:00:00"/>
    <n v="8"/>
    <s v="1-2023"/>
    <s v="Americas"/>
    <s v="USA"/>
    <s v="San Francisco"/>
    <s v="Small Business"/>
    <s v="Online"/>
    <s v="A. Patel"/>
    <s v="Networking"/>
    <s v="NET-4155"/>
    <n v="413.52"/>
    <n v="1004.34"/>
    <n v="0.111"/>
    <n v="18"/>
    <n v="16071.44868"/>
    <n v="7443.36"/>
    <n v="8628.0886800000007"/>
    <n v="0.53685817948304593"/>
    <s v="Q1-2023"/>
    <s v="Americas → USA → San Francisco"/>
    <s v="Low"/>
    <n v="2023"/>
    <n v="1"/>
    <x v="0"/>
  </r>
  <r>
    <s v="ORD-2023-521818"/>
    <d v="2023-01-29T00:00:00"/>
    <d v="2023-02-28T00:00:00"/>
    <d v="2023-01-29T00:00:00"/>
    <d v="2023-02-28T00:00:00"/>
    <n v="30"/>
    <s v="1-2023"/>
    <s v="Asia"/>
    <s v="India"/>
    <s v="Bengaluru"/>
    <s v="Non-Profit"/>
    <s v="Retail"/>
    <s v="B. Chen"/>
    <s v="Accessories"/>
    <s v="ACC-4631"/>
    <n v="1262.0999999999999"/>
    <n v="1395.53"/>
    <n v="0.23300000000000001"/>
    <n v="25"/>
    <n v="26759.28775"/>
    <n v="31552.499999999996"/>
    <n v="-4793.2122499999969"/>
    <n v="-0.17912331205452198"/>
    <s v="Q1-2023"/>
    <s v="Asia → India → Bengaluru"/>
    <s v="Medium"/>
    <n v="2023"/>
    <n v="1"/>
    <x v="0"/>
  </r>
  <r>
    <s v="ORD-2023-479747"/>
    <d v="2023-07-14T00:00:00"/>
    <d v="2023-07-14T00:00:00"/>
    <d v="2023-07-14T00:00:00"/>
    <d v="2023-07-14T00:00:00"/>
    <n v="0"/>
    <s v="7-2023"/>
    <s v="Africa"/>
    <s v="Nigeria"/>
    <s v="Lagos"/>
    <s v="Education"/>
    <s v="Retail"/>
    <s v="I. Johnson"/>
    <s v="Accessories"/>
    <s v="ACC-5334"/>
    <n v="956.38"/>
    <n v="1454.22"/>
    <n v="3.9E-2"/>
    <n v="19"/>
    <n v="26552.60298"/>
    <n v="18171.22"/>
    <n v="8381.3829799999985"/>
    <n v="0.31565202802576603"/>
    <s v="Q3-2023"/>
    <s v="Africa → Nigeria → Lagos"/>
    <s v="Medium"/>
    <n v="2023"/>
    <n v="7"/>
    <x v="1"/>
  </r>
  <r>
    <s v="ORD-2023-430904"/>
    <d v="2023-01-27T00:00:00"/>
    <d v="2023-01-31T00:00:00"/>
    <d v="2023-01-27T00:00:00"/>
    <d v="2023-01-31T00:00:00"/>
    <n v="4"/>
    <s v="1-2023"/>
    <s v="Europe"/>
    <s v="United Kingdom"/>
    <s v="Manchester"/>
    <s v="Enterprise"/>
    <s v="Online"/>
    <s v="N. Brown"/>
    <s v="Laptops"/>
    <s v="LAP-9782"/>
    <n v="941.2"/>
    <n v="668.02"/>
    <n v="0.22"/>
    <n v="16"/>
    <n v="8336.8896000000004"/>
    <n v="15059.2"/>
    <n v="-6722.3104000000003"/>
    <n v="-0.80633314371825193"/>
    <s v="Q1-2023"/>
    <s v="Europe → United Kingdom → Manchester"/>
    <s v="Low"/>
    <n v="2023"/>
    <n v="1"/>
    <x v="1"/>
  </r>
  <r>
    <s v="ORD-2025-354346"/>
    <d v="2025-01-09T00:00:00"/>
    <d v="2025-01-15T00:00:00"/>
    <d v="2025-01-09T00:00:00"/>
    <d v="2025-01-15T00:00:00"/>
    <n v="6"/>
    <s v="1-2025"/>
    <s v="Asia"/>
    <s v="China"/>
    <s v="Beijing"/>
    <s v="Education"/>
    <s v="Online"/>
    <s v="C. Otieno"/>
    <s v="Phones"/>
    <s v="PHN-2875"/>
    <n v="304.77999999999997"/>
    <n v="537.27"/>
    <n v="0.187"/>
    <n v="8"/>
    <n v="3494.4040799999998"/>
    <n v="2438.2399999999998"/>
    <n v="1056.16408"/>
    <n v="0.3022444044307549"/>
    <s v="Q1-2025"/>
    <s v="Asia → China → Beijing"/>
    <s v="Low"/>
    <n v="2025"/>
    <n v="1"/>
    <x v="1"/>
  </r>
  <r>
    <s v="ORD-2024-164288"/>
    <d v="2024-12-21T00:00:00"/>
    <d v="2024-12-26T00:00:00"/>
    <d v="2024-12-21T00:00:00"/>
    <d v="2024-12-26T00:00:00"/>
    <n v="5"/>
    <s v="12-2024"/>
    <s v="Americas"/>
    <s v="USA"/>
    <s v="San Francisco"/>
    <s v="Consumer"/>
    <s v="Marketplace"/>
    <s v="M. Rossi"/>
    <s v="Printers"/>
    <s v="PRN-4788"/>
    <n v="699.57"/>
    <n v="572.71"/>
    <n v="0.192"/>
    <n v="26"/>
    <n v="12031.491680000001"/>
    <n v="18188.82"/>
    <n v="-6157.3283199999987"/>
    <n v="-0.51176765805651114"/>
    <s v="Q4-2024"/>
    <s v="Americas → USA → San Francisco"/>
    <s v="Low"/>
    <n v="2024"/>
    <n v="12"/>
    <x v="1"/>
  </r>
  <r>
    <s v="ORD-2023-867285"/>
    <d v="2023-04-12T00:00:00"/>
    <d v="2023-04-17T00:00:00"/>
    <d v="2023-04-12T00:00:00"/>
    <d v="2023-04-17T00:00:00"/>
    <n v="5"/>
    <s v="4-2023"/>
    <s v="Europe"/>
    <s v="France"/>
    <s v="Lyon"/>
    <s v="Enterprise"/>
    <s v="Direct"/>
    <s v="E. Garcia"/>
    <s v="Monitors"/>
    <s v="MON-3043"/>
    <n v="1087.81"/>
    <n v="2323.87"/>
    <n v="9.4E-2"/>
    <n v="13"/>
    <n v="27370.540859999997"/>
    <n v="14141.529999999999"/>
    <n v="13229.010859999999"/>
    <n v="0.48333026839572651"/>
    <s v="Q2-2023"/>
    <s v="Europe → France → Lyon"/>
    <s v="High"/>
    <n v="2023"/>
    <n v="4"/>
    <x v="1"/>
  </r>
  <r>
    <s v="ORD-2024-836421"/>
    <d v="2024-12-14T00:00:00"/>
    <d v="2025-01-12T00:00:00"/>
    <d v="2024-12-14T00:00:00"/>
    <d v="2025-01-12T00:00:00"/>
    <n v="29"/>
    <s v="12-2024"/>
    <s v="Asia"/>
    <s v="China"/>
    <s v="Shenzhen"/>
    <s v="Education"/>
    <s v="Online"/>
    <s v="J. Njeri"/>
    <s v="Components"/>
    <s v="CMP-3720"/>
    <n v="1412.15"/>
    <n v="1631.04"/>
    <n v="8.9999999999999993E-3"/>
    <n v="6"/>
    <n v="9698.1638399999993"/>
    <n v="8472.9000000000015"/>
    <n v="1225.2638399999978"/>
    <n v="0.12633977526203535"/>
    <s v="Q4-2024"/>
    <s v="Asia → China → Shenzhen"/>
    <s v="Medium"/>
    <n v="2024"/>
    <n v="12"/>
    <x v="0"/>
  </r>
  <r>
    <s v="ORD-2023-613287"/>
    <d v="2023-03-31T00:00:00"/>
    <d v="2023-04-12T00:00:00"/>
    <d v="2023-03-31T00:00:00"/>
    <d v="2023-04-12T00:00:00"/>
    <n v="12"/>
    <s v="3-2023"/>
    <s v="Africa"/>
    <s v="Kenya"/>
    <s v="Mombasa"/>
    <s v="Small Business"/>
    <s v="Online"/>
    <s v="C. Otieno"/>
    <s v="Phones"/>
    <s v="PHN-8014"/>
    <n v="304.22000000000003"/>
    <n v="393.31"/>
    <n v="0.26500000000000001"/>
    <n v="15"/>
    <n v="4336.2427499999994"/>
    <n v="4563.3"/>
    <n v="-227.05725000000075"/>
    <n v="-5.2362670424759034E-2"/>
    <s v="Q1-2023"/>
    <s v="Africa → Kenya → Mombasa"/>
    <s v="Low"/>
    <n v="2023"/>
    <n v="3"/>
    <x v="0"/>
  </r>
  <r>
    <s v="ORD-2024-783321"/>
    <d v="2024-11-20T00:00:00"/>
    <d v="2024-12-15T00:00:00"/>
    <d v="2024-11-20T00:00:00"/>
    <d v="2024-12-15T00:00:00"/>
    <n v="25"/>
    <s v="11-2024"/>
    <s v="Europe"/>
    <s v="France"/>
    <s v="Paris"/>
    <s v="Corporate"/>
    <s v="Online"/>
    <s v="G. Dubois"/>
    <s v="Printers"/>
    <s v="PRN-4911"/>
    <n v="1203.58"/>
    <n v="1856.16"/>
    <n v="0.129"/>
    <n v="22"/>
    <n v="35567.737920000007"/>
    <n v="26478.76"/>
    <n v="9088.9779200000085"/>
    <n v="0.25553994860295032"/>
    <s v="Q4-2024"/>
    <s v="Europe → France → Paris"/>
    <s v="Medium"/>
    <n v="2024"/>
    <n v="11"/>
    <x v="0"/>
  </r>
  <r>
    <s v="ORD-2023-808024"/>
    <d v="2023-12-30T00:00:00"/>
    <d v="2024-01-08T00:00:00"/>
    <d v="2023-12-30T00:00:00"/>
    <d v="2024-01-08T00:00:00"/>
    <n v="9"/>
    <s v="12-2023"/>
    <s v="Europe"/>
    <s v="France"/>
    <s v="Marseille"/>
    <s v="Consumer"/>
    <s v="Marketplace"/>
    <s v="L. Okafor"/>
    <s v="Accessories"/>
    <s v="ACC-6594"/>
    <n v="861.1"/>
    <n v="1224.72"/>
    <n v="0.17399999999999999"/>
    <n v="24"/>
    <n v="24278.849280000002"/>
    <n v="20666.400000000001"/>
    <n v="3612.4492800000007"/>
    <n v="0.14878997098827909"/>
    <s v="Q4-2023"/>
    <s v="Europe → France → Marseille"/>
    <s v="Medium"/>
    <n v="2023"/>
    <n v="12"/>
    <x v="0"/>
  </r>
  <r>
    <s v="ORD-2023-906481"/>
    <d v="2023-05-02T00:00:00"/>
    <d v="2023-05-18T00:00:00"/>
    <d v="2023-05-02T00:00:00"/>
    <d v="2023-05-18T00:00:00"/>
    <n v="16"/>
    <s v="5-2023"/>
    <s v="Asia"/>
    <s v="India"/>
    <s v="Delhi"/>
    <s v="Small Business"/>
    <s v="Marketplace"/>
    <s v="K. Singh"/>
    <s v="Monitors"/>
    <s v="MON-2266"/>
    <n v="1463.92"/>
    <n v="2252.2399999999998"/>
    <n v="0.11799999999999999"/>
    <n v="44"/>
    <n v="87404.929919999995"/>
    <n v="64412.480000000003"/>
    <n v="22992.449919999992"/>
    <n v="0.26305667130040061"/>
    <s v="Q2-2023"/>
    <s v="Asia → India → Delhi"/>
    <s v="High"/>
    <n v="2023"/>
    <n v="5"/>
    <x v="0"/>
  </r>
  <r>
    <s v="ORD-2024-902741"/>
    <d v="2024-12-23T00:00:00"/>
    <d v="2025-01-11T00:00:00"/>
    <d v="2024-12-23T00:00:00"/>
    <d v="2025-01-11T00:00:00"/>
    <n v="19"/>
    <s v="12-2024"/>
    <s v="Europe"/>
    <s v="Germany"/>
    <s v="Berlin"/>
    <s v="Education"/>
    <s v="Retail"/>
    <s v="K. Singh"/>
    <s v="Phones"/>
    <s v="PHN-8057"/>
    <n v="501.81"/>
    <n v="921.62"/>
    <n v="0.01"/>
    <n v="9"/>
    <n v="8211.6342000000004"/>
    <n v="4516.29"/>
    <n v="3695.3442000000005"/>
    <n v="0.45001325071202031"/>
    <s v="Q4-2024"/>
    <s v="Europe → Germany → Berlin"/>
    <s v="Low"/>
    <n v="2024"/>
    <n v="12"/>
    <x v="0"/>
  </r>
  <r>
    <s v="ORD-2023-674887"/>
    <d v="2023-12-16T00:00:00"/>
    <d v="2023-12-19T00:00:00"/>
    <d v="2023-12-16T00:00:00"/>
    <d v="2023-12-19T00:00:00"/>
    <n v="3"/>
    <s v="12-2023"/>
    <s v="Asia"/>
    <s v="China"/>
    <s v="Beijing"/>
    <s v="Education"/>
    <s v="Retail"/>
    <s v="A. Patel"/>
    <s v="Accessories"/>
    <s v="ACC-9644"/>
    <n v="1415.05"/>
    <n v="1972.38"/>
    <n v="0"/>
    <n v="12"/>
    <n v="23668.560000000001"/>
    <n v="16980.599999999999"/>
    <n v="6687.9600000000028"/>
    <n v="0.28256725377462771"/>
    <s v="Q4-2023"/>
    <s v="Asia → China → Beijing"/>
    <s v="High"/>
    <n v="2023"/>
    <n v="12"/>
    <x v="1"/>
  </r>
  <r>
    <s v="ORD-2024-389102"/>
    <d v="2024-06-15T00:00:00"/>
    <d v="2024-07-06T00:00:00"/>
    <d v="2024-06-15T00:00:00"/>
    <d v="2024-07-06T00:00:00"/>
    <n v="21"/>
    <s v="6-2024"/>
    <s v="Americas"/>
    <s v="Canada"/>
    <s v="Toronto"/>
    <s v="Enterprise"/>
    <s v="Distributor"/>
    <s v="L. Okafor"/>
    <s v="Printers"/>
    <s v="PRN-4453"/>
    <n v="817.23"/>
    <n v="1467.17"/>
    <n v="0.245"/>
    <n v="9"/>
    <n v="9969.4201499999999"/>
    <n v="7355.07"/>
    <n v="2614.3501500000002"/>
    <n v="0.26223693160328893"/>
    <s v="Q2-2024"/>
    <s v="Americas → Canada → Toronto"/>
    <s v="Medium"/>
    <n v="2024"/>
    <n v="6"/>
    <x v="0"/>
  </r>
  <r>
    <s v="ORD-2023-667815"/>
    <d v="2023-10-21T00:00:00"/>
    <d v="2023-11-09T00:00:00"/>
    <d v="2023-10-21T00:00:00"/>
    <d v="2023-11-09T00:00:00"/>
    <n v="19"/>
    <s v="10-2023"/>
    <s v="Europe"/>
    <s v="United Kingdom"/>
    <s v="London"/>
    <s v="Non-Profit"/>
    <s v="Direct"/>
    <s v="A. Patel"/>
    <s v="Accessories"/>
    <s v="ACC-8557"/>
    <n v="1142.48"/>
    <n v="2105.5300000000002"/>
    <n v="0.20699999999999999"/>
    <n v="14"/>
    <n v="23375.594060000003"/>
    <n v="15994.720000000001"/>
    <n v="7380.8740600000019"/>
    <n v="0.31575129346680658"/>
    <s v="Q4-2023"/>
    <s v="Europe → United Kingdom → London"/>
    <s v="High"/>
    <n v="2023"/>
    <n v="10"/>
    <x v="0"/>
  </r>
  <r>
    <s v="ORD-2023-825495"/>
    <d v="2023-11-30T00:00:00"/>
    <d v="2023-11-29T00:00:00"/>
    <d v="2023-11-29T00:00:00"/>
    <d v="2023-11-30T00:00:00"/>
    <n v="1"/>
    <s v="11-2023"/>
    <s v="Africa"/>
    <s v="South Africa"/>
    <s v="Durban"/>
    <s v="Small Business"/>
    <s v="Marketplace"/>
    <s v="E. Garcia"/>
    <s v="Laptops"/>
    <s v="LAP-1525"/>
    <n v="275.56"/>
    <n v="630.72"/>
    <n v="0.107"/>
    <n v="23"/>
    <n v="12954.358080000002"/>
    <n v="6337.88"/>
    <n v="6616.4780800000017"/>
    <n v="0.5107530638831933"/>
    <s v="Q4-2023"/>
    <s v="Africa → South Africa → Durban"/>
    <s v="Low"/>
    <n v="2023"/>
    <n v="11"/>
    <x v="1"/>
  </r>
  <r>
    <s v="ORD-2025-244832"/>
    <d v="2025-09-11T00:00:00"/>
    <d v="2025-09-28T00:00:00"/>
    <d v="2025-09-11T00:00:00"/>
    <d v="2025-09-28T00:00:00"/>
    <n v="17"/>
    <s v="9-2025"/>
    <s v="Africa"/>
    <s v="Kenya"/>
    <s v="Nairobi"/>
    <s v="Non-Profit"/>
    <s v="Distributor"/>
    <s v="J. Njeri"/>
    <s v="Laptops"/>
    <s v="LAP-3278"/>
    <n v="891.46"/>
    <n v="728.61"/>
    <n v="0.185"/>
    <n v="6"/>
    <n v="3562.9028999999996"/>
    <n v="5348.76"/>
    <n v="-1785.8571000000006"/>
    <n v="-0.50123653383874167"/>
    <s v="Q3-2025"/>
    <s v="Africa → Kenya → Nairobi"/>
    <s v="Low"/>
    <n v="2025"/>
    <n v="9"/>
    <x v="0"/>
  </r>
  <r>
    <s v="ORD-2024-921935"/>
    <d v="2024-01-01T00:00:00"/>
    <d v="2024-01-27T00:00:00"/>
    <d v="2024-01-01T00:00:00"/>
    <d v="2024-01-27T00:00:00"/>
    <n v="26"/>
    <s v="1-2024"/>
    <s v="Europe"/>
    <s v="United Kingdom"/>
    <s v="Manchester"/>
    <s v="Education"/>
    <s v="Distributor"/>
    <s v="D. Smith"/>
    <s v="Accessories"/>
    <s v="ACC-3103"/>
    <n v="657.45"/>
    <n v="1325.96"/>
    <n v="0.16700000000000001"/>
    <n v="21"/>
    <n v="23195.01828"/>
    <n v="13806.45"/>
    <n v="9388.5682799999995"/>
    <n v="0.40476658249048808"/>
    <s v="Q1-2024"/>
    <s v="Europe → United Kingdom → Manchester"/>
    <s v="Medium"/>
    <n v="2024"/>
    <n v="1"/>
    <x v="0"/>
  </r>
  <r>
    <s v="ORD-2023-192324"/>
    <d v="2023-09-14T00:00:00"/>
    <d v="2023-09-16T00:00:00"/>
    <d v="2023-09-14T00:00:00"/>
    <d v="2023-09-16T00:00:00"/>
    <n v="2"/>
    <s v="9-2023"/>
    <s v="Europe"/>
    <s v="France"/>
    <s v="Lyon"/>
    <s v="Non-Profit"/>
    <s v="Direct"/>
    <s v="B. Chen"/>
    <s v="Printers"/>
    <s v="PRN-4432"/>
    <n v="376.83"/>
    <n v="732.88"/>
    <n v="0.188"/>
    <n v="25"/>
    <n v="14877.464000000002"/>
    <n v="9420.75"/>
    <n v="5456.7140000000018"/>
    <n v="0.36677716040852132"/>
    <s v="Q3-2023"/>
    <s v="Europe → France → Lyon"/>
    <s v="Low"/>
    <n v="2023"/>
    <n v="9"/>
    <x v="1"/>
  </r>
  <r>
    <s v="ORD-2024-438404"/>
    <d v="2024-09-23T00:00:00"/>
    <d v="2024-10-18T00:00:00"/>
    <d v="2024-09-23T00:00:00"/>
    <d v="2024-10-18T00:00:00"/>
    <n v="25"/>
    <s v="9-2024"/>
    <s v="Americas"/>
    <s v="Canada"/>
    <s v="Vancouver"/>
    <s v="Small Business"/>
    <s v="Online"/>
    <s v="N. Brown"/>
    <s v="Phones"/>
    <s v="PHN-4568"/>
    <n v="1297"/>
    <n v="2411.52"/>
    <n v="2.1000000000000001E-2"/>
    <n v="18"/>
    <n v="42495.805439999996"/>
    <n v="23346"/>
    <n v="19149.805439999996"/>
    <n v="0.45062813239385913"/>
    <s v="Q3-2024"/>
    <s v="Americas → Canada → Vancouver"/>
    <s v="High"/>
    <n v="2024"/>
    <n v="9"/>
    <x v="0"/>
  </r>
  <r>
    <s v="ORD-2025-246470"/>
    <d v="2025-04-16T00:00:00"/>
    <d v="2025-05-16T00:00:00"/>
    <d v="2025-04-16T00:00:00"/>
    <d v="2025-05-16T00:00:00"/>
    <n v="30"/>
    <s v="4-2025"/>
    <s v="Americas"/>
    <s v="Canada"/>
    <s v="Montreal"/>
    <s v="Enterprise"/>
    <s v="Distributor"/>
    <s v="K. Singh"/>
    <s v="Printers"/>
    <s v="PRN-6178"/>
    <n v="763.32"/>
    <n v="568.29"/>
    <n v="0.13100000000000001"/>
    <n v="16"/>
    <n v="7901.5041599999995"/>
    <n v="12213.12"/>
    <n v="-4311.6158400000013"/>
    <n v="-0.54567026134426555"/>
    <s v="Q2-2025"/>
    <s v="Americas → Canada → Montreal"/>
    <s v="Low"/>
    <n v="2025"/>
    <n v="4"/>
    <x v="0"/>
  </r>
  <r>
    <s v="ORD-2023-497686"/>
    <d v="2023-07-03T00:00:00"/>
    <d v="2023-07-23T00:00:00"/>
    <d v="2023-07-03T00:00:00"/>
    <d v="2023-07-23T00:00:00"/>
    <n v="20"/>
    <s v="7-2023"/>
    <s v="Africa"/>
    <s v="South Africa"/>
    <s v="Johannesburg"/>
    <s v="Small Business"/>
    <s v="Distributor"/>
    <s v="F. Müller"/>
    <s v="Laptops"/>
    <s v="LAP-6342"/>
    <n v="1001.96"/>
    <n v="1254.95"/>
    <n v="4.4999999999999998E-2"/>
    <n v="18"/>
    <n v="21572.590500000002"/>
    <n v="18035.28"/>
    <n v="3537.3105000000032"/>
    <n v="0.16397244920585699"/>
    <s v="Q3-2023"/>
    <s v="Africa → South Africa → Johannesburg"/>
    <s v="Medium"/>
    <n v="2023"/>
    <n v="7"/>
    <x v="0"/>
  </r>
  <r>
    <s v="ORD-2023-596758"/>
    <d v="2023-12-07T00:00:00"/>
    <d v="2023-12-05T00:00:00"/>
    <d v="2023-12-05T00:00:00"/>
    <d v="2023-12-07T00:00:00"/>
    <n v="2"/>
    <s v="12-2023"/>
    <s v="Asia"/>
    <s v="Japan"/>
    <s v="Tokyo"/>
    <s v="Non-Profit"/>
    <s v="Marketplace"/>
    <s v="H. Kim"/>
    <s v="Printers"/>
    <s v="PRN-8175"/>
    <n v="1097.5899999999999"/>
    <n v="845.55"/>
    <n v="0.184"/>
    <n v="6"/>
    <n v="4139.8127999999997"/>
    <n v="6585.5399999999991"/>
    <n v="-2445.7271999999994"/>
    <n v="-0.59078207594314402"/>
    <s v="Q4-2023"/>
    <s v="Asia → Japan → Tokyo"/>
    <s v="Low"/>
    <n v="2023"/>
    <n v="12"/>
    <x v="1"/>
  </r>
  <r>
    <s v="ORD-2024-201376"/>
    <d v="2024-02-18T00:00:00"/>
    <d v="2024-03-04T00:00:00"/>
    <d v="2024-02-18T00:00:00"/>
    <d v="2024-03-04T00:00:00"/>
    <n v="15"/>
    <s v="2-2024"/>
    <s v="Africa"/>
    <s v="Kenya"/>
    <s v="Kisumu"/>
    <s v="Education"/>
    <s v="Direct"/>
    <s v="K. Singh"/>
    <s v="Printers"/>
    <s v="PRN-7089"/>
    <n v="928.68"/>
    <n v="2145.17"/>
    <n v="0.13600000000000001"/>
    <n v="16"/>
    <n v="29654.83008"/>
    <n v="14858.88"/>
    <n v="14795.950080000001"/>
    <n v="0.49893896003062177"/>
    <s v="Q1-2024"/>
    <s v="Africa → Kenya → Kisumu"/>
    <s v="High"/>
    <n v="2024"/>
    <n v="2"/>
    <x v="0"/>
  </r>
  <r>
    <s v="ORD-2023-609394"/>
    <d v="2023-04-16T00:00:00"/>
    <d v="2023-04-19T00:00:00"/>
    <d v="2023-04-16T00:00:00"/>
    <d v="2023-04-19T00:00:00"/>
    <n v="3"/>
    <s v="4-2023"/>
    <s v="Europe"/>
    <s v="Germany"/>
    <s v="Munich"/>
    <s v="Corporate"/>
    <s v="Direct"/>
    <s v="B. Chen"/>
    <s v="Accessories"/>
    <s v="ACC-1731"/>
    <n v="553.61"/>
    <n v="699.47"/>
    <n v="0.02"/>
    <n v="33"/>
    <n v="22620.859800000002"/>
    <n v="18269.13"/>
    <n v="4351.729800000001"/>
    <n v="0.19237685209472014"/>
    <s v="Q2-2023"/>
    <s v="Europe → Germany → Munich"/>
    <s v="Low"/>
    <n v="2023"/>
    <n v="4"/>
    <x v="1"/>
  </r>
  <r>
    <s v="ORD-2024-136321"/>
    <d v="2024-08-07T00:00:00"/>
    <d v="2024-08-17T00:00:00"/>
    <d v="2024-08-07T00:00:00"/>
    <d v="2024-08-17T00:00:00"/>
    <n v="10"/>
    <s v="8-2024"/>
    <s v="Asia"/>
    <s v="Japan"/>
    <s v="Osaka"/>
    <s v="Consumer"/>
    <s v="Online"/>
    <s v="K. Singh"/>
    <s v="Networking"/>
    <s v="NET-7924"/>
    <n v="436.58"/>
    <n v="527.48"/>
    <n v="0.111"/>
    <n v="19"/>
    <n v="8909.6646800000017"/>
    <n v="8295.02"/>
    <n v="614.64468000000124"/>
    <n v="6.8986286473802644E-2"/>
    <s v="Q3-2024"/>
    <s v="Asia → Japan → Osaka"/>
    <s v="Low"/>
    <n v="2024"/>
    <n v="8"/>
    <x v="0"/>
  </r>
  <r>
    <s v="ORD-2024-764468"/>
    <d v="2024-02-01T00:00:00"/>
    <d v="2024-02-21T00:00:00"/>
    <d v="2024-02-01T00:00:00"/>
    <d v="2024-02-21T00:00:00"/>
    <n v="20"/>
    <s v="2-2024"/>
    <s v="Europe"/>
    <s v="France"/>
    <s v="Paris"/>
    <s v="Small Business"/>
    <s v="Marketplace"/>
    <s v="A. Patel"/>
    <s v="Networking"/>
    <s v="NET-8761"/>
    <n v="656.2"/>
    <n v="1467.17"/>
    <n v="1.7999999999999999E-2"/>
    <n v="5"/>
    <n v="7203.8047000000006"/>
    <n v="3281"/>
    <n v="3922.8047000000006"/>
    <n v="0.54454623124360946"/>
    <s v="Q1-2024"/>
    <s v="Europe → France → Paris"/>
    <s v="Medium"/>
    <n v="2024"/>
    <n v="2"/>
    <x v="0"/>
  </r>
  <r>
    <s v="ORD-2024-553449"/>
    <d v="2024-08-27T00:00:00"/>
    <d v="2024-09-18T00:00:00"/>
    <d v="2024-08-27T00:00:00"/>
    <d v="2024-09-18T00:00:00"/>
    <n v="22"/>
    <s v="8-2024"/>
    <s v="Asia"/>
    <s v="India"/>
    <s v="Delhi"/>
    <s v="Consumer"/>
    <s v="Direct"/>
    <s v="B. Chen"/>
    <s v="Components"/>
    <s v="CMP-3875"/>
    <n v="896.75"/>
    <n v="1651.14"/>
    <n v="2.5000000000000001E-2"/>
    <n v="15"/>
    <n v="24147.922500000001"/>
    <n v="13451.25"/>
    <n v="10696.672500000001"/>
    <n v="0.44296450346815552"/>
    <s v="Q3-2024"/>
    <s v="Asia → India → Delhi"/>
    <s v="Medium"/>
    <n v="2024"/>
    <n v="8"/>
    <x v="0"/>
  </r>
  <r>
    <s v="ORD-2024-468615"/>
    <d v="2024-07-09T00:00:00"/>
    <d v="2024-07-12T00:00:00"/>
    <d v="2024-07-09T00:00:00"/>
    <d v="2024-07-12T00:00:00"/>
    <n v="3"/>
    <s v="7-2024"/>
    <s v="Asia"/>
    <s v="China"/>
    <s v="Shanghai"/>
    <s v="Small Business"/>
    <s v="Retail"/>
    <s v="D. Smith"/>
    <s v="Accessories"/>
    <s v="ACC-3721"/>
    <n v="748.39"/>
    <n v="979.42"/>
    <n v="0"/>
    <n v="23"/>
    <n v="22526.66"/>
    <n v="17212.97"/>
    <n v="5313.6899999999987"/>
    <n v="0.23588450307324738"/>
    <s v="Q3-2024"/>
    <s v="Asia → China → Shanghai"/>
    <s v="Low"/>
    <n v="2024"/>
    <n v="7"/>
    <x v="1"/>
  </r>
  <r>
    <s v="ORD-2025-418232"/>
    <d v="2025-08-01T00:00:00"/>
    <d v="2025-08-21T00:00:00"/>
    <d v="2025-08-01T00:00:00"/>
    <d v="2025-08-21T00:00:00"/>
    <n v="20"/>
    <s v="8-2025"/>
    <s v="Asia"/>
    <s v="China"/>
    <s v="Shanghai"/>
    <s v="Corporate"/>
    <s v="Direct"/>
    <s v="I. Johnson"/>
    <s v="Phones"/>
    <s v="PHN-9234"/>
    <n v="1220.4100000000001"/>
    <n v="2552.2199999999998"/>
    <n v="0.18099999999999999"/>
    <n v="14"/>
    <n v="29263.754519999995"/>
    <n v="17085.740000000002"/>
    <n v="12178.014519999993"/>
    <n v="0.41614668793360271"/>
    <s v="Q3-2025"/>
    <s v="Asia → China → Shanghai"/>
    <s v="High"/>
    <n v="2025"/>
    <n v="8"/>
    <x v="0"/>
  </r>
  <r>
    <s v="ORD-2023-848013"/>
    <d v="2023-02-20T00:00:00"/>
    <d v="2023-03-04T00:00:00"/>
    <d v="2023-02-20T00:00:00"/>
    <d v="2023-03-04T00:00:00"/>
    <n v="12"/>
    <s v="2-2023"/>
    <s v="Asia"/>
    <s v="India"/>
    <s v="Delhi"/>
    <s v="Consumer"/>
    <s v="Distributor"/>
    <s v="M. Rossi"/>
    <s v="Monitors"/>
    <s v="MON-9906"/>
    <n v="299.75"/>
    <n v="523.01"/>
    <n v="0.157"/>
    <n v="50"/>
    <n v="22044.871499999997"/>
    <n v="14987.5"/>
    <n v="7057.3714999999975"/>
    <n v="0.32013665854210122"/>
    <s v="Q1-2023"/>
    <s v="Asia → India → Delhi"/>
    <s v="Low"/>
    <n v="2023"/>
    <n v="2"/>
    <x v="0"/>
  </r>
  <r>
    <s v="ORD-2024-357368"/>
    <d v="2024-10-30T00:00:00"/>
    <d v="2024-11-24T00:00:00"/>
    <d v="2024-10-30T00:00:00"/>
    <d v="2024-11-24T00:00:00"/>
    <n v="25"/>
    <s v="10-2024"/>
    <s v="Asia"/>
    <s v="China"/>
    <s v="Shenzhen"/>
    <s v="Small Business"/>
    <s v="Online"/>
    <s v="E. Garcia"/>
    <s v="Components"/>
    <s v="CMP-4610"/>
    <n v="811.05"/>
    <n v="1217.71"/>
    <n v="7.1999999999999995E-2"/>
    <n v="5"/>
    <n v="5650.1744000000008"/>
    <n v="4055.25"/>
    <n v="1594.9244000000008"/>
    <n v="0.28227879125288602"/>
    <s v="Q4-2024"/>
    <s v="Asia → China → Shenzhen"/>
    <s v="Medium"/>
    <n v="2024"/>
    <n v="10"/>
    <x v="0"/>
  </r>
  <r>
    <s v="ORD-2023-621393"/>
    <d v="2023-07-07T00:00:00"/>
    <d v="2023-07-13T00:00:00"/>
    <d v="2023-07-07T00:00:00"/>
    <d v="2023-07-13T00:00:00"/>
    <n v="6"/>
    <s v="7-2023"/>
    <s v="Africa"/>
    <s v="South Africa"/>
    <s v="Cape Town"/>
    <s v="Small Business"/>
    <s v="Marketplace"/>
    <s v="B. Chen"/>
    <s v="Accessories"/>
    <s v="ACC-9445"/>
    <n v="612.59"/>
    <n v="1424.74"/>
    <n v="4.3999999999999997E-2"/>
    <n v="15"/>
    <n v="20430.771599999996"/>
    <n v="9188.85"/>
    <n v="11241.921599999996"/>
    <n v="0.55024459281802152"/>
    <s v="Q3-2023"/>
    <s v="Africa → South Africa → Cape Town"/>
    <s v="Medium"/>
    <n v="2023"/>
    <n v="7"/>
    <x v="1"/>
  </r>
  <r>
    <s v="ORD-2023-240507"/>
    <d v="2023-03-25T00:00:00"/>
    <d v="2023-03-26T00:00:00"/>
    <d v="2023-03-25T00:00:00"/>
    <d v="2023-03-26T00:00:00"/>
    <n v="1"/>
    <s v="3-2023"/>
    <s v="Asia"/>
    <s v="Japan"/>
    <s v="Osaka"/>
    <s v="Small Business"/>
    <s v="Distributor"/>
    <s v="I. Johnson"/>
    <s v="Monitors"/>
    <s v="MON-9227"/>
    <n v="135.12"/>
    <n v="301.7"/>
    <n v="0.14000000000000001"/>
    <n v="47"/>
    <n v="12194.714"/>
    <n v="6350.64"/>
    <n v="5844.0739999999996"/>
    <n v="0.47923009920527859"/>
    <s v="Q1-2023"/>
    <s v="Asia → Japan → Osaka"/>
    <s v="Low"/>
    <n v="2023"/>
    <n v="3"/>
    <x v="1"/>
  </r>
  <r>
    <s v="ORD-2024-134084"/>
    <d v="2024-06-04T00:00:00"/>
    <d v="2024-06-16T00:00:00"/>
    <d v="2024-06-04T00:00:00"/>
    <d v="2024-06-16T00:00:00"/>
    <n v="12"/>
    <s v="6-2024"/>
    <s v="Asia"/>
    <s v="China"/>
    <s v="Shanghai"/>
    <s v="Corporate"/>
    <s v="Retail"/>
    <s v="J. Njeri"/>
    <s v="Printers"/>
    <s v="PRN-4097"/>
    <n v="918.42"/>
    <n v="1511.71"/>
    <n v="0.02"/>
    <n v="8"/>
    <n v="11851.806399999999"/>
    <n v="7347.36"/>
    <n v="4504.4463999999998"/>
    <n v="0.38006412254590999"/>
    <s v="Q2-2024"/>
    <s v="Asia → China → Shanghai"/>
    <s v="Medium"/>
    <n v="2024"/>
    <n v="6"/>
    <x v="0"/>
  </r>
  <r>
    <s v="ORD-2023-884625"/>
    <d v="2023-02-19T00:00:00"/>
    <d v="2023-03-12T00:00:00"/>
    <d v="2023-02-19T00:00:00"/>
    <d v="2023-03-12T00:00:00"/>
    <n v="21"/>
    <s v="2-2023"/>
    <s v="Europe"/>
    <s v="Germany"/>
    <s v="Berlin"/>
    <s v="Small Business"/>
    <s v="Direct"/>
    <s v="L. Okafor"/>
    <s v="Monitors"/>
    <s v="MON-6699"/>
    <n v="1234.81"/>
    <n v="2055.2399999999998"/>
    <n v="5.2999999999999999E-2"/>
    <n v="44"/>
    <n v="85637.740319999997"/>
    <n v="54331.64"/>
    <n v="31306.100319999998"/>
    <n v="0.36556429680441616"/>
    <s v="Q1-2023"/>
    <s v="Europe → Germany → Berlin"/>
    <s v="High"/>
    <n v="2023"/>
    <n v="2"/>
    <x v="0"/>
  </r>
  <r>
    <s v="ORD-2023-157993"/>
    <d v="2023-04-18T00:00:00"/>
    <d v="2023-05-18T00:00:00"/>
    <d v="2023-04-18T00:00:00"/>
    <d v="2023-05-18T00:00:00"/>
    <n v="30"/>
    <s v="4-2023"/>
    <s v="Asia"/>
    <s v="China"/>
    <s v="Shenzhen"/>
    <s v="Non-Profit"/>
    <s v="Retail"/>
    <s v="H. Kim"/>
    <s v="Laptops"/>
    <s v="LAP-1482"/>
    <n v="329.03"/>
    <n v="391.15"/>
    <n v="0.19700000000000001"/>
    <n v="46"/>
    <n v="14448.298699999998"/>
    <n v="15135.38"/>
    <n v="-687.08130000000165"/>
    <n v="-4.7554477815440081E-2"/>
    <s v="Q2-2023"/>
    <s v="Asia → China → Shenzhen"/>
    <s v="Low"/>
    <n v="2023"/>
    <n v="4"/>
    <x v="0"/>
  </r>
  <r>
    <s v="ORD-2024-329104"/>
    <d v="2024-05-23T00:00:00"/>
    <d v="2024-06-14T00:00:00"/>
    <d v="2024-05-23T00:00:00"/>
    <d v="2024-06-14T00:00:00"/>
    <n v="22"/>
    <s v="5-2024"/>
    <s v="Europe"/>
    <s v="France"/>
    <s v="Marseille"/>
    <s v="Small Business"/>
    <s v="Online"/>
    <s v="N. Brown"/>
    <s v="Monitors"/>
    <s v="MON-2100"/>
    <n v="1481.74"/>
    <n v="1848.97"/>
    <n v="0.254"/>
    <n v="9"/>
    <n v="12413.98458"/>
    <n v="13335.66"/>
    <n v="-921.67541999999958"/>
    <n v="-7.4244930309072407E-2"/>
    <s v="Q2-2024"/>
    <s v="Europe → France → Marseille"/>
    <s v="Medium"/>
    <n v="2024"/>
    <n v="5"/>
    <x v="0"/>
  </r>
  <r>
    <s v="ORD-2023-304451"/>
    <d v="2023-10-07T00:00:00"/>
    <d v="2023-10-23T00:00:00"/>
    <d v="2023-10-07T00:00:00"/>
    <d v="2023-10-23T00:00:00"/>
    <n v="16"/>
    <s v="10-2023"/>
    <s v="Asia"/>
    <s v="India"/>
    <s v="Hyderabad"/>
    <s v="Consumer"/>
    <s v="Retail"/>
    <s v="G. Dubois"/>
    <s v="Monitors"/>
    <s v="MON-7602"/>
    <n v="906.81"/>
    <n v="1395.56"/>
    <n v="0.185"/>
    <n v="6"/>
    <n v="6824.2884000000004"/>
    <n v="5440.86"/>
    <n v="1383.4284000000007"/>
    <n v="0.20272126834498974"/>
    <s v="Q4-2023"/>
    <s v="Asia → India → Hyderabad"/>
    <s v="Medium"/>
    <n v="2023"/>
    <n v="10"/>
    <x v="0"/>
  </r>
  <r>
    <s v="ORD-2024-942981"/>
    <d v="2024-10-09T00:00:00"/>
    <d v="2024-11-08T00:00:00"/>
    <d v="2024-10-09T00:00:00"/>
    <d v="2024-11-08T00:00:00"/>
    <n v="30"/>
    <s v="10-2024"/>
    <s v="Europe"/>
    <s v="United Kingdom"/>
    <s v="Manchester"/>
    <s v="Small Business"/>
    <s v="Distributor"/>
    <s v="J. Njeri"/>
    <s v="Components"/>
    <s v="CMP-1072"/>
    <n v="343.85"/>
    <n v="538.04"/>
    <n v="0.13900000000000001"/>
    <n v="5"/>
    <n v="2316.2621999999997"/>
    <n v="1719.25"/>
    <n v="597.01219999999967"/>
    <n v="0.25774810813732563"/>
    <s v="Q4-2024"/>
    <s v="Europe → United Kingdom → Manchester"/>
    <s v="Low"/>
    <n v="2024"/>
    <n v="10"/>
    <x v="0"/>
  </r>
  <r>
    <s v="ORD-2025-337268"/>
    <d v="2025-02-16T00:00:00"/>
    <d v="2025-03-17T00:00:00"/>
    <d v="2025-02-16T00:00:00"/>
    <d v="2025-03-17T00:00:00"/>
    <n v="29"/>
    <s v="2-2025"/>
    <s v="Europe"/>
    <s v="Germany"/>
    <s v="Munich"/>
    <s v="Consumer"/>
    <s v="Retail"/>
    <s v="L. Okafor"/>
    <s v="Accessories"/>
    <s v="ACC-5150"/>
    <n v="730.42"/>
    <n v="956.7"/>
    <n v="4.2000000000000003E-2"/>
    <n v="22"/>
    <n v="20163.409200000002"/>
    <n v="16069.24"/>
    <n v="4094.1692000000021"/>
    <n v="0.20304945256975698"/>
    <s v="Q1-2025"/>
    <s v="Europe → Germany → Munich"/>
    <s v="Low"/>
    <n v="2025"/>
    <n v="2"/>
    <x v="0"/>
  </r>
  <r>
    <s v="ORD-2023-450877"/>
    <d v="2023-09-21T00:00:00"/>
    <d v="2023-10-10T00:00:00"/>
    <d v="2023-09-21T00:00:00"/>
    <d v="2023-10-10T00:00:00"/>
    <n v="19"/>
    <s v="9-2023"/>
    <s v="Asia"/>
    <s v="Japan"/>
    <s v="Tokyo"/>
    <s v="Education"/>
    <s v="Online"/>
    <s v="D. Smith"/>
    <s v="Components"/>
    <s v="CMP-5211"/>
    <n v="845.63"/>
    <n v="2062.12"/>
    <n v="0.13400000000000001"/>
    <n v="5"/>
    <n v="8928.9795999999988"/>
    <n v="4228.1499999999996"/>
    <n v="4700.8295999999991"/>
    <n v="0.52646884757133949"/>
    <s v="Q3-2023"/>
    <s v="Asia → Japan → Tokyo"/>
    <s v="High"/>
    <n v="2023"/>
    <n v="9"/>
    <x v="0"/>
  </r>
  <r>
    <s v="ORD-2023-286994"/>
    <d v="2023-02-24T00:00:00"/>
    <d v="2023-03-09T00:00:00"/>
    <d v="2023-02-24T00:00:00"/>
    <d v="2023-03-09T00:00:00"/>
    <n v="13"/>
    <s v="2-2023"/>
    <s v="Americas"/>
    <s v="USA"/>
    <s v="New York"/>
    <s v="Enterprise"/>
    <s v="Online"/>
    <s v="M. Rossi"/>
    <s v="Components"/>
    <s v="CMP-1632"/>
    <n v="6.85"/>
    <n v="10.18"/>
    <n v="4.7E-2"/>
    <n v="10"/>
    <n v="97.0154"/>
    <n v="68.5"/>
    <n v="28.5154"/>
    <n v="0.2939265312517394"/>
    <s v="Q1-2023"/>
    <s v="Americas → USA → New York"/>
    <s v="Low"/>
    <n v="2023"/>
    <n v="2"/>
    <x v="0"/>
  </r>
  <r>
    <s v="ORD-2025-700847"/>
    <d v="2025-05-21T00:00:00"/>
    <d v="2025-05-19T00:00:00"/>
    <d v="2025-05-19T00:00:00"/>
    <d v="2025-05-21T00:00:00"/>
    <n v="2"/>
    <s v="5-2025"/>
    <s v="Africa"/>
    <s v="South Africa"/>
    <s v="Johannesburg"/>
    <s v="Non-Profit"/>
    <s v="Distributor"/>
    <s v="O. Wang"/>
    <s v="Laptops"/>
    <s v="LAP-7099"/>
    <n v="1263.8399999999999"/>
    <n v="2281.7199999999998"/>
    <n v="7.8E-2"/>
    <n v="15"/>
    <n v="31556.187599999997"/>
    <n v="18957.599999999999"/>
    <n v="12598.587599999999"/>
    <n v="0.39924301882398494"/>
    <s v="Q2-2025"/>
    <s v="Africa → South Africa → Johannesburg"/>
    <s v="High"/>
    <n v="2025"/>
    <n v="5"/>
    <x v="1"/>
  </r>
  <r>
    <s v="ORD-2024-970848"/>
    <d v="2024-05-23T00:00:00"/>
    <d v="2024-06-03T00:00:00"/>
    <d v="2024-05-23T00:00:00"/>
    <d v="2024-06-03T00:00:00"/>
    <n v="11"/>
    <s v="5-2024"/>
    <s v="Africa"/>
    <s v="South Africa"/>
    <s v="Johannesburg"/>
    <s v="Small Business"/>
    <s v="Distributor"/>
    <s v="F. Müller"/>
    <s v="Printers"/>
    <s v="PRN-3785"/>
    <n v="180.89"/>
    <n v="249.57"/>
    <n v="2.1999999999999999E-2"/>
    <n v="8"/>
    <n v="1952.6356799999999"/>
    <n v="1447.12"/>
    <n v="505.51567999999997"/>
    <n v="0.25888888806948362"/>
    <s v="Q2-2024"/>
    <s v="Africa → South Africa → Johannesburg"/>
    <s v="Low"/>
    <n v="2024"/>
    <n v="5"/>
    <x v="0"/>
  </r>
  <r>
    <s v="ORD-2025-845715"/>
    <d v="2025-04-14T00:00:00"/>
    <d v="2025-05-04T00:00:00"/>
    <d v="2025-04-14T00:00:00"/>
    <d v="2025-05-04T00:00:00"/>
    <n v="20"/>
    <s v="4-2025"/>
    <s v="Europe"/>
    <s v="United Kingdom"/>
    <s v="Birmingham"/>
    <s v="Enterprise"/>
    <s v="Marketplace"/>
    <s v="K. Singh"/>
    <s v="Monitors"/>
    <s v="MON-6962"/>
    <n v="1413.87"/>
    <n v="3275"/>
    <n v="0.255"/>
    <n v="38"/>
    <n v="92715.25"/>
    <n v="53727.06"/>
    <n v="38988.19"/>
    <n v="0.42051539525590453"/>
    <s v="Q2-2025"/>
    <s v="Europe → United Kingdom → Birmingham"/>
    <s v="High"/>
    <n v="2025"/>
    <n v="4"/>
    <x v="0"/>
  </r>
  <r>
    <s v="ORD-2023-664749"/>
    <d v="2023-08-27T00:00:00"/>
    <d v="2023-09-11T00:00:00"/>
    <d v="2023-08-27T00:00:00"/>
    <d v="2023-09-11T00:00:00"/>
    <n v="15"/>
    <s v="8-2023"/>
    <s v="Europe"/>
    <s v="United Kingdom"/>
    <s v="London"/>
    <s v="Consumer"/>
    <s v="Marketplace"/>
    <s v="N. Brown"/>
    <s v="Printers"/>
    <s v="PRN-5107"/>
    <n v="943.79"/>
    <n v="1913.76"/>
    <n v="9.0999999999999998E-2"/>
    <n v="9"/>
    <n v="15656.47056"/>
    <n v="8494.11"/>
    <n v="7162.3605599999992"/>
    <n v="0.45746967891338081"/>
    <s v="Q3-2023"/>
    <s v="Europe → United Kingdom → London"/>
    <s v="High"/>
    <n v="2023"/>
    <n v="8"/>
    <x v="0"/>
  </r>
  <r>
    <s v="ORD-2024-960952"/>
    <d v="2024-02-03T00:00:00"/>
    <d v="2024-02-21T00:00:00"/>
    <d v="2024-02-03T00:00:00"/>
    <d v="2024-02-21T00:00:00"/>
    <n v="18"/>
    <s v="2-2024"/>
    <s v="Europe"/>
    <s v="Germany"/>
    <s v="Frankfurt"/>
    <s v="Corporate"/>
    <s v="Retail"/>
    <s v="H. Kim"/>
    <s v="Components"/>
    <s v="CMP-9264"/>
    <n v="39.229999999999997"/>
    <n v="30.09"/>
    <n v="0.17699999999999999"/>
    <n v="13"/>
    <n v="321.93290999999999"/>
    <n v="509.98999999999995"/>
    <n v="-188.05708999999996"/>
    <n v="-0.58414993981199359"/>
    <s v="Q1-2024"/>
    <s v="Europe → Germany → Frankfurt"/>
    <s v="Low"/>
    <n v="2024"/>
    <n v="2"/>
    <x v="0"/>
  </r>
  <r>
    <s v="ORD-2023-987700"/>
    <d v="2023-04-05T00:00:00"/>
    <d v="2023-04-16T00:00:00"/>
    <d v="2023-04-05T00:00:00"/>
    <d v="2023-04-16T00:00:00"/>
    <n v="11"/>
    <s v="4-2023"/>
    <s v="Americas"/>
    <s v="Canada"/>
    <s v="Vancouver"/>
    <s v="Non-Profit"/>
    <s v="Online"/>
    <s v="O. Wang"/>
    <s v="Monitors"/>
    <s v="MON-5259"/>
    <n v="213.1"/>
    <n v="501.31"/>
    <n v="5.6000000000000001E-2"/>
    <n v="15"/>
    <n v="7098.5495999999994"/>
    <n v="3196.5"/>
    <n v="3902.0495999999994"/>
    <n v="0.54969674368409005"/>
    <s v="Q2-2023"/>
    <s v="Americas → Canada → Vancouver"/>
    <s v="Low"/>
    <n v="2023"/>
    <n v="4"/>
    <x v="0"/>
  </r>
  <r>
    <s v="ORD-2025-652467"/>
    <d v="2025-08-21T00:00:00"/>
    <d v="2025-09-12T00:00:00"/>
    <d v="2025-08-21T00:00:00"/>
    <d v="2025-09-12T00:00:00"/>
    <n v="22"/>
    <s v="8-2025"/>
    <s v="Asia"/>
    <s v="China"/>
    <s v="Shenzhen"/>
    <s v="Education"/>
    <s v="Retail"/>
    <s v="B. Chen"/>
    <s v="Printers"/>
    <s v="PRN-8137"/>
    <n v="352.66"/>
    <n v="411.18"/>
    <n v="0.17299999999999999"/>
    <n v="13"/>
    <n v="4420.5961799999995"/>
    <n v="4584.58"/>
    <n v="-163.98382000000038"/>
    <n v="-3.7095408248758066E-2"/>
    <s v="Q3-2025"/>
    <s v="Asia → China → Shenzhen"/>
    <s v="Low"/>
    <n v="2025"/>
    <n v="8"/>
    <x v="0"/>
  </r>
  <r>
    <s v="ORD-2023-619570"/>
    <d v="2023-11-14T00:00:00"/>
    <d v="2023-11-30T00:00:00"/>
    <d v="2023-11-14T00:00:00"/>
    <d v="2023-11-30T00:00:00"/>
    <n v="16"/>
    <s v="11-2023"/>
    <s v="Americas"/>
    <s v="Brazil"/>
    <s v="São Paulo"/>
    <s v="Enterprise"/>
    <s v="Direct"/>
    <s v="K. Singh"/>
    <s v="Networking"/>
    <s v="NET-4104"/>
    <n v="1017.92"/>
    <n v="1175.25"/>
    <n v="7.4999999999999997E-2"/>
    <n v="15"/>
    <n v="16306.59375"/>
    <n v="15268.8"/>
    <n v="1037.7937500000007"/>
    <n v="6.3642583234159542E-2"/>
    <s v="Q4-2023"/>
    <s v="Americas → Brazil → São Paulo"/>
    <s v="Low"/>
    <n v="2023"/>
    <n v="11"/>
    <x v="0"/>
  </r>
  <r>
    <s v="ORD-2024-237478"/>
    <d v="2024-10-03T00:00:00"/>
    <d v="2024-10-11T00:00:00"/>
    <d v="2024-10-03T00:00:00"/>
    <d v="2024-10-11T00:00:00"/>
    <n v="8"/>
    <s v="10-2024"/>
    <s v="Asia"/>
    <s v="China"/>
    <s v="Beijing"/>
    <s v="Enterprise"/>
    <s v="Direct"/>
    <s v="B. Chen"/>
    <s v="Phones"/>
    <s v="PHN-7488"/>
    <n v="1132.6099999999999"/>
    <n v="2206.63"/>
    <n v="6.3E-2"/>
    <n v="20"/>
    <n v="41352.246200000009"/>
    <n v="22652.199999999997"/>
    <n v="18700.046200000012"/>
    <n v="0.45221355351671338"/>
    <s v="Q4-2024"/>
    <s v="Asia → China → Beijing"/>
    <s v="High"/>
    <n v="2024"/>
    <n v="10"/>
    <x v="0"/>
  </r>
  <r>
    <s v="ORD-2024-997336"/>
    <d v="2024-10-04T00:00:00"/>
    <d v="2024-11-02T00:00:00"/>
    <d v="2024-10-04T00:00:00"/>
    <d v="2024-11-02T00:00:00"/>
    <n v="29"/>
    <s v="10-2024"/>
    <s v="Africa"/>
    <s v="Nigeria"/>
    <s v="Abuja"/>
    <s v="Corporate"/>
    <s v="Distributor"/>
    <s v="F. Müller"/>
    <s v="Accessories"/>
    <s v="ACC-9038"/>
    <n v="412.09"/>
    <n v="968.94"/>
    <n v="9.9000000000000005E-2"/>
    <n v="23"/>
    <n v="20079.343620000003"/>
    <n v="9478.07"/>
    <n v="10601.273620000004"/>
    <n v="0.52796913189137418"/>
    <s v="Q4-2024"/>
    <s v="Africa → Nigeria → Abuja"/>
    <s v="Low"/>
    <n v="2024"/>
    <n v="10"/>
    <x v="0"/>
  </r>
  <r>
    <s v="ORD-2023-334213"/>
    <d v="2023-08-19T00:00:00"/>
    <d v="2023-08-23T00:00:00"/>
    <d v="2023-08-19T00:00:00"/>
    <d v="2023-08-23T00:00:00"/>
    <n v="4"/>
    <s v="8-2023"/>
    <s v="Africa"/>
    <s v="Nigeria"/>
    <s v="Abuja"/>
    <s v="Small Business"/>
    <s v="Online"/>
    <s v="J. Njeri"/>
    <s v="Monitors"/>
    <s v="MON-5517"/>
    <n v="790.63"/>
    <n v="1382.31"/>
    <n v="0.10100000000000001"/>
    <n v="7"/>
    <n v="8698.8768300000011"/>
    <n v="5534.41"/>
    <n v="3164.4668300000012"/>
    <n v="0.36377878338116448"/>
    <s v="Q3-2023"/>
    <s v="Africa → Nigeria → Abuja"/>
    <s v="Medium"/>
    <n v="2023"/>
    <n v="8"/>
    <x v="1"/>
  </r>
  <r>
    <s v="ORD-2024-640340"/>
    <d v="2024-10-22T00:00:00"/>
    <d v="2024-10-29T00:00:00"/>
    <d v="2024-10-22T00:00:00"/>
    <d v="2024-10-29T00:00:00"/>
    <n v="7"/>
    <s v="10-2024"/>
    <s v="Africa"/>
    <s v="Nigeria"/>
    <s v="Port Harcourt"/>
    <s v="Enterprise"/>
    <s v="Distributor"/>
    <s v="M. Rossi"/>
    <s v="Monitors"/>
    <s v="MON-8758"/>
    <n v="1023.06"/>
    <n v="1355.61"/>
    <n v="0.153"/>
    <n v="23"/>
    <n v="26408.63841"/>
    <n v="23530.379999999997"/>
    <n v="2878.2584100000022"/>
    <n v="0.10898927711888809"/>
    <s v="Q4-2024"/>
    <s v="Africa → Nigeria → Port Harcourt"/>
    <s v="Medium"/>
    <n v="2024"/>
    <n v="10"/>
    <x v="1"/>
  </r>
  <r>
    <s v="ORD-2023-780206"/>
    <d v="2023-01-19T00:00:00"/>
    <d v="2023-02-03T00:00:00"/>
    <d v="2023-01-19T00:00:00"/>
    <d v="2023-02-03T00:00:00"/>
    <n v="15"/>
    <s v="1-2023"/>
    <s v="Europe"/>
    <s v="United Kingdom"/>
    <s v="London"/>
    <s v="Enterprise"/>
    <s v="Distributor"/>
    <s v="G. Dubois"/>
    <s v="Accessories"/>
    <s v="ACC-3645"/>
    <n v="873.06"/>
    <n v="2101.5500000000002"/>
    <n v="6.6000000000000003E-2"/>
    <n v="10"/>
    <n v="19628.476999999999"/>
    <n v="8730.5999999999985"/>
    <n v="10897.877"/>
    <n v="0.55520746719167269"/>
    <s v="Q1-2023"/>
    <s v="Europe → United Kingdom → London"/>
    <s v="High"/>
    <n v="2023"/>
    <n v="1"/>
    <x v="0"/>
  </r>
  <r>
    <s v="ORD-2025-542939"/>
    <d v="2025-01-13T00:00:00"/>
    <d v="2025-02-08T00:00:00"/>
    <d v="2025-01-13T00:00:00"/>
    <d v="2025-02-08T00:00:00"/>
    <n v="26"/>
    <s v="1-2025"/>
    <s v="Europe"/>
    <s v="France"/>
    <s v="Paris"/>
    <s v="Non-Profit"/>
    <s v="Unknown Channel"/>
    <s v="E. Garcia"/>
    <s v="Monitors"/>
    <s v="MON-1593"/>
    <n v="594.74"/>
    <n v="1020.69"/>
    <n v="0.21099999999999999"/>
    <n v="6"/>
    <n v="4831.9464600000001"/>
    <n v="3568.44"/>
    <n v="1263.5064600000001"/>
    <n v="0.26149016146176424"/>
    <s v="Q1-2025"/>
    <s v="Europe → France → Paris"/>
    <s v="Low"/>
    <n v="2025"/>
    <n v="1"/>
    <x v="0"/>
  </r>
  <r>
    <s v="ORD-2025-922513"/>
    <d v="2025-08-28T00:00:00"/>
    <d v="2025-08-26T00:00:00"/>
    <d v="2025-08-26T00:00:00"/>
    <d v="2025-08-28T00:00:00"/>
    <n v="2"/>
    <s v="8-2025"/>
    <s v="Africa"/>
    <s v="Nigeria"/>
    <s v="Port Harcourt"/>
    <s v="Small Business"/>
    <s v="Retail"/>
    <s v="A. Patel"/>
    <s v="Accessories"/>
    <s v="ACC-4483"/>
    <n v="521.05999999999995"/>
    <n v="1240.31"/>
    <n v="0.14599999999999999"/>
    <n v="18"/>
    <n v="19066.045319999997"/>
    <n v="9379.0799999999981"/>
    <n v="9686.9653199999993"/>
    <n v="0.50807417885650974"/>
    <s v="Q3-2025"/>
    <s v="Africa → Nigeria → Port Harcourt"/>
    <s v="Medium"/>
    <n v="2025"/>
    <n v="8"/>
    <x v="1"/>
  </r>
  <r>
    <s v="ORD-2023-239789"/>
    <d v="2023-12-03T00:00:00"/>
    <d v="2023-12-26T00:00:00"/>
    <d v="2023-12-03T00:00:00"/>
    <d v="2023-12-26T00:00:00"/>
    <n v="23"/>
    <s v="12-2023"/>
    <s v="Americas"/>
    <s v="Brazil"/>
    <s v="Rio de Janeiro"/>
    <s v="Education"/>
    <s v="Retail"/>
    <s v="O. Wang"/>
    <s v="Phones"/>
    <s v="PHN-4644"/>
    <n v="1303.1099999999999"/>
    <n v="1145.67"/>
    <n v="0.184"/>
    <n v="13"/>
    <n v="12153.267360000002"/>
    <n v="16940.43"/>
    <n v="-4787.1626399999986"/>
    <n v="-0.39389922875851208"/>
    <s v="Q4-2023"/>
    <s v="Americas → Brazil → Rio de Janeiro"/>
    <s v="Low"/>
    <n v="2023"/>
    <n v="12"/>
    <x v="0"/>
  </r>
  <r>
    <s v="ORD-2023-581799"/>
    <d v="2023-12-05T00:00:00"/>
    <d v="2023-12-12T00:00:00"/>
    <d v="2023-12-05T00:00:00"/>
    <d v="2023-12-12T00:00:00"/>
    <n v="7"/>
    <s v="12-2023"/>
    <s v="Americas"/>
    <s v="Brazil"/>
    <s v="Brasília"/>
    <s v="Corporate"/>
    <s v="Direct"/>
    <s v="F. Müller"/>
    <s v="Phones"/>
    <s v="PHN-6506"/>
    <n v="307.43"/>
    <n v="495.19"/>
    <n v="0"/>
    <n v="42"/>
    <n v="20797.98"/>
    <n v="12912.06"/>
    <n v="7885.92"/>
    <n v="0.37916759223732305"/>
    <s v="Q4-2023"/>
    <s v="Americas → Brazil → Brasília"/>
    <s v="Low"/>
    <n v="2023"/>
    <n v="12"/>
    <x v="1"/>
  </r>
  <r>
    <s v="ORD-2024-760799"/>
    <d v="2024-02-03T00:00:00"/>
    <d v="2024-02-19T00:00:00"/>
    <d v="2024-02-03T00:00:00"/>
    <d v="2024-02-19T00:00:00"/>
    <n v="16"/>
    <s v="2-2024"/>
    <s v="Asia"/>
    <s v="China"/>
    <s v="Shenzhen"/>
    <s v="Small Business"/>
    <s v="Online"/>
    <s v="H. Kim"/>
    <s v="Laptops"/>
    <s v="LAP-5531"/>
    <n v="993.75"/>
    <n v="1310.29"/>
    <n v="0.215"/>
    <n v="19"/>
    <n v="19542.975350000001"/>
    <n v="18881.25"/>
    <n v="661.72535000000062"/>
    <n v="3.3860010471742245E-2"/>
    <s v="Q1-2024"/>
    <s v="Asia → China → Shenzhen"/>
    <s v="Medium"/>
    <n v="2024"/>
    <n v="2"/>
    <x v="0"/>
  </r>
  <r>
    <s v="ORD-2023-197661"/>
    <d v="2023-08-08T00:00:00"/>
    <d v="2023-08-22T00:00:00"/>
    <d v="2023-08-08T00:00:00"/>
    <d v="2023-08-22T00:00:00"/>
    <n v="14"/>
    <s v="8-2023"/>
    <s v="Europe"/>
    <s v="United Kingdom"/>
    <s v="Birmingham"/>
    <s v="Non-Profit"/>
    <s v="Direct"/>
    <s v="N. Brown"/>
    <s v="Monitors"/>
    <s v="MON-7511"/>
    <n v="446.69"/>
    <n v="967.25"/>
    <n v="9.4E-2"/>
    <n v="10"/>
    <n v="8763.2849999999999"/>
    <n v="4466.8999999999996"/>
    <n v="4296.3850000000002"/>
    <n v="0.49027105702941309"/>
    <s v="Q3-2023"/>
    <s v="Europe → United Kingdom → Birmingham"/>
    <s v="Low"/>
    <n v="2023"/>
    <n v="8"/>
    <x v="0"/>
  </r>
  <r>
    <s v="ORD-2024-212990"/>
    <d v="2024-08-12T00:00:00"/>
    <d v="2024-09-03T00:00:00"/>
    <d v="2024-08-12T00:00:00"/>
    <d v="2024-09-03T00:00:00"/>
    <n v="22"/>
    <s v="8-2024"/>
    <s v="Americas"/>
    <s v="USA"/>
    <s v="Austin"/>
    <s v="Consumer"/>
    <s v="Distributor"/>
    <s v="I. Johnson"/>
    <s v="Laptops"/>
    <s v="LAP-7979"/>
    <n v="797.8"/>
    <n v="886.22"/>
    <n v="0.23599999999999999"/>
    <n v="36"/>
    <n v="24374.594880000001"/>
    <n v="28720.799999999999"/>
    <n v="-4346.2051199999987"/>
    <n v="-0.17830881462428633"/>
    <s v="Q3-2024"/>
    <s v="Americas → USA → Austin"/>
    <s v="Low"/>
    <n v="2024"/>
    <n v="8"/>
    <x v="0"/>
  </r>
  <r>
    <s v="ORD-2023-925146"/>
    <d v="2023-10-15T00:00:00"/>
    <d v="2023-11-13T00:00:00"/>
    <d v="2023-10-15T00:00:00"/>
    <d v="2023-11-13T00:00:00"/>
    <n v="29"/>
    <s v="10-2023"/>
    <s v="Asia"/>
    <s v="China"/>
    <s v="Shenzhen"/>
    <s v="Non-Profit"/>
    <s v="Distributor"/>
    <s v="J. Njeri"/>
    <s v="Printers"/>
    <s v="PRN-4983"/>
    <n v="986.44"/>
    <n v="790.61"/>
    <n v="7.1999999999999995E-2"/>
    <n v="6"/>
    <n v="4402.1164799999997"/>
    <n v="5918.64"/>
    <n v="-1516.5235200000006"/>
    <n v="-0.34449872621271499"/>
    <s v="Q4-2023"/>
    <s v="Asia → China → Shenzhen"/>
    <s v="Low"/>
    <n v="2023"/>
    <n v="10"/>
    <x v="0"/>
  </r>
  <r>
    <s v="ORD-2023-177794"/>
    <d v="2023-05-04T00:00:00"/>
    <d v="2023-05-26T00:00:00"/>
    <d v="2023-05-04T00:00:00"/>
    <d v="2023-05-26T00:00:00"/>
    <n v="22"/>
    <s v="5-2023"/>
    <s v="Americas"/>
    <s v="USA"/>
    <s v="San Francisco"/>
    <s v="Enterprise"/>
    <s v="Online"/>
    <s v="J. Njeri"/>
    <s v="Networking"/>
    <s v="NET-5941"/>
    <n v="249.71"/>
    <n v="361.33"/>
    <n v="9.4E-2"/>
    <n v="12"/>
    <n v="3928.3797600000003"/>
    <n v="2996.52"/>
    <n v="931.85976000000028"/>
    <n v="0.23721223937881206"/>
    <s v="Q2-2023"/>
    <s v="Americas → USA → San Francisco"/>
    <s v="Low"/>
    <n v="2023"/>
    <n v="5"/>
    <x v="0"/>
  </r>
  <r>
    <s v="ORD-2023-195665"/>
    <d v="2023-12-19T00:00:00"/>
    <d v="2023-12-20T00:00:00"/>
    <d v="2023-12-19T00:00:00"/>
    <d v="2023-12-20T00:00:00"/>
    <n v="1"/>
    <s v="12-2023"/>
    <s v="Americas"/>
    <s v="Brazil"/>
    <s v="Rio de Janeiro"/>
    <s v="Consumer"/>
    <s v="Distributor"/>
    <s v="J. Njeri"/>
    <s v="Phones"/>
    <s v="PHN-7274"/>
    <n v="1080.43"/>
    <n v="2529.15"/>
    <n v="0.14699999999999999"/>
    <n v="10"/>
    <n v="21573.6495"/>
    <n v="10804.300000000001"/>
    <n v="10769.349499999998"/>
    <n v="0.49918997247081437"/>
    <s v="Q4-2023"/>
    <s v="Americas → Brazil → Rio de Janeiro"/>
    <s v="High"/>
    <n v="2023"/>
    <n v="12"/>
    <x v="1"/>
  </r>
  <r>
    <s v="ORD-2024-668926"/>
    <d v="2024-10-23T00:00:00"/>
    <d v="2024-11-14T00:00:00"/>
    <d v="2024-10-23T00:00:00"/>
    <d v="2024-11-14T00:00:00"/>
    <n v="22"/>
    <s v="10-2024"/>
    <s v="Asia"/>
    <s v="Japan"/>
    <s v="Osaka"/>
    <s v="Non-Profit"/>
    <s v="Direct"/>
    <s v="B. Chen"/>
    <s v="Phones"/>
    <s v="PHN-9789"/>
    <n v="1406.4"/>
    <n v="1564.76"/>
    <n v="0.185"/>
    <n v="17"/>
    <n v="21679.749799999998"/>
    <n v="23908.800000000003"/>
    <n v="-2229.0502000000051"/>
    <n v="-0.10281715520536151"/>
    <s v="Q4-2024"/>
    <s v="Asia → Japan → Osaka"/>
    <s v="Medium"/>
    <n v="2024"/>
    <n v="10"/>
    <x v="0"/>
  </r>
  <r>
    <s v="ORD-2024-968374"/>
    <d v="2024-02-11T00:00:00"/>
    <d v="2024-03-03T00:00:00"/>
    <d v="2024-02-11T00:00:00"/>
    <d v="2024-03-03T00:00:00"/>
    <n v="21"/>
    <s v="2-2024"/>
    <s v="Africa"/>
    <s v="Kenya"/>
    <s v="Kisumu"/>
    <s v="Enterprise"/>
    <s v="Online"/>
    <s v="B. Chen"/>
    <s v="Phones"/>
    <s v="PHN-5082"/>
    <n v="516.86"/>
    <n v="852.54"/>
    <n v="5.0999999999999997E-2"/>
    <n v="14"/>
    <n v="11326.846439999999"/>
    <n v="7236.04"/>
    <n v="4090.8064399999994"/>
    <n v="0.36116022775355994"/>
    <s v="Q1-2024"/>
    <s v="Africa → Kenya → Kisumu"/>
    <s v="Low"/>
    <n v="2024"/>
    <n v="2"/>
    <x v="0"/>
  </r>
  <r>
    <s v="ORD-2023-575584"/>
    <d v="2023-01-30T00:00:00"/>
    <d v="2023-02-21T00:00:00"/>
    <d v="2023-01-30T00:00:00"/>
    <d v="2023-02-21T00:00:00"/>
    <n v="22"/>
    <s v="1-2023"/>
    <s v="Europe"/>
    <s v="Germany"/>
    <s v="Munich"/>
    <s v="Small Business"/>
    <s v="Marketplace"/>
    <s v="G. Dubois"/>
    <s v="Networking"/>
    <s v="NET-3460"/>
    <n v="1142.8800000000001"/>
    <n v="1465.29"/>
    <n v="0.186"/>
    <n v="7"/>
    <n v="8349.2224200000001"/>
    <n v="8000.1600000000008"/>
    <n v="349.06241999999929"/>
    <n v="4.1807775915017401E-2"/>
    <s v="Q1-2023"/>
    <s v="Europe → Germany → Munich"/>
    <s v="Medium"/>
    <n v="2023"/>
    <n v="1"/>
    <x v="0"/>
  </r>
  <r>
    <s v="ORD-2023-701153"/>
    <d v="2023-04-14T00:00:00"/>
    <d v="2023-05-13T00:00:00"/>
    <d v="2023-04-14T00:00:00"/>
    <d v="2023-05-13T00:00:00"/>
    <n v="29"/>
    <s v="4-2023"/>
    <s v="Europe"/>
    <s v="Germany"/>
    <s v="Frankfurt"/>
    <s v="Consumer"/>
    <s v="Direct"/>
    <s v="J. Njeri"/>
    <s v="Printers"/>
    <s v="PRN-7019"/>
    <n v="1320.33"/>
    <n v="2645.23"/>
    <n v="0.155"/>
    <n v="25"/>
    <n v="55880.483749999999"/>
    <n v="33008.25"/>
    <n v="22872.233749999999"/>
    <n v="0.40930629470436536"/>
    <s v="Q2-2023"/>
    <s v="Europe → Germany → Frankfurt"/>
    <s v="High"/>
    <n v="2023"/>
    <n v="4"/>
    <x v="0"/>
  </r>
  <r>
    <s v="ORD-2023-382017"/>
    <d v="2023-01-13T00:00:00"/>
    <d v="2023-01-19T00:00:00"/>
    <d v="2023-01-13T00:00:00"/>
    <d v="2023-01-19T00:00:00"/>
    <n v="6"/>
    <s v="1-2023"/>
    <s v="Americas"/>
    <s v="USA"/>
    <s v="Chicago"/>
    <s v="Corporate"/>
    <s v="Direct"/>
    <s v="H. Kim"/>
    <s v="Phones"/>
    <s v="PHN-3159"/>
    <n v="833.57"/>
    <n v="881.57"/>
    <n v="5.7000000000000002E-2"/>
    <n v="18"/>
    <n v="14963.769179999999"/>
    <n v="15004.26"/>
    <n v="-40.490820000000895"/>
    <n v="-2.7059238560107821E-3"/>
    <s v="Q1-2023"/>
    <s v="Americas → USA → Chicago"/>
    <s v="Low"/>
    <n v="2023"/>
    <n v="1"/>
    <x v="1"/>
  </r>
  <r>
    <s v="ORD-2024-999607"/>
    <d v="2024-01-12T00:00:00"/>
    <d v="2024-01-29T00:00:00"/>
    <d v="2024-01-12T00:00:00"/>
    <d v="2024-01-29T00:00:00"/>
    <n v="17"/>
    <s v="1-2024"/>
    <s v="Americas"/>
    <s v="USA"/>
    <s v="Chicago"/>
    <s v="Education"/>
    <s v="Distributor"/>
    <s v="A. Patel"/>
    <s v="Printers"/>
    <s v="PRN-8604"/>
    <n v="493.76"/>
    <n v="625.04"/>
    <n v="0.25800000000000001"/>
    <n v="10"/>
    <n v="4637.7968000000001"/>
    <n v="4937.6000000000004"/>
    <n v="-299.80320000000029"/>
    <n v="-6.464345311549663E-2"/>
    <s v="Q1-2024"/>
    <s v="Americas → USA → Chicago"/>
    <s v="Low"/>
    <n v="2024"/>
    <n v="1"/>
    <x v="0"/>
  </r>
  <r>
    <s v="ORD-2023-133848"/>
    <d v="2023-08-15T00:00:00"/>
    <d v="2023-09-07T00:00:00"/>
    <d v="2023-08-15T00:00:00"/>
    <d v="2023-09-07T00:00:00"/>
    <n v="23"/>
    <s v="8-2023"/>
    <s v="Americas"/>
    <s v="USA"/>
    <s v="New York"/>
    <s v="Enterprise"/>
    <s v="Online"/>
    <s v="K. Singh"/>
    <s v="Phones"/>
    <s v="PHN-2013"/>
    <n v="590.33000000000004"/>
    <n v="973.04"/>
    <n v="0"/>
    <n v="26"/>
    <n v="25299.040000000001"/>
    <n v="15348.580000000002"/>
    <n v="9950.4599999999991"/>
    <n v="0.39331373838691108"/>
    <s v="Q3-2023"/>
    <s v="Americas → USA → New York"/>
    <s v="Low"/>
    <n v="2023"/>
    <n v="8"/>
    <x v="0"/>
  </r>
  <r>
    <s v="ORD-2023-586275"/>
    <d v="2023-01-20T00:00:00"/>
    <d v="2023-02-03T00:00:00"/>
    <d v="2023-01-20T00:00:00"/>
    <d v="2023-02-03T00:00:00"/>
    <n v="14"/>
    <s v="1-2023"/>
    <s v="Africa"/>
    <s v="Kenya"/>
    <s v="Kisumu"/>
    <s v="Corporate"/>
    <s v="Retail"/>
    <s v="M. Rossi"/>
    <s v="Networking"/>
    <s v="NET-6036"/>
    <n v="884.36"/>
    <n v="1545.34"/>
    <n v="0.24299999999999999"/>
    <n v="41"/>
    <n v="47962.717579999997"/>
    <n v="36258.76"/>
    <n v="11703.957579999995"/>
    <n v="0.24402198562827965"/>
    <s v="Q1-2023"/>
    <s v="Africa → Kenya → Kisumu"/>
    <s v="Medium"/>
    <n v="2023"/>
    <n v="1"/>
    <x v="0"/>
  </r>
  <r>
    <s v="ORD-2025-964661"/>
    <d v="2025-02-04T00:00:00"/>
    <d v="2025-02-25T00:00:00"/>
    <d v="2025-02-04T00:00:00"/>
    <d v="2025-02-25T00:00:00"/>
    <n v="21"/>
    <s v="2-2025"/>
    <s v="Europe"/>
    <s v="United Kingdom"/>
    <s v="Birmingham"/>
    <s v="Corporate"/>
    <s v="Marketplace"/>
    <s v="D. Smith"/>
    <s v="Monitors"/>
    <s v="MON-4959"/>
    <n v="1016.32"/>
    <n v="2253.42"/>
    <n v="5.5E-2"/>
    <n v="12"/>
    <n v="25553.782800000001"/>
    <n v="12195.84"/>
    <n v="13357.942800000001"/>
    <n v="0.52273837124419797"/>
    <s v="Q1-2025"/>
    <s v="Europe → United Kingdom → Birmingham"/>
    <s v="High"/>
    <n v="2025"/>
    <n v="2"/>
    <x v="0"/>
  </r>
  <r>
    <s v="ORD-2023-390998"/>
    <d v="2023-04-19T00:00:00"/>
    <d v="2023-04-28T00:00:00"/>
    <d v="2023-04-19T00:00:00"/>
    <d v="2023-04-28T00:00:00"/>
    <n v="9"/>
    <s v="4-2023"/>
    <s v="Europe"/>
    <s v="Germany"/>
    <s v="Berlin"/>
    <s v="Education"/>
    <s v="Online"/>
    <s v="E. Garcia"/>
    <s v="Monitors"/>
    <s v="MON-1663"/>
    <n v="1178.42"/>
    <n v="2446.56"/>
    <n v="2.9000000000000001E-2"/>
    <n v="11"/>
    <n v="26131.70736"/>
    <n v="12962.62"/>
    <n v="13169.08736"/>
    <n v="0.5039505141618883"/>
    <s v="Q2-2023"/>
    <s v="Europe → Germany → Berlin"/>
    <s v="High"/>
    <n v="2023"/>
    <n v="4"/>
    <x v="0"/>
  </r>
  <r>
    <s v="ORD-2023-920483"/>
    <d v="2023-07-02T00:00:00"/>
    <d v="2023-08-01T00:00:00"/>
    <d v="2023-07-02T00:00:00"/>
    <d v="2023-08-01T00:00:00"/>
    <n v="30"/>
    <s v="7-2023"/>
    <s v="Europe"/>
    <s v="United Kingdom"/>
    <s v="Birmingham"/>
    <s v="Small Business"/>
    <s v="Retail"/>
    <s v="B. Chen"/>
    <s v="Components"/>
    <s v="CMP-7256"/>
    <n v="137.46"/>
    <n v="188.3"/>
    <n v="3.7999999999999999E-2"/>
    <n v="37"/>
    <n v="6702.3501999999999"/>
    <n v="5086.0200000000004"/>
    <n v="1616.3301999999994"/>
    <n v="0.24115872071262398"/>
    <s v="Q3-2023"/>
    <s v="Europe → United Kingdom → Birmingham"/>
    <s v="Low"/>
    <n v="2023"/>
    <n v="7"/>
    <x v="0"/>
  </r>
  <r>
    <s v="ORD-2023-521280"/>
    <d v="2023-05-27T00:00:00"/>
    <d v="2023-06-19T00:00:00"/>
    <d v="2023-05-27T00:00:00"/>
    <d v="2023-06-19T00:00:00"/>
    <n v="23"/>
    <s v="5-2023"/>
    <s v="Europe"/>
    <s v="Germany"/>
    <s v="Berlin"/>
    <s v="Education"/>
    <s v="Retail"/>
    <s v="O. Wang"/>
    <s v="Accessories"/>
    <s v="ACC-1882"/>
    <n v="1471.58"/>
    <n v="2576.65"/>
    <n v="4.0000000000000001E-3"/>
    <n v="7"/>
    <n v="17964.4038"/>
    <n v="10301.06"/>
    <n v="7663.3438000000006"/>
    <n v="0.4265849223451546"/>
    <s v="Q2-2023"/>
    <s v="Europe → Germany → Berlin"/>
    <s v="High"/>
    <n v="2023"/>
    <n v="5"/>
    <x v="0"/>
  </r>
  <r>
    <s v="ORD-2024-687100"/>
    <d v="2024-09-10T00:00:00"/>
    <d v="2024-10-07T00:00:00"/>
    <d v="2024-09-10T00:00:00"/>
    <d v="2024-10-07T00:00:00"/>
    <n v="27"/>
    <s v="9-2024"/>
    <s v="Africa"/>
    <s v="Kenya"/>
    <s v="Kisumu"/>
    <s v="Consumer"/>
    <s v="Retail"/>
    <s v="L. Okafor"/>
    <s v="Printers"/>
    <s v="PRN-6068"/>
    <n v="1248.3900000000001"/>
    <n v="1805.11"/>
    <n v="0.20300000000000001"/>
    <n v="11"/>
    <n v="15825.399369999997"/>
    <n v="13732.29"/>
    <n v="2093.1093699999965"/>
    <n v="0.13226265707820786"/>
    <s v="Q3-2024"/>
    <s v="Africa → Kenya → Kisumu"/>
    <s v="Medium"/>
    <n v="2024"/>
    <n v="9"/>
    <x v="0"/>
  </r>
  <r>
    <s v="ORD-2025-629393"/>
    <d v="2025-07-21T00:00:00"/>
    <d v="2025-08-07T00:00:00"/>
    <d v="2025-07-21T00:00:00"/>
    <d v="2025-08-07T00:00:00"/>
    <n v="17"/>
    <s v="7-2025"/>
    <s v="Africa"/>
    <s v="Nigeria"/>
    <s v="Lagos"/>
    <s v="Enterprise"/>
    <s v="Direct"/>
    <s v="M. Rossi"/>
    <s v="Accessories"/>
    <s v="ACC-8999"/>
    <n v="1204.95"/>
    <n v="2065.73"/>
    <n v="0.13600000000000001"/>
    <n v="10"/>
    <n v="17847.907199999998"/>
    <n v="12049.5"/>
    <n v="5798.4071999999978"/>
    <n v="0.32487882949100039"/>
    <s v="Q3-2025"/>
    <s v="Africa → Nigeria → Lagos"/>
    <s v="High"/>
    <n v="2025"/>
    <n v="7"/>
    <x v="0"/>
  </r>
  <r>
    <s v="ORD-2024-686712"/>
    <d v="2024-10-02T00:00:00"/>
    <d v="2024-10-23T00:00:00"/>
    <d v="2024-10-02T00:00:00"/>
    <d v="2024-10-23T00:00:00"/>
    <n v="21"/>
    <s v="10-2024"/>
    <s v="Africa"/>
    <s v="South Africa"/>
    <s v="Durban"/>
    <s v="Corporate"/>
    <s v="Marketplace"/>
    <s v="A. Patel"/>
    <s v="Components"/>
    <s v="CMP-3978"/>
    <n v="1095.6099999999999"/>
    <n v="2366.5100000000002"/>
    <n v="0.152"/>
    <n v="9"/>
    <n v="18061.204320000004"/>
    <n v="9860.49"/>
    <n v="8200.7143200000046"/>
    <n v="0.4540513564158607"/>
    <s v="Q4-2024"/>
    <s v="Africa → South Africa → Durban"/>
    <s v="High"/>
    <n v="2024"/>
    <n v="10"/>
    <x v="0"/>
  </r>
  <r>
    <s v="ORD-2025-586799"/>
    <d v="2025-07-14T00:00:00"/>
    <d v="2025-08-04T00:00:00"/>
    <d v="2025-07-14T00:00:00"/>
    <d v="2025-08-04T00:00:00"/>
    <n v="21"/>
    <s v="7-2025"/>
    <s v="Americas"/>
    <s v="Canada"/>
    <s v="Montreal"/>
    <s v="Consumer"/>
    <s v="Online"/>
    <s v="H. Kim"/>
    <s v="Monitors"/>
    <s v="MON-7868"/>
    <n v="90.3"/>
    <n v="131.76"/>
    <n v="0.10199999999999999"/>
    <n v="15"/>
    <n v="1774.8072"/>
    <n v="1354.5"/>
    <n v="420.30719999999997"/>
    <n v="0.23681851189244668"/>
    <s v="Q3-2025"/>
    <s v="Americas → Canada → Montreal"/>
    <s v="Low"/>
    <n v="2025"/>
    <n v="7"/>
    <x v="0"/>
  </r>
  <r>
    <s v="ORD-2024-988736"/>
    <d v="2024-09-09T00:00:00"/>
    <d v="2024-10-01T00:00:00"/>
    <d v="2024-09-09T00:00:00"/>
    <d v="2024-10-01T00:00:00"/>
    <n v="22"/>
    <s v="9-2024"/>
    <s v="Asia"/>
    <s v="China"/>
    <s v="Shenzhen"/>
    <s v="Consumer"/>
    <s v="Direct"/>
    <s v="L. Okafor"/>
    <s v="Printers"/>
    <s v="PRN-3014"/>
    <n v="1166.18"/>
    <n v="1335.02"/>
    <n v="0.128"/>
    <n v="6"/>
    <n v="6984.8246399999998"/>
    <n v="6997.08"/>
    <n v="-12.25536000000011"/>
    <n v="-1.7545694604582242E-3"/>
    <s v="Q3-2024"/>
    <s v="Asia → China → Shenzhen"/>
    <s v="Medium"/>
    <n v="2024"/>
    <n v="9"/>
    <x v="0"/>
  </r>
  <r>
    <s v="ORD-2025-564184"/>
    <d v="2025-01-29T00:00:00"/>
    <d v="2025-02-06T00:00:00"/>
    <d v="2025-01-29T00:00:00"/>
    <d v="2025-02-06T00:00:00"/>
    <n v="8"/>
    <s v="1-2025"/>
    <s v="Africa"/>
    <s v="Kenya"/>
    <s v="Kisumu"/>
    <s v="Education"/>
    <s v="Retail"/>
    <s v="B. Chen"/>
    <s v="Phones"/>
    <s v="PHN-1671"/>
    <n v="1445.27"/>
    <n v="2691.45"/>
    <n v="0"/>
    <n v="9"/>
    <n v="24223.05"/>
    <n v="13007.43"/>
    <n v="11215.619999999999"/>
    <n v="0.46301436028906351"/>
    <s v="Q1-2025"/>
    <s v="Africa → Kenya → Kisumu"/>
    <s v="High"/>
    <n v="2025"/>
    <n v="1"/>
    <x v="0"/>
  </r>
  <r>
    <s v="ORD-2023-967239"/>
    <d v="2023-12-24T00:00:00"/>
    <d v="2024-01-01T00:00:00"/>
    <d v="2023-12-24T00:00:00"/>
    <d v="2024-01-01T00:00:00"/>
    <n v="8"/>
    <s v="12-2023"/>
    <s v="Americas"/>
    <s v="Brazil"/>
    <s v="São Paulo"/>
    <s v="Education"/>
    <s v="Direct"/>
    <s v="C. Otieno"/>
    <s v="Phones"/>
    <s v="PHN-3014"/>
    <n v="526.49"/>
    <n v="496.2"/>
    <n v="0"/>
    <n v="14"/>
    <n v="6946.8"/>
    <n v="7370.8600000000006"/>
    <n v="-424.0600000000004"/>
    <n v="-6.1043933897621985E-2"/>
    <s v="Q4-2023"/>
    <s v="Americas → Brazil → São Paulo"/>
    <s v="Low"/>
    <n v="2023"/>
    <n v="12"/>
    <x v="0"/>
  </r>
  <r>
    <s v="ORD-2024-197852"/>
    <d v="2024-02-29T00:00:00"/>
    <d v="2024-03-30T00:00:00"/>
    <d v="2024-02-29T00:00:00"/>
    <d v="2024-03-30T00:00:00"/>
    <n v="30"/>
    <s v="2-2024"/>
    <s v="Asia"/>
    <s v="Japan"/>
    <s v="Nagoya"/>
    <s v="Small Business"/>
    <s v="Direct"/>
    <s v="I. Johnson"/>
    <s v="Networking"/>
    <s v="NET-7588"/>
    <n v="231.11"/>
    <n v="318.17"/>
    <n v="0.20100000000000001"/>
    <n v="60"/>
    <n v="15253.069799999999"/>
    <n v="13866.6"/>
    <n v="1386.4697999999989"/>
    <n v="9.0897754889969692E-2"/>
    <s v="Q1-2024"/>
    <s v="Asia → Japan → Nagoya"/>
    <s v="Low"/>
    <n v="2024"/>
    <n v="2"/>
    <x v="0"/>
  </r>
  <r>
    <s v="ORD-2023-431328"/>
    <d v="2023-12-20T00:00:00"/>
    <d v="2024-01-14T00:00:00"/>
    <d v="2023-12-20T00:00:00"/>
    <d v="2024-01-14T00:00:00"/>
    <n v="25"/>
    <s v="12-2023"/>
    <s v="Asia"/>
    <s v="India"/>
    <s v="Mumbai"/>
    <s v="Non-Profit"/>
    <s v="Marketplace"/>
    <s v="L. Okafor"/>
    <s v="Monitors"/>
    <s v="MON-1572"/>
    <n v="1085.6099999999999"/>
    <n v="1246.4100000000001"/>
    <n v="0.113"/>
    <n v="7"/>
    <n v="7738.9596900000006"/>
    <n v="7599.2699999999995"/>
    <n v="139.68969000000106"/>
    <n v="1.8050189637310417E-2"/>
    <s v="Q4-2023"/>
    <s v="Asia → India → Mumbai"/>
    <s v="Medium"/>
    <n v="2023"/>
    <n v="12"/>
    <x v="0"/>
  </r>
  <r>
    <s v="ORD-2023-613317"/>
    <d v="2023-01-22T00:00:00"/>
    <d v="2023-01-21T00:00:00"/>
    <d v="2023-01-21T00:00:00"/>
    <d v="2023-01-22T00:00:00"/>
    <n v="1"/>
    <s v="1-2023"/>
    <s v="Europe"/>
    <s v="Germany"/>
    <s v="Munich"/>
    <s v="Corporate"/>
    <s v="Direct"/>
    <s v="F. Müller"/>
    <s v="Monitors"/>
    <s v="MON-2537"/>
    <n v="150.86000000000001"/>
    <n v="346.96"/>
    <n v="0.19600000000000001"/>
    <n v="8"/>
    <n v="2231.6467200000002"/>
    <n v="1206.8800000000001"/>
    <n v="1024.7667200000001"/>
    <n v="0.45919755614365343"/>
    <s v="Q1-2023"/>
    <s v="Europe → Germany → Munich"/>
    <s v="Low"/>
    <n v="2023"/>
    <n v="1"/>
    <x v="1"/>
  </r>
  <r>
    <s v="ORD-2024-720756"/>
    <d v="2024-10-11T00:00:00"/>
    <d v="2024-11-09T00:00:00"/>
    <d v="2024-10-11T00:00:00"/>
    <d v="2024-11-09T00:00:00"/>
    <n v="29"/>
    <s v="10-2024"/>
    <s v="Asia"/>
    <s v="China"/>
    <s v="Shanghai"/>
    <s v="Non-Profit"/>
    <s v="Online"/>
    <s v="F. Müller"/>
    <s v="Printers"/>
    <s v="PRN-5666"/>
    <n v="391.64"/>
    <n v="504.76"/>
    <n v="4.0000000000000001E-3"/>
    <n v="13"/>
    <n v="6535.6324800000002"/>
    <n v="5091.32"/>
    <n v="1444.3124800000005"/>
    <n v="0.22099046793402319"/>
    <s v="Q4-2024"/>
    <s v="Asia → China → Shanghai"/>
    <s v="Low"/>
    <n v="2024"/>
    <n v="10"/>
    <x v="0"/>
  </r>
  <r>
    <s v="ORD-2024-499009"/>
    <d v="2024-01-25T00:00:00"/>
    <d v="2024-01-27T00:00:00"/>
    <d v="2024-01-25T00:00:00"/>
    <d v="2024-01-27T00:00:00"/>
    <n v="2"/>
    <s v="1-2024"/>
    <s v="Americas"/>
    <s v="Brazil"/>
    <s v="São Paulo"/>
    <s v="Non-Profit"/>
    <s v="Marketplace"/>
    <s v="N. Brown"/>
    <s v="Laptops"/>
    <s v="LAP-7056"/>
    <n v="1410.97"/>
    <n v="1650.75"/>
    <n v="0.13500000000000001"/>
    <n v="6"/>
    <n v="8567.3924999999999"/>
    <n v="8465.82"/>
    <n v="101.57250000000022"/>
    <n v="1.1855707556295596E-2"/>
    <s v="Q1-2024"/>
    <s v="Americas → Brazil → São Paulo"/>
    <s v="Medium"/>
    <n v="2024"/>
    <n v="1"/>
    <x v="1"/>
  </r>
  <r>
    <s v="ORD-2025-762212"/>
    <d v="2025-08-25T00:00:00"/>
    <d v="2025-09-24T00:00:00"/>
    <d v="2025-08-25T00:00:00"/>
    <d v="2025-09-24T00:00:00"/>
    <n v="30"/>
    <s v="8-2025"/>
    <s v="Africa"/>
    <s v="Kenya"/>
    <s v="Nairobi"/>
    <s v="Consumer"/>
    <s v="Direct"/>
    <s v="B. Chen"/>
    <s v="Components"/>
    <s v="CMP-4970"/>
    <n v="589.14"/>
    <n v="1300.58"/>
    <n v="5.5E-2"/>
    <n v="11"/>
    <n v="13519.529099999998"/>
    <n v="6480.54"/>
    <n v="7038.989099999998"/>
    <n v="0.52065342275863724"/>
    <s v="Q3-2025"/>
    <s v="Africa → Kenya → Nairobi"/>
    <s v="Medium"/>
    <n v="2025"/>
    <n v="8"/>
    <x v="0"/>
  </r>
  <r>
    <s v="ORD-2023-548874"/>
    <d v="2023-03-19T00:00:00"/>
    <d v="2023-04-09T00:00:00"/>
    <d v="2023-03-19T00:00:00"/>
    <d v="2023-04-09T00:00:00"/>
    <n v="21"/>
    <s v="3-2023"/>
    <s v="Europe"/>
    <s v="United Kingdom"/>
    <s v="Manchester"/>
    <s v="Consumer"/>
    <s v="Retail"/>
    <s v="L. Okafor"/>
    <s v="Accessories"/>
    <s v="ACC-9150"/>
    <n v="1082.17"/>
    <n v="1234.0999999999999"/>
    <n v="0.189"/>
    <n v="16"/>
    <n v="16013.681599999998"/>
    <n v="17314.72"/>
    <n v="-1301.0384000000031"/>
    <n v="-8.124542703534228E-2"/>
    <s v="Q1-2023"/>
    <s v="Europe → United Kingdom → Manchester"/>
    <s v="Medium"/>
    <n v="2023"/>
    <n v="3"/>
    <x v="0"/>
  </r>
  <r>
    <s v="ORD-2023-713375"/>
    <d v="2023-08-26T00:00:00"/>
    <d v="2023-09-10T00:00:00"/>
    <d v="2023-08-26T00:00:00"/>
    <d v="2023-09-10T00:00:00"/>
    <n v="15"/>
    <s v="8-2023"/>
    <s v="Africa"/>
    <s v="South Africa"/>
    <s v="Cape Town"/>
    <s v="Non-Profit"/>
    <s v="Direct"/>
    <s v="N. Brown"/>
    <s v="Components"/>
    <s v="CMP-7063"/>
    <n v="241.14"/>
    <n v="496.52"/>
    <n v="9.2999999999999999E-2"/>
    <n v="10"/>
    <n v="4503.4363999999996"/>
    <n v="2411.3999999999996"/>
    <n v="2092.0364"/>
    <n v="0.46454223268257994"/>
    <s v="Q3-2023"/>
    <s v="Africa → South Africa → Cape Town"/>
    <s v="Low"/>
    <n v="2023"/>
    <n v="8"/>
    <x v="0"/>
  </r>
  <r>
    <s v="ORD-2025-678688"/>
    <d v="2025-07-16T00:00:00"/>
    <d v="2025-07-17T00:00:00"/>
    <d v="2025-07-16T00:00:00"/>
    <d v="2025-07-17T00:00:00"/>
    <n v="1"/>
    <s v="7-2025"/>
    <s v="Africa"/>
    <s v="South Africa"/>
    <s v="Durban"/>
    <s v="Small Business"/>
    <s v="Distributor"/>
    <s v="B. Chen"/>
    <s v="Networking"/>
    <s v="NET-1612"/>
    <n v="1198.9000000000001"/>
    <n v="2941.2"/>
    <n v="5.0999999999999997E-2"/>
    <n v="24"/>
    <n v="66988.771199999988"/>
    <n v="28773.600000000002"/>
    <n v="38215.171199999982"/>
    <n v="0.57047129713583977"/>
    <s v="Q3-2025"/>
    <s v="Africa → South Africa → Durban"/>
    <s v="High"/>
    <n v="2025"/>
    <n v="7"/>
    <x v="1"/>
  </r>
  <r>
    <s v="ORD-2023-501220"/>
    <d v="2023-04-19T00:00:00"/>
    <d v="2023-05-07T00:00:00"/>
    <d v="2023-04-19T00:00:00"/>
    <d v="2023-05-07T00:00:00"/>
    <n v="18"/>
    <s v="4-2023"/>
    <s v="Europe"/>
    <s v="United Kingdom"/>
    <s v="Birmingham"/>
    <s v="Enterprise"/>
    <s v="Retail"/>
    <s v="N. Brown"/>
    <s v="Laptops"/>
    <s v="LAP-9766"/>
    <n v="1089.1500000000001"/>
    <n v="1088.2"/>
    <n v="5.0999999999999997E-2"/>
    <n v="15"/>
    <n v="15490.527"/>
    <n v="16337.250000000002"/>
    <n v="-846.72300000000178"/>
    <n v="-5.4660696824582002E-2"/>
    <s v="Q2-2023"/>
    <s v="Europe → United Kingdom → Birmingham"/>
    <s v="Low"/>
    <n v="2023"/>
    <n v="4"/>
    <x v="0"/>
  </r>
  <r>
    <s v="ORD-2024-206121"/>
    <d v="2024-02-18T00:00:00"/>
    <d v="2024-03-11T00:00:00"/>
    <d v="2024-02-18T00:00:00"/>
    <d v="2024-03-11T00:00:00"/>
    <n v="22"/>
    <s v="2-2024"/>
    <s v="Americas"/>
    <s v="Brazil"/>
    <s v="São Paulo"/>
    <s v="Consumer"/>
    <s v="Online"/>
    <s v="A. Patel"/>
    <s v="Components"/>
    <s v="CMP-9801"/>
    <n v="80.48"/>
    <n v="65.650000000000006"/>
    <n v="0.17599999999999999"/>
    <n v="13"/>
    <n v="703.2428000000001"/>
    <n v="1046.24"/>
    <n v="-342.99719999999991"/>
    <n v="-0.48773652570634191"/>
    <s v="Q1-2024"/>
    <s v="Americas → Brazil → São Paulo"/>
    <s v="Low"/>
    <n v="2024"/>
    <n v="2"/>
    <x v="0"/>
  </r>
  <r>
    <s v="ORD-2023-290237"/>
    <d v="2023-07-30T00:00:00"/>
    <d v="2023-08-07T00:00:00"/>
    <d v="2023-07-30T00:00:00"/>
    <d v="2023-08-07T00:00:00"/>
    <n v="8"/>
    <s v="7-2023"/>
    <s v="Asia"/>
    <s v="Japan"/>
    <s v="Nagoya"/>
    <s v="Education"/>
    <s v="Marketplace"/>
    <s v="A. Patel"/>
    <s v="Networking"/>
    <s v="NET-1645"/>
    <n v="1352.44"/>
    <n v="2698.01"/>
    <n v="0.13100000000000001"/>
    <n v="13"/>
    <n v="30479.418970000002"/>
    <n v="17581.72"/>
    <n v="12897.698970000001"/>
    <n v="0.42316091992090887"/>
    <s v="Q3-2023"/>
    <s v="Asia → Japan → Nagoya"/>
    <s v="High"/>
    <n v="2023"/>
    <n v="7"/>
    <x v="0"/>
  </r>
  <r>
    <s v="ORD-2024-210687"/>
    <d v="2024-01-28T00:00:00"/>
    <d v="2024-02-09T00:00:00"/>
    <d v="2024-01-28T00:00:00"/>
    <d v="2024-02-09T00:00:00"/>
    <n v="12"/>
    <s v="1-2024"/>
    <s v="Europe"/>
    <s v="Germany"/>
    <s v="Berlin"/>
    <s v="Corporate"/>
    <s v="Online"/>
    <s v="G. Dubois"/>
    <s v="Accessories"/>
    <s v="ACC-7938"/>
    <n v="644.16999999999996"/>
    <n v="700.12"/>
    <n v="6.0000000000000001E-3"/>
    <n v="23"/>
    <n v="16006.14344"/>
    <n v="14815.91"/>
    <n v="1190.23344"/>
    <n v="7.436103796405813E-2"/>
    <s v="Q1-2024"/>
    <s v="Europe → Germany → Berlin"/>
    <s v="Low"/>
    <n v="2024"/>
    <n v="1"/>
    <x v="0"/>
  </r>
  <r>
    <s v="ORD-2025-289139"/>
    <d v="2025-08-10T00:00:00"/>
    <d v="2025-08-30T00:00:00"/>
    <d v="2025-08-10T00:00:00"/>
    <d v="2025-08-30T00:00:00"/>
    <n v="20"/>
    <s v="8-2025"/>
    <s v="Americas"/>
    <s v="USA"/>
    <s v="San Francisco"/>
    <s v="Corporate"/>
    <s v="Marketplace"/>
    <s v="K. Singh"/>
    <s v="Printers"/>
    <s v="PRN-2098"/>
    <n v="933.29"/>
    <n v="1456.81"/>
    <n v="0.123"/>
    <n v="13"/>
    <n v="16609.090809999998"/>
    <n v="12132.77"/>
    <n v="4476.3208099999974"/>
    <n v="0.26951028573489977"/>
    <s v="Q3-2025"/>
    <s v="Americas → USA → San Francisco"/>
    <s v="Medium"/>
    <n v="2025"/>
    <n v="8"/>
    <x v="0"/>
  </r>
  <r>
    <s v="ORD-2023-949710"/>
    <d v="2023-03-07T00:00:00"/>
    <d v="2023-04-01T00:00:00"/>
    <d v="2023-03-07T00:00:00"/>
    <d v="2023-04-01T00:00:00"/>
    <n v="25"/>
    <s v="3-2023"/>
    <s v="Africa"/>
    <s v="Kenya"/>
    <s v="Nairobi"/>
    <s v="Consumer"/>
    <s v="Marketplace"/>
    <s v="D. Smith"/>
    <s v="Printers"/>
    <s v="PRN-7049"/>
    <n v="1024.0999999999999"/>
    <n v="918.19"/>
    <n v="0.189"/>
    <n v="10"/>
    <n v="7446.5209000000004"/>
    <n v="10241"/>
    <n v="-2794.4790999999996"/>
    <n v="-0.37527311579827827"/>
    <s v="Q1-2023"/>
    <s v="Africa → Kenya → Nairobi"/>
    <s v="Low"/>
    <n v="2023"/>
    <n v="3"/>
    <x v="0"/>
  </r>
  <r>
    <s v="ORD-2023-603650"/>
    <d v="2023-05-23T00:00:00"/>
    <d v="2023-06-10T00:00:00"/>
    <d v="2023-05-23T00:00:00"/>
    <d v="2023-06-10T00:00:00"/>
    <n v="18"/>
    <s v="5-2023"/>
    <s v="Asia"/>
    <s v="China"/>
    <s v="Shanghai"/>
    <s v="Corporate"/>
    <s v="Distributor"/>
    <s v="E. Garcia"/>
    <s v="Components"/>
    <s v="CMP-6925"/>
    <n v="54.62"/>
    <n v="48.94"/>
    <n v="0.14799999999999999"/>
    <n v="16"/>
    <n v="667.15008"/>
    <n v="873.92"/>
    <n v="-206.76991999999996"/>
    <n v="-0.3099301434543783"/>
    <s v="Q2-2023"/>
    <s v="Asia → China → Shanghai"/>
    <s v="Low"/>
    <n v="2023"/>
    <n v="5"/>
    <x v="0"/>
  </r>
  <r>
    <s v="ORD-2024-129345"/>
    <d v="2024-02-18T00:00:00"/>
    <d v="2024-03-03T00:00:00"/>
    <d v="2024-02-18T00:00:00"/>
    <d v="2024-03-03T00:00:00"/>
    <n v="14"/>
    <s v="2-2024"/>
    <s v="Americas"/>
    <s v="Brazil"/>
    <s v="Unknown City"/>
    <s v="Enterprise"/>
    <s v="Distributor"/>
    <s v="A. Patel"/>
    <s v="Printers"/>
    <s v="PRN-5384"/>
    <n v="624.23"/>
    <n v="1318.37"/>
    <n v="0.21"/>
    <n v="37"/>
    <n v="38535.955099999999"/>
    <n v="23096.510000000002"/>
    <n v="15439.445099999997"/>
    <n v="0.40065038118128793"/>
    <s v="Q1-2024"/>
    <s v="Americas → Brazil → Unknown City"/>
    <s v="Medium"/>
    <n v="2024"/>
    <n v="2"/>
    <x v="0"/>
  </r>
  <r>
    <s v="ORD-2024-423853"/>
    <d v="2024-09-03T00:00:00"/>
    <d v="2024-09-08T00:00:00"/>
    <d v="2024-09-03T00:00:00"/>
    <d v="2024-09-08T00:00:00"/>
    <n v="5"/>
    <s v="9-2024"/>
    <s v="Africa"/>
    <s v="Nigeria"/>
    <s v="Lagos"/>
    <s v="Small Business"/>
    <s v="Direct"/>
    <s v="K. Singh"/>
    <s v="Printers"/>
    <s v="PRN-1141"/>
    <n v="197.63"/>
    <n v="325.79000000000002"/>
    <n v="0.11600000000000001"/>
    <n v="10"/>
    <n v="2879.9836"/>
    <n v="1976.3"/>
    <n v="903.68360000000007"/>
    <n v="0.31378081458519419"/>
    <s v="Q3-2024"/>
    <s v="Africa → Nigeria → Lagos"/>
    <s v="Low"/>
    <n v="2024"/>
    <n v="9"/>
    <x v="1"/>
  </r>
  <r>
    <s v="ORD-2024-569164"/>
    <d v="2024-09-05T00:00:00"/>
    <d v="2024-09-25T00:00:00"/>
    <d v="2024-09-05T00:00:00"/>
    <d v="2024-09-25T00:00:00"/>
    <n v="20"/>
    <s v="9-2024"/>
    <s v="Asia"/>
    <s v="Japan"/>
    <s v="Osaka"/>
    <s v="Enterprise"/>
    <s v="Distributor"/>
    <s v="D. Smith"/>
    <s v="Monitors"/>
    <s v="MON-5249"/>
    <n v="195.54"/>
    <n v="405.97"/>
    <n v="0.187"/>
    <n v="16"/>
    <n v="5280.8577599999999"/>
    <n v="3128.64"/>
    <n v="2152.21776"/>
    <n v="0.40755079152141377"/>
    <s v="Q3-2024"/>
    <s v="Asia → Japan → Osaka"/>
    <s v="Low"/>
    <n v="2024"/>
    <n v="9"/>
    <x v="0"/>
  </r>
  <r>
    <s v="ORD-2023-946143"/>
    <d v="2023-03-14T00:00:00"/>
    <d v="2023-03-30T00:00:00"/>
    <d v="2023-03-14T00:00:00"/>
    <d v="2023-03-30T00:00:00"/>
    <n v="16"/>
    <s v="3-2023"/>
    <s v="Africa"/>
    <s v="South Africa"/>
    <s v="Cape Town"/>
    <s v="Consumer"/>
    <s v="Distributor"/>
    <s v="K. Singh"/>
    <s v="Components"/>
    <s v="CMP-8230"/>
    <n v="1309.77"/>
    <n v="1589.07"/>
    <n v="0.10199999999999999"/>
    <n v="10"/>
    <n v="14269.848599999999"/>
    <n v="13097.7"/>
    <n v="1172.1485999999986"/>
    <n v="8.2141628328137886E-2"/>
    <s v="Q1-2023"/>
    <s v="Africa → South Africa → Cape Town"/>
    <s v="Medium"/>
    <n v="2023"/>
    <n v="3"/>
    <x v="0"/>
  </r>
  <r>
    <s v="ORD-2024-281211"/>
    <d v="2024-01-11T00:00:00"/>
    <d v="2024-02-02T00:00:00"/>
    <d v="2024-01-11T00:00:00"/>
    <d v="2024-02-02T00:00:00"/>
    <n v="22"/>
    <s v="1-2024"/>
    <s v="Asia"/>
    <s v="Japan"/>
    <s v="Nagoya"/>
    <s v="Small Business"/>
    <s v="Online"/>
    <s v="Unknown Salesperson"/>
    <s v="Printers"/>
    <s v="PRN-7816"/>
    <n v="1237.68"/>
    <n v="1432.8"/>
    <n v="6.8000000000000005E-2"/>
    <n v="13"/>
    <n v="17359.804799999998"/>
    <n v="16089.84"/>
    <n v="1269.9647999999979"/>
    <n v="7.315547695559331E-2"/>
    <s v="Q1-2024"/>
    <s v="Asia → Japan → Nagoya"/>
    <s v="Medium"/>
    <n v="2024"/>
    <n v="1"/>
    <x v="0"/>
  </r>
  <r>
    <s v="ORD-2024-805860"/>
    <d v="2024-09-13T00:00:00"/>
    <d v="2024-10-02T00:00:00"/>
    <d v="2024-09-13T00:00:00"/>
    <d v="2024-10-02T00:00:00"/>
    <n v="19"/>
    <s v="9-2024"/>
    <s v="Africa"/>
    <s v="Kenya"/>
    <s v="Mombasa"/>
    <s v="Small Business"/>
    <s v="Retail"/>
    <s v="M. Rossi"/>
    <s v="Phones"/>
    <s v="PHN-8804"/>
    <n v="1338.99"/>
    <n v="1765.76"/>
    <n v="0.126"/>
    <n v="24"/>
    <n v="37038.581760000001"/>
    <n v="32135.760000000002"/>
    <n v="4902.8217599999989"/>
    <n v="0.1323706666677725"/>
    <s v="Q3-2024"/>
    <s v="Africa → Kenya → Mombasa"/>
    <s v="Medium"/>
    <n v="2024"/>
    <n v="9"/>
    <x v="0"/>
  </r>
  <r>
    <s v="ORD-2025-132174"/>
    <d v="2025-07-17T00:00:00"/>
    <d v="2025-07-23T00:00:00"/>
    <d v="2025-07-17T00:00:00"/>
    <d v="2025-07-23T00:00:00"/>
    <n v="6"/>
    <s v="7-2025"/>
    <s v="Americas"/>
    <s v="Canada"/>
    <s v="Vancouver"/>
    <s v="Consumer"/>
    <s v="Online"/>
    <s v="H. Kim"/>
    <s v="Components"/>
    <s v="CMP-8851"/>
    <n v="1364.89"/>
    <n v="2757.54"/>
    <n v="0.17199999999999999"/>
    <n v="61"/>
    <n v="139277.83032000001"/>
    <n v="83258.290000000008"/>
    <n v="56019.54032"/>
    <n v="0.4022143379983118"/>
    <s v="Q3-2025"/>
    <s v="Americas → Canada → Vancouver"/>
    <s v="High"/>
    <n v="2025"/>
    <n v="7"/>
    <x v="1"/>
  </r>
  <r>
    <s v="ORD-2023-964434"/>
    <d v="2023-11-28T00:00:00"/>
    <d v="2023-12-07T00:00:00"/>
    <d v="2023-11-28T00:00:00"/>
    <d v="2023-12-07T00:00:00"/>
    <n v="9"/>
    <s v="11-2023"/>
    <s v="Asia"/>
    <s v="India"/>
    <s v="Delhi"/>
    <s v="Enterprise"/>
    <s v="Marketplace"/>
    <s v="L. Okafor"/>
    <s v="Phones"/>
    <s v="PHN-2447"/>
    <n v="699.33"/>
    <n v="873.75"/>
    <n v="0.23499999999999999"/>
    <n v="10"/>
    <n v="6684.1875"/>
    <n v="6993.3"/>
    <n v="-309.11250000000018"/>
    <n v="-4.6245336475076469E-2"/>
    <s v="Q4-2023"/>
    <s v="Asia → India → Delhi"/>
    <s v="Low"/>
    <n v="2023"/>
    <n v="11"/>
    <x v="0"/>
  </r>
  <r>
    <s v="ORD-2024-897622"/>
    <d v="2024-03-30T00:00:00"/>
    <d v="2024-04-24T00:00:00"/>
    <d v="2024-03-30T00:00:00"/>
    <d v="2024-04-24T00:00:00"/>
    <n v="25"/>
    <s v="3-2024"/>
    <s v="Americas"/>
    <s v="USA"/>
    <s v="Austin"/>
    <s v="Non-Profit"/>
    <s v="Online"/>
    <s v="G. Dubois"/>
    <s v="Laptops"/>
    <s v="LAP-2846"/>
    <n v="160.82"/>
    <n v="258.52"/>
    <n v="0.13"/>
    <n v="17"/>
    <n v="3823.5108"/>
    <n v="2733.94"/>
    <n v="1089.5708"/>
    <n v="0.28496605789631874"/>
    <s v="Q1-2024"/>
    <s v="Americas → USA → Austin"/>
    <s v="Low"/>
    <n v="2024"/>
    <n v="3"/>
    <x v="0"/>
  </r>
  <r>
    <s v="ORD-2023-517216"/>
    <d v="2023-09-19T00:00:00"/>
    <d v="2023-10-08T00:00:00"/>
    <d v="2023-09-19T00:00:00"/>
    <d v="2023-10-08T00:00:00"/>
    <n v="19"/>
    <s v="9-2023"/>
    <s v="Asia"/>
    <s v="India"/>
    <s v="Bengaluru"/>
    <s v="Education"/>
    <s v="Direct"/>
    <s v="J. Njeri"/>
    <s v="Printers"/>
    <s v="PRN-5005"/>
    <n v="385.32"/>
    <n v="606.76"/>
    <n v="8.5999999999999993E-2"/>
    <n v="8"/>
    <n v="4436.6291200000005"/>
    <n v="3082.56"/>
    <n v="1354.0691200000006"/>
    <n v="0.30520223425842735"/>
    <s v="Q3-2023"/>
    <s v="Asia → India → Bengaluru"/>
    <s v="Low"/>
    <n v="2023"/>
    <n v="9"/>
    <x v="0"/>
  </r>
  <r>
    <s v="ORD-2025-509940"/>
    <d v="2025-05-16T00:00:00"/>
    <d v="2025-05-27T00:00:00"/>
    <d v="2025-05-16T00:00:00"/>
    <d v="2025-05-27T00:00:00"/>
    <n v="11"/>
    <s v="5-2025"/>
    <s v="Asia"/>
    <s v="China"/>
    <s v="Beijing"/>
    <s v="Enterprise"/>
    <s v="Online"/>
    <s v="F. Müller"/>
    <s v="Phones"/>
    <s v="PHN-3800"/>
    <n v="918.12"/>
    <n v="1337.69"/>
    <n v="9.5000000000000001E-2"/>
    <n v="8"/>
    <n v="9684.8756000000012"/>
    <n v="7344.96"/>
    <n v="2339.9156000000012"/>
    <n v="0.24160512707050164"/>
    <s v="Q2-2025"/>
    <s v="Asia → China → Beijing"/>
    <s v="Medium"/>
    <n v="2025"/>
    <n v="5"/>
    <x v="0"/>
  </r>
  <r>
    <s v="ORD-2025-646342"/>
    <d v="2025-08-02T00:00:00"/>
    <d v="2025-08-08T00:00:00"/>
    <d v="2025-08-02T00:00:00"/>
    <d v="2025-08-08T00:00:00"/>
    <n v="6"/>
    <s v="8-2025"/>
    <s v="Asia"/>
    <s v="Japan"/>
    <s v="Osaka"/>
    <s v="Consumer"/>
    <s v="Direct"/>
    <s v="N. Brown"/>
    <s v="Laptops"/>
    <s v="LAP-4828"/>
    <n v="1225.94"/>
    <n v="1793.08"/>
    <n v="0.13600000000000001"/>
    <n v="22"/>
    <n v="34082.864639999993"/>
    <n v="26970.68"/>
    <n v="7112.1846399999922"/>
    <n v="0.20867332353434462"/>
    <s v="Q3-2025"/>
    <s v="Asia → Japan → Osaka"/>
    <s v="Medium"/>
    <n v="2025"/>
    <n v="8"/>
    <x v="1"/>
  </r>
  <r>
    <s v="ORD-2024-866535"/>
    <d v="2024-12-04T00:00:00"/>
    <d v="2024-12-12T00:00:00"/>
    <d v="2024-12-04T00:00:00"/>
    <d v="2024-12-12T00:00:00"/>
    <n v="8"/>
    <s v="12-2024"/>
    <s v="Europe"/>
    <s v="Germany"/>
    <s v="Frankfurt"/>
    <s v="Enterprise"/>
    <s v="Marketplace"/>
    <s v="B. Chen"/>
    <s v="Printers"/>
    <s v="PRN-5492"/>
    <n v="72.06"/>
    <n v="122.74"/>
    <n v="0.23799999999999999"/>
    <n v="8"/>
    <n v="748.22303999999997"/>
    <n v="576.48"/>
    <n v="171.74303999999995"/>
    <n v="0.22953455162246802"/>
    <s v="Q4-2024"/>
    <s v="Europe → Germany → Frankfurt"/>
    <s v="Low"/>
    <n v="2024"/>
    <n v="12"/>
    <x v="0"/>
  </r>
  <r>
    <s v="ORD-2024-516704"/>
    <d v="2024-03-01T00:00:00"/>
    <d v="2024-02-29T00:00:00"/>
    <d v="2024-02-29T00:00:00"/>
    <d v="2024-03-01T00:00:00"/>
    <n v="1"/>
    <s v="2-2024"/>
    <s v="Americas"/>
    <s v="Brazil"/>
    <s v="São Paulo"/>
    <s v="Non-Profit"/>
    <s v="Direct"/>
    <s v="I. Johnson"/>
    <s v="Phones"/>
    <s v="PHN-7852"/>
    <n v="5.34"/>
    <n v="12.69"/>
    <n v="0.13200000000000001"/>
    <n v="10"/>
    <n v="110.14919999999999"/>
    <n v="53.4"/>
    <n v="56.749199999999995"/>
    <n v="0.51520301554618642"/>
    <s v="Q1-2024"/>
    <s v="Americas → Brazil → São Paulo"/>
    <s v="Low"/>
    <n v="2024"/>
    <n v="2"/>
    <x v="1"/>
  </r>
  <r>
    <s v="ORD-2024-853298"/>
    <d v="2024-03-06T00:00:00"/>
    <d v="2024-03-26T00:00:00"/>
    <d v="2024-03-06T00:00:00"/>
    <d v="2024-03-26T00:00:00"/>
    <n v="20"/>
    <s v="3-2024"/>
    <s v="Africa"/>
    <s v="Nigeria"/>
    <s v="Port Harcourt"/>
    <s v="Consumer"/>
    <s v="Marketplace"/>
    <s v="I. Johnson"/>
    <s v="Phones"/>
    <s v="PHN-4741"/>
    <n v="65.64"/>
    <n v="151.88"/>
    <n v="0.16700000000000001"/>
    <n v="23"/>
    <n v="2909.8689199999999"/>
    <n v="1509.72"/>
    <n v="1400.1489199999999"/>
    <n v="0.48117250587356353"/>
    <s v="Q1-2024"/>
    <s v="Africa → Nigeria → Port Harcourt"/>
    <s v="Low"/>
    <n v="2024"/>
    <n v="3"/>
    <x v="0"/>
  </r>
  <r>
    <s v="ORD-2024-544865"/>
    <d v="2024-02-16T00:00:00"/>
    <d v="2024-03-04T00:00:00"/>
    <d v="2024-02-16T00:00:00"/>
    <d v="2024-03-04T00:00:00"/>
    <n v="17"/>
    <s v="2-2024"/>
    <s v="Americas"/>
    <s v="Canada"/>
    <s v="Montreal"/>
    <s v="Non-Profit"/>
    <s v="Retail"/>
    <s v="D. Smith"/>
    <s v="Laptops"/>
    <s v="LAP-2774"/>
    <n v="1350.98"/>
    <n v="2210.4"/>
    <n v="0.26300000000000001"/>
    <n v="6"/>
    <n v="9774.3888000000006"/>
    <n v="8105.88"/>
    <n v="1668.5088000000005"/>
    <n v="0.17070211080615091"/>
    <s v="Q1-2024"/>
    <s v="Americas → Canada → Montreal"/>
    <s v="High"/>
    <n v="2024"/>
    <n v="2"/>
    <x v="0"/>
  </r>
  <r>
    <s v="ORD-2025-946490"/>
    <d v="2025-04-22T00:00:00"/>
    <d v="2025-05-02T00:00:00"/>
    <d v="2025-04-22T00:00:00"/>
    <d v="2025-05-02T00:00:00"/>
    <n v="10"/>
    <s v="4-2025"/>
    <s v="Europe"/>
    <s v="Germany"/>
    <s v="Berlin"/>
    <s v="Corporate"/>
    <s v="Marketplace"/>
    <s v="C. Otieno"/>
    <s v="Monitors"/>
    <s v="MON-2842"/>
    <n v="20.149999999999999"/>
    <n v="39.74"/>
    <n v="0.151"/>
    <n v="18"/>
    <n v="607.30668000000003"/>
    <n v="362.7"/>
    <n v="244.60668000000004"/>
    <n v="0.4027729120318585"/>
    <s v="Q2-2025"/>
    <s v="Europe → Germany → Berlin"/>
    <s v="Low"/>
    <n v="2025"/>
    <n v="4"/>
    <x v="0"/>
  </r>
  <r>
    <s v="ORD-2024-320972"/>
    <d v="2024-11-08T00:00:00"/>
    <d v="2024-11-08T00:00:00"/>
    <d v="2024-11-08T00:00:00"/>
    <d v="2024-11-08T00:00:00"/>
    <n v="0"/>
    <s v="11-2024"/>
    <s v="Africa"/>
    <s v="Kenya"/>
    <s v="Nakuru"/>
    <s v="Enterprise"/>
    <s v="Marketplace"/>
    <s v="M. Rossi"/>
    <s v="Networking"/>
    <s v="NET-2628"/>
    <n v="803.28"/>
    <n v="1009"/>
    <n v="0.11"/>
    <n v="4"/>
    <n v="3592.04"/>
    <n v="3213.12"/>
    <n v="378.92000000000007"/>
    <n v="0.10548880302001093"/>
    <s v="Q4-2024"/>
    <s v="Africa → Kenya → Nakuru"/>
    <s v="Low"/>
    <n v="2024"/>
    <n v="11"/>
    <x v="1"/>
  </r>
  <r>
    <s v="ORD-2025-248586"/>
    <d v="2025-09-12T00:00:00"/>
    <d v="2025-09-30T00:00:00"/>
    <d v="2025-09-12T00:00:00"/>
    <d v="2025-09-30T00:00:00"/>
    <n v="18"/>
    <s v="9-2025"/>
    <s v="Asia"/>
    <s v="Japan"/>
    <s v="Nagoya"/>
    <s v="Non-Profit"/>
    <s v="Marketplace"/>
    <s v="F. Müller"/>
    <s v="Monitors"/>
    <s v="MON-2998"/>
    <n v="1212.99"/>
    <n v="1653.64"/>
    <n v="0.107"/>
    <n v="8"/>
    <n v="11813.604160000001"/>
    <n v="9703.92"/>
    <n v="2109.6841600000007"/>
    <n v="0.17858090819931455"/>
    <s v="Q3-2025"/>
    <s v="Asia → Japan → Nagoya"/>
    <s v="Medium"/>
    <n v="2025"/>
    <n v="9"/>
    <x v="0"/>
  </r>
  <r>
    <s v="ORD-2024-664046"/>
    <d v="2024-09-02T00:00:00"/>
    <d v="2024-09-08T00:00:00"/>
    <d v="2024-09-02T00:00:00"/>
    <d v="2024-09-08T00:00:00"/>
    <n v="6"/>
    <s v="9-2024"/>
    <s v="Americas"/>
    <s v="USA"/>
    <s v="Austin"/>
    <s v="Consumer"/>
    <s v="Direct"/>
    <s v="H. Kim"/>
    <s v="Components"/>
    <s v="CMP-7563"/>
    <n v="462.94"/>
    <n v="1015.7"/>
    <n v="0.14299999999999999"/>
    <n v="14"/>
    <n v="12186.368600000002"/>
    <n v="6481.16"/>
    <n v="5705.2086000000018"/>
    <n v="0.46816314090483041"/>
    <s v="Q3-2024"/>
    <s v="Americas → USA → Austin"/>
    <s v="Low"/>
    <n v="2024"/>
    <n v="9"/>
    <x v="1"/>
  </r>
  <r>
    <s v="ORD-2023-276806"/>
    <d v="2023-03-04T00:00:00"/>
    <d v="2023-03-24T00:00:00"/>
    <d v="2023-03-04T00:00:00"/>
    <d v="2023-03-24T00:00:00"/>
    <n v="20"/>
    <s v="3-2023"/>
    <s v="Americas"/>
    <s v="Canada"/>
    <s v="Montreal"/>
    <s v="Consumer"/>
    <s v="Distributor"/>
    <s v="I. Johnson"/>
    <s v="Laptops"/>
    <s v="LAP-6160"/>
    <n v="481.71"/>
    <n v="912.45"/>
    <n v="0.20300000000000001"/>
    <n v="24"/>
    <n v="17453.3436"/>
    <n v="11561.039999999999"/>
    <n v="5892.3036000000011"/>
    <n v="0.33760313983619739"/>
    <s v="Q1-2023"/>
    <s v="Americas → Canada → Montreal"/>
    <s v="Low"/>
    <n v="2023"/>
    <n v="3"/>
    <x v="0"/>
  </r>
  <r>
    <s v="ORD-2024-220234"/>
    <d v="2024-03-15T00:00:00"/>
    <d v="2024-04-09T00:00:00"/>
    <d v="2024-03-15T00:00:00"/>
    <d v="2024-04-09T00:00:00"/>
    <n v="25"/>
    <s v="3-2024"/>
    <s v="Americas"/>
    <s v="Canada"/>
    <s v="Vancouver"/>
    <s v="Consumer"/>
    <s v="Online"/>
    <s v="F. Müller"/>
    <s v="Monitors"/>
    <s v="MON-4361"/>
    <n v="648.64"/>
    <n v="815.19"/>
    <n v="0.22500000000000001"/>
    <n v="28"/>
    <n v="17689.623"/>
    <n v="18161.919999999998"/>
    <n v="-472.29699999999866"/>
    <n v="-2.6699099240272032E-2"/>
    <s v="Q1-2024"/>
    <s v="Americas → Canada → Vancouver"/>
    <s v="Low"/>
    <n v="2024"/>
    <n v="3"/>
    <x v="0"/>
  </r>
  <r>
    <s v="ORD-2024-301260"/>
    <d v="2024-07-29T00:00:00"/>
    <d v="2024-07-31T00:00:00"/>
    <d v="2024-07-29T00:00:00"/>
    <d v="2024-07-31T00:00:00"/>
    <n v="2"/>
    <s v="7-2024"/>
    <s v="Americas"/>
    <s v="USA"/>
    <s v="New York"/>
    <s v="Education"/>
    <s v="Marketplace"/>
    <s v="I. Johnson"/>
    <s v="Printers"/>
    <s v="PRN-2829"/>
    <n v="798.97"/>
    <n v="1814.06"/>
    <n v="0.122"/>
    <n v="16"/>
    <n v="25483.91488"/>
    <n v="12783.52"/>
    <n v="12700.39488"/>
    <n v="0.49836906691159061"/>
    <s v="Q3-2024"/>
    <s v="Americas → USA → New York"/>
    <s v="Medium"/>
    <n v="2024"/>
    <n v="7"/>
    <x v="1"/>
  </r>
  <r>
    <s v="ORD-2024-350100"/>
    <d v="2024-10-27T00:00:00"/>
    <d v="2024-11-20T00:00:00"/>
    <d v="2024-10-27T00:00:00"/>
    <d v="2024-11-20T00:00:00"/>
    <n v="24"/>
    <s v="10-2024"/>
    <s v="Asia"/>
    <s v="Japan"/>
    <s v="Nagoya"/>
    <s v="Non-Profit"/>
    <s v="Online"/>
    <s v="H. Kim"/>
    <s v="Monitors"/>
    <s v="MON-8939"/>
    <n v="317.25"/>
    <n v="758.92"/>
    <n v="5.2999999999999999E-2"/>
    <n v="9"/>
    <n v="6468.2751599999992"/>
    <n v="2855.25"/>
    <n v="3613.0251599999992"/>
    <n v="0.5585762928489888"/>
    <s v="Q4-2024"/>
    <s v="Asia → Japan → Nagoya"/>
    <s v="Low"/>
    <n v="2024"/>
    <n v="10"/>
    <x v="0"/>
  </r>
  <r>
    <s v="ORD-2024-855600"/>
    <d v="2024-04-29T00:00:00"/>
    <d v="2024-05-19T00:00:00"/>
    <d v="2024-04-29T00:00:00"/>
    <d v="2024-05-19T00:00:00"/>
    <n v="20"/>
    <s v="4-2024"/>
    <s v="Europe"/>
    <s v="Germany"/>
    <s v="Frankfurt"/>
    <s v="Enterprise"/>
    <s v="Marketplace"/>
    <s v="C. Otieno"/>
    <s v="Laptops"/>
    <s v="LAP-5009"/>
    <n v="668.97"/>
    <n v="1667.44"/>
    <n v="3.4000000000000002E-2"/>
    <n v="15"/>
    <n v="24161.205600000001"/>
    <n v="10034.550000000001"/>
    <n v="14126.6556"/>
    <n v="0.58468339013679016"/>
    <s v="Q2-2024"/>
    <s v="Europe → Germany → Frankfurt"/>
    <s v="Medium"/>
    <n v="2024"/>
    <n v="4"/>
    <x v="0"/>
  </r>
  <r>
    <s v="ORD-2023-474313"/>
    <d v="2023-10-05T00:00:00"/>
    <d v="2023-10-06T00:00:00"/>
    <d v="2023-10-05T00:00:00"/>
    <d v="2023-10-06T00:00:00"/>
    <n v="1"/>
    <s v="10-2023"/>
    <s v="Asia"/>
    <s v="India"/>
    <s v="Bengaluru"/>
    <s v="Non-Profit"/>
    <s v="Online"/>
    <s v="I. Johnson"/>
    <s v="Components"/>
    <s v="CMP-4807"/>
    <n v="1470.26"/>
    <n v="2562.5500000000002"/>
    <n v="0.17299999999999999"/>
    <n v="9"/>
    <n v="19073.059649999999"/>
    <n v="13232.34"/>
    <n v="5840.7196499999991"/>
    <n v="0.30622877279157462"/>
    <s v="Q4-2023"/>
    <s v="Asia → India → Bengaluru"/>
    <s v="High"/>
    <n v="2023"/>
    <n v="10"/>
    <x v="1"/>
  </r>
  <r>
    <s v="ORD-2023-256951"/>
    <d v="2023-04-19T00:00:00"/>
    <d v="2023-05-07T00:00:00"/>
    <d v="2023-04-19T00:00:00"/>
    <d v="2023-05-07T00:00:00"/>
    <n v="18"/>
    <s v="4-2023"/>
    <s v="Europe"/>
    <s v="United Kingdom"/>
    <s v="London"/>
    <s v="Non-Profit"/>
    <s v="Direct"/>
    <s v="H. Kim"/>
    <s v="Networking"/>
    <s v="NET-2439"/>
    <n v="516.96"/>
    <n v="745.38"/>
    <n v="0.19700000000000001"/>
    <n v="4"/>
    <n v="2394.1605599999998"/>
    <n v="2067.84"/>
    <n v="326.32055999999966"/>
    <n v="0.13629852794835101"/>
    <s v="Q2-2023"/>
    <s v="Europe → United Kingdom → London"/>
    <s v="Low"/>
    <n v="2023"/>
    <n v="4"/>
    <x v="0"/>
  </r>
  <r>
    <s v="ORD-2025-184754"/>
    <d v="2025-06-27T00:00:00"/>
    <d v="2025-07-05T00:00:00"/>
    <d v="2025-06-27T00:00:00"/>
    <d v="2025-07-05T00:00:00"/>
    <n v="8"/>
    <s v="6-2025"/>
    <s v="Europe"/>
    <s v="Germany"/>
    <s v="Munich"/>
    <s v="Small Business"/>
    <s v="Direct"/>
    <s v="G. Dubois"/>
    <s v="Monitors"/>
    <s v="MON-7626"/>
    <n v="314.93"/>
    <n v="687.95"/>
    <n v="0.20499999999999999"/>
    <n v="8"/>
    <n v="4375.3620000000001"/>
    <n v="2519.44"/>
    <n v="1855.922"/>
    <n v="0.424175645352316"/>
    <s v="Q2-2025"/>
    <s v="Europe → Germany → Munich"/>
    <s v="Low"/>
    <n v="2025"/>
    <n v="6"/>
    <x v="0"/>
  </r>
  <r>
    <s v="ORD-2024-219735"/>
    <d v="2024-04-03T00:00:00"/>
    <d v="2024-04-07T00:00:00"/>
    <d v="2024-04-03T00:00:00"/>
    <d v="2024-04-07T00:00:00"/>
    <n v="4"/>
    <s v="4-2024"/>
    <s v="Americas"/>
    <s v="Brazil"/>
    <s v="Brasília"/>
    <s v="Non-Profit"/>
    <s v="Direct"/>
    <s v="N. Brown"/>
    <s v="Phones"/>
    <s v="PHN-5445"/>
    <n v="1023.27"/>
    <n v="1343.64"/>
    <n v="0.13300000000000001"/>
    <n v="7"/>
    <n v="8154.5511600000009"/>
    <n v="7162.8899999999994"/>
    <n v="991.66116000000147"/>
    <n v="0.12160830688810116"/>
    <s v="Q2-2024"/>
    <s v="Americas → Brazil → Brasília"/>
    <s v="Medium"/>
    <n v="2024"/>
    <n v="4"/>
    <x v="1"/>
  </r>
  <r>
    <s v="ORD-2023-638181"/>
    <d v="2023-05-20T00:00:00"/>
    <d v="2023-06-07T00:00:00"/>
    <d v="2023-05-20T00:00:00"/>
    <d v="2023-06-07T00:00:00"/>
    <n v="18"/>
    <s v="5-2023"/>
    <s v="Africa"/>
    <s v="Nigeria"/>
    <s v="Port Harcourt"/>
    <s v="Enterprise"/>
    <s v="Distributor"/>
    <s v="E. Garcia"/>
    <s v="Components"/>
    <s v="CMP-4630"/>
    <n v="1120.06"/>
    <n v="2068.21"/>
    <n v="7.8E-2"/>
    <n v="12"/>
    <n v="22882.675440000003"/>
    <n v="13440.72"/>
    <n v="9441.9554400000034"/>
    <n v="0.41262462795303284"/>
    <s v="Q2-2023"/>
    <s v="Africa → Nigeria → Port Harcourt"/>
    <s v="High"/>
    <n v="2023"/>
    <n v="5"/>
    <x v="0"/>
  </r>
  <r>
    <s v="ORD-2025-332931"/>
    <d v="2025-02-15T00:00:00"/>
    <d v="2025-03-01T00:00:00"/>
    <d v="2025-02-15T00:00:00"/>
    <d v="2025-03-01T00:00:00"/>
    <n v="14"/>
    <s v="2-2025"/>
    <s v="Africa"/>
    <s v="Kenya"/>
    <s v="Mombasa"/>
    <s v="Education"/>
    <s v="Direct"/>
    <s v="L. Okafor"/>
    <s v="Accessories"/>
    <s v="ACC-5144"/>
    <n v="1162.8599999999999"/>
    <n v="1447.68"/>
    <n v="8.6999999999999994E-2"/>
    <n v="12"/>
    <n v="15860.782080000001"/>
    <n v="13954.32"/>
    <n v="1906.4620800000012"/>
    <n v="0.12019975247021369"/>
    <s v="Q1-2025"/>
    <s v="Africa → Kenya → Mombasa"/>
    <s v="Medium"/>
    <n v="2025"/>
    <n v="2"/>
    <x v="0"/>
  </r>
  <r>
    <s v="ORD-2024-510591"/>
    <d v="2024-04-03T00:00:00"/>
    <d v="2024-04-21T00:00:00"/>
    <d v="2024-04-03T00:00:00"/>
    <d v="2024-04-21T00:00:00"/>
    <n v="18"/>
    <s v="4-2024"/>
    <s v="Americas"/>
    <s v="Brazil"/>
    <s v="Brasília"/>
    <s v="Small Business"/>
    <s v="Distributor"/>
    <s v="B. Chen"/>
    <s v="Networking"/>
    <s v="NET-3850"/>
    <n v="1176.69"/>
    <n v="2201.54"/>
    <n v="0.17"/>
    <n v="27"/>
    <n v="49336.511399999996"/>
    <n v="31770.63"/>
    <n v="17565.881399999995"/>
    <n v="0.35604222717701106"/>
    <s v="Q2-2024"/>
    <s v="Americas → Brazil → Brasília"/>
    <s v="High"/>
    <n v="2024"/>
    <n v="4"/>
    <x v="0"/>
  </r>
  <r>
    <s v="ORD-2025-908258"/>
    <d v="2025-06-21T00:00:00"/>
    <d v="2025-06-27T00:00:00"/>
    <d v="2025-06-21T00:00:00"/>
    <d v="2025-06-27T00:00:00"/>
    <n v="6"/>
    <s v="6-2025"/>
    <s v="Africa"/>
    <s v="South Africa"/>
    <s v="Durban"/>
    <s v="Enterprise"/>
    <s v="Distributor"/>
    <s v="N. Brown"/>
    <s v="Phones"/>
    <s v="PHN-3819"/>
    <n v="93.91"/>
    <n v="99.04"/>
    <n v="5.7000000000000002E-2"/>
    <n v="6"/>
    <n v="560.36831999999993"/>
    <n v="563.46"/>
    <n v="-3.0916800000001103"/>
    <n v="-5.5172283829323376E-3"/>
    <s v="Q2-2025"/>
    <s v="Africa → South Africa → Durban"/>
    <s v="Low"/>
    <n v="2025"/>
    <n v="6"/>
    <x v="1"/>
  </r>
  <r>
    <s v="ORD-2025-440093"/>
    <d v="2025-04-16T00:00:00"/>
    <d v="2025-04-26T00:00:00"/>
    <d v="2025-04-16T00:00:00"/>
    <d v="2025-04-26T00:00:00"/>
    <n v="10"/>
    <s v="4-2025"/>
    <s v="Africa"/>
    <s v="Nigeria"/>
    <s v="Port Harcourt"/>
    <s v="Enterprise"/>
    <s v="Marketplace"/>
    <s v="F. Müller"/>
    <s v="Laptops"/>
    <s v="LAP-3490"/>
    <n v="1457.44"/>
    <n v="1996.81"/>
    <n v="0.126"/>
    <n v="23"/>
    <n v="40139.874619999995"/>
    <n v="33521.120000000003"/>
    <n v="6618.7546199999924"/>
    <n v="0.16489225944672353"/>
    <s v="Q2-2025"/>
    <s v="Africa → Nigeria → Port Harcourt"/>
    <s v="High"/>
    <n v="2025"/>
    <n v="4"/>
    <x v="0"/>
  </r>
  <r>
    <s v="ORD-2025-898022"/>
    <d v="2025-09-02T00:00:00"/>
    <d v="2025-09-11T00:00:00"/>
    <d v="2025-09-02T00:00:00"/>
    <d v="2025-09-11T00:00:00"/>
    <n v="9"/>
    <s v="9-2025"/>
    <s v="Americas"/>
    <s v="Canada"/>
    <s v="Toronto"/>
    <s v="Corporate"/>
    <s v="Distributor"/>
    <s v="M. Rossi"/>
    <s v="Printers"/>
    <s v="PRN-1276"/>
    <n v="1207.6300000000001"/>
    <n v="921.68"/>
    <n v="0.19600000000000001"/>
    <n v="17"/>
    <n v="12597.52224"/>
    <n v="20529.710000000003"/>
    <n v="-7932.1877600000025"/>
    <n v="-0.62966253274897988"/>
    <s v="Q3-2025"/>
    <s v="Americas → Canada → Toronto"/>
    <s v="Low"/>
    <n v="2025"/>
    <n v="9"/>
    <x v="0"/>
  </r>
  <r>
    <s v="ORD-2024-500511"/>
    <d v="2024-10-08T00:00:00"/>
    <d v="2024-10-08T00:00:00"/>
    <d v="2024-10-08T00:00:00"/>
    <d v="2024-10-08T00:00:00"/>
    <n v="0"/>
    <s v="10-2024"/>
    <s v="Europe"/>
    <s v="United Kingdom"/>
    <s v="London"/>
    <s v="Corporate"/>
    <s v="Online"/>
    <s v="E. Garcia"/>
    <s v="Monitors"/>
    <s v="MON-9733"/>
    <n v="1108.1099999999999"/>
    <n v="2503.79"/>
    <n v="0.184"/>
    <n v="19"/>
    <n v="38818.760160000005"/>
    <n v="21054.089999999997"/>
    <n v="17764.670160000009"/>
    <n v="0.45763105485025896"/>
    <s v="Q4-2024"/>
    <s v="Europe → United Kingdom → London"/>
    <s v="High"/>
    <n v="2024"/>
    <n v="10"/>
    <x v="1"/>
  </r>
  <r>
    <s v="ORD-2023-632893"/>
    <d v="2023-05-07T00:00:00"/>
    <d v="2023-05-05T00:00:00"/>
    <d v="2023-05-05T00:00:00"/>
    <d v="2023-05-07T00:00:00"/>
    <n v="2"/>
    <s v="5-2023"/>
    <s v="Africa"/>
    <s v="Nigeria"/>
    <s v="Port Harcourt"/>
    <s v="Non-Profit"/>
    <s v="Marketplace"/>
    <s v="A. Patel"/>
    <s v="Components"/>
    <s v="CMP-9392"/>
    <n v="1269.6500000000001"/>
    <n v="2462.77"/>
    <n v="0.107"/>
    <n v="8"/>
    <n v="17594.028880000002"/>
    <n v="10157.200000000001"/>
    <n v="7436.8288800000009"/>
    <n v="0.42269050089225502"/>
    <s v="Q2-2023"/>
    <s v="Africa → Nigeria → Port Harcourt"/>
    <s v="High"/>
    <n v="2023"/>
    <n v="5"/>
    <x v="1"/>
  </r>
  <r>
    <s v="ORD-2024-503082"/>
    <d v="2024-05-19T00:00:00"/>
    <d v="2024-06-08T00:00:00"/>
    <d v="2024-05-19T00:00:00"/>
    <d v="2024-06-08T00:00:00"/>
    <n v="20"/>
    <s v="5-2024"/>
    <s v="Americas"/>
    <s v="Brazil"/>
    <s v="Brasília"/>
    <s v="Small Business"/>
    <s v="Retail"/>
    <s v="E. Garcia"/>
    <s v="Monitors"/>
    <s v="MON-4271"/>
    <n v="1075.9000000000001"/>
    <n v="1242.1500000000001"/>
    <n v="1.2E-2"/>
    <n v="7"/>
    <n v="8590.7094000000016"/>
    <n v="7531.3000000000011"/>
    <n v="1059.4094000000005"/>
    <n v="0.12332036280961853"/>
    <s v="Q2-2024"/>
    <s v="Americas → Brazil → Brasília"/>
    <s v="Medium"/>
    <n v="2024"/>
    <n v="5"/>
    <x v="0"/>
  </r>
  <r>
    <s v="ORD-2024-885858"/>
    <d v="2024-01-10T00:00:00"/>
    <d v="2024-01-23T00:00:00"/>
    <d v="2024-01-10T00:00:00"/>
    <d v="2024-01-23T00:00:00"/>
    <n v="13"/>
    <s v="1-2024"/>
    <s v="Europe"/>
    <s v="France"/>
    <s v="Marseille"/>
    <s v="Corporate"/>
    <s v="Direct"/>
    <s v="A. Patel"/>
    <s v="Printers"/>
    <s v="PRN-6776"/>
    <n v="720"/>
    <n v="907.59"/>
    <n v="0.154"/>
    <n v="10"/>
    <n v="7678.2113999999992"/>
    <n v="7200"/>
    <n v="478.21139999999923"/>
    <n v="6.2281614179052078E-2"/>
    <s v="Q1-2024"/>
    <s v="Europe → France → Marseille"/>
    <s v="Low"/>
    <n v="2024"/>
    <n v="1"/>
    <x v="0"/>
  </r>
  <r>
    <s v="ORD-2024-403664"/>
    <d v="2024-05-23T00:00:00"/>
    <d v="2024-06-06T00:00:00"/>
    <d v="2024-05-23T00:00:00"/>
    <d v="2024-06-06T00:00:00"/>
    <n v="14"/>
    <s v="5-2024"/>
    <s v="Americas"/>
    <s v="Brazil"/>
    <s v="Rio de Janeiro"/>
    <s v="Non-Profit"/>
    <s v="Online"/>
    <s v="I. Johnson"/>
    <s v="Networking"/>
    <s v="NET-1166"/>
    <n v="51.13"/>
    <n v="57.53"/>
    <n v="4.4999999999999998E-2"/>
    <n v="16"/>
    <n v="879.05840000000001"/>
    <n v="818.08"/>
    <n v="60.978399999999965"/>
    <n v="6.9367859973808302E-2"/>
    <s v="Q2-2024"/>
    <s v="Americas → Brazil → Rio de Janeiro"/>
    <s v="Low"/>
    <n v="2024"/>
    <n v="5"/>
    <x v="0"/>
  </r>
  <r>
    <s v="ORD-2025-484073"/>
    <d v="2025-02-19T00:00:00"/>
    <d v="2025-03-09T00:00:00"/>
    <d v="2025-02-19T00:00:00"/>
    <d v="2025-03-09T00:00:00"/>
    <n v="18"/>
    <s v="2-2025"/>
    <s v="Asia"/>
    <s v="India"/>
    <s v="Delhi"/>
    <s v="Small Business"/>
    <s v="Direct"/>
    <s v="O. Wang"/>
    <s v="Monitors"/>
    <s v="MON-1436"/>
    <n v="325.87"/>
    <n v="538.79"/>
    <n v="0.17399999999999999"/>
    <n v="16"/>
    <n v="7120.6486400000003"/>
    <n v="5213.92"/>
    <n v="1906.7286400000003"/>
    <n v="0.26777457172778013"/>
    <s v="Q1-2025"/>
    <s v="Asia → India → Delhi"/>
    <s v="Low"/>
    <n v="2025"/>
    <n v="2"/>
    <x v="0"/>
  </r>
  <r>
    <s v="ORD-2024-745822"/>
    <d v="2024-03-31T00:00:00"/>
    <d v="2024-04-17T00:00:00"/>
    <d v="2024-03-31T00:00:00"/>
    <d v="2024-04-17T00:00:00"/>
    <n v="17"/>
    <s v="3-2024"/>
    <s v="Europe"/>
    <s v="Germany"/>
    <s v="Frankfurt"/>
    <s v="Education"/>
    <s v="Direct"/>
    <s v="H. Kim"/>
    <s v="Monitors"/>
    <s v="MON-8651"/>
    <n v="1025.51"/>
    <n v="1436.54"/>
    <n v="0.13900000000000001"/>
    <n v="28"/>
    <n v="34632.106319999999"/>
    <n v="28714.28"/>
    <n v="5917.8263200000001"/>
    <n v="0.17087688127656453"/>
    <s v="Q1-2024"/>
    <s v="Europe → Germany → Frankfurt"/>
    <s v="Medium"/>
    <n v="2024"/>
    <n v="3"/>
    <x v="0"/>
  </r>
  <r>
    <s v="ORD-2023-369160"/>
    <d v="2023-07-24T00:00:00"/>
    <d v="2023-08-13T00:00:00"/>
    <d v="2023-07-24T00:00:00"/>
    <d v="2023-08-13T00:00:00"/>
    <n v="20"/>
    <s v="7-2023"/>
    <s v="Americas"/>
    <s v="Canada"/>
    <s v="Montreal"/>
    <s v="Education"/>
    <s v="Direct"/>
    <s v="C. Otieno"/>
    <s v="Monitors"/>
    <s v="MON-3307"/>
    <n v="1082.3800000000001"/>
    <n v="1766.55"/>
    <n v="0.16400000000000001"/>
    <n v="20"/>
    <n v="29536.716"/>
    <n v="21647.600000000002"/>
    <n v="7889.1159999999982"/>
    <n v="0.26709523157550752"/>
    <s v="Q3-2023"/>
    <s v="Americas → Canada → Montreal"/>
    <s v="Medium"/>
    <n v="2023"/>
    <n v="7"/>
    <x v="0"/>
  </r>
  <r>
    <s v="ORD-2024-834983"/>
    <d v="2024-03-16T00:00:00"/>
    <d v="2024-04-13T00:00:00"/>
    <d v="2024-03-16T00:00:00"/>
    <d v="2024-04-13T00:00:00"/>
    <n v="28"/>
    <s v="3-2024"/>
    <s v="Europe"/>
    <s v="France"/>
    <s v="Paris"/>
    <s v="Small Business"/>
    <s v="Online"/>
    <s v="K. Singh"/>
    <s v="Printers"/>
    <s v="PRN-8758"/>
    <n v="287.61"/>
    <n v="628.54"/>
    <n v="0.13500000000000001"/>
    <n v="21"/>
    <n v="11417.429099999999"/>
    <n v="6039.81"/>
    <n v="5377.619099999999"/>
    <n v="0.47100087531964613"/>
    <s v="Q1-2024"/>
    <s v="Europe → France → Paris"/>
    <s v="Low"/>
    <n v="2024"/>
    <n v="3"/>
    <x v="0"/>
  </r>
  <r>
    <s v="ORD-2023-488227"/>
    <d v="2023-09-08T00:00:00"/>
    <d v="2023-10-02T00:00:00"/>
    <d v="2023-09-08T00:00:00"/>
    <d v="2023-10-02T00:00:00"/>
    <n v="24"/>
    <s v="9-2023"/>
    <s v="Americas"/>
    <s v="Canada"/>
    <s v="Toronto"/>
    <s v="Education"/>
    <s v="Direct"/>
    <s v="A. Patel"/>
    <s v="Accessories"/>
    <s v="ACC-3415"/>
    <n v="1299.03"/>
    <n v="2451.2199999999998"/>
    <n v="0.20799999999999999"/>
    <n v="8"/>
    <n v="15530.929919999999"/>
    <n v="10392.24"/>
    <n v="5138.6899199999989"/>
    <n v="0.3308681416032041"/>
    <s v="Q3-2023"/>
    <s v="Americas → Canada → Toronto"/>
    <s v="High"/>
    <n v="2023"/>
    <n v="9"/>
    <x v="0"/>
  </r>
  <r>
    <s v="ORD-2024-948800"/>
    <d v="2024-03-27T00:00:00"/>
    <d v="2024-04-11T00:00:00"/>
    <d v="2024-03-27T00:00:00"/>
    <d v="2024-04-11T00:00:00"/>
    <n v="15"/>
    <s v="3-2024"/>
    <s v="Americas"/>
    <s v="USA"/>
    <s v="San Francisco"/>
    <s v="Small Business"/>
    <s v="Direct"/>
    <s v="O. Wang"/>
    <s v="Networking"/>
    <s v="NET-5523"/>
    <n v="1338.35"/>
    <n v="2247.14"/>
    <n v="0.115"/>
    <n v="40"/>
    <n v="79548.755999999994"/>
    <n v="53534"/>
    <n v="26014.755999999994"/>
    <n v="0.32702907384246205"/>
    <s v="Q1-2024"/>
    <s v="Americas → USA → San Francisco"/>
    <s v="High"/>
    <n v="2024"/>
    <n v="3"/>
    <x v="0"/>
  </r>
  <r>
    <s v="ORD-2024-468501"/>
    <d v="2024-11-06T00:00:00"/>
    <d v="2024-11-22T00:00:00"/>
    <d v="2024-11-06T00:00:00"/>
    <d v="2024-11-22T00:00:00"/>
    <n v="16"/>
    <s v="11-2024"/>
    <s v="Americas"/>
    <s v="Canada"/>
    <s v="Toronto"/>
    <s v="Non-Profit"/>
    <s v="Distributor"/>
    <s v="D. Smith"/>
    <s v="Accessories"/>
    <s v="ACC-6348"/>
    <n v="1454.11"/>
    <n v="2629.75"/>
    <n v="0.29199999999999998"/>
    <n v="8"/>
    <n v="14894.903999999999"/>
    <n v="11632.88"/>
    <n v="3262.0239999999994"/>
    <n v="0.21900268709351867"/>
    <s v="Q4-2024"/>
    <s v="Americas → Canada → Toronto"/>
    <s v="High"/>
    <n v="2024"/>
    <n v="11"/>
    <x v="0"/>
  </r>
  <r>
    <s v="ORD-2024-580808"/>
    <d v="2024-06-16T00:00:00"/>
    <d v="2024-07-03T00:00:00"/>
    <d v="2024-06-16T00:00:00"/>
    <d v="2024-07-03T00:00:00"/>
    <n v="17"/>
    <s v="6-2024"/>
    <s v="Africa"/>
    <s v="South Africa"/>
    <s v="Johannesburg"/>
    <s v="Enterprise"/>
    <s v="Marketplace"/>
    <s v="F. Müller"/>
    <s v="Phones"/>
    <s v="PHN-6832"/>
    <n v="1173.83"/>
    <n v="2328.9"/>
    <n v="0.12"/>
    <n v="17"/>
    <n v="34840.344000000005"/>
    <n v="19955.11"/>
    <n v="14885.234000000004"/>
    <n v="0.42724130393201637"/>
    <s v="Q2-2024"/>
    <s v="Africa → South Africa → Johannesburg"/>
    <s v="High"/>
    <n v="2024"/>
    <n v="6"/>
    <x v="0"/>
  </r>
  <r>
    <s v="ORD-2023-211715"/>
    <d v="2023-10-30T00:00:00"/>
    <d v="2023-11-14T00:00:00"/>
    <d v="2023-10-30T00:00:00"/>
    <d v="2023-11-14T00:00:00"/>
    <n v="15"/>
    <s v="10-2023"/>
    <s v="Asia"/>
    <s v="India"/>
    <s v="Bengaluru"/>
    <s v="Corporate"/>
    <s v="Online"/>
    <s v="F. Müller"/>
    <s v="Laptops"/>
    <s v="LAP-2378"/>
    <n v="953.46"/>
    <n v="2066.75"/>
    <n v="0.13800000000000001"/>
    <n v="5"/>
    <n v="8907.6924999999992"/>
    <n v="4767.3"/>
    <n v="4140.392499999999"/>
    <n v="0.46481089238318446"/>
    <s v="Q4-2023"/>
    <s v="Asia → India → Bengaluru"/>
    <s v="High"/>
    <n v="2023"/>
    <n v="10"/>
    <x v="0"/>
  </r>
  <r>
    <s v="ORD-2023-715175"/>
    <d v="2023-06-15T00:00:00"/>
    <d v="2023-06-23T00:00:00"/>
    <d v="2023-06-15T00:00:00"/>
    <d v="2023-06-23T00:00:00"/>
    <n v="8"/>
    <s v="6-2023"/>
    <s v="Americas"/>
    <s v="USA"/>
    <s v="San Francisco"/>
    <s v="Consumer"/>
    <s v="Distributor"/>
    <s v="O. Wang"/>
    <s v="Monitors"/>
    <s v="MON-5424"/>
    <n v="1097.0899999999999"/>
    <n v="2182.31"/>
    <n v="0.112"/>
    <n v="9"/>
    <n v="17441.021520000002"/>
    <n v="9873.81"/>
    <n v="7567.2115200000026"/>
    <n v="0.43387432962699546"/>
    <s v="Q2-2023"/>
    <s v="Americas → USA → San Francisco"/>
    <s v="High"/>
    <n v="2023"/>
    <n v="6"/>
    <x v="0"/>
  </r>
  <r>
    <s v="ORD-2025-685236"/>
    <d v="2025-03-14T00:00:00"/>
    <d v="2025-03-29T00:00:00"/>
    <d v="2025-03-14T00:00:00"/>
    <d v="2025-03-29T00:00:00"/>
    <n v="15"/>
    <s v="3-2025"/>
    <s v="Asia"/>
    <s v="Japan"/>
    <s v="Tokyo"/>
    <s v="Non-Profit"/>
    <s v="Direct"/>
    <s v="H. Kim"/>
    <s v="Networking"/>
    <s v="NET-8430"/>
    <n v="1106.96"/>
    <n v="2726.62"/>
    <n v="0.1186"/>
    <n v="7"/>
    <n v="16822.700076000001"/>
    <n v="7748.72"/>
    <n v="9073.9800759999998"/>
    <n v="0.53938904189020975"/>
    <s v="Q1-2025"/>
    <s v="Asia → Japan → Tokyo"/>
    <s v="High"/>
    <n v="2025"/>
    <n v="3"/>
    <x v="0"/>
  </r>
  <r>
    <s v="ORD-2023-274037"/>
    <d v="2023-08-15T00:00:00"/>
    <d v="2023-08-25T00:00:00"/>
    <d v="2023-08-15T00:00:00"/>
    <d v="2023-08-25T00:00:00"/>
    <n v="10"/>
    <s v="8-2023"/>
    <s v="Africa"/>
    <s v="Kenya"/>
    <s v="Nairobi"/>
    <s v="Small Business"/>
    <s v="Retail"/>
    <s v="N. Brown"/>
    <s v="Phones"/>
    <s v="PHN-1234"/>
    <n v="91.85"/>
    <n v="111.29"/>
    <n v="0"/>
    <n v="6"/>
    <n v="667.74"/>
    <n v="551.09999999999991"/>
    <n v="116.6400000000001"/>
    <n v="0.17467876718483258"/>
    <s v="Q3-2023"/>
    <s v="Africa → Kenya → Nairobi"/>
    <s v="Low"/>
    <n v="2023"/>
    <n v="8"/>
    <x v="0"/>
  </r>
  <r>
    <s v="ORD-2025-983096"/>
    <d v="2025-05-17T00:00:00"/>
    <d v="2025-05-28T00:00:00"/>
    <d v="2025-05-17T00:00:00"/>
    <d v="2025-05-28T00:00:00"/>
    <n v="11"/>
    <s v="5-2025"/>
    <s v="Asia"/>
    <s v="India"/>
    <s v="Bengaluru"/>
    <s v="Corporate"/>
    <s v="Distributor"/>
    <s v="B. Chen"/>
    <s v="Laptops"/>
    <s v="LAP-9016"/>
    <n v="623.4"/>
    <n v="1100.0899999999999"/>
    <n v="0.114"/>
    <n v="12"/>
    <n v="11696.156879999999"/>
    <n v="7480.7999999999993"/>
    <n v="4215.3568799999994"/>
    <n v="0.36040529579490388"/>
    <s v="Q2-2025"/>
    <s v="Asia → India → Bengaluru"/>
    <s v="Low"/>
    <n v="2025"/>
    <n v="5"/>
    <x v="0"/>
  </r>
  <r>
    <s v="ORD-2024-366010"/>
    <d v="2024-01-13T00:00:00"/>
    <d v="2024-02-05T00:00:00"/>
    <d v="2024-01-13T00:00:00"/>
    <d v="2024-02-05T00:00:00"/>
    <n v="23"/>
    <s v="1-2024"/>
    <s v="Europe"/>
    <s v="Germany"/>
    <s v="Frankfurt"/>
    <s v="Education"/>
    <s v="Direct"/>
    <s v="B. Chen"/>
    <s v="Laptops"/>
    <s v="LAP-9931"/>
    <n v="1017.93"/>
    <n v="1529.14"/>
    <n v="0.155"/>
    <n v="12"/>
    <n v="15505.479600000001"/>
    <n v="12215.16"/>
    <n v="3290.3196000000007"/>
    <n v="0.21220366508366503"/>
    <s v="Q1-2024"/>
    <s v="Europe → Germany → Frankfurt"/>
    <s v="Medium"/>
    <n v="2024"/>
    <n v="1"/>
    <x v="0"/>
  </r>
  <r>
    <s v="ORD-2023-610470"/>
    <d v="2023-06-24T00:00:00"/>
    <d v="2023-07-21T00:00:00"/>
    <d v="2023-06-24T00:00:00"/>
    <d v="2023-07-21T00:00:00"/>
    <n v="27"/>
    <s v="6-2023"/>
    <s v="Asia"/>
    <s v="Japan"/>
    <s v="Nagoya"/>
    <s v="Consumer"/>
    <s v="Marketplace"/>
    <s v="J. Njeri"/>
    <s v="Phones"/>
    <s v="PHN-6818"/>
    <n v="554.76"/>
    <n v="728.69"/>
    <n v="0.22"/>
    <n v="7"/>
    <n v="3978.6474000000003"/>
    <n v="3883.3199999999997"/>
    <n v="95.32740000000058"/>
    <n v="2.395975074343119E-2"/>
    <s v="Q2-2023"/>
    <s v="Asia → Japan → Nagoya"/>
    <s v="Low"/>
    <n v="2023"/>
    <n v="6"/>
    <x v="0"/>
  </r>
  <r>
    <s v="ORD-2025-541048"/>
    <d v="2025-04-04T00:00:00"/>
    <d v="2025-04-13T00:00:00"/>
    <d v="2025-04-04T00:00:00"/>
    <d v="2025-04-13T00:00:00"/>
    <n v="9"/>
    <s v="4-2025"/>
    <s v="Europe"/>
    <s v="Germany"/>
    <s v="Munich"/>
    <s v="Consumer"/>
    <s v="Marketplace"/>
    <s v="F. Müller"/>
    <s v="Phones"/>
    <s v="PHN-3803"/>
    <n v="7.02"/>
    <n v="6.28"/>
    <n v="0.13400000000000001"/>
    <n v="14"/>
    <n v="76.138720000000006"/>
    <n v="98.28"/>
    <n v="-22.141279999999995"/>
    <n v="-0.29080184169106066"/>
    <s v="Q2-2025"/>
    <s v="Europe → Germany → Munich"/>
    <s v="Low"/>
    <n v="2025"/>
    <n v="4"/>
    <x v="0"/>
  </r>
  <r>
    <s v="ORD-2024-862371"/>
    <d v="2024-09-07T00:00:00"/>
    <d v="2024-09-07T00:00:00"/>
    <d v="2024-09-07T00:00:00"/>
    <d v="2024-09-07T00:00:00"/>
    <n v="0"/>
    <s v="9-2024"/>
    <s v="Asia"/>
    <s v="India"/>
    <s v="Mumbai"/>
    <s v="Education"/>
    <s v="Distributor"/>
    <s v="B. Chen"/>
    <s v="Networking"/>
    <s v="NET-9835"/>
    <n v="1066.6500000000001"/>
    <n v="2569.77"/>
    <n v="0.13400000000000001"/>
    <n v="9"/>
    <n v="20028.787380000002"/>
    <n v="9599.85"/>
    <n v="10428.937380000001"/>
    <n v="0.52069739331368348"/>
    <s v="Q3-2024"/>
    <s v="Asia → India → Mumbai"/>
    <s v="High"/>
    <n v="2024"/>
    <n v="9"/>
    <x v="1"/>
  </r>
  <r>
    <s v="ORD-2024-257550"/>
    <d v="2024-12-27T00:00:00"/>
    <d v="2024-12-29T00:00:00"/>
    <d v="2024-12-27T00:00:00"/>
    <d v="2024-12-29T00:00:00"/>
    <n v="2"/>
    <s v="12-2024"/>
    <s v="Americas"/>
    <s v="Canada"/>
    <s v="Vancouver"/>
    <s v="Enterprise"/>
    <s v="Marketplace"/>
    <s v="C. Otieno"/>
    <s v="Accessories"/>
    <s v="ACC-8620"/>
    <n v="1146.72"/>
    <n v="2074.34"/>
    <n v="0.111"/>
    <n v="8"/>
    <n v="14752.706080000002"/>
    <n v="9173.76"/>
    <n v="5578.9460800000015"/>
    <n v="0.37816425337472737"/>
    <s v="Q4-2024"/>
    <s v="Americas → Canada → Vancouver"/>
    <s v="High"/>
    <n v="2024"/>
    <n v="12"/>
    <x v="1"/>
  </r>
  <r>
    <s v="ORD-2023-369150"/>
    <d v="2023-07-18T00:00:00"/>
    <d v="2023-08-10T00:00:00"/>
    <d v="2023-07-18T00:00:00"/>
    <d v="2023-08-10T00:00:00"/>
    <n v="23"/>
    <s v="7-2023"/>
    <s v="Africa"/>
    <s v="South Africa"/>
    <s v="Johannesburg"/>
    <s v="Small Business"/>
    <s v="Retail"/>
    <s v="L. Okafor"/>
    <s v="Components"/>
    <s v="CMP-8659"/>
    <n v="1271.56"/>
    <n v="995.47"/>
    <n v="0.192"/>
    <n v="13"/>
    <n v="10456.416880000001"/>
    <n v="16530.28"/>
    <n v="-6073.8631199999982"/>
    <n v="-0.58087423155607754"/>
    <s v="Q3-2023"/>
    <s v="Africa → South Africa → Johannesburg"/>
    <s v="Low"/>
    <n v="2023"/>
    <n v="7"/>
    <x v="0"/>
  </r>
  <r>
    <s v="ORD-2024-605629"/>
    <d v="2024-07-15T00:00:00"/>
    <d v="2024-07-15T00:00:00"/>
    <d v="2024-07-15T00:00:00"/>
    <d v="2024-07-15T00:00:00"/>
    <n v="0"/>
    <s v="7-2024"/>
    <s v="Asia"/>
    <s v="Japan"/>
    <s v="Tokyo"/>
    <s v="Small Business"/>
    <s v="Marketplace"/>
    <s v="G. Dubois"/>
    <s v="Accessories"/>
    <s v="ACC-2735"/>
    <n v="801.77"/>
    <n v="1218.92"/>
    <n v="0.254"/>
    <n v="16"/>
    <n v="14549.029120000001"/>
    <n v="12828.32"/>
    <n v="1720.7091200000013"/>
    <n v="0.11826968698788344"/>
    <s v="Q3-2024"/>
    <s v="Asia → Japan → Tokyo"/>
    <s v="Medium"/>
    <n v="2024"/>
    <n v="7"/>
    <x v="1"/>
  </r>
  <r>
    <s v="ORD-2025-486350"/>
    <d v="2025-05-27T00:00:00"/>
    <d v="2025-06-08T00:00:00"/>
    <d v="2025-05-27T00:00:00"/>
    <d v="2025-06-08T00:00:00"/>
    <n v="12"/>
    <s v="5-2025"/>
    <s v="Asia"/>
    <s v="Japan"/>
    <s v="Osaka"/>
    <s v="Corporate"/>
    <s v="Retail"/>
    <s v="H. Kim"/>
    <s v="Accessories"/>
    <s v="ACC-1249"/>
    <n v="653.6"/>
    <n v="842.09"/>
    <n v="9.8000000000000004E-2"/>
    <n v="19"/>
    <n v="14431.738420000001"/>
    <n v="12418.4"/>
    <n v="2013.3384200000019"/>
    <n v="0.13950768517324622"/>
    <s v="Q2-2025"/>
    <s v="Asia → Japan → Osaka"/>
    <s v="Low"/>
    <n v="2025"/>
    <n v="5"/>
    <x v="0"/>
  </r>
  <r>
    <s v="ORD-2023-107265"/>
    <d v="2023-04-22T00:00:00"/>
    <d v="2023-05-14T00:00:00"/>
    <d v="2023-04-22T00:00:00"/>
    <d v="2023-05-14T00:00:00"/>
    <n v="22"/>
    <s v="4-2023"/>
    <s v="Asia"/>
    <s v="Japan"/>
    <s v="Nagoya"/>
    <s v="Enterprise"/>
    <s v="Retail"/>
    <s v="A. Patel"/>
    <s v="Accessories"/>
    <s v="ACC-7713"/>
    <n v="1209.22"/>
    <n v="1404.33"/>
    <n v="0.10299999999999999"/>
    <n v="11"/>
    <n v="13856.52411"/>
    <n v="13301.42"/>
    <n v="555.10411000000022"/>
    <n v="4.0060848275751328E-2"/>
    <s v="Q2-2023"/>
    <s v="Asia → Japan → Nagoya"/>
    <s v="Medium"/>
    <n v="2023"/>
    <n v="4"/>
    <x v="0"/>
  </r>
  <r>
    <s v="ORD-2024-211453"/>
    <d v="2024-04-04T00:00:00"/>
    <d v="2024-04-24T00:00:00"/>
    <d v="2024-04-04T00:00:00"/>
    <d v="2024-04-24T00:00:00"/>
    <n v="20"/>
    <s v="4-2024"/>
    <s v="Europe"/>
    <s v="Germany"/>
    <s v="Frankfurt"/>
    <s v="Non-Profit"/>
    <s v="Direct"/>
    <s v="O. Wang"/>
    <s v="Accessories"/>
    <s v="ACC-6543"/>
    <n v="683.42"/>
    <n v="951.51"/>
    <n v="0"/>
    <n v="14"/>
    <n v="13321.14"/>
    <n v="9567.8799999999992"/>
    <n v="3753.26"/>
    <n v="0.28175216235247136"/>
    <s v="Q2-2024"/>
    <s v="Europe → Germany → Frankfurt"/>
    <s v="Low"/>
    <n v="2024"/>
    <n v="4"/>
    <x v="0"/>
  </r>
  <r>
    <s v="ORD-2025-487025"/>
    <d v="2025-04-11T00:00:00"/>
    <d v="2025-05-04T00:00:00"/>
    <d v="2025-04-11T00:00:00"/>
    <d v="2025-05-04T00:00:00"/>
    <n v="23"/>
    <s v="4-2025"/>
    <s v="Asia"/>
    <s v="Japan"/>
    <s v="Osaka"/>
    <s v="Small Business"/>
    <s v="Online"/>
    <s v="M. Rossi"/>
    <s v="Components"/>
    <s v="CMP-3743"/>
    <n v="786.2"/>
    <n v="1075.3"/>
    <n v="0.08"/>
    <n v="9"/>
    <n v="8903.4839999999986"/>
    <n v="7075.8"/>
    <n v="1827.6839999999984"/>
    <n v="0.20527739478163815"/>
    <s v="Q2-2025"/>
    <s v="Asia → Japan → Osaka"/>
    <s v="Low"/>
    <n v="2025"/>
    <n v="4"/>
    <x v="0"/>
  </r>
  <r>
    <s v="ORD-2025-398335"/>
    <d v="2025-06-01T00:00:00"/>
    <d v="2025-06-27T00:00:00"/>
    <d v="2025-06-01T00:00:00"/>
    <d v="2025-06-27T00:00:00"/>
    <n v="26"/>
    <s v="6-2025"/>
    <s v="Europe"/>
    <s v="Germany"/>
    <s v="Munich"/>
    <s v="Consumer"/>
    <s v="Distributor"/>
    <s v="E. Garcia"/>
    <s v="Laptops"/>
    <s v="LAP-1619"/>
    <n v="1362.31"/>
    <n v="3294.57"/>
    <n v="0.113"/>
    <n v="7"/>
    <n v="20455.985130000001"/>
    <n v="9536.17"/>
    <n v="10919.815130000001"/>
    <n v="0.5338200561157721"/>
    <s v="Q2-2025"/>
    <s v="Europe → Germany → Munich"/>
    <s v="High"/>
    <n v="2025"/>
    <n v="6"/>
    <x v="0"/>
  </r>
  <r>
    <s v="ORD-2024-792137"/>
    <d v="2024-03-02T00:00:00"/>
    <d v="2024-03-16T00:00:00"/>
    <d v="2024-03-02T00:00:00"/>
    <d v="2024-03-16T00:00:00"/>
    <n v="14"/>
    <s v="3-2024"/>
    <s v="Americas"/>
    <s v="Canada"/>
    <s v="Vancouver"/>
    <s v="Non-Profit"/>
    <s v="Direct"/>
    <s v="O. Wang"/>
    <s v="Printers"/>
    <s v="PRN-7976"/>
    <n v="248.24"/>
    <n v="464.05"/>
    <n v="0.16900000000000001"/>
    <n v="11"/>
    <n v="4241.88105"/>
    <n v="2730.6400000000003"/>
    <n v="1511.2410499999996"/>
    <n v="0.3562667203975462"/>
    <s v="Q1-2024"/>
    <s v="Americas → Canada → Vancouver"/>
    <s v="Low"/>
    <n v="2024"/>
    <n v="3"/>
    <x v="0"/>
  </r>
  <r>
    <s v="ORD-2023-602648"/>
    <d v="2023-06-20T00:00:00"/>
    <d v="2023-07-08T00:00:00"/>
    <d v="2023-06-20T00:00:00"/>
    <d v="2023-07-08T00:00:00"/>
    <n v="18"/>
    <s v="6-2023"/>
    <s v="Americas"/>
    <s v="USA"/>
    <s v="Austin"/>
    <s v="Non-Profit"/>
    <s v="Direct"/>
    <s v="F. Müller"/>
    <s v="Monitors"/>
    <s v="MON-4326"/>
    <n v="337"/>
    <n v="511.03"/>
    <n v="0.108"/>
    <n v="7"/>
    <n v="3190.8713200000002"/>
    <n v="2359"/>
    <n v="831.8713200000002"/>
    <n v="0.26070349963219458"/>
    <s v="Q2-2023"/>
    <s v="Americas → USA → Austin"/>
    <s v="Low"/>
    <n v="2023"/>
    <n v="6"/>
    <x v="0"/>
  </r>
  <r>
    <s v="ORD-2024-207096"/>
    <d v="2024-03-26T00:00:00"/>
    <d v="2024-04-05T00:00:00"/>
    <d v="2024-03-26T00:00:00"/>
    <d v="2024-04-05T00:00:00"/>
    <n v="10"/>
    <s v="3-2024"/>
    <s v="Americas"/>
    <s v="USA"/>
    <s v="Austin"/>
    <s v="Consumer"/>
    <s v="Direct"/>
    <s v="J. Njeri"/>
    <s v="Monitors"/>
    <s v="MON-5444"/>
    <n v="5.66"/>
    <n v="4.22"/>
    <n v="0.11899999999999999"/>
    <n v="18"/>
    <n v="66.920760000000001"/>
    <n v="101.88"/>
    <n v="-34.959239999999994"/>
    <n v="-0.52239753403876454"/>
    <s v="Q1-2024"/>
    <s v="Americas → USA → Austin"/>
    <s v="Low"/>
    <n v="2024"/>
    <n v="3"/>
    <x v="0"/>
  </r>
  <r>
    <s v="ORD-2024-555229"/>
    <d v="2024-05-18T00:00:00"/>
    <d v="2024-05-22T00:00:00"/>
    <d v="2024-05-18T00:00:00"/>
    <d v="2024-05-22T00:00:00"/>
    <n v="4"/>
    <s v="5-2024"/>
    <s v="Africa"/>
    <s v="Kenya"/>
    <s v="Nairobi"/>
    <s v="Corporate"/>
    <s v="Direct"/>
    <s v="H. Kim"/>
    <s v="Accessories"/>
    <s v="ACC-7354"/>
    <n v="857.42"/>
    <n v="1658.92"/>
    <n v="0.122"/>
    <n v="9"/>
    <n v="13108.78584"/>
    <n v="7716.78"/>
    <n v="5392.0058400000007"/>
    <n v="0.41132763215544305"/>
    <s v="Q2-2024"/>
    <s v="Africa → Kenya → Nairobi"/>
    <s v="Medium"/>
    <n v="2024"/>
    <n v="5"/>
    <x v="1"/>
  </r>
  <r>
    <s v="ORD-2025-191328"/>
    <d v="2025-05-10T00:00:00"/>
    <d v="2025-05-27T00:00:00"/>
    <d v="2025-05-10T00:00:00"/>
    <d v="2025-05-27T00:00:00"/>
    <n v="17"/>
    <s v="5-2025"/>
    <s v="Americas"/>
    <s v="Canada"/>
    <s v="Vancouver"/>
    <s v="Education"/>
    <s v="Direct"/>
    <s v="C. Otieno"/>
    <s v="Components"/>
    <s v="CMP-9307"/>
    <n v="862.89"/>
    <n v="1426.03"/>
    <n v="5.6000000000000001E-2"/>
    <n v="19"/>
    <n v="25577.274079999999"/>
    <n v="16394.91"/>
    <n v="9182.3640799999994"/>
    <n v="0.35900479665188778"/>
    <s v="Q2-2025"/>
    <s v="Americas → Canada → Vancouver"/>
    <s v="Medium"/>
    <n v="2025"/>
    <n v="5"/>
    <x v="0"/>
  </r>
  <r>
    <s v="ORD-2023-166668"/>
    <d v="2023-10-05T00:00:00"/>
    <d v="2023-10-31T00:00:00"/>
    <d v="2023-10-05T00:00:00"/>
    <d v="2023-10-31T00:00:00"/>
    <n v="26"/>
    <s v="10-2023"/>
    <s v="Asia"/>
    <s v="China"/>
    <s v="Shanghai"/>
    <s v="Consumer"/>
    <s v="Unknown Channel"/>
    <s v="J. Njeri"/>
    <s v="Printers"/>
    <s v="PRN-6520"/>
    <n v="649.91"/>
    <n v="1360.12"/>
    <n v="0.19400000000000001"/>
    <n v="9"/>
    <n v="9866.3104799999983"/>
    <n v="5849.19"/>
    <n v="4017.1204799999987"/>
    <n v="0.40715528749506769"/>
    <s v="Q4-2023"/>
    <s v="Asia → China → Shanghai"/>
    <s v="Medium"/>
    <n v="2023"/>
    <n v="10"/>
    <x v="0"/>
  </r>
  <r>
    <s v="ORD-2024-202877"/>
    <d v="2024-07-13T00:00:00"/>
    <d v="2024-08-03T00:00:00"/>
    <d v="2024-07-13T00:00:00"/>
    <d v="2024-08-03T00:00:00"/>
    <n v="21"/>
    <s v="7-2024"/>
    <s v="Americas"/>
    <s v="Brazil"/>
    <s v="Rio de Janeiro"/>
    <s v="Corporate"/>
    <s v="Marketplace"/>
    <s v="M. Rossi"/>
    <s v="Monitors"/>
    <s v="MON-6287"/>
    <n v="702.98"/>
    <n v="1104.8"/>
    <n v="0.17499999999999999"/>
    <n v="12"/>
    <n v="10937.519999999999"/>
    <n v="8435.76"/>
    <n v="2501.7599999999984"/>
    <n v="0.22873192460448061"/>
    <s v="Q3-2024"/>
    <s v="Americas → Brazil → Rio de Janeiro"/>
    <s v="Low"/>
    <n v="2024"/>
    <n v="7"/>
    <x v="0"/>
  </r>
  <r>
    <s v="ORD-2025-278048"/>
    <d v="2025-06-22T00:00:00"/>
    <d v="2025-07-08T00:00:00"/>
    <d v="2025-06-22T00:00:00"/>
    <d v="2025-07-08T00:00:00"/>
    <n v="16"/>
    <s v="6-2025"/>
    <s v="Europe"/>
    <s v="United Kingdom"/>
    <s v="London"/>
    <s v="Education"/>
    <s v="Direct"/>
    <s v="A. Patel"/>
    <s v="Phones"/>
    <s v="PHN-5316"/>
    <n v="892.73"/>
    <n v="979.84"/>
    <n v="0.17399999999999999"/>
    <n v="10"/>
    <n v="8093.4784"/>
    <n v="8927.2999999999993"/>
    <n v="-833.82159999999931"/>
    <n v="-0.10302388649112838"/>
    <s v="Q2-2025"/>
    <s v="Europe → United Kingdom → London"/>
    <s v="Low"/>
    <n v="2025"/>
    <n v="6"/>
    <x v="0"/>
  </r>
  <r>
    <s v="ORD-2024-878493"/>
    <d v="2024-06-19T00:00:00"/>
    <d v="2024-06-20T00:00:00"/>
    <d v="2024-06-19T00:00:00"/>
    <d v="2024-06-20T00:00:00"/>
    <n v="1"/>
    <s v="6-2024"/>
    <s v="Africa"/>
    <s v="Kenya"/>
    <s v="Kisumu"/>
    <s v="Small Business"/>
    <s v="Direct"/>
    <s v="J. Njeri"/>
    <s v="Laptops"/>
    <s v="LAP-4607"/>
    <n v="231.63"/>
    <n v="537.39"/>
    <n v="0.08"/>
    <n v="12"/>
    <n v="5932.7856000000002"/>
    <n v="2779.56"/>
    <n v="3153.2256000000002"/>
    <n v="0.53149158129024587"/>
    <s v="Q2-2024"/>
    <s v="Africa → Kenya → Kisumu"/>
    <s v="Low"/>
    <n v="2024"/>
    <n v="6"/>
    <x v="1"/>
  </r>
  <r>
    <s v="ORD-2025-138578"/>
    <d v="2025-04-09T00:00:00"/>
    <d v="2025-04-12T00:00:00"/>
    <d v="2025-04-09T00:00:00"/>
    <d v="2025-04-12T00:00:00"/>
    <n v="3"/>
    <s v="4-2025"/>
    <s v="Europe"/>
    <s v="France"/>
    <s v="Lyon"/>
    <s v="Small Business"/>
    <s v="Distributor"/>
    <s v="H. Kim"/>
    <s v="Monitors"/>
    <s v="MON-5276"/>
    <n v="86.68"/>
    <n v="213.32"/>
    <n v="3.7999999999999999E-2"/>
    <n v="8"/>
    <n v="1641.7107199999998"/>
    <n v="693.44"/>
    <n v="948.27071999999976"/>
    <n v="0.57761133459614611"/>
    <s v="Q2-2025"/>
    <s v="Europe → France → Lyon"/>
    <s v="Low"/>
    <n v="2025"/>
    <n v="4"/>
    <x v="1"/>
  </r>
  <r>
    <s v="ORD-2025-939953"/>
    <d v="2025-01-22T00:00:00"/>
    <d v="2025-01-22T00:00:00"/>
    <d v="2025-01-22T00:00:00"/>
    <d v="2025-01-22T00:00:00"/>
    <n v="0"/>
    <s v="1-2025"/>
    <s v="Europe"/>
    <s v="France"/>
    <s v="Lyon"/>
    <s v="Small Business"/>
    <s v="Online"/>
    <s v="B. Chen"/>
    <s v="Accessories"/>
    <s v="ACC-5422"/>
    <n v="591.72"/>
    <n v="577.24"/>
    <n v="0"/>
    <n v="22"/>
    <n v="12699.28"/>
    <n v="13017.84"/>
    <n v="-318.55999999999949"/>
    <n v="-2.5084886702238195E-2"/>
    <s v="Q1-2025"/>
    <s v="Europe → France → Lyon"/>
    <s v="Low"/>
    <n v="2025"/>
    <n v="1"/>
    <x v="1"/>
  </r>
  <r>
    <s v="ORD-2025-364852"/>
    <d v="2025-05-18T00:00:00"/>
    <d v="2025-06-09T00:00:00"/>
    <d v="2025-05-18T00:00:00"/>
    <d v="2025-06-09T00:00:00"/>
    <n v="22"/>
    <s v="5-2025"/>
    <s v="Americas"/>
    <s v="USA"/>
    <s v="New York"/>
    <s v="Consumer"/>
    <s v="Retail"/>
    <s v="H. Kim"/>
    <s v="Networking"/>
    <s v="NET-3749"/>
    <n v="382.96"/>
    <n v="552.84"/>
    <n v="0.17599999999999999"/>
    <n v="8"/>
    <n v="3644.3212800000006"/>
    <n v="3063.68"/>
    <n v="580.64128000000073"/>
    <n v="0.15932768693763483"/>
    <s v="Q2-2025"/>
    <s v="Americas → USA → New York"/>
    <s v="Low"/>
    <n v="2025"/>
    <n v="5"/>
    <x v="0"/>
  </r>
  <r>
    <s v="ORD-2025-415018"/>
    <d v="2025-01-22T00:00:00"/>
    <d v="2025-02-04T00:00:00"/>
    <d v="2025-01-22T00:00:00"/>
    <d v="2025-02-04T00:00:00"/>
    <n v="13"/>
    <s v="1-2025"/>
    <s v="Asia"/>
    <s v="Japan"/>
    <s v="Tokyo"/>
    <s v="Small Business"/>
    <s v="Distributor"/>
    <s v="L. Okafor"/>
    <s v="Printers"/>
    <s v="PRN-2991"/>
    <n v="122.29"/>
    <n v="224.95"/>
    <n v="0.153"/>
    <n v="28"/>
    <n v="5334.9141999999993"/>
    <n v="3424.1200000000003"/>
    <n v="1910.7941999999989"/>
    <n v="0.3581677471026618"/>
    <s v="Q1-2025"/>
    <s v="Asia → Japan → Tokyo"/>
    <s v="Low"/>
    <n v="2025"/>
    <n v="1"/>
    <x v="0"/>
  </r>
  <r>
    <s v="ORD-2023-884192"/>
    <d v="2023-01-10T00:00:00"/>
    <d v="2023-01-29T00:00:00"/>
    <d v="2023-01-10T00:00:00"/>
    <d v="2023-01-29T00:00:00"/>
    <n v="19"/>
    <s v="1-2023"/>
    <s v="Europe"/>
    <s v="France"/>
    <s v="Lyon"/>
    <s v="Non-Profit"/>
    <s v="Direct"/>
    <s v="D. Smith"/>
    <s v="Laptops"/>
    <s v="LAP-4551"/>
    <n v="401.66"/>
    <n v="772.09"/>
    <n v="8.8999999999999996E-2"/>
    <n v="14"/>
    <n v="9847.2358600000007"/>
    <n v="5623.2400000000007"/>
    <n v="4223.99586"/>
    <n v="0.42895244107619046"/>
    <s v="Q1-2023"/>
    <s v="Europe → France → Lyon"/>
    <s v="Low"/>
    <n v="2023"/>
    <n v="1"/>
    <x v="0"/>
  </r>
  <r>
    <s v="ORD-2024-165942"/>
    <d v="2024-12-29T00:00:00"/>
    <d v="2025-01-12T00:00:00"/>
    <d v="2024-12-29T00:00:00"/>
    <d v="2025-01-12T00:00:00"/>
    <n v="14"/>
    <s v="12-2024"/>
    <s v="Europe"/>
    <s v="United Kingdom"/>
    <s v="Manchester"/>
    <s v="Corporate"/>
    <s v="Direct"/>
    <s v="B. Chen"/>
    <s v="Monitors"/>
    <s v="MON-6310"/>
    <n v="1399.72"/>
    <n v="3149.21"/>
    <n v="0.185"/>
    <n v="12"/>
    <n v="30799.273800000003"/>
    <n v="16796.64"/>
    <n v="14002.633800000003"/>
    <n v="0.45464168703873797"/>
    <s v="Q4-2024"/>
    <s v="Europe → United Kingdom → Manchester"/>
    <s v="High"/>
    <n v="2024"/>
    <n v="12"/>
    <x v="0"/>
  </r>
  <r>
    <s v="ORD-2024-585443"/>
    <d v="2024-08-17T00:00:00"/>
    <d v="2024-08-15T00:00:00"/>
    <d v="2024-08-15T00:00:00"/>
    <d v="2024-08-17T00:00:00"/>
    <n v="2"/>
    <s v="8-2024"/>
    <s v="Americas"/>
    <s v="Brazil"/>
    <s v="Rio de Janeiro"/>
    <s v="Consumer"/>
    <s v="Direct"/>
    <s v="M. Rossi"/>
    <s v="Monitors"/>
    <s v="MON-2849"/>
    <n v="165.3"/>
    <n v="275.07"/>
    <n v="0.13300000000000001"/>
    <n v="25"/>
    <n v="5962.1422499999999"/>
    <n v="4132.5"/>
    <n v="1829.6422499999999"/>
    <n v="0.30687665159280625"/>
    <s v="Q3-2024"/>
    <s v="Americas → Brazil → Rio de Janeiro"/>
    <s v="Low"/>
    <n v="2024"/>
    <n v="8"/>
    <x v="1"/>
  </r>
  <r>
    <s v="ORD-2025-281062"/>
    <d v="2025-02-15T00:00:00"/>
    <d v="2025-02-27T00:00:00"/>
    <d v="2025-02-15T00:00:00"/>
    <d v="2025-02-27T00:00:00"/>
    <n v="12"/>
    <s v="2-2025"/>
    <s v="Europe"/>
    <s v="France"/>
    <s v="Lyon"/>
    <s v="Non-Profit"/>
    <s v="Direct"/>
    <s v="K. Singh"/>
    <s v="Accessories"/>
    <s v="ACC-1604"/>
    <n v="1027.26"/>
    <n v="2200.41"/>
    <n v="8.7999999999999995E-2"/>
    <n v="6"/>
    <n v="12040.64352"/>
    <n v="6163.5599999999995"/>
    <n v="5877.0835200000001"/>
    <n v="0.48810377204822358"/>
    <s v="Q1-2025"/>
    <s v="Europe → France → Lyon"/>
    <s v="High"/>
    <n v="2025"/>
    <n v="2"/>
    <x v="0"/>
  </r>
  <r>
    <s v="ORD-2024-925626"/>
    <d v="2024-11-04T00:00:00"/>
    <d v="2024-11-05T00:00:00"/>
    <d v="2024-11-04T00:00:00"/>
    <d v="2024-11-05T00:00:00"/>
    <n v="1"/>
    <s v="11-2024"/>
    <s v="Europe"/>
    <s v="United Kingdom"/>
    <s v="London"/>
    <s v="Corporate"/>
    <s v="Retail"/>
    <s v="M. Rossi"/>
    <s v="Printers"/>
    <s v="PRN-2293"/>
    <n v="840.68"/>
    <n v="1493.53"/>
    <n v="0"/>
    <n v="27"/>
    <n v="40325.31"/>
    <n v="22698.359999999997"/>
    <n v="17626.95"/>
    <n v="0.43711877230454027"/>
    <s v="Q4-2024"/>
    <s v="Europe → United Kingdom → London"/>
    <s v="Medium"/>
    <n v="2024"/>
    <n v="11"/>
    <x v="1"/>
  </r>
  <r>
    <s v="ORD-2024-427031"/>
    <d v="2024-06-08T00:00:00"/>
    <d v="2024-06-24T00:00:00"/>
    <d v="2024-06-08T00:00:00"/>
    <d v="2024-06-24T00:00:00"/>
    <n v="16"/>
    <s v="6-2024"/>
    <s v="Africa"/>
    <s v="South Africa"/>
    <s v="Durban"/>
    <s v="Education"/>
    <s v="Distributor"/>
    <s v="H. Kim"/>
    <s v="Monitors"/>
    <s v="MON-1389"/>
    <n v="597.85"/>
    <n v="741.92"/>
    <n v="3.1E-2"/>
    <n v="7"/>
    <n v="5032.4433599999993"/>
    <n v="4184.95"/>
    <n v="847.49335999999948"/>
    <n v="0.16840594108544515"/>
    <s v="Q2-2024"/>
    <s v="Africa → South Africa → Durban"/>
    <s v="Low"/>
    <n v="2024"/>
    <n v="6"/>
    <x v="0"/>
  </r>
  <r>
    <s v="ORD-2025-231184"/>
    <d v="2025-06-01T00:00:00"/>
    <d v="2025-06-06T00:00:00"/>
    <d v="2025-06-01T00:00:00"/>
    <d v="2025-06-06T00:00:00"/>
    <n v="5"/>
    <s v="6-2025"/>
    <s v="Europe"/>
    <s v="France"/>
    <s v="Paris"/>
    <s v="Consumer"/>
    <s v="Distributor"/>
    <s v="G. Dubois"/>
    <s v="Components"/>
    <s v="CMP-4093"/>
    <n v="379.45"/>
    <n v="742.23"/>
    <n v="0.09"/>
    <n v="13"/>
    <n v="8780.5809000000008"/>
    <n v="4932.8499999999995"/>
    <n v="3847.7309000000014"/>
    <n v="0.43820915083192286"/>
    <s v="Q2-2025"/>
    <s v="Europe → France → Paris"/>
    <s v="Low"/>
    <n v="2025"/>
    <n v="6"/>
    <x v="1"/>
  </r>
  <r>
    <s v="ORD-2023-363031"/>
    <d v="2023-05-06T00:00:00"/>
    <d v="2023-05-14T00:00:00"/>
    <d v="2023-05-06T00:00:00"/>
    <d v="2023-05-14T00:00:00"/>
    <n v="8"/>
    <s v="5-2023"/>
    <s v="Asia"/>
    <s v="Japan"/>
    <s v="Osaka"/>
    <s v="Enterprise"/>
    <s v="Marketplace"/>
    <s v="B. Chen"/>
    <s v="Phones"/>
    <s v="PHN-6131"/>
    <n v="291.18"/>
    <n v="479.54"/>
    <n v="0.14099999999999999"/>
    <n v="22"/>
    <n v="9062.34692"/>
    <n v="6405.96"/>
    <n v="2656.3869199999999"/>
    <n v="0.29312350801066001"/>
    <s v="Q2-2023"/>
    <s v="Asia → Japan → Osaka"/>
    <s v="Low"/>
    <n v="2023"/>
    <n v="5"/>
    <x v="0"/>
  </r>
  <r>
    <s v="ORD-2024-578646"/>
    <d v="2024-05-27T00:00:00"/>
    <d v="2024-06-17T00:00:00"/>
    <d v="2024-05-27T00:00:00"/>
    <d v="2024-06-17T00:00:00"/>
    <n v="21"/>
    <s v="5-2024"/>
    <s v="Asia"/>
    <s v="India"/>
    <s v="Delhi"/>
    <s v="Small Business"/>
    <s v="Online"/>
    <s v="H. Kim"/>
    <s v="Accessories"/>
    <s v="ACC-7240"/>
    <n v="465.02"/>
    <n v="651.55999999999995"/>
    <n v="4.2000000000000003E-2"/>
    <n v="19"/>
    <n v="11859.695119999998"/>
    <n v="8835.3799999999992"/>
    <n v="3024.3151199999993"/>
    <n v="0.25500783025187918"/>
    <s v="Q2-2024"/>
    <s v="Asia → India → Delhi"/>
    <s v="Low"/>
    <n v="2024"/>
    <n v="5"/>
    <x v="0"/>
  </r>
  <r>
    <s v="ORD-2025-861401"/>
    <d v="2025-04-01T00:00:00"/>
    <d v="2025-04-27T00:00:00"/>
    <d v="2025-04-01T00:00:00"/>
    <d v="2025-04-27T00:00:00"/>
    <n v="26"/>
    <s v="4-2025"/>
    <s v="Americas"/>
    <s v="USA"/>
    <s v="San Francisco"/>
    <s v="Corporate"/>
    <s v="Direct"/>
    <s v="I. Johnson"/>
    <s v="Monitors"/>
    <s v="MON-9319"/>
    <n v="156.55000000000001"/>
    <n v="227.45"/>
    <n v="1.4E-2"/>
    <n v="13"/>
    <n v="2915.4540999999999"/>
    <n v="2035.15"/>
    <n v="880.30409999999983"/>
    <n v="0.3019440779396938"/>
    <s v="Q2-2025"/>
    <s v="Americas → USA → San Francisco"/>
    <s v="Low"/>
    <n v="2025"/>
    <n v="4"/>
    <x v="0"/>
  </r>
  <r>
    <s v="ORD-2023-890605"/>
    <d v="2023-06-24T00:00:00"/>
    <d v="2023-06-22T00:00:00"/>
    <d v="2023-06-22T00:00:00"/>
    <d v="2023-06-24T00:00:00"/>
    <n v="2"/>
    <s v="6-2023"/>
    <s v="Americas"/>
    <s v="Canada"/>
    <s v="Toronto"/>
    <s v="Non-Profit"/>
    <s v="Retail"/>
    <s v="M. Rossi"/>
    <s v="Accessories"/>
    <s v="ACC-2903"/>
    <n v="471.42"/>
    <n v="824.81"/>
    <n v="8.7999999999999995E-2"/>
    <n v="15"/>
    <n v="11283.400799999999"/>
    <n v="7071.3"/>
    <n v="4212.1007999999993"/>
    <n v="0.37330064531608231"/>
    <s v="Q2-2023"/>
    <s v="Americas → Canada → Toronto"/>
    <s v="Low"/>
    <n v="2023"/>
    <n v="6"/>
    <x v="1"/>
  </r>
  <r>
    <s v="ORD-2024-819979"/>
    <d v="2024-05-28T00:00:00"/>
    <d v="2024-06-18T00:00:00"/>
    <d v="2024-05-28T00:00:00"/>
    <d v="2024-06-18T00:00:00"/>
    <n v="21"/>
    <s v="5-2024"/>
    <s v="Europe"/>
    <s v="Germany"/>
    <s v="Frankfurt"/>
    <s v="Small Business"/>
    <s v="Online"/>
    <s v="E. Garcia"/>
    <s v="Phones"/>
    <s v="PHN-9399"/>
    <n v="986.85"/>
    <n v="2422.1"/>
    <n v="7.5999999999999998E-2"/>
    <n v="10"/>
    <n v="22380.204000000002"/>
    <n v="9868.5"/>
    <n v="12511.704000000002"/>
    <n v="0.55905227673527913"/>
    <s v="Q2-2024"/>
    <s v="Europe → Germany → Frankfurt"/>
    <s v="High"/>
    <n v="2024"/>
    <n v="5"/>
    <x v="0"/>
  </r>
  <r>
    <s v="ORD-2024-719055"/>
    <d v="2024-01-02T00:00:00"/>
    <d v="2024-01-01T00:00:00"/>
    <d v="2024-01-01T00:00:00"/>
    <d v="2024-01-02T00:00:00"/>
    <n v="1"/>
    <s v="1-2024"/>
    <s v="Americas"/>
    <s v="USA"/>
    <s v="Chicago"/>
    <s v="Education"/>
    <s v="Marketplace"/>
    <s v="B. Chen"/>
    <s v="Networking"/>
    <s v="NET-4554"/>
    <n v="404.77"/>
    <n v="433.88"/>
    <n v="0.215"/>
    <n v="22"/>
    <n v="7493.1076000000012"/>
    <n v="8904.9399999999987"/>
    <n v="-1411.8323999999975"/>
    <n v="-0.18841747314558746"/>
    <s v="Q1-2024"/>
    <s v="Americas → USA → Chicago"/>
    <s v="Low"/>
    <n v="2024"/>
    <n v="1"/>
    <x v="1"/>
  </r>
  <r>
    <s v="ORD-2023-888245"/>
    <d v="2023-02-28T00:00:00"/>
    <d v="2023-02-27T00:00:00"/>
    <d v="2023-02-27T00:00:00"/>
    <d v="2023-02-28T00:00:00"/>
    <n v="1"/>
    <s v="2-2023"/>
    <s v="Europe"/>
    <s v="France"/>
    <s v="Marseille"/>
    <s v="Corporate"/>
    <s v="Retail"/>
    <s v="K. Singh"/>
    <s v="Networking"/>
    <s v="NET-5195"/>
    <n v="1299.81"/>
    <n v="3149.13"/>
    <n v="0.10299999999999999"/>
    <n v="14"/>
    <n v="39546.774539999999"/>
    <n v="18197.34"/>
    <n v="21349.434539999998"/>
    <n v="0.53985273864511729"/>
    <s v="Q1-2023"/>
    <s v="Europe → France → Marseille"/>
    <s v="High"/>
    <n v="2023"/>
    <n v="2"/>
    <x v="1"/>
  </r>
  <r>
    <s v="ORD-2024-500890"/>
    <d v="2024-09-09T00:00:00"/>
    <d v="2024-10-08T00:00:00"/>
    <d v="2024-09-09T00:00:00"/>
    <d v="2024-10-08T00:00:00"/>
    <n v="29"/>
    <s v="9-2024"/>
    <s v="Americas"/>
    <s v="Brazil"/>
    <s v="São Paulo"/>
    <s v="Education"/>
    <s v="Direct"/>
    <s v="J. Njeri"/>
    <s v="Components"/>
    <s v="CMP-3093"/>
    <n v="1010.33"/>
    <n v="2492.14"/>
    <n v="5.0999999999999997E-2"/>
    <n v="11"/>
    <n v="26015.449459999996"/>
    <n v="11113.630000000001"/>
    <n v="14901.819459999995"/>
    <n v="0.57280653493656752"/>
    <s v="Q3-2024"/>
    <s v="Americas → Brazil → São Paulo"/>
    <s v="High"/>
    <n v="2024"/>
    <n v="9"/>
    <x v="0"/>
  </r>
  <r>
    <s v="ORD-2024-777623"/>
    <d v="2024-09-19T00:00:00"/>
    <d v="2024-10-14T00:00:00"/>
    <d v="2024-09-19T00:00:00"/>
    <d v="2024-10-14T00:00:00"/>
    <n v="25"/>
    <s v="9-2024"/>
    <s v="Americas"/>
    <s v="Brazil"/>
    <s v="Rio de Janeiro"/>
    <s v="Small Business"/>
    <s v="Retail"/>
    <s v="K. Singh"/>
    <s v="Printers"/>
    <s v="PRN-2749"/>
    <n v="386.96"/>
    <n v="937.46"/>
    <n v="0.26600000000000001"/>
    <n v="41"/>
    <n v="28211.92124"/>
    <n v="15865.359999999999"/>
    <n v="12346.561240000001"/>
    <n v="0.43763631462626335"/>
    <s v="Q3-2024"/>
    <s v="Americas → Brazil → Rio de Janeiro"/>
    <s v="Low"/>
    <n v="2024"/>
    <n v="9"/>
    <x v="0"/>
  </r>
  <r>
    <s v="ORD-2023-842488"/>
    <d v="2023-10-31T00:00:00"/>
    <d v="2023-11-02T00:00:00"/>
    <d v="2023-10-31T00:00:00"/>
    <d v="2023-11-02T00:00:00"/>
    <n v="2"/>
    <s v="10-2023"/>
    <s v="Africa"/>
    <s v="Kenya"/>
    <s v="Kisumu"/>
    <s v="Education"/>
    <s v="Retail"/>
    <s v="O. Wang"/>
    <s v="Accessories"/>
    <s v="ACC-4124"/>
    <n v="867.89"/>
    <n v="1349.94"/>
    <n v="0.184"/>
    <n v="10"/>
    <n v="11015.510400000003"/>
    <n v="8678.9"/>
    <n v="2336.6104000000032"/>
    <n v="0.21212003031652557"/>
    <s v="Q4-2023"/>
    <s v="Africa → Kenya → Kisumu"/>
    <s v="Medium"/>
    <n v="2023"/>
    <n v="10"/>
    <x v="1"/>
  </r>
  <r>
    <s v="ORD-2024-153053"/>
    <d v="2024-01-12T00:00:00"/>
    <d v="2024-01-29T00:00:00"/>
    <d v="2024-01-12T00:00:00"/>
    <d v="2024-01-29T00:00:00"/>
    <n v="17"/>
    <s v="1-2024"/>
    <s v="Asia"/>
    <s v="India"/>
    <s v="Hyderabad"/>
    <s v="Small Business"/>
    <s v="Direct"/>
    <s v="B. Chen"/>
    <s v="Components"/>
    <s v="CMP-5138"/>
    <n v="310.02"/>
    <n v="619.51"/>
    <n v="4.2000000000000003E-2"/>
    <n v="4"/>
    <n v="2373.9623200000001"/>
    <n v="1240.08"/>
    <n v="1133.8823200000002"/>
    <n v="0.47763282106347843"/>
    <s v="Q1-2024"/>
    <s v="Asia → India → Hyderabad"/>
    <s v="Low"/>
    <n v="2024"/>
    <n v="1"/>
    <x v="0"/>
  </r>
  <r>
    <s v="ORD-2023-536542"/>
    <d v="2023-06-10T00:00:00"/>
    <d v="2023-06-18T00:00:00"/>
    <d v="2023-06-10T00:00:00"/>
    <d v="2023-06-18T00:00:00"/>
    <n v="8"/>
    <s v="6-2023"/>
    <s v="Africa"/>
    <s v="Kenya"/>
    <s v="Nakuru"/>
    <s v="Enterprise"/>
    <s v="Direct"/>
    <s v="H. Kim"/>
    <s v="Phones"/>
    <s v="PHN-2337"/>
    <n v="894.23"/>
    <n v="1421.55"/>
    <n v="0.109"/>
    <n v="3"/>
    <n v="3799.8031499999997"/>
    <n v="2682.69"/>
    <n v="1117.1131499999997"/>
    <n v="0.29399237431549574"/>
    <s v="Q2-2023"/>
    <s v="Africa → Kenya → Nakuru"/>
    <s v="Medium"/>
    <n v="2023"/>
    <n v="6"/>
    <x v="0"/>
  </r>
  <r>
    <s v="ORD-2024-444710"/>
    <d v="2024-09-22T00:00:00"/>
    <d v="2024-10-01T00:00:00"/>
    <d v="2024-09-22T00:00:00"/>
    <d v="2024-10-01T00:00:00"/>
    <n v="9"/>
    <s v="9-2024"/>
    <s v="Americas"/>
    <s v="Brazil"/>
    <s v="São Paulo"/>
    <s v="Non-Profit"/>
    <s v="Online"/>
    <s v="K. Singh"/>
    <s v="Monitors"/>
    <s v="MON-6341"/>
    <n v="1378.8"/>
    <n v="1952.04"/>
    <n v="0.159"/>
    <n v="19"/>
    <n v="31191.64716"/>
    <n v="26197.200000000001"/>
    <n v="4994.4471599999997"/>
    <n v="0.16012130216723058"/>
    <s v="Q3-2024"/>
    <s v="Americas → Brazil → São Paulo"/>
    <s v="High"/>
    <n v="2024"/>
    <n v="9"/>
    <x v="0"/>
  </r>
  <r>
    <s v="ORD-2023-163610"/>
    <d v="2023-10-22T00:00:00"/>
    <d v="2023-11-16T00:00:00"/>
    <d v="2023-10-22T00:00:00"/>
    <d v="2023-11-16T00:00:00"/>
    <n v="25"/>
    <s v="10-2023"/>
    <s v="Americas"/>
    <s v="Canada"/>
    <s v="Toronto"/>
    <s v="Small Business"/>
    <s v="Marketplace"/>
    <s v="I. Johnson"/>
    <s v="Laptops"/>
    <s v="LAP-9024"/>
    <n v="1373.31"/>
    <n v="3154.14"/>
    <n v="0.2"/>
    <n v="11"/>
    <n v="27756.432000000001"/>
    <n v="15106.41"/>
    <n v="12650.022000000001"/>
    <n v="0.45575101295440279"/>
    <s v="Q4-2023"/>
    <s v="Americas → Canada → Toronto"/>
    <s v="High"/>
    <n v="2023"/>
    <n v="10"/>
    <x v="0"/>
  </r>
  <r>
    <s v="ORD-2025-653781"/>
    <d v="2025-01-11T00:00:00"/>
    <d v="2025-01-23T00:00:00"/>
    <d v="2025-01-11T00:00:00"/>
    <d v="2025-01-23T00:00:00"/>
    <n v="12"/>
    <s v="1-2025"/>
    <s v="Americas"/>
    <s v="USA"/>
    <s v="Austin"/>
    <s v="Consumer"/>
    <s v="Distributor"/>
    <s v="H. Kim"/>
    <s v="Phones"/>
    <s v="PHN-6307"/>
    <n v="100.69"/>
    <n v="226.14"/>
    <n v="6.5000000000000002E-2"/>
    <n v="12"/>
    <n v="2537.2908000000002"/>
    <n v="1208.28"/>
    <n v="1329.0108000000002"/>
    <n v="0.52379128162999689"/>
    <s v="Q1-2025"/>
    <s v="Americas → USA → Austin"/>
    <s v="Low"/>
    <n v="2025"/>
    <n v="1"/>
    <x v="0"/>
  </r>
  <r>
    <s v="ORD-2025-737787"/>
    <d v="2025-09-14T00:00:00"/>
    <d v="2025-09-26T00:00:00"/>
    <d v="2025-09-14T00:00:00"/>
    <d v="2025-09-26T00:00:00"/>
    <n v="12"/>
    <s v="9-2025"/>
    <s v="Europe"/>
    <s v="United Kingdom"/>
    <s v="London"/>
    <s v="Small Business"/>
    <s v="Direct"/>
    <s v="N. Brown"/>
    <s v="Networking"/>
    <s v="NET-9003"/>
    <n v="425.15"/>
    <n v="885.92"/>
    <n v="0.23899999999999999"/>
    <n v="13"/>
    <n v="8764.4065599999994"/>
    <n v="5526.95"/>
    <n v="3237.4565599999996"/>
    <n v="0.3693868532725848"/>
    <s v="Q3-2025"/>
    <s v="Europe → United Kingdom → London"/>
    <s v="Low"/>
    <n v="2025"/>
    <n v="9"/>
    <x v="0"/>
  </r>
  <r>
    <s v="ORD-2025-580047"/>
    <d v="2025-06-14T00:00:00"/>
    <d v="2025-06-29T00:00:00"/>
    <d v="2025-06-14T00:00:00"/>
    <d v="2025-06-29T00:00:00"/>
    <n v="15"/>
    <s v="6-2025"/>
    <s v="Africa"/>
    <s v="Nigeria"/>
    <s v="Port Harcourt"/>
    <s v="Consumer"/>
    <s v="Marketplace"/>
    <s v="M. Rossi"/>
    <s v="Accessories"/>
    <s v="ACC-3961"/>
    <n v="730.99"/>
    <n v="1242.8399999999999"/>
    <n v="0.12"/>
    <n v="10"/>
    <n v="10936.992"/>
    <n v="7309.9"/>
    <n v="3627.0920000000006"/>
    <n v="0.33163524303574515"/>
    <s v="Q2-2025"/>
    <s v="Africa → Nigeria → Port Harcourt"/>
    <s v="Medium"/>
    <n v="2025"/>
    <n v="6"/>
    <x v="0"/>
  </r>
  <r>
    <s v="ORD-2024-655710"/>
    <d v="2024-11-30T00:00:00"/>
    <d v="2024-12-10T00:00:00"/>
    <d v="2024-11-30T00:00:00"/>
    <d v="2024-12-10T00:00:00"/>
    <n v="10"/>
    <s v="11-2024"/>
    <s v="Asia"/>
    <s v="India"/>
    <s v="Hyderabad"/>
    <s v="Small Business"/>
    <s v="Retail"/>
    <s v="F. Müller"/>
    <s v="Accessories"/>
    <s v="ACC-1075"/>
    <n v="851.49"/>
    <n v="901.79"/>
    <n v="0.245"/>
    <n v="16"/>
    <n v="10893.6232"/>
    <n v="13623.84"/>
    <n v="-2730.2168000000001"/>
    <n v="-0.25062522816100341"/>
    <s v="Q4-2024"/>
    <s v="Asia → India → Hyderabad"/>
    <s v="Low"/>
    <n v="2024"/>
    <n v="11"/>
    <x v="0"/>
  </r>
  <r>
    <s v="ORD-2025-323492"/>
    <d v="2025-04-27T00:00:00"/>
    <d v="2025-05-27T00:00:00"/>
    <d v="2025-04-27T00:00:00"/>
    <d v="2025-05-27T00:00:00"/>
    <n v="30"/>
    <s v="4-2025"/>
    <s v="Asia"/>
    <s v="India"/>
    <s v="Unknown City"/>
    <s v="Enterprise"/>
    <s v="Marketplace"/>
    <s v="H. Kim"/>
    <s v="Phones"/>
    <s v="PHN-3854"/>
    <n v="481.32"/>
    <n v="1135.99"/>
    <n v="0.14499999999999999"/>
    <n v="5"/>
    <n v="4856.35725"/>
    <n v="2406.6"/>
    <n v="2449.7572500000001"/>
    <n v="0.50444337677175621"/>
    <s v="Q2-2025"/>
    <s v="Asia → India → Unknown City"/>
    <s v="Low"/>
    <n v="2025"/>
    <n v="4"/>
    <x v="0"/>
  </r>
  <r>
    <s v="ORD-2024-332076"/>
    <d v="2024-04-09T00:00:00"/>
    <d v="2024-04-18T00:00:00"/>
    <d v="2024-04-09T00:00:00"/>
    <d v="2024-04-18T00:00:00"/>
    <n v="9"/>
    <s v="4-2024"/>
    <s v="Europe"/>
    <s v="France"/>
    <s v="Lyon"/>
    <s v="Consumer"/>
    <s v="Online"/>
    <s v="E. Garcia"/>
    <s v="Printers"/>
    <s v="PRN-1086"/>
    <n v="1288.8499999999999"/>
    <n v="2751.84"/>
    <n v="0.158"/>
    <n v="7"/>
    <n v="16219.34496"/>
    <n v="9021.9499999999989"/>
    <n v="7197.3949600000014"/>
    <n v="0.44375373837538756"/>
    <s v="Q2-2024"/>
    <s v="Europe → France → Lyon"/>
    <s v="High"/>
    <n v="2024"/>
    <n v="4"/>
    <x v="0"/>
  </r>
  <r>
    <s v="ORD-2024-571797"/>
    <d v="2024-07-11T00:00:00"/>
    <d v="2024-07-31T00:00:00"/>
    <d v="2024-07-11T00:00:00"/>
    <d v="2024-07-31T00:00:00"/>
    <n v="20"/>
    <s v="7-2024"/>
    <s v="Asia"/>
    <s v="China"/>
    <s v="Shenzhen"/>
    <s v="Consumer"/>
    <s v="Online"/>
    <s v="G. Dubois"/>
    <s v="Phones"/>
    <s v="PHN-7815"/>
    <n v="647.26"/>
    <n v="1374.72"/>
    <n v="6.6000000000000003E-2"/>
    <n v="22"/>
    <n v="28247.74656"/>
    <n v="14239.72"/>
    <n v="14008.02656"/>
    <n v="0.49589890401508901"/>
    <s v="Q3-2024"/>
    <s v="Asia → China → Shenzhen"/>
    <s v="Medium"/>
    <n v="2024"/>
    <n v="7"/>
    <x v="0"/>
  </r>
  <r>
    <s v="ORD-2024-588972"/>
    <d v="2024-11-02T00:00:00"/>
    <d v="2024-11-29T00:00:00"/>
    <d v="2024-11-02T00:00:00"/>
    <d v="2024-11-29T00:00:00"/>
    <n v="27"/>
    <s v="11-2024"/>
    <s v="Americas"/>
    <s v="Brazil"/>
    <s v="Brasília"/>
    <s v="Small Business"/>
    <s v="Direct"/>
    <s v="I. Johnson"/>
    <s v="Networking"/>
    <s v="NET-8561"/>
    <n v="1363.51"/>
    <n v="1433.9"/>
    <n v="5.7000000000000002E-2"/>
    <n v="8"/>
    <n v="10817.3416"/>
    <n v="10908.08"/>
    <n v="-90.738400000000183"/>
    <n v="-8.3882346842037592E-3"/>
    <s v="Q4-2024"/>
    <s v="Americas → Brazil → Brasília"/>
    <s v="Medium"/>
    <n v="2024"/>
    <n v="11"/>
    <x v="0"/>
  </r>
  <r>
    <s v="ORD-2025-649633"/>
    <d v="2025-07-19T00:00:00"/>
    <d v="2025-07-31T00:00:00"/>
    <d v="2025-07-19T00:00:00"/>
    <d v="2025-07-31T00:00:00"/>
    <n v="12"/>
    <s v="7-2025"/>
    <s v="Africa"/>
    <s v="Kenya"/>
    <s v="Nairobi"/>
    <s v="Small Business"/>
    <s v="Marketplace"/>
    <s v="O. Wang"/>
    <s v="Accessories"/>
    <s v="ACC-1028"/>
    <n v="619.64"/>
    <n v="861.16"/>
    <n v="0.113"/>
    <n v="14"/>
    <n v="10693.88488"/>
    <n v="8674.9599999999991"/>
    <n v="2018.9248800000005"/>
    <n v="0.18879246435276761"/>
    <s v="Q3-2025"/>
    <s v="Africa → Kenya → Nairobi"/>
    <s v="Low"/>
    <n v="2025"/>
    <n v="7"/>
    <x v="0"/>
  </r>
  <r>
    <s v="ORD-2023-825084"/>
    <d v="2023-07-14T00:00:00"/>
    <d v="2023-07-21T00:00:00"/>
    <d v="2023-07-14T00:00:00"/>
    <d v="2023-07-21T00:00:00"/>
    <n v="7"/>
    <s v="7-2023"/>
    <s v="Africa"/>
    <s v="South Africa"/>
    <s v="Durban"/>
    <s v="Enterprise"/>
    <s v="Marketplace"/>
    <s v="Unknown Salesperson"/>
    <s v="Monitors"/>
    <s v="MON-1018"/>
    <n v="620.74"/>
    <n v="1330.07"/>
    <n v="0.29899999999999999"/>
    <n v="28"/>
    <n v="26106.613960000002"/>
    <n v="17380.72"/>
    <n v="8725.8939600000012"/>
    <n v="0.33424073965967516"/>
    <s v="Q3-2023"/>
    <s v="Africa → South Africa → Durban"/>
    <s v="Medium"/>
    <n v="2023"/>
    <n v="7"/>
    <x v="1"/>
  </r>
  <r>
    <s v="ORD-2024-287210"/>
    <d v="2024-03-18T00:00:00"/>
    <d v="2024-03-21T00:00:00"/>
    <d v="2024-03-18T00:00:00"/>
    <d v="2024-03-21T00:00:00"/>
    <n v="3"/>
    <s v="3-2024"/>
    <s v="Europe"/>
    <s v="Germany"/>
    <s v="Munich"/>
    <s v="Small Business"/>
    <s v="Online"/>
    <s v="M. Rossi"/>
    <s v="Accessories"/>
    <s v="ACC-2761"/>
    <n v="910.63"/>
    <n v="1269.4000000000001"/>
    <n v="6.8000000000000005E-2"/>
    <n v="9"/>
    <n v="10647.727199999999"/>
    <n v="8195.67"/>
    <n v="2452.0571999999993"/>
    <n v="0.23028925834989455"/>
    <s v="Q1-2024"/>
    <s v="Europe → Germany → Munich"/>
    <s v="Medium"/>
    <n v="2024"/>
    <n v="3"/>
    <x v="1"/>
  </r>
  <r>
    <s v="ORD-2023-766015"/>
    <d v="2023-04-13T00:00:00"/>
    <d v="2023-04-11T00:00:00"/>
    <d v="2023-04-11T00:00:00"/>
    <d v="2023-04-13T00:00:00"/>
    <n v="2"/>
    <s v="4-2023"/>
    <s v="Americas"/>
    <s v="USA"/>
    <s v="San Francisco"/>
    <s v="Education"/>
    <s v="Marketplace"/>
    <s v="G. Dubois"/>
    <s v="Networking"/>
    <s v="NET-1816"/>
    <n v="32.1"/>
    <n v="70.599999999999994"/>
    <n v="0.28199999999999997"/>
    <n v="22"/>
    <n v="1115.1975999999997"/>
    <n v="706.2"/>
    <n v="408.99759999999969"/>
    <n v="0.36674899587301818"/>
    <s v="Q2-2023"/>
    <s v="Americas → USA → San Francisco"/>
    <s v="Low"/>
    <n v="2023"/>
    <n v="4"/>
    <x v="1"/>
  </r>
  <r>
    <s v="ORD-2024-333192"/>
    <d v="2024-10-29T00:00:00"/>
    <d v="2024-11-04T00:00:00"/>
    <d v="2024-10-29T00:00:00"/>
    <d v="2024-11-04T00:00:00"/>
    <n v="6"/>
    <s v="10-2024"/>
    <s v="Africa"/>
    <s v="Kenya"/>
    <s v="Nairobi"/>
    <s v="Corporate"/>
    <s v="Distributor"/>
    <s v="M. Rossi"/>
    <s v="Printers"/>
    <s v="PRN-4893"/>
    <n v="805.81"/>
    <n v="1823.04"/>
    <n v="0"/>
    <n v="11"/>
    <n v="20053.439999999999"/>
    <n v="8863.91"/>
    <n v="11189.529999999999"/>
    <n v="0.55798556257679477"/>
    <s v="Q4-2024"/>
    <s v="Africa → Kenya → Nairobi"/>
    <s v="Medium"/>
    <n v="2024"/>
    <n v="10"/>
    <x v="1"/>
  </r>
  <r>
    <s v="ORD-2024-647473"/>
    <d v="2024-02-17T00:00:00"/>
    <d v="2024-03-04T00:00:00"/>
    <d v="2024-02-17T00:00:00"/>
    <d v="2024-03-04T00:00:00"/>
    <n v="16"/>
    <s v="2-2024"/>
    <s v="Asia"/>
    <s v="India"/>
    <s v="Delhi"/>
    <s v="Small Business"/>
    <s v="Marketplace"/>
    <s v="F. Müller"/>
    <s v="Phones"/>
    <s v="PHN-1717"/>
    <n v="1231.8"/>
    <n v="2015.99"/>
    <n v="0.26100000000000001"/>
    <n v="6"/>
    <n v="8938.8996600000009"/>
    <n v="7390.7999999999993"/>
    <n v="1548.0996600000017"/>
    <n v="0.17318682599464391"/>
    <s v="Q1-2024"/>
    <s v="Asia → India → Delhi"/>
    <s v="High"/>
    <n v="2024"/>
    <n v="2"/>
    <x v="0"/>
  </r>
  <r>
    <s v="ORD-2024-892908"/>
    <d v="2024-07-13T00:00:00"/>
    <d v="2024-07-12T00:00:00"/>
    <d v="2024-07-12T00:00:00"/>
    <d v="2024-07-13T00:00:00"/>
    <n v="1"/>
    <s v="7-2024"/>
    <s v="Asia"/>
    <s v="Japan"/>
    <s v="Nagoya"/>
    <s v="Small Business"/>
    <s v="Marketplace"/>
    <s v="F. Müller"/>
    <s v="Networking"/>
    <s v="NET-9575"/>
    <n v="105.13"/>
    <n v="244.13"/>
    <n v="7.0999999999999994E-2"/>
    <n v="14"/>
    <n v="3175.1547799999998"/>
    <n v="1471.82"/>
    <n v="1703.3347799999999"/>
    <n v="0.53645724319618837"/>
    <s v="Q3-2024"/>
    <s v="Asia → Japan → Nagoya"/>
    <s v="Low"/>
    <n v="2024"/>
    <n v="7"/>
    <x v="1"/>
  </r>
  <r>
    <s v="ORD-2023-573146"/>
    <d v="2023-12-01T00:00:00"/>
    <d v="2023-12-18T00:00:00"/>
    <d v="2023-12-01T00:00:00"/>
    <d v="2023-12-18T00:00:00"/>
    <n v="17"/>
    <s v="12-2023"/>
    <s v="Asia"/>
    <s v="Japan"/>
    <s v="Nagoya"/>
    <s v="Small Business"/>
    <s v="Direct"/>
    <s v="N. Brown"/>
    <s v="Laptops"/>
    <s v="LAP-3604"/>
    <n v="1495.79"/>
    <n v="2783.12"/>
    <n v="0.02"/>
    <n v="5"/>
    <n v="13637.287999999999"/>
    <n v="7478.95"/>
    <n v="6158.3379999999988"/>
    <n v="0.45158084217331185"/>
    <s v="Q4-2023"/>
    <s v="Asia → Japan → Nagoya"/>
    <s v="High"/>
    <n v="2023"/>
    <n v="12"/>
    <x v="0"/>
  </r>
  <r>
    <s v="ORD-2023-399631"/>
    <d v="2023-06-22T00:00:00"/>
    <d v="2023-07-21T00:00:00"/>
    <d v="2023-06-22T00:00:00"/>
    <d v="2023-07-21T00:00:00"/>
    <n v="29"/>
    <s v="6-2023"/>
    <s v="Europe"/>
    <s v="France"/>
    <s v="Lyon"/>
    <s v="Corporate"/>
    <s v="Retail"/>
    <s v="J. Njeri"/>
    <s v="Accessories"/>
    <s v="ACC-3385"/>
    <n v="734.34"/>
    <n v="887.9"/>
    <n v="2.5000000000000001E-2"/>
    <n v="12"/>
    <n v="10388.429999999998"/>
    <n v="8812.08"/>
    <n v="1576.3499999999985"/>
    <n v="0.15174092716608753"/>
    <s v="Q2-2023"/>
    <s v="Europe → France → Lyon"/>
    <s v="Low"/>
    <n v="2023"/>
    <n v="6"/>
    <x v="0"/>
  </r>
  <r>
    <s v="ORD-2023-898009"/>
    <d v="2023-05-04T00:00:00"/>
    <d v="2023-05-16T00:00:00"/>
    <d v="2023-05-04T00:00:00"/>
    <d v="2023-05-16T00:00:00"/>
    <n v="12"/>
    <s v="5-2023"/>
    <s v="Africa"/>
    <s v="Nigeria"/>
    <s v="Abuja"/>
    <s v="Small Business"/>
    <s v="Marketplace"/>
    <s v="J. Njeri"/>
    <s v="Phones"/>
    <s v="PHN-1670"/>
    <n v="77.739999999999995"/>
    <n v="147.12"/>
    <n v="0"/>
    <n v="15"/>
    <n v="2206.8000000000002"/>
    <n v="1166.0999999999999"/>
    <n v="1040.7000000000003"/>
    <n v="0.47158781946710177"/>
    <s v="Q2-2023"/>
    <s v="Africa → Nigeria → Abuja"/>
    <s v="Low"/>
    <n v="2023"/>
    <n v="5"/>
    <x v="0"/>
  </r>
  <r>
    <s v="ORD-2023-208944"/>
    <d v="2023-12-21T00:00:00"/>
    <d v="2024-01-06T00:00:00"/>
    <d v="2023-12-21T00:00:00"/>
    <d v="2024-01-06T00:00:00"/>
    <n v="16"/>
    <s v="12-2023"/>
    <s v="Africa"/>
    <s v="Nigeria"/>
    <s v="Unknown City"/>
    <s v="Corporate"/>
    <s v="Marketplace"/>
    <s v="K. Singh"/>
    <s v="Components"/>
    <s v="CMP-4792"/>
    <n v="932.61"/>
    <n v="1982.98"/>
    <n v="0.14399999999999999"/>
    <n v="16"/>
    <n v="27158.894079999998"/>
    <n v="14921.76"/>
    <n v="12237.134079999998"/>
    <n v="0.45057556629345635"/>
    <s v="Q4-2023"/>
    <s v="Africa → Nigeria → Unknown City"/>
    <s v="High"/>
    <n v="2023"/>
    <n v="12"/>
    <x v="0"/>
  </r>
  <r>
    <s v="ORD-2025-480172"/>
    <d v="2025-06-17T00:00:00"/>
    <d v="2025-07-05T00:00:00"/>
    <d v="2025-06-17T00:00:00"/>
    <d v="2025-07-05T00:00:00"/>
    <n v="18"/>
    <s v="6-2025"/>
    <s v="Asia"/>
    <s v="India"/>
    <s v="Delhi"/>
    <s v="Consumer"/>
    <s v="Marketplace"/>
    <s v="L. Okafor"/>
    <s v="Laptops"/>
    <s v="LAP-1990"/>
    <n v="982.93"/>
    <n v="2299.3000000000002"/>
    <n v="0.113"/>
    <n v="6"/>
    <n v="12236.874600000001"/>
    <n v="5897.58"/>
    <n v="6339.2946000000011"/>
    <n v="0.51804850562087157"/>
    <s v="Q2-2025"/>
    <s v="Asia → India → Delhi"/>
    <s v="High"/>
    <n v="2025"/>
    <n v="6"/>
    <x v="0"/>
  </r>
  <r>
    <s v="ORD-2023-735274"/>
    <d v="2023-02-23T00:00:00"/>
    <d v="2023-03-08T00:00:00"/>
    <d v="2023-02-23T00:00:00"/>
    <d v="2023-03-08T00:00:00"/>
    <n v="13"/>
    <s v="2-2023"/>
    <s v="Europe"/>
    <s v="United Kingdom"/>
    <s v="Manchester"/>
    <s v="Small Business"/>
    <s v="Direct"/>
    <s v="C. Otieno"/>
    <s v="Printers"/>
    <s v="PRN-7410"/>
    <n v="307.37"/>
    <n v="462.61"/>
    <n v="0.188"/>
    <n v="11"/>
    <n v="4132.0325200000007"/>
    <n v="3381.07"/>
    <n v="750.9625200000005"/>
    <n v="0.18174167709599739"/>
    <s v="Q1-2023"/>
    <s v="Europe → United Kingdom → Manchester"/>
    <s v="Low"/>
    <n v="2023"/>
    <n v="2"/>
    <x v="0"/>
  </r>
  <r>
    <s v="ORD-2023-212701"/>
    <d v="2023-12-02T00:00:00"/>
    <d v="2023-12-16T00:00:00"/>
    <d v="2023-12-02T00:00:00"/>
    <d v="2023-12-16T00:00:00"/>
    <n v="14"/>
    <s v="12-2023"/>
    <s v="Europe"/>
    <s v="Germany"/>
    <s v="Frankfurt"/>
    <s v="Education"/>
    <s v="Direct"/>
    <s v="N. Brown"/>
    <s v="Monitors"/>
    <s v="MON-4278"/>
    <n v="879.08"/>
    <n v="1093.3900000000001"/>
    <n v="0.113"/>
    <n v="17"/>
    <n v="16487.22781"/>
    <n v="14944.36"/>
    <n v="1542.8678099999997"/>
    <n v="9.3579577341935186E-2"/>
    <s v="Q4-2023"/>
    <s v="Europe → Germany → Frankfurt"/>
    <s v="Low"/>
    <n v="2023"/>
    <n v="12"/>
    <x v="0"/>
  </r>
  <r>
    <s v="ORD-2025-766923"/>
    <d v="2025-02-15T00:00:00"/>
    <d v="2025-02-15T00:00:00"/>
    <d v="2025-02-15T00:00:00"/>
    <d v="2025-02-15T00:00:00"/>
    <n v="0"/>
    <s v="2-2025"/>
    <s v="Europe"/>
    <s v="Germany"/>
    <s v="Frankfurt"/>
    <s v="Small Business"/>
    <s v="Marketplace"/>
    <s v="L. Okafor"/>
    <s v="Accessories"/>
    <s v="ACC-3989"/>
    <n v="815.83"/>
    <n v="1982.18"/>
    <n v="0.127"/>
    <n v="6"/>
    <n v="10382.65884"/>
    <n v="4894.9800000000005"/>
    <n v="5487.6788399999996"/>
    <n v="0.52854272923408507"/>
    <s v="Q1-2025"/>
    <s v="Europe → Germany → Frankfurt"/>
    <s v="High"/>
    <n v="2025"/>
    <n v="2"/>
    <x v="1"/>
  </r>
  <r>
    <s v="ORD-2024-915495"/>
    <d v="2024-08-08T00:00:00"/>
    <d v="2024-08-20T00:00:00"/>
    <d v="2024-08-08T00:00:00"/>
    <d v="2024-08-20T00:00:00"/>
    <n v="12"/>
    <s v="8-2024"/>
    <s v="Asia"/>
    <s v="Japan"/>
    <s v="Osaka"/>
    <s v="Small Business"/>
    <s v="Retail"/>
    <s v="H. Kim"/>
    <s v="Networking"/>
    <s v="NET-8957"/>
    <n v="1233.3599999999999"/>
    <n v="2120.4"/>
    <n v="0.17899999999999999"/>
    <n v="20"/>
    <n v="34816.968000000001"/>
    <n v="24667.199999999997"/>
    <n v="10149.768000000004"/>
    <n v="0.29151785991244278"/>
    <s v="Q3-2024"/>
    <s v="Asia → Japan → Osaka"/>
    <s v="High"/>
    <n v="2024"/>
    <n v="8"/>
    <x v="0"/>
  </r>
  <r>
    <s v="ORD-2024-225829"/>
    <d v="2024-11-07T00:00:00"/>
    <d v="2024-11-26T00:00:00"/>
    <d v="2024-11-07T00:00:00"/>
    <d v="2024-11-26T00:00:00"/>
    <n v="19"/>
    <s v="11-2024"/>
    <s v="Americas"/>
    <s v="Brazil"/>
    <s v="Rio de Janeiro"/>
    <s v="Non-Profit"/>
    <s v="Distributor"/>
    <s v="J. Njeri"/>
    <s v="Printers"/>
    <s v="PRN-9960"/>
    <n v="55.35"/>
    <n v="128.68"/>
    <n v="0.128"/>
    <n v="10"/>
    <n v="1122.0896000000002"/>
    <n v="553.5"/>
    <n v="568.58960000000025"/>
    <n v="0.50672388372550647"/>
    <s v="Q4-2024"/>
    <s v="Americas → Brazil → Rio de Janeiro"/>
    <s v="Low"/>
    <n v="2024"/>
    <n v="11"/>
    <x v="0"/>
  </r>
  <r>
    <s v="ORD-2023-144816"/>
    <d v="2023-05-07T00:00:00"/>
    <d v="2023-05-29T00:00:00"/>
    <d v="2023-05-07T00:00:00"/>
    <d v="2023-05-29T00:00:00"/>
    <n v="22"/>
    <s v="5-2023"/>
    <s v="Africa"/>
    <s v="South Africa"/>
    <s v="Durban"/>
    <s v="Education"/>
    <s v="Distributor"/>
    <s v="K. Singh"/>
    <s v="Accessories"/>
    <s v="ACC-2364"/>
    <n v="653.86"/>
    <n v="931.84"/>
    <n v="0.121"/>
    <n v="12"/>
    <n v="9829.0483199999999"/>
    <n v="7846.32"/>
    <n v="1982.7283200000002"/>
    <n v="0.20172129136506273"/>
    <s v="Q2-2023"/>
    <s v="Africa → South Africa → Durban"/>
    <s v="Low"/>
    <n v="2023"/>
    <n v="5"/>
    <x v="0"/>
  </r>
  <r>
    <s v="ORD-2025-149156"/>
    <d v="2025-01-10T00:00:00"/>
    <d v="2025-02-06T00:00:00"/>
    <d v="2025-01-10T00:00:00"/>
    <d v="2025-02-06T00:00:00"/>
    <n v="27"/>
    <s v="1-2025"/>
    <s v="Americas"/>
    <s v="Brazil"/>
    <s v="Brasília"/>
    <s v="Non-Profit"/>
    <s v="Retail"/>
    <s v="B. Chen"/>
    <s v="Laptops"/>
    <s v="LAP-7353"/>
    <n v="725.62"/>
    <n v="1559.19"/>
    <n v="0.19"/>
    <n v="12"/>
    <n v="15155.326800000001"/>
    <n v="8707.44"/>
    <n v="6447.8868000000002"/>
    <n v="0.42545349797405885"/>
    <s v="Q1-2025"/>
    <s v="Americas → Brazil → Brasília"/>
    <s v="Medium"/>
    <n v="2025"/>
    <n v="1"/>
    <x v="0"/>
  </r>
  <r>
    <s v="ORD-2025-909340"/>
    <d v="2025-01-20T00:00:00"/>
    <d v="2025-02-03T00:00:00"/>
    <d v="2025-01-20T00:00:00"/>
    <d v="2025-02-03T00:00:00"/>
    <n v="14"/>
    <s v="1-2025"/>
    <s v="Americas"/>
    <s v="Brazil"/>
    <s v="Brasília"/>
    <s v="Enterprise"/>
    <s v="Marketplace"/>
    <s v="F. Müller"/>
    <s v="Components"/>
    <s v="CMP-8658"/>
    <n v="974.11"/>
    <n v="880.99"/>
    <n v="0.111"/>
    <n v="10"/>
    <n v="7832.0010999999995"/>
    <n v="9741.1"/>
    <n v="-1909.0989000000009"/>
    <n v="-0.2437562093805121"/>
    <s v="Q1-2025"/>
    <s v="Americas → Brazil → Brasília"/>
    <s v="Low"/>
    <n v="2025"/>
    <n v="1"/>
    <x v="0"/>
  </r>
  <r>
    <s v="ORD-2023-727290"/>
    <d v="2023-04-03T00:00:00"/>
    <d v="2023-04-16T00:00:00"/>
    <d v="2023-04-03T00:00:00"/>
    <d v="2023-04-16T00:00:00"/>
    <n v="13"/>
    <s v="4-2023"/>
    <s v="Europe"/>
    <s v="France"/>
    <s v="Marseille"/>
    <s v="Non-Profit"/>
    <s v="Marketplace"/>
    <s v="M. Rossi"/>
    <s v="Accessories"/>
    <s v="ACC-4815"/>
    <n v="790.54"/>
    <n v="601.49"/>
    <n v="0"/>
    <n v="15"/>
    <n v="9022.35"/>
    <n v="11858.099999999999"/>
    <n v="-2835.7499999999982"/>
    <n v="-0.31430281467688553"/>
    <s v="Q2-2023"/>
    <s v="Europe → France → Marseille"/>
    <s v="Low"/>
    <n v="2023"/>
    <n v="4"/>
    <x v="0"/>
  </r>
  <r>
    <s v="ORD-2024-892173"/>
    <d v="2024-01-18T00:00:00"/>
    <d v="2024-02-03T00:00:00"/>
    <d v="2024-01-18T00:00:00"/>
    <d v="2024-02-03T00:00:00"/>
    <n v="16"/>
    <s v="1-2024"/>
    <s v="Africa"/>
    <s v="South Africa"/>
    <s v="Cape Town"/>
    <s v="Non-Profit"/>
    <s v="Distributor"/>
    <s v="L. Okafor"/>
    <s v="Printers"/>
    <s v="PRN-6660"/>
    <n v="666.23"/>
    <n v="1382.91"/>
    <n v="0.17599999999999999"/>
    <n v="13"/>
    <n v="14813.731920000002"/>
    <n v="8660.99"/>
    <n v="6152.7419200000022"/>
    <n v="0.41534043907553048"/>
    <s v="Q1-2024"/>
    <s v="Africa → South Africa → Cape Town"/>
    <s v="Medium"/>
    <n v="2024"/>
    <n v="1"/>
    <x v="0"/>
  </r>
  <r>
    <s v="ORD-2023-406606"/>
    <d v="2023-10-25T00:00:00"/>
    <d v="2023-10-28T00:00:00"/>
    <d v="2023-10-25T00:00:00"/>
    <d v="2023-10-28T00:00:00"/>
    <n v="3"/>
    <s v="10-2023"/>
    <s v="Americas"/>
    <s v="Brazil"/>
    <s v="Brasília"/>
    <s v="Corporate"/>
    <s v="Distributor"/>
    <s v="L. Okafor"/>
    <s v="Accessories"/>
    <s v="ACC-2867"/>
    <n v="509.31"/>
    <n v="1145.9000000000001"/>
    <n v="5.7000000000000002E-2"/>
    <n v="8"/>
    <n v="8644.6696000000011"/>
    <n v="4074.48"/>
    <n v="4570.1896000000015"/>
    <n v="0.52867140231709964"/>
    <s v="Q4-2023"/>
    <s v="Americas → Brazil → Brasília"/>
    <s v="Low"/>
    <n v="2023"/>
    <n v="10"/>
    <x v="1"/>
  </r>
  <r>
    <s v="ORD-2025-591006"/>
    <d v="2025-06-25T00:00:00"/>
    <d v="2025-07-10T00:00:00"/>
    <d v="2025-06-25T00:00:00"/>
    <d v="2025-07-10T00:00:00"/>
    <n v="15"/>
    <s v="6-2025"/>
    <s v="Europe"/>
    <s v="United Kingdom"/>
    <s v="Birmingham"/>
    <s v="Non-Profit"/>
    <s v="Marketplace"/>
    <s v="D. Smith"/>
    <s v="Phones"/>
    <s v="PHN-5383"/>
    <n v="546.83000000000004"/>
    <n v="400.84"/>
    <n v="7.8E-2"/>
    <n v="13"/>
    <n v="4804.4682400000002"/>
    <n v="7108.7900000000009"/>
    <n v="-2304.3217600000007"/>
    <n v="-0.47962056254533608"/>
    <s v="Q2-2025"/>
    <s v="Europe → United Kingdom → Birmingham"/>
    <s v="Low"/>
    <n v="2025"/>
    <n v="6"/>
    <x v="0"/>
  </r>
  <r>
    <s v="ORD-2023-159821"/>
    <d v="2023-07-01T00:00:00"/>
    <d v="2023-07-08T00:00:00"/>
    <d v="2023-07-01T00:00:00"/>
    <d v="2023-07-08T00:00:00"/>
    <n v="7"/>
    <s v="7-2023"/>
    <s v="Africa"/>
    <s v="Nigeria"/>
    <s v="Port Harcourt"/>
    <s v="Corporate"/>
    <s v="Retail"/>
    <s v="A. Patel"/>
    <s v="Laptops"/>
    <s v="LAP-3904"/>
    <n v="834.26"/>
    <n v="1780.56"/>
    <n v="1.4E-2"/>
    <n v="47"/>
    <n v="82514.711519999997"/>
    <n v="39210.22"/>
    <n v="43304.491519999996"/>
    <n v="0.5248093427497933"/>
    <s v="Q3-2023"/>
    <s v="Africa → Nigeria → Port Harcourt"/>
    <s v="Medium"/>
    <n v="2023"/>
    <n v="7"/>
    <x v="1"/>
  </r>
  <r>
    <s v="ORD-2024-343877"/>
    <d v="2024-03-09T00:00:00"/>
    <d v="2024-03-26T00:00:00"/>
    <d v="2024-03-09T00:00:00"/>
    <d v="2024-03-26T00:00:00"/>
    <n v="17"/>
    <s v="3-2024"/>
    <s v="Asia"/>
    <s v="China"/>
    <s v="Shenzhen"/>
    <s v="Enterprise"/>
    <s v="Online"/>
    <s v="K. Singh"/>
    <s v="Monitors"/>
    <s v="MON-5749"/>
    <n v="1029.67"/>
    <n v="1118.43"/>
    <n v="0.27200000000000002"/>
    <n v="9"/>
    <n v="7327.9533600000004"/>
    <n v="9267.0300000000007"/>
    <n v="-1939.0766400000002"/>
    <n v="-0.26461367106736061"/>
    <s v="Q1-2024"/>
    <s v="Asia → China → Shenzhen"/>
    <s v="Low"/>
    <n v="2024"/>
    <n v="3"/>
    <x v="0"/>
  </r>
  <r>
    <s v="ORD-2023-386663"/>
    <d v="2023-06-05T00:00:00"/>
    <d v="2023-06-28T00:00:00"/>
    <d v="2023-06-05T00:00:00"/>
    <d v="2023-06-28T00:00:00"/>
    <n v="23"/>
    <s v="6-2023"/>
    <s v="Europe"/>
    <s v="United Kingdom"/>
    <s v="Birmingham"/>
    <s v="Corporate"/>
    <s v="Direct"/>
    <s v="K. Singh"/>
    <s v="Printers"/>
    <s v="PRN-3690"/>
    <n v="605.82000000000005"/>
    <n v="771.12"/>
    <n v="0.13200000000000001"/>
    <n v="19"/>
    <n v="12717.311040000001"/>
    <n v="11510.580000000002"/>
    <n v="1206.7310399999988"/>
    <n v="9.4888851597986767E-2"/>
    <s v="Q2-2023"/>
    <s v="Europe → United Kingdom → Birmingham"/>
    <s v="Low"/>
    <n v="2023"/>
    <n v="6"/>
    <x v="0"/>
  </r>
  <r>
    <s v="ORD-2025-125517"/>
    <d v="2025-03-21T00:00:00"/>
    <d v="2025-04-09T00:00:00"/>
    <d v="2025-03-21T00:00:00"/>
    <d v="2025-04-09T00:00:00"/>
    <n v="19"/>
    <s v="3-2025"/>
    <s v="Asia"/>
    <s v="Japan"/>
    <s v="Tokyo"/>
    <s v="Small Business"/>
    <s v="Distributor"/>
    <s v="E. Garcia"/>
    <s v="Components"/>
    <s v="CMP-7055"/>
    <n v="1055.45"/>
    <n v="1210.04"/>
    <n v="8.9999999999999993E-3"/>
    <n v="18"/>
    <n v="21584.693520000001"/>
    <n v="18998.100000000002"/>
    <n v="2586.5935199999985"/>
    <n v="0.1198346188053727"/>
    <s v="Q1-2025"/>
    <s v="Asia → Japan → Tokyo"/>
    <s v="Medium"/>
    <n v="2025"/>
    <n v="3"/>
    <x v="0"/>
  </r>
  <r>
    <s v="ORD-2024-819778"/>
    <d v="2024-06-02T00:00:00"/>
    <d v="2024-06-15T00:00:00"/>
    <d v="2024-06-02T00:00:00"/>
    <d v="2024-06-15T00:00:00"/>
    <n v="13"/>
    <s v="6-2024"/>
    <s v="Africa"/>
    <s v="Kenya"/>
    <s v="Mombasa"/>
    <s v="Education"/>
    <s v="Online"/>
    <s v="O. Wang"/>
    <s v="Phones"/>
    <s v="PHN-6866"/>
    <n v="1295.18"/>
    <n v="3024.03"/>
    <n v="0.192"/>
    <n v="8"/>
    <n v="19547.329920000004"/>
    <n v="10361.44"/>
    <n v="9185.8899200000033"/>
    <n v="0.46993067378483178"/>
    <s v="Q2-2024"/>
    <s v="Africa → Kenya → Mombasa"/>
    <s v="High"/>
    <n v="2024"/>
    <n v="6"/>
    <x v="0"/>
  </r>
  <r>
    <s v="ORD-2025-624006"/>
    <d v="2025-03-15T00:00:00"/>
    <d v="2025-03-29T00:00:00"/>
    <d v="2025-03-15T00:00:00"/>
    <d v="2025-03-29T00:00:00"/>
    <n v="14"/>
    <s v="3-2025"/>
    <s v="Asia"/>
    <s v="India"/>
    <s v="Mumbai"/>
    <s v="Enterprise"/>
    <s v="Direct"/>
    <s v="C. Otieno"/>
    <s v="Components"/>
    <s v="CMP-3259"/>
    <n v="935.83"/>
    <n v="2303.46"/>
    <n v="0.105"/>
    <n v="9"/>
    <n v="18554.370299999999"/>
    <n v="8422.4700000000012"/>
    <n v="10131.900299999998"/>
    <n v="0.54606543559174292"/>
    <s v="Q1-2025"/>
    <s v="Asia → India → Mumbai"/>
    <s v="High"/>
    <n v="2025"/>
    <n v="3"/>
    <x v="0"/>
  </r>
  <r>
    <s v="ORD-2023-132101"/>
    <d v="2023-09-25T00:00:00"/>
    <d v="2023-10-09T00:00:00"/>
    <d v="2023-09-25T00:00:00"/>
    <d v="2023-10-09T00:00:00"/>
    <n v="14"/>
    <s v="9-2023"/>
    <s v="Americas"/>
    <s v="USA"/>
    <s v="New York"/>
    <s v="Small Business"/>
    <s v="Marketplace"/>
    <s v="J. Njeri"/>
    <s v="Laptops"/>
    <s v="LAP-6750"/>
    <n v="1279.56"/>
    <n v="3083.8"/>
    <n v="0.106"/>
    <n v="5"/>
    <n v="13784.586000000001"/>
    <n v="6397.7999999999993"/>
    <n v="7386.7860000000019"/>
    <n v="0.53587289455047848"/>
    <s v="Q3-2023"/>
    <s v="Americas → USA → New York"/>
    <s v="High"/>
    <n v="2023"/>
    <n v="9"/>
    <x v="0"/>
  </r>
  <r>
    <s v="ORD-2025-306903"/>
    <d v="2025-06-24T00:00:00"/>
    <d v="2025-07-23T00:00:00"/>
    <d v="2025-06-24T00:00:00"/>
    <d v="2025-07-23T00:00:00"/>
    <n v="29"/>
    <s v="6-2025"/>
    <s v="Americas"/>
    <s v="Canada"/>
    <s v="Vancouver"/>
    <s v="Non-Profit"/>
    <s v="Marketplace"/>
    <s v="I. Johnson"/>
    <s v="Printers"/>
    <s v="PRN-3775"/>
    <n v="255.4"/>
    <n v="322.70999999999998"/>
    <n v="0.115"/>
    <n v="16"/>
    <n v="4569.5735999999997"/>
    <n v="4086.4"/>
    <n v="483.17359999999962"/>
    <n v="0.10573713048412212"/>
    <s v="Q2-2025"/>
    <s v="Americas → Canada → Vancouver"/>
    <s v="Low"/>
    <n v="2025"/>
    <n v="6"/>
    <x v="0"/>
  </r>
  <r>
    <s v="ORD-2023-813340"/>
    <d v="2023-12-26T00:00:00"/>
    <d v="2024-01-03T00:00:00"/>
    <d v="2023-12-26T00:00:00"/>
    <d v="2024-01-03T00:00:00"/>
    <n v="8"/>
    <s v="12-2023"/>
    <s v="Europe"/>
    <s v="France"/>
    <s v="Lyon"/>
    <s v="Small Business"/>
    <s v="Retail"/>
    <s v="M. Rossi"/>
    <s v="Laptops"/>
    <s v="LAP-2942"/>
    <n v="492.75"/>
    <n v="731.29"/>
    <n v="5.8000000000000003E-2"/>
    <n v="6"/>
    <n v="4133.25108"/>
    <n v="2956.5"/>
    <n v="1176.75108"/>
    <n v="0.28470350753528384"/>
    <s v="Q4-2023"/>
    <s v="Europe → France → Lyon"/>
    <s v="Low"/>
    <n v="2023"/>
    <n v="12"/>
    <x v="0"/>
  </r>
  <r>
    <s v="ORD-2023-855675"/>
    <d v="2023-02-05T00:00:00"/>
    <d v="2023-02-28T00:00:00"/>
    <d v="2023-02-05T00:00:00"/>
    <d v="2023-02-28T00:00:00"/>
    <n v="23"/>
    <s v="2-2023"/>
    <s v="Americas"/>
    <s v="USA"/>
    <s v="Austin"/>
    <s v="Non-Profit"/>
    <s v="Distributor"/>
    <s v="L. Okafor"/>
    <s v="Phones"/>
    <s v="PHN-2036"/>
    <n v="1214.49"/>
    <n v="1533.95"/>
    <n v="0"/>
    <n v="11"/>
    <n v="16873.45"/>
    <n v="13359.39"/>
    <n v="3514.0600000000013"/>
    <n v="0.20825972163369086"/>
    <s v="Q1-2023"/>
    <s v="Americas → USA → Austin"/>
    <s v="Medium"/>
    <n v="2023"/>
    <n v="2"/>
    <x v="0"/>
  </r>
  <r>
    <s v="ORD-2023-545150"/>
    <d v="2023-04-06T00:00:00"/>
    <d v="2023-04-08T00:00:00"/>
    <d v="2023-04-06T00:00:00"/>
    <d v="2023-04-08T00:00:00"/>
    <n v="2"/>
    <s v="4-2023"/>
    <s v="Africa"/>
    <s v="Nigeria"/>
    <s v="Abuja"/>
    <s v="Small Business"/>
    <s v="Marketplace"/>
    <s v="K. Singh"/>
    <s v="Monitors"/>
    <s v="MON-4373"/>
    <n v="720.35"/>
    <n v="1571.66"/>
    <n v="0.107"/>
    <n v="23"/>
    <n v="32280.32474"/>
    <n v="16568.05"/>
    <n v="15712.274740000001"/>
    <n v="0.4867446305622265"/>
    <s v="Q2-2023"/>
    <s v="Africa → Nigeria → Abuja"/>
    <s v="Medium"/>
    <n v="2023"/>
    <n v="4"/>
    <x v="1"/>
  </r>
  <r>
    <s v="ORD-2025-269934"/>
    <d v="2025-04-04T00:00:00"/>
    <d v="2025-04-10T00:00:00"/>
    <d v="2025-04-04T00:00:00"/>
    <d v="2025-04-10T00:00:00"/>
    <n v="6"/>
    <s v="4-2025"/>
    <s v="Europe"/>
    <s v="United Kingdom"/>
    <s v="Birmingham"/>
    <s v="Non-Profit"/>
    <s v="Direct"/>
    <s v="N. Brown"/>
    <s v="Printers"/>
    <s v="PRN-8657"/>
    <n v="290.14"/>
    <n v="250.73"/>
    <n v="3.4000000000000002E-2"/>
    <n v="17"/>
    <n v="4117.4880599999997"/>
    <n v="4932.38"/>
    <n v="-814.89194000000043"/>
    <n v="-0.19790997038131072"/>
    <s v="Q2-2025"/>
    <s v="Europe → United Kingdom → Birmingham"/>
    <s v="Low"/>
    <n v="2025"/>
    <n v="4"/>
    <x v="1"/>
  </r>
  <r>
    <s v="ORD-2024-690270"/>
    <d v="2024-05-17T00:00:00"/>
    <d v="2024-05-27T00:00:00"/>
    <d v="2024-05-17T00:00:00"/>
    <d v="2024-05-27T00:00:00"/>
    <n v="10"/>
    <s v="5-2024"/>
    <s v="Americas"/>
    <s v="USA"/>
    <s v="Austin"/>
    <s v="Non-Profit"/>
    <s v="Online"/>
    <s v="C. Otieno"/>
    <s v="Phones"/>
    <s v="PHN-7974"/>
    <n v="1484.23"/>
    <n v="3472.81"/>
    <n v="0.25600000000000001"/>
    <n v="12"/>
    <n v="31005.24768"/>
    <n v="17810.760000000002"/>
    <n v="13194.487679999998"/>
    <n v="0.42555659661803413"/>
    <s v="Q2-2024"/>
    <s v="Americas → USA → Austin"/>
    <s v="High"/>
    <n v="2024"/>
    <n v="5"/>
    <x v="0"/>
  </r>
  <r>
    <s v="ORD-2024-868223"/>
    <d v="2024-03-03T00:00:00"/>
    <d v="2024-03-19T00:00:00"/>
    <d v="2024-03-03T00:00:00"/>
    <d v="2024-03-19T00:00:00"/>
    <n v="16"/>
    <s v="3-2024"/>
    <s v="Asia"/>
    <s v="China"/>
    <s v="Beijing"/>
    <s v="Consumer"/>
    <s v="Distributor"/>
    <s v="G. Dubois"/>
    <s v="Phones"/>
    <s v="PHN-4915"/>
    <n v="988.83"/>
    <n v="1206.04"/>
    <n v="6.3E-2"/>
    <n v="34"/>
    <n v="38422.022320000004"/>
    <n v="33620.22"/>
    <n v="4801.8023200000025"/>
    <n v="0.12497526236406606"/>
    <s v="Q1-2024"/>
    <s v="Asia → China → Beijing"/>
    <s v="Medium"/>
    <n v="2024"/>
    <n v="3"/>
    <x v="0"/>
  </r>
  <r>
    <s v="ORD-2025-188059"/>
    <d v="2025-06-27T00:00:00"/>
    <d v="2025-07-11T00:00:00"/>
    <d v="2025-06-27T00:00:00"/>
    <d v="2025-07-11T00:00:00"/>
    <n v="14"/>
    <s v="6-2025"/>
    <s v="Asia"/>
    <s v="China"/>
    <s v="Shanghai"/>
    <s v="Small Business"/>
    <s v="Marketplace"/>
    <s v="L. Okafor"/>
    <s v="Networking"/>
    <s v="NET-3535"/>
    <n v="1227.7"/>
    <n v="2197.23"/>
    <n v="9.9000000000000005E-2"/>
    <n v="22"/>
    <n v="43553.493060000001"/>
    <n v="27009.4"/>
    <n v="16544.093059999999"/>
    <n v="0.37985685871873898"/>
    <s v="Q2-2025"/>
    <s v="Asia → China → Shanghai"/>
    <s v="High"/>
    <n v="2025"/>
    <n v="6"/>
    <x v="0"/>
  </r>
  <r>
    <s v="ORD-2023-281890"/>
    <d v="2023-03-13T00:00:00"/>
    <d v="2023-04-04T00:00:00"/>
    <d v="2023-03-13T00:00:00"/>
    <d v="2023-04-04T00:00:00"/>
    <n v="22"/>
    <s v="3-2023"/>
    <s v="Africa"/>
    <s v="South Africa"/>
    <s v="Durban"/>
    <s v="Small Business"/>
    <s v="Retail"/>
    <s v="A. Patel"/>
    <s v="Components"/>
    <s v="CMP-2574"/>
    <n v="1113.7"/>
    <n v="1620.6"/>
    <n v="0.13900000000000001"/>
    <n v="11"/>
    <n v="15348.702599999999"/>
    <n v="12250.7"/>
    <n v="3098.002599999998"/>
    <n v="0.20184133348182787"/>
    <s v="Q1-2023"/>
    <s v="Africa → South Africa → Durban"/>
    <s v="Medium"/>
    <n v="2023"/>
    <n v="3"/>
    <x v="0"/>
  </r>
  <r>
    <s v="ORD-2025-636162"/>
    <d v="2025-01-07T00:00:00"/>
    <d v="2025-01-20T00:00:00"/>
    <d v="2025-01-07T00:00:00"/>
    <d v="2025-01-20T00:00:00"/>
    <n v="13"/>
    <s v="1-2025"/>
    <s v="Africa"/>
    <s v="South Africa"/>
    <s v="Cape Town"/>
    <s v="Corporate"/>
    <s v="Direct"/>
    <s v="K. Singh"/>
    <s v="Networking"/>
    <s v="NET-7901"/>
    <n v="432.13"/>
    <n v="1034.6600000000001"/>
    <n v="9.1999999999999998E-2"/>
    <n v="7"/>
    <n v="6576.298960000001"/>
    <n v="3024.91"/>
    <n v="3551.3889600000011"/>
    <n v="0.54002851476204794"/>
    <s v="Q1-2025"/>
    <s v="Africa → South Africa → Cape Town"/>
    <s v="Low"/>
    <n v="2025"/>
    <n v="1"/>
    <x v="0"/>
  </r>
  <r>
    <s v="ORD-2025-915869"/>
    <d v="2025-02-06T00:00:00"/>
    <d v="2025-02-15T00:00:00"/>
    <d v="2025-02-06T00:00:00"/>
    <d v="2025-02-15T00:00:00"/>
    <n v="9"/>
    <s v="2-2025"/>
    <s v="Americas"/>
    <s v="Brazil"/>
    <s v="São Paulo"/>
    <s v="Non-Profit"/>
    <s v="Distributor"/>
    <s v="F. Müller"/>
    <s v="Networking"/>
    <s v="NET-5482"/>
    <n v="837.39"/>
    <n v="1905.42"/>
    <n v="3.2000000000000001E-2"/>
    <n v="18"/>
    <n v="33200.038079999998"/>
    <n v="15073.02"/>
    <n v="18127.018079999998"/>
    <n v="0.54599389423350919"/>
    <s v="Q1-2025"/>
    <s v="Americas → Brazil → São Paulo"/>
    <s v="Medium"/>
    <n v="2025"/>
    <n v="2"/>
    <x v="0"/>
  </r>
  <r>
    <s v="ORD-2025-192876"/>
    <d v="2025-01-31T00:00:00"/>
    <d v="2025-02-17T00:00:00"/>
    <d v="2025-01-31T00:00:00"/>
    <d v="2025-02-17T00:00:00"/>
    <n v="17"/>
    <s v="1-2025"/>
    <s v="Europe"/>
    <s v="United Kingdom"/>
    <s v="London"/>
    <s v="Enterprise"/>
    <s v="Retail"/>
    <s v="H. Kim"/>
    <s v="Components"/>
    <s v="CMP-5820"/>
    <n v="378.26"/>
    <n v="541.55999999999995"/>
    <n v="0.16300000000000001"/>
    <n v="25"/>
    <n v="11332.142999999998"/>
    <n v="9456.5"/>
    <n v="1875.6429999999982"/>
    <n v="0.16551529573885526"/>
    <s v="Q1-2025"/>
    <s v="Europe → United Kingdom → London"/>
    <s v="Low"/>
    <n v="2025"/>
    <n v="1"/>
    <x v="0"/>
  </r>
  <r>
    <s v="ORD-2025-822030"/>
    <d v="2025-08-07T00:00:00"/>
    <d v="2025-09-06T00:00:00"/>
    <d v="2025-08-07T00:00:00"/>
    <d v="2025-09-06T00:00:00"/>
    <n v="30"/>
    <s v="8-2025"/>
    <s v="Americas"/>
    <s v="Canada"/>
    <s v="Montreal"/>
    <s v="Education"/>
    <s v="Direct"/>
    <s v="M. Rossi"/>
    <s v="Networking"/>
    <s v="NET-1336"/>
    <n v="833.73"/>
    <n v="1116.5999999999999"/>
    <n v="0.17599999999999999"/>
    <n v="14"/>
    <n v="12881.097599999999"/>
    <n v="11672.220000000001"/>
    <n v="1208.877599999998"/>
    <n v="9.3848958958279924E-2"/>
    <s v="Q3-2025"/>
    <s v="Americas → Canada → Montreal"/>
    <s v="Low"/>
    <n v="2025"/>
    <n v="8"/>
    <x v="0"/>
  </r>
  <r>
    <s v="ORD-2025-789245"/>
    <d v="2025-07-23T00:00:00"/>
    <d v="2025-08-17T00:00:00"/>
    <d v="2025-07-23T00:00:00"/>
    <d v="2025-08-17T00:00:00"/>
    <n v="25"/>
    <s v="7-2025"/>
    <s v="Europe"/>
    <s v="United Kingdom"/>
    <s v="Birmingham"/>
    <s v="Education"/>
    <s v="Online"/>
    <s v="I. Johnson"/>
    <s v="Printers"/>
    <s v="PRN-5876"/>
    <n v="1142.06"/>
    <n v="1455"/>
    <n v="7.8E-2"/>
    <n v="28"/>
    <n v="37562.28"/>
    <n v="31977.68"/>
    <n v="5584.5999999999985"/>
    <n v="0.1486757459877302"/>
    <s v="Q3-2025"/>
    <s v="Europe → United Kingdom → Birmingham"/>
    <s v="Medium"/>
    <n v="2025"/>
    <n v="7"/>
    <x v="0"/>
  </r>
  <r>
    <s v="ORD-2023-594955"/>
    <d v="2023-06-20T00:00:00"/>
    <d v="2023-07-08T00:00:00"/>
    <d v="2023-06-20T00:00:00"/>
    <d v="2023-07-08T00:00:00"/>
    <n v="18"/>
    <s v="6-2023"/>
    <s v="Americas"/>
    <s v="USA"/>
    <s v="New York"/>
    <s v="Consumer"/>
    <s v="Marketplace"/>
    <s v="O. Wang"/>
    <s v="Networking"/>
    <s v="NET-3828"/>
    <n v="1145.53"/>
    <n v="1278.3"/>
    <n v="0.09"/>
    <n v="41"/>
    <n v="47693.373"/>
    <n v="46966.729999999996"/>
    <n v="726.64300000000367"/>
    <n v="1.5235722581416158E-2"/>
    <s v="Q2-2023"/>
    <s v="Americas → USA → New York"/>
    <s v="Medium"/>
    <n v="2023"/>
    <n v="6"/>
    <x v="0"/>
  </r>
  <r>
    <s v="ORD-2024-398783"/>
    <d v="2024-07-18T00:00:00"/>
    <d v="2024-08-07T00:00:00"/>
    <d v="2024-07-18T00:00:00"/>
    <d v="2024-08-07T00:00:00"/>
    <n v="20"/>
    <s v="7-2024"/>
    <s v="Europe"/>
    <s v="France"/>
    <s v="Marseille"/>
    <s v="Corporate"/>
    <s v="Retail"/>
    <s v="F. Müller"/>
    <s v="Monitors"/>
    <s v="MON-7622"/>
    <n v="941.35"/>
    <n v="899.83"/>
    <n v="5.8000000000000003E-2"/>
    <n v="18"/>
    <n v="15257.51748"/>
    <n v="16944.3"/>
    <n v="-1686.7825199999988"/>
    <n v="-0.11055419220139073"/>
    <s v="Q3-2024"/>
    <s v="Europe → France → Marseille"/>
    <s v="Low"/>
    <n v="2024"/>
    <n v="7"/>
    <x v="0"/>
  </r>
  <r>
    <s v="ORD-2023-676553"/>
    <d v="2023-05-20T00:00:00"/>
    <d v="2023-06-19T00:00:00"/>
    <d v="2023-05-20T00:00:00"/>
    <d v="2023-06-19T00:00:00"/>
    <n v="30"/>
    <s v="5-2023"/>
    <s v="Asia"/>
    <s v="India"/>
    <s v="Delhi"/>
    <s v="Non-Profit"/>
    <s v="Marketplace"/>
    <s v="H. Kim"/>
    <s v="Laptops"/>
    <s v="LAP-2806"/>
    <n v="1161.2"/>
    <n v="878.73"/>
    <n v="0.19"/>
    <n v="31"/>
    <n v="22064.910300000003"/>
    <n v="35997.200000000004"/>
    <n v="-13932.289700000001"/>
    <n v="-0.63142290227212028"/>
    <s v="Q2-2023"/>
    <s v="Asia → India → Delhi"/>
    <s v="Low"/>
    <n v="2023"/>
    <n v="5"/>
    <x v="0"/>
  </r>
  <r>
    <s v="ORD-2025-866565"/>
    <d v="2025-05-12T00:00:00"/>
    <d v="2025-05-26T00:00:00"/>
    <d v="2025-05-12T00:00:00"/>
    <d v="2025-05-26T00:00:00"/>
    <n v="14"/>
    <s v="5-2025"/>
    <s v="Asia"/>
    <s v="India"/>
    <s v="Hyderabad"/>
    <s v="Corporate"/>
    <s v="Marketplace"/>
    <s v="G. Dubois"/>
    <s v="Printers"/>
    <s v="PRN-8850"/>
    <n v="320.12"/>
    <n v="594.41999999999996"/>
    <n v="0.104"/>
    <n v="18"/>
    <n v="9586.8057599999993"/>
    <n v="5762.16"/>
    <n v="3824.6457599999994"/>
    <n v="0.39894891538931104"/>
    <s v="Q2-2025"/>
    <s v="Asia → India → Hyderabad"/>
    <s v="Low"/>
    <n v="2025"/>
    <n v="5"/>
    <x v="0"/>
  </r>
  <r>
    <s v="ORD-2024-527858"/>
    <d v="2024-05-07T00:00:00"/>
    <d v="2024-05-12T00:00:00"/>
    <d v="2024-05-07T00:00:00"/>
    <d v="2024-05-12T00:00:00"/>
    <n v="5"/>
    <s v="5-2024"/>
    <s v="Africa"/>
    <s v="Nigeria"/>
    <s v="Abuja"/>
    <s v="Non-Profit"/>
    <s v="Distributor"/>
    <s v="L. Okafor"/>
    <s v="Laptops"/>
    <s v="LAP-9100"/>
    <n v="1163.99"/>
    <n v="1617.85"/>
    <n v="0.127"/>
    <n v="14"/>
    <n v="19773.362699999998"/>
    <n v="16295.86"/>
    <n v="3477.5026999999973"/>
    <n v="0.17586804797749436"/>
    <s v="Q2-2024"/>
    <s v="Africa → Nigeria → Abuja"/>
    <s v="Medium"/>
    <n v="2024"/>
    <n v="5"/>
    <x v="1"/>
  </r>
  <r>
    <s v="ORD-2023-619385"/>
    <d v="2023-09-30T00:00:00"/>
    <d v="2023-10-03T00:00:00"/>
    <d v="2023-09-30T00:00:00"/>
    <d v="2023-10-03T00:00:00"/>
    <n v="3"/>
    <s v="9-2023"/>
    <s v="Asia"/>
    <s v="China"/>
    <s v="Beijing"/>
    <s v="Non-Profit"/>
    <s v="Retail"/>
    <s v="J. Njeri"/>
    <s v="Laptops"/>
    <s v="LAP-5763"/>
    <n v="1019.36"/>
    <n v="972.91"/>
    <n v="0.14699999999999999"/>
    <n v="17"/>
    <n v="14108.16791"/>
    <n v="17329.12"/>
    <n v="-3220.9520899999989"/>
    <n v="-0.22830406545678819"/>
    <s v="Q3-2023"/>
    <s v="Asia → China → Beijing"/>
    <s v="Low"/>
    <n v="2023"/>
    <n v="9"/>
    <x v="1"/>
  </r>
  <r>
    <s v="ORD-2023-835226"/>
    <d v="2023-10-26T00:00:00"/>
    <d v="2023-11-05T00:00:00"/>
    <d v="2023-10-26T00:00:00"/>
    <d v="2023-11-05T00:00:00"/>
    <n v="10"/>
    <s v="10-2023"/>
    <s v="Africa"/>
    <s v="South Africa"/>
    <s v="Cape Town"/>
    <s v="Non-Profit"/>
    <s v="Online"/>
    <s v="I. Johnson"/>
    <s v="Laptops"/>
    <s v="LAP-7320"/>
    <n v="20.38"/>
    <n v="42.56"/>
    <n v="7.1999999999999995E-2"/>
    <n v="11"/>
    <n v="434.45248000000004"/>
    <n v="224.17999999999998"/>
    <n v="210.27248000000006"/>
    <n v="0.48399419885921713"/>
    <s v="Q4-2023"/>
    <s v="Africa → South Africa → Cape Town"/>
    <s v="Low"/>
    <n v="2023"/>
    <n v="10"/>
    <x v="0"/>
  </r>
  <r>
    <s v="ORD-2025-485946"/>
    <d v="2025-06-15T00:00:00"/>
    <d v="2025-06-30T00:00:00"/>
    <d v="2025-06-15T00:00:00"/>
    <d v="2025-06-30T00:00:00"/>
    <n v="15"/>
    <s v="6-2025"/>
    <s v="Africa"/>
    <s v="South Africa"/>
    <s v="Johannesburg"/>
    <s v="Small Business"/>
    <s v="Direct"/>
    <s v="C. Otieno"/>
    <s v="Monitors"/>
    <s v="MON-5891"/>
    <n v="1487.59"/>
    <n v="1480.83"/>
    <n v="8.9999999999999993E-3"/>
    <n v="11"/>
    <n v="16142.527829999999"/>
    <n v="16363.49"/>
    <n v="-220.9621700000007"/>
    <n v="-1.3688201273492908E-2"/>
    <s v="Q2-2025"/>
    <s v="Africa → South Africa → Johannesburg"/>
    <s v="Medium"/>
    <n v="2025"/>
    <n v="6"/>
    <x v="0"/>
  </r>
  <r>
    <s v="ORD-2024-307849"/>
    <d v="2024-08-10T00:00:00"/>
    <d v="2024-09-07T00:00:00"/>
    <d v="2024-08-10T00:00:00"/>
    <d v="2024-09-07T00:00:00"/>
    <n v="28"/>
    <s v="8-2024"/>
    <s v="Europe"/>
    <s v="France"/>
    <s v="Marseille"/>
    <s v="Non-Profit"/>
    <s v="Direct"/>
    <s v="F. Müller"/>
    <s v="Printers"/>
    <s v="PRN-1183"/>
    <n v="229.96"/>
    <n v="564.26"/>
    <n v="0.105"/>
    <n v="5"/>
    <n v="2525.0635000000002"/>
    <n v="1149.8"/>
    <n v="1375.2635000000002"/>
    <n v="0.54464511486542821"/>
    <s v="Q3-2024"/>
    <s v="Europe → France → Marseille"/>
    <s v="Low"/>
    <n v="2024"/>
    <n v="8"/>
    <x v="0"/>
  </r>
  <r>
    <s v="ORD-2023-368449"/>
    <d v="2023-10-09T00:00:00"/>
    <d v="2023-10-26T00:00:00"/>
    <d v="2023-10-09T00:00:00"/>
    <d v="2023-10-26T00:00:00"/>
    <n v="17"/>
    <s v="10-2023"/>
    <s v="Asia"/>
    <s v="China"/>
    <s v="Shanghai"/>
    <s v="Consumer"/>
    <s v="Marketplace"/>
    <s v="C. Otieno"/>
    <s v="Components"/>
    <s v="CMP-2096"/>
    <n v="1132.03"/>
    <n v="2137.21"/>
    <n v="0.1186"/>
    <n v="35"/>
    <n v="65930.791290000008"/>
    <n v="39621.049999999996"/>
    <n v="26309.741290000013"/>
    <n v="0.39905089526796744"/>
    <s v="Q4-2023"/>
    <s v="Asia → China → Shanghai"/>
    <s v="High"/>
    <n v="2023"/>
    <n v="10"/>
    <x v="0"/>
  </r>
  <r>
    <s v="ORD-2024-251426"/>
    <d v="2024-03-09T00:00:00"/>
    <d v="2024-03-26T00:00:00"/>
    <d v="2024-03-09T00:00:00"/>
    <d v="2024-03-26T00:00:00"/>
    <n v="17"/>
    <s v="3-2024"/>
    <s v="Americas"/>
    <s v="USA"/>
    <s v="San Francisco"/>
    <s v="Education"/>
    <s v="Direct"/>
    <s v="I. Johnson"/>
    <s v="Phones"/>
    <s v="PHN-3398"/>
    <n v="1137.4100000000001"/>
    <n v="1680.93"/>
    <n v="0.254"/>
    <n v="9"/>
    <n v="11285.764020000001"/>
    <n v="10236.69"/>
    <n v="1049.07402"/>
    <n v="9.2955516183121464E-2"/>
    <s v="Q1-2024"/>
    <s v="Americas → USA → San Francisco"/>
    <s v="Medium"/>
    <n v="2024"/>
    <n v="3"/>
    <x v="0"/>
  </r>
  <r>
    <s v="ORD-2023-927385"/>
    <d v="2023-05-29T00:00:00"/>
    <d v="2023-06-20T00:00:00"/>
    <d v="2023-05-29T00:00:00"/>
    <d v="2023-06-20T00:00:00"/>
    <n v="22"/>
    <s v="5-2023"/>
    <s v="Europe"/>
    <s v="United Kingdom"/>
    <s v="London"/>
    <s v="Small Business"/>
    <s v="Direct"/>
    <s v="K. Singh"/>
    <s v="Components"/>
    <s v="CMP-8545"/>
    <n v="1295.3900000000001"/>
    <n v="2905.06"/>
    <n v="0.14799999999999999"/>
    <n v="8"/>
    <n v="19800.88896"/>
    <n v="10363.120000000001"/>
    <n v="9437.7689599999994"/>
    <n v="0.47663359857556614"/>
    <s v="Q2-2023"/>
    <s v="Europe → United Kingdom → London"/>
    <s v="High"/>
    <n v="2023"/>
    <n v="5"/>
    <x v="0"/>
  </r>
  <r>
    <s v="ORD-2024-215294"/>
    <d v="2024-06-30T00:00:00"/>
    <d v="2024-07-14T00:00:00"/>
    <d v="2024-06-30T00:00:00"/>
    <d v="2024-07-14T00:00:00"/>
    <n v="14"/>
    <s v="6-2024"/>
    <s v="Americas"/>
    <s v="Brazil"/>
    <s v="Brasília"/>
    <s v="Education"/>
    <s v="Retail"/>
    <s v="C. Otieno"/>
    <s v="Accessories"/>
    <s v="ACC-8683"/>
    <n v="1491.85"/>
    <n v="2583.02"/>
    <n v="0.16800000000000001"/>
    <n v="4"/>
    <n v="8596.2905599999995"/>
    <n v="5967.4"/>
    <n v="2628.8905599999998"/>
    <n v="0.30581685689321325"/>
    <s v="Q2-2024"/>
    <s v="Americas → Brazil → Brasília"/>
    <s v="High"/>
    <n v="2024"/>
    <n v="6"/>
    <x v="0"/>
  </r>
  <r>
    <s v="ORD-2025-677880"/>
    <d v="2025-08-21T00:00:00"/>
    <d v="2025-09-14T00:00:00"/>
    <d v="2025-08-21T00:00:00"/>
    <d v="2025-09-14T00:00:00"/>
    <n v="24"/>
    <s v="8-2025"/>
    <s v="Europe"/>
    <s v="Germany"/>
    <s v="Berlin"/>
    <s v="Non-Profit"/>
    <s v="Online"/>
    <s v="A. Patel"/>
    <s v="Monitors"/>
    <s v="MON-9662"/>
    <n v="1397.67"/>
    <n v="3131.37"/>
    <n v="0.10299999999999999"/>
    <n v="20"/>
    <n v="56176.777799999996"/>
    <n v="27953.4"/>
    <n v="28223.377799999995"/>
    <n v="0.50240293062874808"/>
    <s v="Q3-2025"/>
    <s v="Europe → Germany → Berlin"/>
    <s v="High"/>
    <n v="2025"/>
    <n v="8"/>
    <x v="0"/>
  </r>
  <r>
    <s v="ORD-2024-102866"/>
    <d v="2024-12-12T00:00:00"/>
    <d v="2024-12-20T00:00:00"/>
    <d v="2024-12-12T00:00:00"/>
    <d v="2024-12-20T00:00:00"/>
    <n v="8"/>
    <s v="12-2024"/>
    <s v="Asia"/>
    <s v="Japan"/>
    <s v="Tokyo"/>
    <s v="Corporate"/>
    <s v="Retail"/>
    <s v="B. Chen"/>
    <s v="Laptops"/>
    <s v="LAP-8347"/>
    <n v="1202.47"/>
    <n v="1444.72"/>
    <n v="0.24099999999999999"/>
    <n v="17"/>
    <n v="18641.222160000001"/>
    <n v="20441.990000000002"/>
    <n v="-1800.7678400000004"/>
    <n v="-9.6601382921343834E-2"/>
    <s v="Q4-2024"/>
    <s v="Asia → Japan → Tokyo"/>
    <s v="Medium"/>
    <n v="2024"/>
    <n v="12"/>
    <x v="0"/>
  </r>
  <r>
    <s v="ORD-2025-588029"/>
    <d v="2025-09-14T00:00:00"/>
    <d v="2025-09-23T00:00:00"/>
    <d v="2025-09-14T00:00:00"/>
    <d v="2025-09-23T00:00:00"/>
    <n v="9"/>
    <s v="9-2025"/>
    <s v="Africa"/>
    <s v="South Africa"/>
    <s v="Durban"/>
    <s v="Non-Profit"/>
    <s v="Online"/>
    <s v="D. Smith"/>
    <s v="Components"/>
    <s v="CMP-6898"/>
    <n v="1310.3"/>
    <n v="2875.8"/>
    <n v="8.3000000000000004E-2"/>
    <n v="5"/>
    <n v="13185.543"/>
    <n v="6551.5"/>
    <n v="6634.0429999999997"/>
    <n v="0.50313005691157353"/>
    <s v="Q3-2025"/>
    <s v="Africa → South Africa → Durban"/>
    <s v="High"/>
    <n v="2025"/>
    <n v="9"/>
    <x v="0"/>
  </r>
  <r>
    <s v="ORD-2024-972999"/>
    <d v="2024-09-06T00:00:00"/>
    <d v="2024-10-04T00:00:00"/>
    <d v="2024-09-06T00:00:00"/>
    <d v="2024-10-04T00:00:00"/>
    <n v="28"/>
    <s v="9-2024"/>
    <s v="Africa"/>
    <s v="South Africa"/>
    <s v="Cape Town"/>
    <s v="Corporate"/>
    <s v="Marketplace"/>
    <s v="D. Smith"/>
    <s v="Monitors"/>
    <s v="MON-3504"/>
    <n v="1174.17"/>
    <n v="1641.61"/>
    <n v="0.122"/>
    <n v="9"/>
    <n v="12972.00222"/>
    <n v="10567.53"/>
    <n v="2404.4722199999997"/>
    <n v="0.18535860380079394"/>
    <s v="Q3-2024"/>
    <s v="Africa → South Africa → Cape Town"/>
    <s v="Medium"/>
    <n v="2024"/>
    <n v="9"/>
    <x v="0"/>
  </r>
  <r>
    <s v="ORD-2025-608069"/>
    <d v="2025-04-12T00:00:00"/>
    <d v="2025-04-30T00:00:00"/>
    <d v="2025-04-12T00:00:00"/>
    <d v="2025-04-30T00:00:00"/>
    <n v="18"/>
    <s v="4-2025"/>
    <s v="Africa"/>
    <s v="Kenya"/>
    <s v="Kisumu"/>
    <s v="Corporate"/>
    <s v="Marketplace"/>
    <s v="F. Müller"/>
    <s v="Networking"/>
    <s v="NET-3432"/>
    <n v="1119.04"/>
    <n v="1299.02"/>
    <n v="2.5000000000000001E-2"/>
    <n v="14"/>
    <n v="17731.623"/>
    <n v="15666.56"/>
    <n v="2065.0630000000001"/>
    <n v="0.11646215352085933"/>
    <s v="Q2-2025"/>
    <s v="Africa → Kenya → Kisumu"/>
    <s v="Medium"/>
    <n v="2025"/>
    <n v="4"/>
    <x v="0"/>
  </r>
  <r>
    <s v="ORD-2024-626750"/>
    <d v="2024-08-12T00:00:00"/>
    <d v="2024-08-15T00:00:00"/>
    <d v="2024-08-12T00:00:00"/>
    <d v="2024-08-15T00:00:00"/>
    <n v="3"/>
    <s v="8-2024"/>
    <s v="Americas"/>
    <s v="USA"/>
    <s v="Chicago"/>
    <s v="Corporate"/>
    <s v="Marketplace"/>
    <s v="D. Smith"/>
    <s v="Printers"/>
    <s v="PRN-5591"/>
    <n v="850.7"/>
    <n v="1118.56"/>
    <n v="0.18"/>
    <n v="19"/>
    <n v="17427.164800000002"/>
    <n v="16163.300000000001"/>
    <n v="1263.8648000000012"/>
    <n v="7.2522685962090688E-2"/>
    <s v="Q3-2024"/>
    <s v="Americas → USA → Chicago"/>
    <s v="Low"/>
    <n v="2024"/>
    <n v="8"/>
    <x v="1"/>
  </r>
  <r>
    <s v="ORD-2024-170021"/>
    <d v="2024-11-05T00:00:00"/>
    <d v="2024-11-08T00:00:00"/>
    <d v="2024-11-05T00:00:00"/>
    <d v="2024-11-08T00:00:00"/>
    <n v="3"/>
    <s v="11-2024"/>
    <s v="Americas"/>
    <s v="Canada"/>
    <s v="Toronto"/>
    <s v="Education"/>
    <s v="Marketplace"/>
    <s v="O. Wang"/>
    <s v="Components"/>
    <s v="CMP-2015"/>
    <n v="1020.4"/>
    <n v="1184.71"/>
    <n v="0.106"/>
    <n v="16"/>
    <n v="16946.091840000001"/>
    <n v="16326.4"/>
    <n v="619.69184000000132"/>
    <n v="3.6568422138328345E-2"/>
    <s v="Q4-2024"/>
    <s v="Americas → Canada → Toronto"/>
    <s v="Low"/>
    <n v="2024"/>
    <n v="11"/>
    <x v="1"/>
  </r>
  <r>
    <s v="ORD-2024-678110"/>
    <d v="2024-07-24T00:00:00"/>
    <d v="2024-08-08T00:00:00"/>
    <d v="2024-07-24T00:00:00"/>
    <d v="2024-08-08T00:00:00"/>
    <n v="15"/>
    <s v="7-2024"/>
    <s v="Europe"/>
    <s v="France"/>
    <s v="Marseille"/>
    <s v="Enterprise"/>
    <s v="Marketplace"/>
    <s v="H. Kim"/>
    <s v="Laptops"/>
    <s v="LAP-9901"/>
    <n v="501.5"/>
    <n v="1201.47"/>
    <n v="0.126"/>
    <n v="5"/>
    <n v="5250.4239000000007"/>
    <n v="2507.5"/>
    <n v="2742.9239000000007"/>
    <n v="0.52241951359394057"/>
    <s v="Q3-2024"/>
    <s v="Europe → France → Marseille"/>
    <s v="Medium"/>
    <n v="2024"/>
    <n v="7"/>
    <x v="0"/>
  </r>
  <r>
    <s v="ORD-2025-931538"/>
    <d v="2025-02-09T00:00:00"/>
    <d v="2025-03-01T00:00:00"/>
    <d v="2025-02-09T00:00:00"/>
    <d v="2025-03-01T00:00:00"/>
    <n v="20"/>
    <s v="2-2025"/>
    <s v="Americas"/>
    <s v="Brazil"/>
    <s v="São Paulo"/>
    <s v="Corporate"/>
    <s v="Distributor"/>
    <s v="B. Chen"/>
    <s v="Laptops"/>
    <s v="LAP-6989"/>
    <n v="1154.6400000000001"/>
    <n v="2794.13"/>
    <n v="3.5000000000000003E-2"/>
    <n v="11"/>
    <n v="29659.68995"/>
    <n v="12701.04"/>
    <n v="16958.649949999999"/>
    <n v="0.57177435025749479"/>
    <s v="Q1-2025"/>
    <s v="Americas → Brazil → São Paulo"/>
    <s v="High"/>
    <n v="2025"/>
    <n v="2"/>
    <x v="0"/>
  </r>
  <r>
    <s v="ORD-2023-854471"/>
    <d v="2023-03-06T00:00:00"/>
    <d v="2023-04-04T00:00:00"/>
    <d v="2023-03-06T00:00:00"/>
    <d v="2023-04-04T00:00:00"/>
    <n v="29"/>
    <s v="3-2023"/>
    <s v="Asia"/>
    <s v="China"/>
    <s v="Beijing"/>
    <s v="Small Business"/>
    <s v="Direct"/>
    <s v="C. Otieno"/>
    <s v="Monitors"/>
    <s v="MON-2073"/>
    <n v="1126.29"/>
    <n v="2050.87"/>
    <n v="6.4000000000000001E-2"/>
    <n v="7"/>
    <n v="13437.300239999999"/>
    <n v="7884.03"/>
    <n v="5553.2702399999989"/>
    <n v="0.41327276616690373"/>
    <s v="Q1-2023"/>
    <s v="Asia → China → Beijing"/>
    <s v="High"/>
    <n v="2023"/>
    <n v="3"/>
    <x v="0"/>
  </r>
  <r>
    <s v="ORD-2024-390951"/>
    <d v="2024-12-20T00:00:00"/>
    <d v="2025-01-14T00:00:00"/>
    <d v="2024-12-20T00:00:00"/>
    <d v="2025-01-14T00:00:00"/>
    <n v="25"/>
    <s v="12-2024"/>
    <s v="Asia"/>
    <s v="India"/>
    <s v="Delhi"/>
    <s v="Small Business"/>
    <s v="Retail"/>
    <s v="M. Rossi"/>
    <s v="Printers"/>
    <s v="PRN-9378"/>
    <n v="1361.34"/>
    <n v="1737.9"/>
    <n v="7.6999999999999999E-2"/>
    <n v="14"/>
    <n v="22457.143800000002"/>
    <n v="19058.759999999998"/>
    <n v="3398.3838000000032"/>
    <n v="0.15132751654731813"/>
    <s v="Q4-2024"/>
    <s v="Asia → India → Delhi"/>
    <s v="Medium"/>
    <n v="2024"/>
    <n v="12"/>
    <x v="0"/>
  </r>
  <r>
    <s v="ORD-2025-881624"/>
    <d v="2025-02-21T00:00:00"/>
    <d v="2025-03-21T00:00:00"/>
    <d v="2025-02-21T00:00:00"/>
    <d v="2025-03-21T00:00:00"/>
    <n v="28"/>
    <s v="2-2025"/>
    <s v="Africa"/>
    <s v="Nigeria"/>
    <s v="Abuja"/>
    <s v="Enterprise"/>
    <s v="Marketplace"/>
    <s v="I. Johnson"/>
    <s v="Phones"/>
    <s v="PHN-5887"/>
    <n v="1437.39"/>
    <n v="1388.31"/>
    <n v="0.13800000000000001"/>
    <n v="18"/>
    <n v="21541.017959999997"/>
    <n v="25873.02"/>
    <n v="-4332.002040000003"/>
    <n v="-0.20110479681341872"/>
    <s v="Q1-2025"/>
    <s v="Africa → Nigeria → Abuja"/>
    <s v="Medium"/>
    <n v="2025"/>
    <n v="2"/>
    <x v="0"/>
  </r>
  <r>
    <s v="ORD-2025-512310"/>
    <d v="2025-03-08T00:00:00"/>
    <d v="2025-03-15T00:00:00"/>
    <d v="2025-03-08T00:00:00"/>
    <d v="2025-03-15T00:00:00"/>
    <n v="7"/>
    <s v="3-2025"/>
    <s v="Asia"/>
    <s v="India"/>
    <s v="Bengaluru"/>
    <s v="Corporate"/>
    <s v="Distributor"/>
    <s v="K. Singh"/>
    <s v="Laptops"/>
    <s v="LAP-8119"/>
    <n v="475.66"/>
    <n v="529.14"/>
    <n v="0.19600000000000001"/>
    <n v="11"/>
    <n v="4679.7141600000004"/>
    <n v="5232.26"/>
    <n v="-552.54583999999977"/>
    <n v="-0.11807256193613323"/>
    <s v="Q1-2025"/>
    <s v="Asia → India → Bengaluru"/>
    <s v="Low"/>
    <n v="2025"/>
    <n v="3"/>
    <x v="1"/>
  </r>
  <r>
    <s v="ORD-2025-856556"/>
    <d v="2025-06-15T00:00:00"/>
    <d v="2025-07-12T00:00:00"/>
    <d v="2025-06-15T00:00:00"/>
    <d v="2025-07-12T00:00:00"/>
    <n v="27"/>
    <s v="6-2025"/>
    <s v="Europe"/>
    <s v="France"/>
    <s v="Marseille"/>
    <s v="Consumer"/>
    <s v="Direct"/>
    <s v="C. Otieno"/>
    <s v="Accessories"/>
    <s v="ACC-7906"/>
    <n v="318.83"/>
    <n v="699.5"/>
    <n v="0.08"/>
    <n v="13"/>
    <n v="8366.02"/>
    <n v="4144.79"/>
    <n v="4221.2300000000005"/>
    <n v="0.50456848059172699"/>
    <s v="Q2-2025"/>
    <s v="Europe → France → Marseille"/>
    <s v="Low"/>
    <n v="2025"/>
    <n v="6"/>
    <x v="0"/>
  </r>
  <r>
    <s v="ORD-2024-542244"/>
    <d v="2024-08-30T00:00:00"/>
    <d v="2024-09-05T00:00:00"/>
    <d v="2024-08-30T00:00:00"/>
    <d v="2024-09-05T00:00:00"/>
    <n v="6"/>
    <s v="8-2024"/>
    <s v="Asia"/>
    <s v="Japan"/>
    <s v="Nagoya"/>
    <s v="Education"/>
    <s v="Online"/>
    <s v="N. Brown"/>
    <s v="Laptops"/>
    <s v="LAP-7009"/>
    <n v="466.16"/>
    <n v="876.81"/>
    <n v="0.24099999999999999"/>
    <n v="8"/>
    <n v="5323.9903199999999"/>
    <n v="3729.28"/>
    <n v="1594.7103199999997"/>
    <n v="0.29953291124691594"/>
    <s v="Q3-2024"/>
    <s v="Asia → Japan → Nagoya"/>
    <s v="Low"/>
    <n v="2024"/>
    <n v="8"/>
    <x v="1"/>
  </r>
  <r>
    <s v="ORD-2024-375848"/>
    <d v="2024-05-18T00:00:00"/>
    <d v="2024-05-21T00:00:00"/>
    <d v="2024-05-18T00:00:00"/>
    <d v="2024-05-21T00:00:00"/>
    <n v="3"/>
    <s v="5-2024"/>
    <s v="Europe"/>
    <s v="France"/>
    <s v="Marseille"/>
    <s v="Non-Profit"/>
    <s v="Marketplace"/>
    <s v="D. Smith"/>
    <s v="Printers"/>
    <s v="PRN-1725"/>
    <n v="663.66"/>
    <n v="824.26"/>
    <n v="0.23899999999999999"/>
    <n v="11"/>
    <n v="6899.8804600000003"/>
    <n v="7300.2599999999993"/>
    <n v="-400.379539999999"/>
    <n v="-5.8027025587048933E-2"/>
    <s v="Q2-2024"/>
    <s v="Europe → France → Marseille"/>
    <s v="Low"/>
    <n v="2024"/>
    <n v="5"/>
    <x v="1"/>
  </r>
  <r>
    <s v="ORD-2023-933238"/>
    <d v="2023-03-17T00:00:00"/>
    <d v="2023-04-06T00:00:00"/>
    <d v="2023-03-17T00:00:00"/>
    <d v="2023-04-06T00:00:00"/>
    <n v="20"/>
    <s v="3-2023"/>
    <s v="Europe"/>
    <s v="Germany"/>
    <s v="Munich"/>
    <s v="Consumer"/>
    <s v="Retail"/>
    <s v="O. Wang"/>
    <s v="Phones"/>
    <s v="PHN-8483"/>
    <n v="692.18"/>
    <n v="1159.3499999999999"/>
    <n v="0.112"/>
    <n v="2"/>
    <n v="2059.0056"/>
    <n v="1384.36"/>
    <n v="674.64560000000006"/>
    <n v="0.32765602968734037"/>
    <s v="Q1-2023"/>
    <s v="Europe → Germany → Munich"/>
    <s v="Low"/>
    <n v="2023"/>
    <n v="3"/>
    <x v="0"/>
  </r>
  <r>
    <s v="ORD-2023-732585"/>
    <d v="2023-08-25T00:00:00"/>
    <d v="2023-09-16T00:00:00"/>
    <d v="2023-08-25T00:00:00"/>
    <d v="2023-09-16T00:00:00"/>
    <n v="22"/>
    <s v="8-2023"/>
    <s v="Africa"/>
    <s v="Nigeria"/>
    <s v="Abuja"/>
    <s v="Corporate"/>
    <s v="Marketplace"/>
    <s v="L. Okafor"/>
    <s v="Phones"/>
    <s v="PHN-3971"/>
    <n v="1196.83"/>
    <n v="2513.5100000000002"/>
    <n v="8.3000000000000004E-2"/>
    <n v="7"/>
    <n v="16134.22069"/>
    <n v="8377.81"/>
    <n v="7756.4106900000006"/>
    <n v="0.48074281609445374"/>
    <s v="Q3-2023"/>
    <s v="Africa → Nigeria → Abuja"/>
    <s v="High"/>
    <n v="2023"/>
    <n v="8"/>
    <x v="0"/>
  </r>
  <r>
    <s v="ORD-2024-465898"/>
    <d v="2024-06-06T00:00:00"/>
    <d v="2024-06-24T00:00:00"/>
    <d v="2024-06-06T00:00:00"/>
    <d v="2024-06-24T00:00:00"/>
    <n v="18"/>
    <s v="6-2024"/>
    <s v="Asia"/>
    <s v="India"/>
    <s v="Bengaluru"/>
    <s v="Small Business"/>
    <s v="Direct"/>
    <s v="H. Kim"/>
    <s v="Networking"/>
    <s v="NET-6578"/>
    <n v="1253.25"/>
    <n v="3087.13"/>
    <n v="7.1999999999999995E-2"/>
    <n v="11"/>
    <n v="31513.423040000001"/>
    <n v="13785.75"/>
    <n v="17727.673040000001"/>
    <n v="0.562543555408064"/>
    <s v="Q2-2024"/>
    <s v="Asia → India → Bengaluru"/>
    <s v="High"/>
    <n v="2024"/>
    <n v="6"/>
    <x v="0"/>
  </r>
  <r>
    <s v="ORD-2023-987081"/>
    <d v="2023-08-29T00:00:00"/>
    <d v="2023-09-13T00:00:00"/>
    <d v="2023-08-29T00:00:00"/>
    <d v="2023-09-13T00:00:00"/>
    <n v="15"/>
    <s v="8-2023"/>
    <s v="Americas"/>
    <s v="Canada"/>
    <s v="Vancouver"/>
    <s v="Small Business"/>
    <s v="Marketplace"/>
    <s v="O. Wang"/>
    <s v="Printers"/>
    <s v="PRN-9975"/>
    <n v="1287.6400000000001"/>
    <n v="2717.15"/>
    <n v="3.2000000000000001E-2"/>
    <n v="7"/>
    <n v="18411.4084"/>
    <n v="9013.4800000000014"/>
    <n v="9397.9283999999989"/>
    <n v="0.51044049405802105"/>
    <s v="Q3-2023"/>
    <s v="Americas → Canada → Vancouver"/>
    <s v="High"/>
    <n v="2023"/>
    <n v="8"/>
    <x v="0"/>
  </r>
  <r>
    <s v="ORD-2025-411385"/>
    <d v="2025-06-05T00:00:00"/>
    <d v="2025-06-14T00:00:00"/>
    <d v="2025-06-05T00:00:00"/>
    <d v="2025-06-14T00:00:00"/>
    <n v="9"/>
    <s v="6-2025"/>
    <s v="Asia"/>
    <s v="India"/>
    <s v="Delhi"/>
    <s v="Non-Profit"/>
    <s v="Retail"/>
    <s v="A. Patel"/>
    <s v="Accessories"/>
    <s v="ACC-2902"/>
    <n v="618.69000000000005"/>
    <n v="796.15"/>
    <n v="0.09"/>
    <n v="11"/>
    <n v="7969.4615000000003"/>
    <n v="6805.59"/>
    <n v="1163.8715000000002"/>
    <n v="0.14604142325049191"/>
    <s v="Q2-2025"/>
    <s v="Asia → India → Delhi"/>
    <s v="Low"/>
    <n v="2025"/>
    <n v="6"/>
    <x v="0"/>
  </r>
  <r>
    <s v="ORD-2023-653343"/>
    <d v="2023-11-10T00:00:00"/>
    <d v="2023-11-28T00:00:00"/>
    <d v="2023-11-10T00:00:00"/>
    <d v="2023-11-28T00:00:00"/>
    <n v="18"/>
    <s v="11-2023"/>
    <s v="Americas"/>
    <s v="Brazil"/>
    <s v="Brasília"/>
    <s v="Education"/>
    <s v="Marketplace"/>
    <s v="L. Okafor"/>
    <s v="Accessories"/>
    <s v="ACC-5260"/>
    <n v="388.51"/>
    <n v="776.46"/>
    <n v="0.157"/>
    <n v="12"/>
    <n v="7854.6693599999999"/>
    <n v="4662.12"/>
    <n v="3192.54936"/>
    <n v="0.40645241876864946"/>
    <s v="Q4-2023"/>
    <s v="Americas → Brazil → Brasília"/>
    <s v="Low"/>
    <n v="2023"/>
    <n v="11"/>
    <x v="0"/>
  </r>
  <r>
    <s v="ORD-2025-222035"/>
    <d v="2025-03-14T00:00:00"/>
    <d v="2025-04-08T00:00:00"/>
    <d v="2025-03-14T00:00:00"/>
    <d v="2025-04-08T00:00:00"/>
    <n v="25"/>
    <s v="3-2025"/>
    <s v="Asia"/>
    <s v="China"/>
    <s v="Unknown City"/>
    <s v="Corporate"/>
    <s v="Distributor"/>
    <s v="D. Smith"/>
    <s v="Printers"/>
    <s v="PRN-5815"/>
    <n v="80.59"/>
    <n v="157.82"/>
    <n v="0.217"/>
    <n v="6"/>
    <n v="741.43835999999999"/>
    <n v="483.54"/>
    <n v="257.89835999999997"/>
    <n v="0.34783519967863541"/>
    <s v="Q1-2025"/>
    <s v="Asia → China → Unknown City"/>
    <s v="Low"/>
    <n v="2025"/>
    <n v="3"/>
    <x v="0"/>
  </r>
  <r>
    <s v="ORD-2024-749242"/>
    <d v="2024-01-16T00:00:00"/>
    <d v="2024-02-11T00:00:00"/>
    <d v="2024-01-16T00:00:00"/>
    <d v="2024-02-11T00:00:00"/>
    <n v="26"/>
    <s v="1-2024"/>
    <s v="Europe"/>
    <s v="Germany"/>
    <s v="Frankfurt"/>
    <s v="Non-Profit"/>
    <s v="Distributor"/>
    <s v="E. Garcia"/>
    <s v="Monitors"/>
    <s v="MON-4195"/>
    <n v="504.93"/>
    <n v="819.06"/>
    <n v="0.22600000000000001"/>
    <n v="15"/>
    <n v="9509.2865999999995"/>
    <n v="7573.95"/>
    <n v="1935.3365999999996"/>
    <n v="0.20352069312959814"/>
    <s v="Q1-2024"/>
    <s v="Europe → Germany → Frankfurt"/>
    <s v="Low"/>
    <n v="2024"/>
    <n v="1"/>
    <x v="0"/>
  </r>
  <r>
    <s v="ORD-2023-623293"/>
    <d v="2023-10-12T00:00:00"/>
    <d v="2023-10-29T00:00:00"/>
    <d v="2023-10-12T00:00:00"/>
    <d v="2023-10-29T00:00:00"/>
    <n v="17"/>
    <s v="10-2023"/>
    <s v="Asia"/>
    <s v="Japan"/>
    <s v="Nagoya"/>
    <s v="Non-Profit"/>
    <s v="Direct"/>
    <s v="H. Kim"/>
    <s v="Phones"/>
    <s v="PHN-8478"/>
    <n v="1102.19"/>
    <n v="1711.16"/>
    <n v="0.151"/>
    <n v="10"/>
    <n v="14527.748400000002"/>
    <n v="11021.900000000001"/>
    <n v="3505.8484000000008"/>
    <n v="0.24132083675127525"/>
    <s v="Q4-2023"/>
    <s v="Asia → Japan → Nagoya"/>
    <s v="Medium"/>
    <n v="2023"/>
    <n v="10"/>
    <x v="0"/>
  </r>
  <r>
    <s v="ORD-2025-276968"/>
    <d v="2025-02-25T00:00:00"/>
    <d v="2025-03-17T00:00:00"/>
    <d v="2025-02-25T00:00:00"/>
    <d v="2025-03-17T00:00:00"/>
    <n v="20"/>
    <s v="2-2025"/>
    <s v="Americas"/>
    <s v="USA"/>
    <s v="San Francisco"/>
    <s v="Non-Profit"/>
    <s v="Marketplace"/>
    <s v="H. Kim"/>
    <s v="Phones"/>
    <s v="PHN-1044"/>
    <n v="1205.26"/>
    <n v="1696.35"/>
    <n v="1.9E-2"/>
    <n v="6"/>
    <n v="9984.7160999999978"/>
    <n v="7231.5599999999995"/>
    <n v="2753.1560999999983"/>
    <n v="0.27573704374028213"/>
    <s v="Q1-2025"/>
    <s v="Americas → USA → San Francisco"/>
    <s v="Medium"/>
    <n v="2025"/>
    <n v="2"/>
    <x v="0"/>
  </r>
  <r>
    <s v="ORD-2025-650841"/>
    <d v="2025-07-03T00:00:00"/>
    <d v="2025-07-06T00:00:00"/>
    <d v="2025-07-03T00:00:00"/>
    <d v="2025-07-06T00:00:00"/>
    <n v="3"/>
    <s v="7-2025"/>
    <s v="Africa"/>
    <s v="Nigeria"/>
    <s v="Lagos"/>
    <s v="Consumer"/>
    <s v="Online"/>
    <s v="Unknown Salesperson"/>
    <s v="Laptops"/>
    <s v="LAP-8910"/>
    <n v="1313.3"/>
    <n v="2884.34"/>
    <n v="0.157"/>
    <n v="42"/>
    <n v="102122.94203999999"/>
    <n v="55158.6"/>
    <n v="46964.342039999996"/>
    <n v="0.45988042551305253"/>
    <s v="Q3-2025"/>
    <s v="Africa → Nigeria → Lagos"/>
    <s v="High"/>
    <n v="2025"/>
    <n v="7"/>
    <x v="1"/>
  </r>
  <r>
    <s v="ORD-2025-831576"/>
    <d v="2025-09-15T00:00:00"/>
    <d v="2025-09-25T00:00:00"/>
    <d v="2025-09-15T00:00:00"/>
    <d v="2025-09-25T00:00:00"/>
    <n v="10"/>
    <s v="9-2025"/>
    <s v="Asia"/>
    <s v="India"/>
    <s v="Delhi"/>
    <s v="Consumer"/>
    <s v="Retail"/>
    <s v="A. Patel"/>
    <s v="Phones"/>
    <s v="PHN-2859"/>
    <n v="1488.91"/>
    <n v="1483.74"/>
    <n v="0.16800000000000001"/>
    <n v="24"/>
    <n v="29627.320319999999"/>
    <n v="35733.840000000004"/>
    <n v="-6106.5196800000049"/>
    <n v="-0.20611110333450519"/>
    <s v="Q3-2025"/>
    <s v="Asia → India → Delhi"/>
    <s v="Medium"/>
    <n v="2025"/>
    <n v="9"/>
    <x v="0"/>
  </r>
  <r>
    <s v="ORD-2024-468655"/>
    <d v="2024-02-19T00:00:00"/>
    <d v="2024-03-06T00:00:00"/>
    <d v="2024-02-19T00:00:00"/>
    <d v="2024-03-06T00:00:00"/>
    <n v="16"/>
    <s v="2-2024"/>
    <s v="Asia"/>
    <s v="China"/>
    <s v="Beijing"/>
    <s v="Education"/>
    <s v="Marketplace"/>
    <s v="O. Wang"/>
    <s v="Printers"/>
    <s v="PRN-6308"/>
    <n v="1477.84"/>
    <n v="3197.47"/>
    <n v="0.24299999999999999"/>
    <n v="24"/>
    <n v="58091.634960000003"/>
    <n v="35468.159999999996"/>
    <n v="22623.474960000007"/>
    <n v="0.38944462443823091"/>
    <s v="Q1-2024"/>
    <s v="Asia → China → Beijing"/>
    <s v="High"/>
    <n v="2024"/>
    <n v="2"/>
    <x v="0"/>
  </r>
  <r>
    <s v="ORD-2024-515105"/>
    <d v="2024-02-27T00:00:00"/>
    <d v="2024-03-26T00:00:00"/>
    <d v="2024-02-27T00:00:00"/>
    <d v="2024-03-26T00:00:00"/>
    <n v="28"/>
    <s v="2-2024"/>
    <s v="Asia"/>
    <s v="India"/>
    <s v="Mumbai"/>
    <s v="Education"/>
    <s v="Marketplace"/>
    <s v="G. Dubois"/>
    <s v="Laptops"/>
    <s v="LAP-8469"/>
    <n v="1035.19"/>
    <n v="2322.6999999999998"/>
    <n v="0.17299999999999999"/>
    <n v="8"/>
    <n v="15366.983199999999"/>
    <n v="8281.52"/>
    <n v="7085.4631999999983"/>
    <n v="0.46108355217047409"/>
    <s v="Q1-2024"/>
    <s v="Asia → India → Mumbai"/>
    <s v="High"/>
    <n v="2024"/>
    <n v="2"/>
    <x v="0"/>
  </r>
  <r>
    <s v="ORD-2025-803803"/>
    <d v="2025-08-28T00:00:00"/>
    <d v="2025-09-05T00:00:00"/>
    <d v="2025-08-28T00:00:00"/>
    <d v="2025-09-05T00:00:00"/>
    <n v="8"/>
    <s v="8-2025"/>
    <s v="Africa"/>
    <s v="Nigeria"/>
    <s v="Port Harcourt"/>
    <s v="Small Business"/>
    <s v="Marketplace"/>
    <s v="E. Garcia"/>
    <s v="Laptops"/>
    <s v="LAP-7553"/>
    <n v="1271.0999999999999"/>
    <n v="1932.42"/>
    <n v="0.25"/>
    <n v="21"/>
    <n v="30435.614999999998"/>
    <n v="26693.1"/>
    <n v="3742.5149999999994"/>
    <n v="0.12296498690760807"/>
    <s v="Q3-2025"/>
    <s v="Africa → Nigeria → Port Harcourt"/>
    <s v="High"/>
    <n v="2025"/>
    <n v="8"/>
    <x v="0"/>
  </r>
  <r>
    <s v="ORD-2024-993481"/>
    <d v="2024-08-18T00:00:00"/>
    <d v="2024-09-12T00:00:00"/>
    <d v="2024-08-18T00:00:00"/>
    <d v="2024-09-12T00:00:00"/>
    <n v="25"/>
    <s v="8-2024"/>
    <s v="Asia"/>
    <s v="India"/>
    <s v="Mumbai"/>
    <s v="Consumer"/>
    <s v="Marketplace"/>
    <s v="C. Otieno"/>
    <s v="Phones"/>
    <s v="PHN-3077"/>
    <n v="1154.03"/>
    <n v="1590.36"/>
    <n v="0.1186"/>
    <n v="18"/>
    <n v="25231.379471999997"/>
    <n v="20772.54"/>
    <n v="4458.839471999996"/>
    <n v="0.17671802197529871"/>
    <s v="Q3-2024"/>
    <s v="Asia → India → Mumbai"/>
    <s v="Medium"/>
    <n v="2024"/>
    <n v="8"/>
    <x v="0"/>
  </r>
  <r>
    <s v="ORD-2024-811752"/>
    <d v="2024-02-25T00:00:00"/>
    <d v="2024-03-09T00:00:00"/>
    <d v="2024-02-25T00:00:00"/>
    <d v="2024-03-09T00:00:00"/>
    <n v="13"/>
    <s v="2-2024"/>
    <s v="Europe"/>
    <s v="France"/>
    <s v="Marseille"/>
    <s v="Small Business"/>
    <s v="Distributor"/>
    <s v="E. Garcia"/>
    <s v="Monitors"/>
    <s v="MON-3350"/>
    <n v="322.44"/>
    <n v="395.61"/>
    <n v="0"/>
    <n v="34"/>
    <n v="13450.74"/>
    <n v="10962.96"/>
    <n v="2487.7800000000007"/>
    <n v="0.18495487980586947"/>
    <s v="Q1-2024"/>
    <s v="Europe → France → Marseille"/>
    <s v="Low"/>
    <n v="2024"/>
    <n v="2"/>
    <x v="0"/>
  </r>
  <r>
    <s v="ORD-2025-673091"/>
    <d v="2025-05-07T00:00:00"/>
    <d v="2025-05-13T00:00:00"/>
    <d v="2025-05-07T00:00:00"/>
    <d v="2025-05-13T00:00:00"/>
    <n v="6"/>
    <s v="5-2025"/>
    <s v="Asia"/>
    <s v="India"/>
    <s v="Bengaluru"/>
    <s v="Enterprise"/>
    <s v="Direct"/>
    <s v="J. Njeri"/>
    <s v="Phones"/>
    <s v="PHN-5683"/>
    <n v="935.98"/>
    <n v="2077.69"/>
    <n v="0.17499999999999999"/>
    <n v="24"/>
    <n v="41138.261999999995"/>
    <n v="22463.52"/>
    <n v="18674.741999999995"/>
    <n v="0.45395067978321491"/>
    <s v="Q2-2025"/>
    <s v="Asia → India → Bengaluru"/>
    <s v="High"/>
    <n v="2025"/>
    <n v="5"/>
    <x v="1"/>
  </r>
  <r>
    <s v="ORD-2024-381197"/>
    <d v="2024-11-01T00:00:00"/>
    <d v="2024-11-12T00:00:00"/>
    <d v="2024-11-01T00:00:00"/>
    <d v="2024-11-12T00:00:00"/>
    <n v="11"/>
    <s v="11-2024"/>
    <s v="Europe"/>
    <s v="Germany"/>
    <s v="Frankfurt"/>
    <s v="Consumer"/>
    <s v="Online"/>
    <s v="B. Chen"/>
    <s v="Printers"/>
    <s v="PRN-2409"/>
    <n v="599.84"/>
    <n v="1330.85"/>
    <n v="0.115"/>
    <n v="11"/>
    <n v="12955.824749999998"/>
    <n v="6598.2400000000007"/>
    <n v="6357.5847499999973"/>
    <n v="0.49071246892252063"/>
    <s v="Q4-2024"/>
    <s v="Europe → Germany → Frankfurt"/>
    <s v="Medium"/>
    <n v="2024"/>
    <n v="11"/>
    <x v="0"/>
  </r>
  <r>
    <s v="ORD-2024-651852"/>
    <d v="2024-12-28T00:00:00"/>
    <d v="2025-01-08T00:00:00"/>
    <d v="2024-12-28T00:00:00"/>
    <d v="2025-01-08T00:00:00"/>
    <n v="11"/>
    <s v="12-2024"/>
    <s v="Asia"/>
    <s v="China"/>
    <s v="Shenzhen"/>
    <s v="Enterprise"/>
    <s v="Online"/>
    <s v="K. Singh"/>
    <s v="Laptops"/>
    <s v="LAP-8825"/>
    <n v="1201.31"/>
    <n v="2764.65"/>
    <n v="0"/>
    <n v="21"/>
    <n v="58057.65"/>
    <n v="25227.51"/>
    <n v="32830.14"/>
    <n v="0.56547483406579491"/>
    <s v="Q4-2024"/>
    <s v="Asia → China → Shenzhen"/>
    <s v="High"/>
    <n v="2024"/>
    <n v="12"/>
    <x v="0"/>
  </r>
  <r>
    <s v="ORD-2023-659070"/>
    <d v="2023-10-21T00:00:00"/>
    <d v="2023-10-21T00:00:00"/>
    <d v="2023-10-21T00:00:00"/>
    <d v="2023-10-21T00:00:00"/>
    <n v="0"/>
    <s v="10-2023"/>
    <s v="Europe"/>
    <s v="United Kingdom"/>
    <s v="Manchester"/>
    <s v="Enterprise"/>
    <s v="Distributor"/>
    <s v="J. Njeri"/>
    <s v="Monitors"/>
    <s v="MON-8697"/>
    <n v="384.19"/>
    <n v="278.35000000000002"/>
    <n v="5.6000000000000001E-2"/>
    <n v="10"/>
    <n v="2627.6239999999998"/>
    <n v="3841.9"/>
    <n v="-1214.2760000000003"/>
    <n v="-0.46211938998882657"/>
    <s v="Q4-2023"/>
    <s v="Europe → United Kingdom → Manchester"/>
    <s v="Low"/>
    <n v="2023"/>
    <n v="10"/>
    <x v="1"/>
  </r>
  <r>
    <s v="ORD-2024-837651"/>
    <d v="2024-12-10T00:00:00"/>
    <d v="2024-12-19T00:00:00"/>
    <d v="2024-12-10T00:00:00"/>
    <d v="2024-12-19T00:00:00"/>
    <n v="9"/>
    <s v="12-2024"/>
    <s v="Africa"/>
    <s v="Nigeria"/>
    <s v="Lagos"/>
    <s v="Corporate"/>
    <s v="Retail"/>
    <s v="O. Wang"/>
    <s v="Monitors"/>
    <s v="MON-4789"/>
    <n v="488.68"/>
    <n v="984.36"/>
    <n v="5.8999999999999997E-2"/>
    <n v="14"/>
    <n v="12967.958640000001"/>
    <n v="6841.52"/>
    <n v="6126.4386400000003"/>
    <n v="0.47242891576649876"/>
    <s v="Q4-2024"/>
    <s v="Africa → Nigeria → Lagos"/>
    <s v="Low"/>
    <n v="2024"/>
    <n v="12"/>
    <x v="0"/>
  </r>
  <r>
    <s v="ORD-2024-581530"/>
    <d v="2024-09-07T00:00:00"/>
    <d v="2024-09-18T00:00:00"/>
    <d v="2024-09-07T00:00:00"/>
    <d v="2024-09-18T00:00:00"/>
    <n v="11"/>
    <s v="9-2024"/>
    <s v="Asia"/>
    <s v="China"/>
    <s v="Beijing"/>
    <s v="Consumer"/>
    <s v="Distributor"/>
    <s v="O. Wang"/>
    <s v="Networking"/>
    <s v="NET-7998"/>
    <n v="181.74"/>
    <n v="190.84"/>
    <n v="0.214"/>
    <n v="13"/>
    <n v="1950.0031200000001"/>
    <n v="2362.62"/>
    <n v="-412.61687999999981"/>
    <n v="-0.21159806144310159"/>
    <s v="Q3-2024"/>
    <s v="Asia → China → Beijing"/>
    <s v="Low"/>
    <n v="2024"/>
    <n v="9"/>
    <x v="0"/>
  </r>
  <r>
    <s v="ORD-2023-378104"/>
    <d v="2023-10-18T00:00:00"/>
    <d v="2023-10-20T00:00:00"/>
    <d v="2023-10-18T00:00:00"/>
    <d v="2023-10-20T00:00:00"/>
    <n v="2"/>
    <s v="10-2023"/>
    <s v="Africa"/>
    <s v="Kenya"/>
    <s v="Kisumu"/>
    <s v="Consumer"/>
    <s v="Retail"/>
    <s v="J. Njeri"/>
    <s v="Phones"/>
    <s v="PHN-8891"/>
    <n v="774.12"/>
    <n v="908.3"/>
    <n v="0"/>
    <n v="30"/>
    <n v="27249"/>
    <n v="23223.599999999999"/>
    <n v="4025.4000000000015"/>
    <n v="0.14772652207420461"/>
    <s v="Q4-2023"/>
    <s v="Africa → Kenya → Kisumu"/>
    <s v="Low"/>
    <n v="2023"/>
    <n v="10"/>
    <x v="1"/>
  </r>
  <r>
    <s v="ORD-2024-972318"/>
    <d v="2024-12-24T00:00:00"/>
    <d v="2025-01-13T00:00:00"/>
    <d v="2024-12-24T00:00:00"/>
    <d v="2025-01-13T00:00:00"/>
    <n v="20"/>
    <s v="12-2024"/>
    <s v="Asia"/>
    <s v="India"/>
    <s v="Bengaluru"/>
    <s v="Corporate"/>
    <s v="Marketplace"/>
    <s v="D. Smith"/>
    <s v="Networking"/>
    <s v="NET-9832"/>
    <n v="126.15"/>
    <n v="284.23"/>
    <n v="0.113"/>
    <n v="22"/>
    <n v="5546.4642200000008"/>
    <n v="2775.3"/>
    <n v="2771.1642200000006"/>
    <n v="0.49962716968541088"/>
    <s v="Q4-2024"/>
    <s v="Asia → India → Bengaluru"/>
    <s v="Low"/>
    <n v="2024"/>
    <n v="12"/>
    <x v="0"/>
  </r>
  <r>
    <s v="ORD-2023-752962"/>
    <d v="2023-04-21T00:00:00"/>
    <d v="2023-04-19T00:00:00"/>
    <d v="2023-04-19T00:00:00"/>
    <d v="2023-04-21T00:00:00"/>
    <n v="2"/>
    <s v="4-2023"/>
    <s v="Asia"/>
    <s v="Japan"/>
    <s v="Nagoya"/>
    <s v="Small Business"/>
    <s v="Direct"/>
    <s v="M. Rossi"/>
    <s v="Components"/>
    <s v="CMP-8604"/>
    <n v="607.04"/>
    <n v="1229.3399999999999"/>
    <n v="0.14699999999999999"/>
    <n v="7"/>
    <n v="7340.3891399999993"/>
    <n v="4249.28"/>
    <n v="3091.1091399999996"/>
    <n v="0.42110970972310058"/>
    <s v="Q2-2023"/>
    <s v="Asia → Japan → Nagoya"/>
    <s v="Medium"/>
    <n v="2023"/>
    <n v="4"/>
    <x v="1"/>
  </r>
  <r>
    <s v="ORD-2025-898843"/>
    <d v="2025-02-02T00:00:00"/>
    <d v="2025-03-04T00:00:00"/>
    <d v="2025-02-02T00:00:00"/>
    <d v="2025-03-04T00:00:00"/>
    <n v="30"/>
    <s v="2-2025"/>
    <s v="Asia"/>
    <s v="Japan"/>
    <s v="Osaka"/>
    <s v="Education"/>
    <s v="Distributor"/>
    <s v="L. Okafor"/>
    <s v="Accessories"/>
    <s v="ACC-9591"/>
    <n v="766.59"/>
    <n v="1912.8"/>
    <n v="0.19600000000000001"/>
    <n v="5"/>
    <n v="7689.4560000000001"/>
    <n v="3832.9500000000003"/>
    <n v="3856.5059999999999"/>
    <n v="0.50153170783472845"/>
    <s v="Q1-2025"/>
    <s v="Asia → Japan → Osaka"/>
    <s v="High"/>
    <n v="2025"/>
    <n v="2"/>
    <x v="0"/>
  </r>
  <r>
    <s v="ORD-2023-156396"/>
    <d v="2023-02-21T00:00:00"/>
    <d v="2023-03-12T00:00:00"/>
    <d v="2023-02-21T00:00:00"/>
    <d v="2023-03-12T00:00:00"/>
    <n v="19"/>
    <s v="2-2023"/>
    <s v="Africa"/>
    <s v="Kenya"/>
    <s v="Nakuru"/>
    <s v="Corporate"/>
    <s v="Online"/>
    <s v="F. Müller"/>
    <s v="Networking"/>
    <s v="NET-2499"/>
    <n v="352.65"/>
    <n v="485.86"/>
    <n v="4.1000000000000002E-2"/>
    <n v="6"/>
    <n v="2795.6384399999997"/>
    <n v="2115.8999999999996"/>
    <n v="679.73844000000008"/>
    <n v="0.24314247159943908"/>
    <s v="Q1-2023"/>
    <s v="Africa → Kenya → Nakuru"/>
    <s v="Low"/>
    <n v="2023"/>
    <n v="2"/>
    <x v="0"/>
  </r>
  <r>
    <s v="ORD-2023-184577"/>
    <d v="2023-05-17T00:00:00"/>
    <d v="2023-06-03T00:00:00"/>
    <d v="2023-05-17T00:00:00"/>
    <d v="2023-06-03T00:00:00"/>
    <n v="17"/>
    <s v="5-2023"/>
    <s v="Asia"/>
    <s v="China"/>
    <s v="Beijing"/>
    <s v="Non-Profit"/>
    <s v="Distributor"/>
    <s v="M. Rossi"/>
    <s v="Printers"/>
    <s v="PRN-1923"/>
    <n v="979.59"/>
    <n v="2210.94"/>
    <n v="0.15"/>
    <n v="11"/>
    <n v="20672.289000000001"/>
    <n v="10775.49"/>
    <n v="9896.7990000000009"/>
    <n v="0.47874712858358359"/>
    <s v="Q2-2023"/>
    <s v="Asia → China → Beijing"/>
    <s v="High"/>
    <n v="2023"/>
    <n v="5"/>
    <x v="0"/>
  </r>
  <r>
    <s v="ORD-2024-446030"/>
    <d v="2024-03-23T00:00:00"/>
    <d v="2024-03-26T00:00:00"/>
    <d v="2024-03-23T00:00:00"/>
    <d v="2024-03-26T00:00:00"/>
    <n v="3"/>
    <s v="3-2024"/>
    <s v="Asia"/>
    <s v="India"/>
    <s v="Bengaluru"/>
    <s v="Education"/>
    <s v="Direct"/>
    <s v="G. Dubois"/>
    <s v="Phones"/>
    <s v="PHN-4346"/>
    <n v="382.21"/>
    <n v="571.89"/>
    <n v="0.14799999999999999"/>
    <n v="26"/>
    <n v="12668.50728"/>
    <n v="9937.4599999999991"/>
    <n v="2731.0472800000007"/>
    <n v="0.2155776698578809"/>
    <s v="Q1-2024"/>
    <s v="Asia → India → Bengaluru"/>
    <s v="Low"/>
    <n v="2024"/>
    <n v="3"/>
    <x v="1"/>
  </r>
  <r>
    <s v="ORD-2025-840976"/>
    <d v="2025-09-01T00:00:00"/>
    <d v="2025-09-30T00:00:00"/>
    <d v="2025-09-01T00:00:00"/>
    <d v="2025-09-30T00:00:00"/>
    <n v="29"/>
    <s v="9-2025"/>
    <s v="Americas"/>
    <s v="Brazil"/>
    <s v="Brasília"/>
    <s v="Education"/>
    <s v="Retail"/>
    <s v="K. Singh"/>
    <s v="Accessories"/>
    <s v="ACC-1663"/>
    <n v="780.59"/>
    <n v="631.57000000000005"/>
    <n v="0"/>
    <n v="12"/>
    <n v="7578.84"/>
    <n v="9367.08"/>
    <n v="-1788.2399999999998"/>
    <n v="-0.23595167598207639"/>
    <s v="Q3-2025"/>
    <s v="Americas → Brazil → Brasília"/>
    <s v="Low"/>
    <n v="2025"/>
    <n v="9"/>
    <x v="0"/>
  </r>
  <r>
    <s v="ORD-2024-745424"/>
    <d v="2024-08-22T00:00:00"/>
    <d v="2024-09-04T00:00:00"/>
    <d v="2024-08-22T00:00:00"/>
    <d v="2024-09-04T00:00:00"/>
    <n v="13"/>
    <s v="8-2024"/>
    <s v="Europe"/>
    <s v="Germany"/>
    <s v="Frankfurt"/>
    <s v="Non-Profit"/>
    <s v="Retail"/>
    <s v="L. Okafor"/>
    <s v="Printers"/>
    <s v="PRN-4892"/>
    <n v="90.04"/>
    <n v="194.62"/>
    <n v="4.2999999999999997E-2"/>
    <n v="32"/>
    <n v="5960.04288"/>
    <n v="2881.28"/>
    <n v="3078.7628799999998"/>
    <n v="0.51656723650954672"/>
    <s v="Q3-2024"/>
    <s v="Europe → Germany → Frankfurt"/>
    <s v="Low"/>
    <n v="2024"/>
    <n v="8"/>
    <x v="0"/>
  </r>
  <r>
    <s v="ORD-2024-510520"/>
    <d v="2024-09-25T00:00:00"/>
    <d v="2024-10-03T00:00:00"/>
    <d v="2024-09-25T00:00:00"/>
    <d v="2024-10-03T00:00:00"/>
    <n v="8"/>
    <s v="9-2024"/>
    <s v="Americas"/>
    <s v="Canada"/>
    <s v="Toronto"/>
    <s v="Consumer"/>
    <s v="Online"/>
    <s v="E. Garcia"/>
    <s v="Printers"/>
    <s v="PRN-9557"/>
    <n v="558.19000000000005"/>
    <n v="1031.6400000000001"/>
    <n v="0"/>
    <n v="21"/>
    <n v="21664.440000000002"/>
    <n v="11721.990000000002"/>
    <n v="9942.4500000000007"/>
    <n v="0.45892947152107322"/>
    <s v="Q3-2024"/>
    <s v="Americas → Canada → Toronto"/>
    <s v="Low"/>
    <n v="2024"/>
    <n v="9"/>
    <x v="0"/>
  </r>
  <r>
    <s v="ORD-2023-769774"/>
    <d v="2023-06-13T00:00:00"/>
    <d v="2023-06-24T00:00:00"/>
    <d v="2023-06-13T00:00:00"/>
    <d v="2023-06-24T00:00:00"/>
    <n v="11"/>
    <s v="6-2023"/>
    <s v="Americas"/>
    <s v="Canada"/>
    <s v="Toronto"/>
    <s v="Corporate"/>
    <s v="Online"/>
    <s v="C. Otieno"/>
    <s v="Printers"/>
    <s v="PRN-8008"/>
    <n v="247.07"/>
    <n v="495.19"/>
    <n v="2.8000000000000001E-2"/>
    <n v="4"/>
    <n v="1925.29872"/>
    <n v="988.28"/>
    <n v="937.01872000000003"/>
    <n v="0.48668744764968214"/>
    <s v="Q2-2023"/>
    <s v="Americas → Canada → Toronto"/>
    <s v="Low"/>
    <n v="2023"/>
    <n v="6"/>
    <x v="0"/>
  </r>
  <r>
    <s v="ORD-2023-580751"/>
    <d v="2023-12-24T00:00:00"/>
    <d v="2024-01-13T00:00:00"/>
    <d v="2023-12-24T00:00:00"/>
    <d v="2024-01-13T00:00:00"/>
    <n v="20"/>
    <s v="12-2023"/>
    <s v="Asia"/>
    <s v="Japan"/>
    <s v="Nagoya"/>
    <s v="Education"/>
    <s v="Direct"/>
    <s v="B. Chen"/>
    <s v="Laptops"/>
    <s v="LAP-1946"/>
    <n v="625.37"/>
    <n v="1319.04"/>
    <n v="7.3999999999999996E-2"/>
    <n v="8"/>
    <n v="9771.4483199999995"/>
    <n v="5002.96"/>
    <n v="4768.4883199999995"/>
    <n v="0.48800220436513547"/>
    <s v="Q4-2023"/>
    <s v="Asia → Japan → Nagoya"/>
    <s v="Medium"/>
    <n v="2023"/>
    <n v="12"/>
    <x v="0"/>
  </r>
  <r>
    <s v="ORD-2025-473192"/>
    <d v="2025-03-30T00:00:00"/>
    <d v="2025-04-29T00:00:00"/>
    <d v="2025-03-30T00:00:00"/>
    <d v="2025-04-29T00:00:00"/>
    <n v="30"/>
    <s v="3-2025"/>
    <s v="Africa"/>
    <s v="South Africa"/>
    <s v="Durban"/>
    <s v="Consumer"/>
    <s v="Marketplace"/>
    <s v="J. Njeri"/>
    <s v="Monitors"/>
    <s v="MON-7106"/>
    <n v="194.6"/>
    <n v="314.87"/>
    <n v="0.29299999999999998"/>
    <n v="25"/>
    <n v="5565.3272500000003"/>
    <n v="4865"/>
    <n v="700.32725000000028"/>
    <n v="0.1258375686712763"/>
    <s v="Q1-2025"/>
    <s v="Africa → South Africa → Durban"/>
    <s v="Low"/>
    <n v="2025"/>
    <n v="3"/>
    <x v="0"/>
  </r>
  <r>
    <s v="ORD-2024-886939"/>
    <d v="2024-06-03T00:00:00"/>
    <d v="2024-06-24T00:00:00"/>
    <d v="2024-06-03T00:00:00"/>
    <d v="2024-06-24T00:00:00"/>
    <n v="21"/>
    <s v="6-2024"/>
    <s v="Americas"/>
    <s v="Canada"/>
    <s v="Toronto"/>
    <s v="Small Business"/>
    <s v="Direct"/>
    <s v="G. Dubois"/>
    <s v="Monitors"/>
    <s v="MON-5386"/>
    <n v="1205.5"/>
    <n v="2210.17"/>
    <n v="0.104"/>
    <n v="23"/>
    <n v="45547.183360000003"/>
    <n v="27726.5"/>
    <n v="17820.683360000003"/>
    <n v="0.39125763758314652"/>
    <s v="Q2-2024"/>
    <s v="Americas → Canada → Toronto"/>
    <s v="High"/>
    <n v="2024"/>
    <n v="6"/>
    <x v="0"/>
  </r>
  <r>
    <s v="ORD-2024-566589"/>
    <d v="2024-06-11T00:00:00"/>
    <d v="2024-07-09T00:00:00"/>
    <d v="2024-06-11T00:00:00"/>
    <d v="2024-07-09T00:00:00"/>
    <n v="28"/>
    <s v="6-2024"/>
    <s v="Africa"/>
    <s v="Nigeria"/>
    <s v="Port Harcourt"/>
    <s v="Corporate"/>
    <s v="Marketplace"/>
    <s v="I. Johnson"/>
    <s v="Phones"/>
    <s v="PHN-2436"/>
    <n v="895.54"/>
    <n v="1045"/>
    <n v="0.216"/>
    <n v="15"/>
    <n v="12289.2"/>
    <n v="13433.099999999999"/>
    <n v="-1143.8999999999978"/>
    <n v="-9.3081730299775234E-2"/>
    <s v="Q2-2024"/>
    <s v="Africa → Nigeria → Port Harcourt"/>
    <s v="Low"/>
    <n v="2024"/>
    <n v="6"/>
    <x v="0"/>
  </r>
  <r>
    <s v="ORD-2023-109927"/>
    <d v="2023-07-22T00:00:00"/>
    <d v="2023-07-21T00:00:00"/>
    <d v="2023-07-21T00:00:00"/>
    <d v="2023-07-22T00:00:00"/>
    <n v="1"/>
    <s v="7-2023"/>
    <s v="Asia"/>
    <s v="India"/>
    <s v="Delhi"/>
    <s v="Small Business"/>
    <s v="Distributor"/>
    <s v="E. Garcia"/>
    <s v="Printers"/>
    <s v="PRN-2301"/>
    <n v="946.99"/>
    <n v="2132.19"/>
    <n v="0.16500000000000001"/>
    <n v="7"/>
    <n v="12462.65055"/>
    <n v="6628.93"/>
    <n v="5833.72055"/>
    <n v="0.46809629513362228"/>
    <s v="Q3-2023"/>
    <s v="Asia → India → Delhi"/>
    <s v="High"/>
    <n v="2023"/>
    <n v="7"/>
    <x v="1"/>
  </r>
  <r>
    <s v="ORD-2023-888140"/>
    <d v="2023-10-11T00:00:00"/>
    <d v="2023-10-13T00:00:00"/>
    <d v="2023-10-11T00:00:00"/>
    <d v="2023-10-13T00:00:00"/>
    <n v="2"/>
    <s v="10-2023"/>
    <s v="Americas"/>
    <s v="Brazil"/>
    <s v="Brasília"/>
    <s v="Consumer"/>
    <s v="Distributor"/>
    <s v="Unknown Salesperson"/>
    <s v="Accessories"/>
    <s v="ACC-3567"/>
    <n v="715.94"/>
    <n v="550.07000000000005"/>
    <n v="0.14000000000000001"/>
    <n v="16"/>
    <n v="7568.9632000000001"/>
    <n v="11455.04"/>
    <n v="-3886.0768000000007"/>
    <n v="-0.51342260456491595"/>
    <s v="Q4-2023"/>
    <s v="Americas → Brazil → Brasília"/>
    <s v="Low"/>
    <n v="2023"/>
    <n v="10"/>
    <x v="1"/>
  </r>
  <r>
    <s v="ORD-2024-851993"/>
    <d v="2024-05-01T00:00:00"/>
    <d v="2024-05-16T00:00:00"/>
    <d v="2024-05-01T00:00:00"/>
    <d v="2024-05-16T00:00:00"/>
    <n v="15"/>
    <s v="5-2024"/>
    <s v="Asia"/>
    <s v="India"/>
    <s v="Bengaluru"/>
    <s v="Small Business"/>
    <s v="Retail"/>
    <s v="L. Okafor"/>
    <s v="Components"/>
    <s v="CMP-6811"/>
    <n v="901.19"/>
    <n v="2125.44"/>
    <n v="7.0999999999999994E-2"/>
    <n v="12"/>
    <n v="23694.405119999999"/>
    <n v="10814.28"/>
    <n v="12880.125119999999"/>
    <n v="0.54359352154100415"/>
    <s v="Q2-2024"/>
    <s v="Asia → India → Bengaluru"/>
    <s v="High"/>
    <n v="2024"/>
    <n v="5"/>
    <x v="0"/>
  </r>
  <r>
    <s v="ORD-2025-417942"/>
    <d v="2025-06-09T00:00:00"/>
    <d v="2025-06-24T00:00:00"/>
    <d v="2025-06-09T00:00:00"/>
    <d v="2025-06-24T00:00:00"/>
    <n v="15"/>
    <s v="6-2025"/>
    <s v="Asia"/>
    <s v="Japan"/>
    <s v="Nagoya"/>
    <s v="Corporate"/>
    <s v="Direct"/>
    <s v="B. Chen"/>
    <s v="Phones"/>
    <s v="PHN-5675"/>
    <n v="400.39"/>
    <n v="712.75"/>
    <n v="0.115"/>
    <n v="19"/>
    <n v="11984.891250000001"/>
    <n v="7607.41"/>
    <n v="4377.4812500000007"/>
    <n v="0.36524997671547504"/>
    <s v="Q2-2025"/>
    <s v="Asia → Japan → Nagoya"/>
    <s v="Low"/>
    <n v="2025"/>
    <n v="6"/>
    <x v="0"/>
  </r>
  <r>
    <s v="ORD-2023-172095"/>
    <d v="2023-05-24T00:00:00"/>
    <d v="2023-06-21T00:00:00"/>
    <d v="2023-05-24T00:00:00"/>
    <d v="2023-06-21T00:00:00"/>
    <n v="28"/>
    <s v="5-2023"/>
    <s v="Americas"/>
    <s v="USA"/>
    <s v="Austin"/>
    <s v="Small Business"/>
    <s v="Marketplace"/>
    <s v="G. Dubois"/>
    <s v="Monitors"/>
    <s v="MON-6882"/>
    <n v="813.97"/>
    <n v="1568.83"/>
    <n v="1.7000000000000001E-2"/>
    <n v="15"/>
    <n v="23132.398349999996"/>
    <n v="12209.550000000001"/>
    <n v="10922.848349999995"/>
    <n v="0.4721883215364911"/>
    <s v="Q2-2023"/>
    <s v="Americas → USA → Austin"/>
    <s v="Medium"/>
    <n v="2023"/>
    <n v="5"/>
    <x v="0"/>
  </r>
  <r>
    <s v="ORD-2025-703623"/>
    <d v="2025-07-23T00:00:00"/>
    <d v="2025-08-19T00:00:00"/>
    <d v="2025-07-23T00:00:00"/>
    <d v="2025-08-19T00:00:00"/>
    <n v="27"/>
    <s v="7-2025"/>
    <s v="Asia"/>
    <s v="Japan"/>
    <s v="Nagoya"/>
    <s v="Consumer"/>
    <s v="Marketplace"/>
    <s v="B. Chen"/>
    <s v="Accessories"/>
    <s v="ACC-1596"/>
    <n v="896.09"/>
    <n v="744.27"/>
    <n v="8.3000000000000004E-2"/>
    <n v="11"/>
    <n v="7507.4514899999995"/>
    <n v="9856.99"/>
    <n v="-2349.5385100000003"/>
    <n v="-0.31296086469950679"/>
    <s v="Q3-2025"/>
    <s v="Asia → Japan → Nagoya"/>
    <s v="Low"/>
    <n v="2025"/>
    <n v="7"/>
    <x v="0"/>
  </r>
  <r>
    <s v="ORD-2025-650719"/>
    <d v="2025-02-12T00:00:00"/>
    <d v="2025-02-28T00:00:00"/>
    <d v="2025-02-12T00:00:00"/>
    <d v="2025-02-28T00:00:00"/>
    <n v="16"/>
    <s v="2-2025"/>
    <s v="Americas"/>
    <s v="Brazil"/>
    <s v="São Paulo"/>
    <s v="Non-Profit"/>
    <s v="Direct"/>
    <s v="B. Chen"/>
    <s v="Monitors"/>
    <s v="MON-5179"/>
    <n v="414.95"/>
    <n v="1027.73"/>
    <n v="6.3E-2"/>
    <n v="8"/>
    <n v="7703.8640800000003"/>
    <n v="3319.6"/>
    <n v="4384.2640800000008"/>
    <n v="0.56909935513815568"/>
    <s v="Q1-2025"/>
    <s v="Americas → Brazil → São Paulo"/>
    <s v="Low"/>
    <n v="2025"/>
    <n v="2"/>
    <x v="0"/>
  </r>
  <r>
    <s v="ORD-2023-880296"/>
    <d v="2023-05-02T00:00:00"/>
    <d v="2023-05-19T00:00:00"/>
    <d v="2023-05-02T00:00:00"/>
    <d v="2023-05-19T00:00:00"/>
    <n v="17"/>
    <s v="5-2023"/>
    <s v="Asia"/>
    <s v="China"/>
    <s v="Shanghai"/>
    <s v="Non-Profit"/>
    <s v="Direct"/>
    <s v="J. Njeri"/>
    <s v="Monitors"/>
    <s v="MON-5086"/>
    <n v="714.28"/>
    <n v="757.59"/>
    <n v="0.13600000000000001"/>
    <n v="12"/>
    <n v="7854.6931199999999"/>
    <n v="8571.36"/>
    <n v="-716.66688000000067"/>
    <n v="-9.1240595787910383E-2"/>
    <s v="Q2-2023"/>
    <s v="Asia → China → Shanghai"/>
    <s v="Low"/>
    <n v="2023"/>
    <n v="5"/>
    <x v="0"/>
  </r>
  <r>
    <s v="ORD-2023-191563"/>
    <d v="2023-11-30T00:00:00"/>
    <d v="2023-12-10T00:00:00"/>
    <d v="2023-11-30T00:00:00"/>
    <d v="2023-12-10T00:00:00"/>
    <n v="10"/>
    <s v="11-2023"/>
    <s v="Europe"/>
    <s v="Germany"/>
    <s v="Munich"/>
    <s v="Small Business"/>
    <s v="Direct"/>
    <s v="F. Müller"/>
    <s v="Laptops"/>
    <s v="LAP-4899"/>
    <n v="174.74"/>
    <n v="415.96"/>
    <n v="0.125"/>
    <n v="21"/>
    <n v="7643.2649999999994"/>
    <n v="3669.54"/>
    <n v="3973.7249999999995"/>
    <n v="0.51989889137691803"/>
    <s v="Q4-2023"/>
    <s v="Europe → Germany → Munich"/>
    <s v="Low"/>
    <n v="2023"/>
    <n v="11"/>
    <x v="0"/>
  </r>
  <r>
    <s v="ORD-2024-202166"/>
    <d v="2024-05-05T00:00:00"/>
    <d v="2024-05-18T00:00:00"/>
    <d v="2024-05-05T00:00:00"/>
    <d v="2024-05-18T00:00:00"/>
    <n v="13"/>
    <s v="5-2024"/>
    <s v="Europe"/>
    <s v="France"/>
    <s v="Marseille"/>
    <s v="Corporate"/>
    <s v="Marketplace"/>
    <s v="A. Patel"/>
    <s v="Components"/>
    <s v="CMP-3313"/>
    <n v="1264.04"/>
    <n v="1870.89"/>
    <n v="0"/>
    <n v="13"/>
    <n v="24321.57"/>
    <n v="16432.52"/>
    <n v="7889.0499999999993"/>
    <n v="0.32436433996653996"/>
    <s v="Q2-2024"/>
    <s v="Europe → France → Marseille"/>
    <s v="Medium"/>
    <n v="2024"/>
    <n v="5"/>
    <x v="0"/>
  </r>
  <r>
    <s v="ORD-2023-539967"/>
    <d v="2023-07-09T00:00:00"/>
    <d v="2023-07-19T00:00:00"/>
    <d v="2023-07-09T00:00:00"/>
    <d v="2023-07-19T00:00:00"/>
    <n v="10"/>
    <s v="7-2023"/>
    <s v="Asia"/>
    <s v="Japan"/>
    <s v="Tokyo"/>
    <s v="Enterprise"/>
    <s v="Distributor"/>
    <s v="N. Brown"/>
    <s v="Components"/>
    <s v="CMP-6649"/>
    <n v="141.26"/>
    <n v="206.88"/>
    <n v="0.107"/>
    <n v="9"/>
    <n v="1662.6945600000001"/>
    <n v="1271.3399999999999"/>
    <n v="391.35456000000022"/>
    <n v="0.23537369365062469"/>
    <s v="Q3-2023"/>
    <s v="Asia → Japan → Tokyo"/>
    <s v="Low"/>
    <n v="2023"/>
    <n v="7"/>
    <x v="0"/>
  </r>
  <r>
    <s v="ORD-2023-375011"/>
    <d v="2023-08-23T00:00:00"/>
    <d v="2023-09-22T00:00:00"/>
    <d v="2023-08-23T00:00:00"/>
    <d v="2023-09-22T00:00:00"/>
    <n v="30"/>
    <s v="8-2023"/>
    <s v="Europe"/>
    <s v="United Kingdom"/>
    <s v="London"/>
    <s v="Consumer"/>
    <s v="Distributor"/>
    <s v="O. Wang"/>
    <s v="Accessories"/>
    <s v="ACC-1492"/>
    <n v="209.81"/>
    <n v="523"/>
    <n v="5.8999999999999997E-2"/>
    <n v="15"/>
    <n v="7382.1450000000004"/>
    <n v="3147.15"/>
    <n v="4234.9950000000008"/>
    <n v="0.57368082041195356"/>
    <s v="Q3-2023"/>
    <s v="Europe → United Kingdom → London"/>
    <s v="Low"/>
    <n v="2023"/>
    <n v="8"/>
    <x v="0"/>
  </r>
  <r>
    <s v="ORD-2024-356812"/>
    <d v="2024-03-07T00:00:00"/>
    <d v="2024-04-03T00:00:00"/>
    <d v="2024-03-07T00:00:00"/>
    <d v="2024-04-03T00:00:00"/>
    <n v="27"/>
    <s v="3-2024"/>
    <s v="Europe"/>
    <s v="Germany"/>
    <s v="Frankfurt"/>
    <s v="Corporate"/>
    <s v="Direct"/>
    <s v="M. Rossi"/>
    <s v="Printers"/>
    <s v="PRN-6911"/>
    <n v="738.16"/>
    <n v="956.49"/>
    <n v="0.152"/>
    <n v="5"/>
    <n v="4055.5175999999997"/>
    <n v="3690.7999999999997"/>
    <n v="364.71759999999995"/>
    <n v="8.9931208780847108E-2"/>
    <s v="Q1-2024"/>
    <s v="Europe → Germany → Frankfurt"/>
    <s v="Low"/>
    <n v="2024"/>
    <n v="3"/>
    <x v="0"/>
  </r>
  <r>
    <s v="ORD-2025-306251"/>
    <d v="2025-04-10T00:00:00"/>
    <d v="2025-04-19T00:00:00"/>
    <d v="2025-04-10T00:00:00"/>
    <d v="2025-04-19T00:00:00"/>
    <n v="9"/>
    <s v="4-2025"/>
    <s v="Africa"/>
    <s v="South Africa"/>
    <s v="Durban"/>
    <s v="Enterprise"/>
    <s v="Unknown Channel"/>
    <s v="G. Dubois"/>
    <s v="Networking"/>
    <s v="NET-5270"/>
    <n v="113.74"/>
    <n v="165.7"/>
    <n v="0.124"/>
    <n v="13"/>
    <n v="1886.9915999999998"/>
    <n v="1478.62"/>
    <n v="408.37159999999994"/>
    <n v="0.21641410592394794"/>
    <s v="Q2-2025"/>
    <s v="Africa → South Africa → Durban"/>
    <s v="Low"/>
    <n v="2025"/>
    <n v="4"/>
    <x v="0"/>
  </r>
  <r>
    <s v="ORD-2025-496178"/>
    <d v="2025-07-27T00:00:00"/>
    <d v="2025-08-15T00:00:00"/>
    <d v="2025-07-27T00:00:00"/>
    <d v="2025-08-15T00:00:00"/>
    <n v="19"/>
    <s v="7-2025"/>
    <s v="Asia"/>
    <s v="Japan"/>
    <s v="Tokyo"/>
    <s v="Small Business"/>
    <s v="Marketplace"/>
    <s v="J. Njeri"/>
    <s v="Components"/>
    <s v="CMP-5658"/>
    <n v="275.43"/>
    <n v="608.36"/>
    <n v="0.25700000000000001"/>
    <n v="4"/>
    <n v="1808.04592"/>
    <n v="1101.72"/>
    <n v="706.32592"/>
    <n v="0.39065706915231446"/>
    <s v="Q3-2025"/>
    <s v="Asia → Japan → Tokyo"/>
    <s v="Low"/>
    <n v="2025"/>
    <n v="7"/>
    <x v="0"/>
  </r>
  <r>
    <s v="ORD-2024-508213"/>
    <d v="2024-11-22T00:00:00"/>
    <d v="2024-12-15T00:00:00"/>
    <d v="2024-11-22T00:00:00"/>
    <d v="2024-12-15T00:00:00"/>
    <n v="23"/>
    <s v="11-2024"/>
    <s v="Africa"/>
    <s v="Kenya"/>
    <s v="Mombasa"/>
    <s v="Non-Profit"/>
    <s v="Distributor"/>
    <s v="C. Otieno"/>
    <s v="Components"/>
    <s v="CMP-3938"/>
    <n v="1335.76"/>
    <n v="2665.91"/>
    <n v="0.21099999999999999"/>
    <n v="40"/>
    <n v="84136.119600000005"/>
    <n v="53430.400000000001"/>
    <n v="30705.719600000004"/>
    <n v="0.36495288522909253"/>
    <s v="Q4-2024"/>
    <s v="Africa → Kenya → Mombasa"/>
    <s v="High"/>
    <n v="2024"/>
    <n v="11"/>
    <x v="0"/>
  </r>
  <r>
    <s v="ORD-2023-253245"/>
    <d v="2023-08-03T00:00:00"/>
    <d v="2023-08-14T00:00:00"/>
    <d v="2023-08-03T00:00:00"/>
    <d v="2023-08-14T00:00:00"/>
    <n v="11"/>
    <s v="8-2023"/>
    <s v="Americas"/>
    <s v="Brazil"/>
    <s v="Brasília"/>
    <s v="Corporate"/>
    <s v="Direct"/>
    <s v="J. Njeri"/>
    <s v="Accessories"/>
    <s v="ACC-3951"/>
    <n v="232.73"/>
    <n v="334.19"/>
    <n v="0.13400000000000001"/>
    <n v="25"/>
    <n v="7235.2134999999998"/>
    <n v="5818.25"/>
    <n v="1416.9634999999998"/>
    <n v="0.1958426658729559"/>
    <s v="Q3-2023"/>
    <s v="Americas → Brazil → Brasília"/>
    <s v="Low"/>
    <n v="2023"/>
    <n v="8"/>
    <x v="0"/>
  </r>
  <r>
    <s v="ORD-2023-728177"/>
    <d v="2023-12-18T00:00:00"/>
    <d v="2024-01-14T00:00:00"/>
    <d v="2023-12-18T00:00:00"/>
    <d v="2024-01-14T00:00:00"/>
    <n v="27"/>
    <s v="12-2023"/>
    <s v="Asia"/>
    <s v="India"/>
    <s v="Mumbai"/>
    <s v="Consumer"/>
    <s v="Distributor"/>
    <s v="D. Smith"/>
    <s v="Networking"/>
    <s v="NET-6014"/>
    <n v="1408.3"/>
    <n v="2193.13"/>
    <n v="7.0999999999999994E-2"/>
    <n v="7"/>
    <n v="14261.92439"/>
    <n v="9858.1"/>
    <n v="4403.8243899999998"/>
    <n v="0.30878191957656281"/>
    <s v="Q4-2023"/>
    <s v="Asia → India → Mumbai"/>
    <s v="High"/>
    <n v="2023"/>
    <n v="12"/>
    <x v="0"/>
  </r>
  <r>
    <s v="ORD-2025-795385"/>
    <d v="2025-06-01T00:00:00"/>
    <d v="2025-06-05T00:00:00"/>
    <d v="2025-06-01T00:00:00"/>
    <d v="2025-06-05T00:00:00"/>
    <n v="4"/>
    <s v="6-2025"/>
    <s v="Europe"/>
    <s v="Germany"/>
    <s v="Munich"/>
    <s v="Enterprise"/>
    <s v="Direct"/>
    <s v="M. Rossi"/>
    <s v="Components"/>
    <s v="CMP-4159"/>
    <n v="1171.42"/>
    <n v="2187.8000000000002"/>
    <n v="0.23"/>
    <n v="15"/>
    <n v="25269.09"/>
    <n v="17571.300000000003"/>
    <n v="7697.7899999999972"/>
    <n v="0.30463265594447592"/>
    <s v="Q2-2025"/>
    <s v="Europe → Germany → Munich"/>
    <s v="High"/>
    <n v="2025"/>
    <n v="6"/>
    <x v="1"/>
  </r>
  <r>
    <s v="ORD-2025-947929"/>
    <d v="2025-03-23T00:00:00"/>
    <d v="2025-04-02T00:00:00"/>
    <d v="2025-03-23T00:00:00"/>
    <d v="2025-04-02T00:00:00"/>
    <n v="10"/>
    <s v="3-2025"/>
    <s v="Europe"/>
    <s v="Germany"/>
    <s v="Berlin"/>
    <s v="Enterprise"/>
    <s v="Online"/>
    <s v="E. Garcia"/>
    <s v="Printers"/>
    <s v="PRN-3159"/>
    <n v="663.61"/>
    <n v="1002.11"/>
    <n v="4.5999999999999999E-2"/>
    <n v="17"/>
    <n v="16252.219979999998"/>
    <n v="11281.37"/>
    <n v="4970.8499799999972"/>
    <n v="0.30585667595670812"/>
    <s v="Q1-2025"/>
    <s v="Europe → Germany → Berlin"/>
    <s v="Low"/>
    <n v="2025"/>
    <n v="3"/>
    <x v="0"/>
  </r>
  <r>
    <s v="ORD-2023-931633"/>
    <d v="2023-05-14T00:00:00"/>
    <d v="2023-05-22T00:00:00"/>
    <d v="2023-05-14T00:00:00"/>
    <d v="2023-05-22T00:00:00"/>
    <n v="8"/>
    <s v="5-2023"/>
    <s v="Africa"/>
    <s v="Kenya"/>
    <s v="Mombasa"/>
    <s v="Small Business"/>
    <s v="Distributor"/>
    <s v="F. Müller"/>
    <s v="Printers"/>
    <s v="PRN-9488"/>
    <n v="432.01"/>
    <n v="913.78"/>
    <n v="4.9000000000000002E-2"/>
    <n v="12"/>
    <n v="10428.057360000001"/>
    <n v="5184.12"/>
    <n v="5243.9373600000008"/>
    <n v="0.50286809699711899"/>
    <s v="Q2-2023"/>
    <s v="Africa → Kenya → Mombasa"/>
    <s v="Low"/>
    <n v="2023"/>
    <n v="5"/>
    <x v="0"/>
  </r>
  <r>
    <s v="ORD-2023-243704"/>
    <d v="2023-08-29T00:00:00"/>
    <d v="2023-09-19T00:00:00"/>
    <d v="2023-08-29T00:00:00"/>
    <d v="2023-09-19T00:00:00"/>
    <n v="21"/>
    <s v="8-2023"/>
    <s v="Europe"/>
    <s v="France"/>
    <s v="Lyon"/>
    <s v="Small Business"/>
    <s v="Direct"/>
    <s v="B. Chen"/>
    <s v="Printers"/>
    <s v="PRN-7079"/>
    <n v="784.46"/>
    <n v="1843.51"/>
    <n v="0.13800000000000001"/>
    <n v="23"/>
    <n v="36549.429260000004"/>
    <n v="18042.580000000002"/>
    <n v="18506.849260000003"/>
    <n v="0.50635125184441798"/>
    <s v="Q3-2023"/>
    <s v="Europe → France → Lyon"/>
    <s v="Medium"/>
    <n v="2023"/>
    <n v="8"/>
    <x v="0"/>
  </r>
  <r>
    <s v="ORD-2025-779659"/>
    <d v="2025-07-03T00:00:00"/>
    <d v="2025-07-23T00:00:00"/>
    <d v="2025-07-03T00:00:00"/>
    <d v="2025-07-23T00:00:00"/>
    <n v="20"/>
    <s v="7-2025"/>
    <s v="Asia"/>
    <s v="China"/>
    <s v="Beijing"/>
    <s v="Small Business"/>
    <s v="Online"/>
    <s v="M. Rossi"/>
    <s v="Components"/>
    <s v="CMP-1220"/>
    <n v="647.36"/>
    <n v="1383.6"/>
    <n v="7.3999999999999996E-2"/>
    <n v="12"/>
    <n v="15374.563199999999"/>
    <n v="7768.32"/>
    <n v="7606.243199999999"/>
    <n v="0.49472906000997802"/>
    <s v="Q3-2025"/>
    <s v="Asia → China → Beijing"/>
    <s v="Medium"/>
    <n v="2025"/>
    <n v="7"/>
    <x v="0"/>
  </r>
  <r>
    <s v="ORD-2024-647571"/>
    <d v="2024-02-06T00:00:00"/>
    <d v="2024-02-28T00:00:00"/>
    <d v="2024-02-06T00:00:00"/>
    <d v="2024-02-28T00:00:00"/>
    <n v="22"/>
    <s v="2-2024"/>
    <s v="Africa"/>
    <s v="Kenya"/>
    <s v="Kisumu"/>
    <s v="Non-Profit"/>
    <s v="Online"/>
    <s v="K. Singh"/>
    <s v="Monitors"/>
    <s v="MON-2462"/>
    <n v="834.93"/>
    <n v="1588.53"/>
    <n v="0.126"/>
    <n v="6"/>
    <n v="8330.2513199999994"/>
    <n v="5009.58"/>
    <n v="3320.6713199999995"/>
    <n v="0.39862798761274343"/>
    <s v="Q1-2024"/>
    <s v="Africa → Kenya → Kisumu"/>
    <s v="Medium"/>
    <n v="2024"/>
    <n v="2"/>
    <x v="0"/>
  </r>
  <r>
    <s v="ORD-2025-683043"/>
    <d v="2025-08-13T00:00:00"/>
    <d v="2025-09-03T00:00:00"/>
    <d v="2025-08-13T00:00:00"/>
    <d v="2025-09-03T00:00:00"/>
    <n v="21"/>
    <s v="8-2025"/>
    <s v="Europe"/>
    <s v="France"/>
    <s v="Paris"/>
    <s v="Education"/>
    <s v="Retail"/>
    <s v="I. Johnson"/>
    <s v="Phones"/>
    <s v="PHN-9465"/>
    <n v="603.47"/>
    <n v="1344.05"/>
    <n v="0.20499999999999999"/>
    <n v="18"/>
    <n v="19233.355499999998"/>
    <n v="10862.460000000001"/>
    <n v="8370.8954999999969"/>
    <n v="0.43522803392262976"/>
    <s v="Q3-2025"/>
    <s v="Europe → France → Paris"/>
    <s v="Medium"/>
    <n v="2025"/>
    <n v="8"/>
    <x v="0"/>
  </r>
  <r>
    <s v="ORD-2025-487261"/>
    <d v="2025-03-06T00:00:00"/>
    <d v="2025-03-31T00:00:00"/>
    <d v="2025-03-06T00:00:00"/>
    <d v="2025-03-31T00:00:00"/>
    <n v="25"/>
    <s v="3-2025"/>
    <s v="Americas"/>
    <s v="Brazil"/>
    <s v="Brasília"/>
    <s v="Non-Profit"/>
    <s v="Online"/>
    <s v="J. Njeri"/>
    <s v="Components"/>
    <s v="CMP-3693"/>
    <n v="331.57"/>
    <n v="548.4"/>
    <n v="9.4E-2"/>
    <n v="10"/>
    <n v="4968.5039999999999"/>
    <n v="3315.7"/>
    <n v="1652.8040000000001"/>
    <n v="0.33265626836568918"/>
    <s v="Q1-2025"/>
    <s v="Americas → Brazil → Brasília"/>
    <s v="Low"/>
    <n v="2025"/>
    <n v="3"/>
    <x v="0"/>
  </r>
  <r>
    <s v="ORD-2024-641220"/>
    <d v="2024-05-10T00:00:00"/>
    <d v="2024-05-16T00:00:00"/>
    <d v="2024-05-10T00:00:00"/>
    <d v="2024-05-16T00:00:00"/>
    <n v="6"/>
    <s v="5-2024"/>
    <s v="Europe"/>
    <s v="United Kingdom"/>
    <s v="Birmingham"/>
    <s v="Non-Profit"/>
    <s v="Direct"/>
    <s v="G. Dubois"/>
    <s v="Laptops"/>
    <s v="LAP-1066"/>
    <n v="210.76"/>
    <n v="221.58"/>
    <n v="8.8999999999999996E-2"/>
    <n v="5"/>
    <n v="1009.2969000000002"/>
    <n v="1053.8"/>
    <n v="-44.50309999999979"/>
    <n v="-4.4093170205912434E-2"/>
    <s v="Q2-2024"/>
    <s v="Europe → United Kingdom → Birmingham"/>
    <s v="Low"/>
    <n v="2024"/>
    <n v="5"/>
    <x v="1"/>
  </r>
  <r>
    <s v="ORD-2023-799597"/>
    <d v="2023-03-14T00:00:00"/>
    <d v="2023-03-18T00:00:00"/>
    <d v="2023-03-14T00:00:00"/>
    <d v="2023-03-18T00:00:00"/>
    <n v="4"/>
    <s v="3-2023"/>
    <s v="Europe"/>
    <s v="Germany"/>
    <s v="Frankfurt"/>
    <s v="Enterprise"/>
    <s v="Direct"/>
    <s v="A. Patel"/>
    <s v="Components"/>
    <s v="CMP-8675"/>
    <n v="472.33"/>
    <n v="360.34"/>
    <n v="0.16500000000000001"/>
    <n v="14"/>
    <n v="4212.3745999999992"/>
    <n v="6612.62"/>
    <n v="-2400.2454000000007"/>
    <n v="-0.56980815523861561"/>
    <s v="Q1-2023"/>
    <s v="Europe → Germany → Frankfurt"/>
    <s v="Low"/>
    <n v="2023"/>
    <n v="3"/>
    <x v="1"/>
  </r>
  <r>
    <s v="ORD-2023-569862"/>
    <d v="2023-07-16T00:00:00"/>
    <d v="2023-08-13T00:00:00"/>
    <d v="2023-07-16T00:00:00"/>
    <d v="2023-08-13T00:00:00"/>
    <n v="28"/>
    <s v="7-2023"/>
    <s v="Europe"/>
    <s v="United Kingdom"/>
    <s v="Manchester"/>
    <s v="Non-Profit"/>
    <s v="Online"/>
    <s v="J. Njeri"/>
    <s v="Laptops"/>
    <s v="LAP-1178"/>
    <n v="1039.03"/>
    <n v="2545.81"/>
    <n v="0.216"/>
    <n v="21"/>
    <n v="41914.215840000004"/>
    <n v="21819.63"/>
    <n v="20094.585840000003"/>
    <n v="0.47942172929364774"/>
    <s v="Q3-2023"/>
    <s v="Europe → United Kingdom → Manchester"/>
    <s v="High"/>
    <n v="2023"/>
    <n v="7"/>
    <x v="0"/>
  </r>
  <r>
    <s v="ORD-2023-944052"/>
    <d v="2023-08-30T00:00:00"/>
    <d v="2023-09-03T00:00:00"/>
    <d v="2023-08-30T00:00:00"/>
    <d v="2023-09-03T00:00:00"/>
    <n v="4"/>
    <s v="8-2023"/>
    <s v="Asia"/>
    <s v="India"/>
    <s v="Delhi"/>
    <s v="Small Business"/>
    <s v="Marketplace"/>
    <s v="L. Okafor"/>
    <s v="Accessories"/>
    <s v="ACC-3068"/>
    <n v="1082.25"/>
    <n v="2433.34"/>
    <n v="0.27"/>
    <n v="4"/>
    <n v="7105.3528000000006"/>
    <n v="4329"/>
    <n v="2776.3528000000006"/>
    <n v="0.3907410199251472"/>
    <s v="Q3-2023"/>
    <s v="Asia → India → Delhi"/>
    <s v="High"/>
    <n v="2023"/>
    <n v="8"/>
    <x v="1"/>
  </r>
  <r>
    <s v="ORD-2024-105586"/>
    <d v="2024-01-02T00:00:00"/>
    <d v="2024-01-15T00:00:00"/>
    <d v="2024-01-02T00:00:00"/>
    <d v="2024-01-15T00:00:00"/>
    <n v="13"/>
    <s v="1-2024"/>
    <s v="Asia"/>
    <s v="Japan"/>
    <s v="Nagoya"/>
    <s v="Small Business"/>
    <s v="Marketplace"/>
    <s v="G. Dubois"/>
    <s v="Networking"/>
    <s v="NET-1893"/>
    <n v="1219.06"/>
    <n v="2738.69"/>
    <n v="7.5999999999999998E-2"/>
    <n v="16"/>
    <n v="40488.792960000006"/>
    <n v="19504.96"/>
    <n v="20983.832960000007"/>
    <n v="0.51826274447673737"/>
    <s v="Q1-2024"/>
    <s v="Asia → Japan → Nagoya"/>
    <s v="High"/>
    <n v="2024"/>
    <n v="1"/>
    <x v="0"/>
  </r>
  <r>
    <s v="ORD-2024-207792"/>
    <d v="2024-09-03T00:00:00"/>
    <d v="2024-09-07T00:00:00"/>
    <d v="2024-09-03T00:00:00"/>
    <d v="2024-09-07T00:00:00"/>
    <n v="4"/>
    <s v="9-2024"/>
    <s v="Asia"/>
    <s v="Japan"/>
    <s v="Tokyo"/>
    <s v="Small Business"/>
    <s v="Distributor"/>
    <s v="N. Brown"/>
    <s v="Printers"/>
    <s v="PRN-3917"/>
    <n v="43.23"/>
    <n v="94.78"/>
    <n v="9.0999999999999998E-2"/>
    <n v="55"/>
    <n v="4738.5261"/>
    <n v="2377.6499999999996"/>
    <n v="2360.8761000000004"/>
    <n v="0.49823005090127082"/>
    <s v="Q3-2024"/>
    <s v="Asia → Japan → Tokyo"/>
    <s v="Low"/>
    <n v="2024"/>
    <n v="9"/>
    <x v="1"/>
  </r>
  <r>
    <s v="ORD-2025-417336"/>
    <d v="2025-08-30T00:00:00"/>
    <d v="2025-09-03T00:00:00"/>
    <d v="2025-08-30T00:00:00"/>
    <d v="2025-09-03T00:00:00"/>
    <n v="4"/>
    <s v="8-2025"/>
    <s v="Europe"/>
    <s v="France"/>
    <s v="Marseille"/>
    <s v="Small Business"/>
    <s v="Marketplace"/>
    <s v="J. Njeri"/>
    <s v="Laptops"/>
    <s v="LAP-3220"/>
    <n v="1286.56"/>
    <n v="2777.35"/>
    <n v="0.13200000000000001"/>
    <n v="15"/>
    <n v="36161.097000000002"/>
    <n v="19298.399999999998"/>
    <n v="16862.697000000004"/>
    <n v="0.46632150014696744"/>
    <s v="Q3-2025"/>
    <s v="Europe → France → Marseille"/>
    <s v="High"/>
    <n v="2025"/>
    <n v="8"/>
    <x v="1"/>
  </r>
  <r>
    <s v="ORD-2025-252117"/>
    <d v="2025-04-28T00:00:00"/>
    <d v="2025-05-19T00:00:00"/>
    <d v="2025-04-28T00:00:00"/>
    <d v="2025-05-19T00:00:00"/>
    <n v="21"/>
    <s v="4-2025"/>
    <s v="Europe"/>
    <s v="Germany"/>
    <s v="Berlin"/>
    <s v="Corporate"/>
    <s v="Distributor"/>
    <s v="B. Chen"/>
    <s v="Phones"/>
    <s v="PHN-2462"/>
    <n v="350.76"/>
    <n v="492.18"/>
    <n v="5.2999999999999999E-2"/>
    <n v="11"/>
    <n v="5127.0390600000001"/>
    <n v="3858.3599999999997"/>
    <n v="1268.6790600000004"/>
    <n v="0.24744868239798437"/>
    <s v="Q2-2025"/>
    <s v="Europe → Germany → Berlin"/>
    <s v="Low"/>
    <n v="2025"/>
    <n v="4"/>
    <x v="0"/>
  </r>
  <r>
    <s v="ORD-2025-680118"/>
    <d v="2025-03-10T00:00:00"/>
    <d v="2025-03-27T00:00:00"/>
    <d v="2025-03-10T00:00:00"/>
    <d v="2025-03-27T00:00:00"/>
    <n v="17"/>
    <s v="3-2025"/>
    <s v="Americas"/>
    <s v="Brazil"/>
    <s v="Rio de Janeiro"/>
    <s v="Enterprise"/>
    <s v="Direct"/>
    <s v="F. Müller"/>
    <s v="Networking"/>
    <s v="NET-6269"/>
    <n v="996.73"/>
    <n v="1217.43"/>
    <n v="7.0000000000000007E-2"/>
    <n v="9"/>
    <n v="10189.8891"/>
    <n v="8970.57"/>
    <n v="1219.3191000000006"/>
    <n v="0.11965970267527255"/>
    <s v="Q1-2025"/>
    <s v="Americas → Brazil → Rio de Janeiro"/>
    <s v="Medium"/>
    <n v="2025"/>
    <n v="3"/>
    <x v="0"/>
  </r>
  <r>
    <s v="ORD-2024-382152"/>
    <d v="2024-12-08T00:00:00"/>
    <d v="2024-12-08T00:00:00"/>
    <d v="2024-12-08T00:00:00"/>
    <d v="2024-12-08T00:00:00"/>
    <n v="0"/>
    <s v="12-2024"/>
    <s v="Europe"/>
    <s v="France"/>
    <s v="Lyon"/>
    <s v="Enterprise"/>
    <s v="Retail"/>
    <s v="H. Kim"/>
    <s v="Components"/>
    <s v="CMP-2335"/>
    <n v="257.44"/>
    <n v="290.33"/>
    <n v="9.1999999999999998E-2"/>
    <n v="23"/>
    <n v="6063.2517199999993"/>
    <n v="5921.12"/>
    <n v="142.1317199999994"/>
    <n v="2.3441500792581216E-2"/>
    <s v="Q4-2024"/>
    <s v="Europe → France → Lyon"/>
    <s v="Low"/>
    <n v="2024"/>
    <n v="12"/>
    <x v="1"/>
  </r>
  <r>
    <s v="ORD-2023-597666"/>
    <d v="2023-10-25T00:00:00"/>
    <d v="2023-11-24T00:00:00"/>
    <d v="2023-10-25T00:00:00"/>
    <d v="2023-11-24T00:00:00"/>
    <n v="30"/>
    <s v="10-2023"/>
    <s v="Europe"/>
    <s v="France"/>
    <s v="Paris"/>
    <s v="Enterprise"/>
    <s v="Distributor"/>
    <s v="C. Otieno"/>
    <s v="Phones"/>
    <s v="PHN-5938"/>
    <n v="287.85000000000002"/>
    <n v="602.91999999999996"/>
    <n v="0.222"/>
    <n v="11"/>
    <n v="5159.7893599999998"/>
    <n v="3166.3500000000004"/>
    <n v="1993.4393599999994"/>
    <n v="0.38634122847216373"/>
    <s v="Q4-2023"/>
    <s v="Europe → France → Paris"/>
    <s v="Low"/>
    <n v="2023"/>
    <n v="10"/>
    <x v="0"/>
  </r>
  <r>
    <s v="ORD-2024-371409"/>
    <d v="2024-11-17T00:00:00"/>
    <d v="2024-11-28T00:00:00"/>
    <d v="2024-11-17T00:00:00"/>
    <d v="2024-11-28T00:00:00"/>
    <n v="11"/>
    <s v="11-2024"/>
    <s v="Americas"/>
    <s v="Canada"/>
    <s v="Unknown City"/>
    <s v="Consumer"/>
    <s v="Distributor"/>
    <s v="A. Patel"/>
    <s v="Printers"/>
    <s v="PRN-1371"/>
    <n v="1008.16"/>
    <n v="2077.5"/>
    <n v="7.3999999999999996E-2"/>
    <n v="15"/>
    <n v="28856.475000000002"/>
    <n v="15122.4"/>
    <n v="13734.075000000003"/>
    <n v="0.47594430712691005"/>
    <s v="Q4-2024"/>
    <s v="Americas → Canada → Unknown City"/>
    <s v="High"/>
    <n v="2024"/>
    <n v="11"/>
    <x v="0"/>
  </r>
  <r>
    <s v="ORD-2024-973420"/>
    <d v="2024-05-12T00:00:00"/>
    <d v="2024-05-24T00:00:00"/>
    <d v="2024-05-12T00:00:00"/>
    <d v="2024-05-24T00:00:00"/>
    <n v="12"/>
    <s v="5-2024"/>
    <s v="Europe"/>
    <s v="United Kingdom"/>
    <s v="Manchester"/>
    <s v="Education"/>
    <s v="Marketplace"/>
    <s v="K. Singh"/>
    <s v="Printers"/>
    <s v="PRN-5813"/>
    <n v="111.02"/>
    <n v="172.88"/>
    <n v="0.19700000000000001"/>
    <n v="29"/>
    <n v="4025.8565599999993"/>
    <n v="3219.58"/>
    <n v="806.27655999999934"/>
    <n v="0.20027453735212053"/>
    <s v="Q2-2024"/>
    <s v="Europe → United Kingdom → Manchester"/>
    <s v="Low"/>
    <n v="2024"/>
    <n v="5"/>
    <x v="0"/>
  </r>
  <r>
    <s v="ORD-2025-254721"/>
    <d v="2025-05-15T00:00:00"/>
    <d v="2025-06-05T00:00:00"/>
    <d v="2025-05-15T00:00:00"/>
    <d v="2025-06-05T00:00:00"/>
    <n v="21"/>
    <s v="5-2025"/>
    <s v="Asia"/>
    <s v="Japan"/>
    <s v="Osaka"/>
    <s v="Enterprise"/>
    <s v="Direct"/>
    <s v="H. Kim"/>
    <s v="Phones"/>
    <s v="PHN-6480"/>
    <n v="1466.5"/>
    <n v="2778.74"/>
    <n v="0.13500000000000001"/>
    <n v="4"/>
    <n v="9614.4403999999995"/>
    <n v="5866"/>
    <n v="3748.4403999999995"/>
    <n v="0.38987608680792279"/>
    <s v="Q2-2025"/>
    <s v="Asia → Japan → Osaka"/>
    <s v="High"/>
    <n v="2025"/>
    <n v="5"/>
    <x v="0"/>
  </r>
  <r>
    <s v="ORD-2023-173313"/>
    <d v="2023-06-15T00:00:00"/>
    <d v="2023-07-12T00:00:00"/>
    <d v="2023-06-15T00:00:00"/>
    <d v="2023-07-12T00:00:00"/>
    <n v="27"/>
    <s v="6-2023"/>
    <s v="Europe"/>
    <s v="United Kingdom"/>
    <s v="Manchester"/>
    <s v="Consumer"/>
    <s v="Direct"/>
    <s v="I. Johnson"/>
    <s v="Accessories"/>
    <s v="ACC-3833"/>
    <n v="751.28"/>
    <n v="1111.8800000000001"/>
    <n v="0.13500000000000001"/>
    <n v="7"/>
    <n v="6732.4334000000008"/>
    <n v="5258.96"/>
    <n v="1473.4734000000008"/>
    <n v="0.21886193482433863"/>
    <s v="Q2-2023"/>
    <s v="Europe → United Kingdom → Manchester"/>
    <s v="Low"/>
    <n v="2023"/>
    <n v="6"/>
    <x v="0"/>
  </r>
  <r>
    <s v="ORD-2024-792353"/>
    <d v="2024-08-19T00:00:00"/>
    <d v="2024-09-07T00:00:00"/>
    <d v="2024-08-19T00:00:00"/>
    <d v="2024-09-07T00:00:00"/>
    <n v="19"/>
    <s v="8-2024"/>
    <s v="Europe"/>
    <s v="France"/>
    <s v="Lyon"/>
    <s v="Corporate"/>
    <s v="Direct"/>
    <s v="J. Njeri"/>
    <s v="Components"/>
    <s v="CMP-5435"/>
    <n v="297.58999999999997"/>
    <n v="666.41"/>
    <n v="0"/>
    <n v="10"/>
    <n v="6664.0999999999995"/>
    <n v="2975.8999999999996"/>
    <n v="3688.2"/>
    <n v="0.55344307558409989"/>
    <s v="Q3-2024"/>
    <s v="Europe → France → Lyon"/>
    <s v="Low"/>
    <n v="2024"/>
    <n v="8"/>
    <x v="0"/>
  </r>
  <r>
    <s v="ORD-2025-678328"/>
    <d v="2025-06-24T00:00:00"/>
    <d v="2025-07-14T00:00:00"/>
    <d v="2025-06-24T00:00:00"/>
    <d v="2025-07-14T00:00:00"/>
    <n v="20"/>
    <s v="6-2025"/>
    <s v="Europe"/>
    <s v="Germany"/>
    <s v="Berlin"/>
    <s v="Corporate"/>
    <s v="Direct"/>
    <s v="O. Wang"/>
    <s v="Accessories"/>
    <s v="ACC-8094"/>
    <n v="385.08"/>
    <n v="893.19"/>
    <n v="0.151"/>
    <n v="8"/>
    <n v="6066.54648"/>
    <n v="3080.64"/>
    <n v="2985.9064800000001"/>
    <n v="0.49219213762621666"/>
    <s v="Q2-2025"/>
    <s v="Europe → Germany → Berlin"/>
    <s v="Low"/>
    <n v="2025"/>
    <n v="6"/>
    <x v="0"/>
  </r>
  <r>
    <s v="ORD-2025-752845"/>
    <d v="2025-03-30T00:00:00"/>
    <d v="2025-04-07T00:00:00"/>
    <d v="2025-03-30T00:00:00"/>
    <d v="2025-04-07T00:00:00"/>
    <n v="8"/>
    <s v="3-2025"/>
    <s v="Americas"/>
    <s v="Brazil"/>
    <s v="São Paulo"/>
    <s v="Non-Profit"/>
    <s v="Direct"/>
    <s v="L. Okafor"/>
    <s v="Printers"/>
    <s v="PRN-8763"/>
    <n v="71.62"/>
    <n v="118.37"/>
    <n v="0.156"/>
    <n v="11"/>
    <n v="1098.9470800000001"/>
    <n v="787.82"/>
    <n v="311.12708000000009"/>
    <n v="0.28311379652603474"/>
    <s v="Q1-2025"/>
    <s v="Americas → Brazil → São Paulo"/>
    <s v="Low"/>
    <n v="2025"/>
    <n v="3"/>
    <x v="0"/>
  </r>
  <r>
    <s v="ORD-2024-478165"/>
    <d v="2024-12-05T00:00:00"/>
    <d v="2024-12-28T00:00:00"/>
    <d v="2024-12-05T00:00:00"/>
    <d v="2024-12-28T00:00:00"/>
    <n v="23"/>
    <s v="12-2024"/>
    <s v="Americas"/>
    <s v="Canada"/>
    <s v="Vancouver"/>
    <s v="Corporate"/>
    <s v="Direct"/>
    <s v="F. Müller"/>
    <s v="Accessories"/>
    <s v="ACC-2386"/>
    <n v="107.03"/>
    <n v="242.29"/>
    <n v="0.18"/>
    <n v="30"/>
    <n v="5960.3340000000007"/>
    <n v="3210.9"/>
    <n v="2749.4340000000007"/>
    <n v="0.46128857879440988"/>
    <s v="Q4-2024"/>
    <s v="Americas → Canada → Vancouver"/>
    <s v="Low"/>
    <n v="2024"/>
    <n v="12"/>
    <x v="0"/>
  </r>
  <r>
    <s v="ORD-2024-433936"/>
    <d v="2024-08-04T00:00:00"/>
    <d v="2024-08-17T00:00:00"/>
    <d v="2024-08-04T00:00:00"/>
    <d v="2024-08-17T00:00:00"/>
    <n v="13"/>
    <s v="8-2024"/>
    <s v="Americas"/>
    <s v="USA"/>
    <s v="Austin"/>
    <s v="Consumer"/>
    <s v="Retail"/>
    <s v="D. Smith"/>
    <s v="Monitors"/>
    <s v="MON-8867"/>
    <n v="352.79"/>
    <n v="754.22"/>
    <n v="0.113"/>
    <n v="7"/>
    <n v="4682.9519799999998"/>
    <n v="2469.5300000000002"/>
    <n v="2213.4219799999996"/>
    <n v="0.47265528014233443"/>
    <s v="Q3-2024"/>
    <s v="Americas → USA → Austin"/>
    <s v="Low"/>
    <n v="2024"/>
    <n v="8"/>
    <x v="0"/>
  </r>
  <r>
    <s v="ORD-2025-765220"/>
    <d v="2025-04-06T00:00:00"/>
    <d v="2025-04-30T00:00:00"/>
    <d v="2025-04-06T00:00:00"/>
    <d v="2025-04-30T00:00:00"/>
    <n v="24"/>
    <s v="4-2025"/>
    <s v="Americas"/>
    <s v="Brazil"/>
    <s v="Brasília"/>
    <s v="Education"/>
    <s v="Online"/>
    <s v="K. Singh"/>
    <s v="Monitors"/>
    <s v="MON-4925"/>
    <n v="855.78"/>
    <n v="977.38"/>
    <n v="0.14699999999999999"/>
    <n v="38"/>
    <n v="31680.795320000001"/>
    <n v="32519.64"/>
    <n v="-838.84467999999833"/>
    <n v="-2.6478018355506307E-2"/>
    <s v="Q2-2025"/>
    <s v="Americas → Brazil → Brasília"/>
    <s v="Low"/>
    <n v="2025"/>
    <n v="4"/>
    <x v="0"/>
  </r>
  <r>
    <s v="ORD-2024-728474"/>
    <d v="2024-09-09T00:00:00"/>
    <d v="2024-09-13T00:00:00"/>
    <d v="2024-09-09T00:00:00"/>
    <d v="2024-09-13T00:00:00"/>
    <n v="4"/>
    <s v="9-2024"/>
    <s v="Europe"/>
    <s v="United Kingdom"/>
    <s v="London"/>
    <s v="Consumer"/>
    <s v="Marketplace"/>
    <s v="F. Müller"/>
    <s v="Networking"/>
    <s v="NET-1145"/>
    <n v="1133.08"/>
    <n v="976.17"/>
    <n v="4.2000000000000003E-2"/>
    <n v="27"/>
    <n v="25249.613219999999"/>
    <n v="30593.159999999996"/>
    <n v="-5343.5467799999969"/>
    <n v="-0.21162885678452373"/>
    <s v="Q3-2024"/>
    <s v="Europe → United Kingdom → London"/>
    <s v="Low"/>
    <n v="2024"/>
    <n v="9"/>
    <x v="1"/>
  </r>
  <r>
    <s v="ORD-2025-640677"/>
    <d v="2025-04-09T00:00:00"/>
    <d v="2025-05-06T00:00:00"/>
    <d v="2025-04-09T00:00:00"/>
    <d v="2025-05-06T00:00:00"/>
    <n v="27"/>
    <s v="4-2025"/>
    <s v="Americas"/>
    <s v="Brazil"/>
    <s v="Brasília"/>
    <s v="Enterprise"/>
    <s v="Marketplace"/>
    <s v="F. Müller"/>
    <s v="Laptops"/>
    <s v="LAP-4517"/>
    <n v="264.19"/>
    <n v="620.92999999999995"/>
    <n v="0.14199999999999999"/>
    <n v="12"/>
    <n v="6393.0952799999995"/>
    <n v="3170.2799999999997"/>
    <n v="3222.8152799999998"/>
    <n v="0.50410875152794532"/>
    <s v="Q2-2025"/>
    <s v="Americas → Brazil → Brasília"/>
    <s v="Low"/>
    <n v="2025"/>
    <n v="4"/>
    <x v="0"/>
  </r>
  <r>
    <s v="ORD-2025-246692"/>
    <d v="2025-04-17T00:00:00"/>
    <d v="2025-04-17T00:00:00"/>
    <d v="2025-04-17T00:00:00"/>
    <d v="2025-04-17T00:00:00"/>
    <n v="0"/>
    <s v="4-2025"/>
    <s v="Americas"/>
    <s v="Brazil"/>
    <s v="São Paulo"/>
    <s v="Corporate"/>
    <s v="Distributor"/>
    <s v="L. Okafor"/>
    <s v="Phones"/>
    <s v="PHN-4566"/>
    <n v="719.41"/>
    <n v="1125.99"/>
    <n v="4.1000000000000002E-2"/>
    <n v="21"/>
    <n v="22676.312610000001"/>
    <n v="15107.609999999999"/>
    <n v="7568.7026100000021"/>
    <n v="0.33377131194876403"/>
    <s v="Q2-2025"/>
    <s v="Americas → Brazil → São Paulo"/>
    <s v="Low"/>
    <n v="2025"/>
    <n v="4"/>
    <x v="1"/>
  </r>
  <r>
    <s v="ORD-2023-573656"/>
    <d v="2023-05-02T00:00:00"/>
    <d v="2023-05-16T00:00:00"/>
    <d v="2023-05-02T00:00:00"/>
    <d v="2023-05-16T00:00:00"/>
    <n v="14"/>
    <s v="5-2023"/>
    <s v="Asia"/>
    <s v="India"/>
    <s v="Bengaluru"/>
    <s v="Non-Profit"/>
    <s v="Retail"/>
    <s v="L. Okafor"/>
    <s v="Monitors"/>
    <s v="MON-4830"/>
    <n v="475.37"/>
    <n v="963.73"/>
    <n v="4.1000000000000002E-2"/>
    <n v="22"/>
    <n v="20332.775539999999"/>
    <n v="10458.14"/>
    <n v="9874.6355399999993"/>
    <n v="0.48565113604750881"/>
    <s v="Q2-2023"/>
    <s v="Asia → India → Bengaluru"/>
    <s v="Low"/>
    <n v="2023"/>
    <n v="5"/>
    <x v="0"/>
  </r>
  <r>
    <s v="ORD-2024-567435"/>
    <d v="2024-04-26T00:00:00"/>
    <d v="2024-04-24T00:00:00"/>
    <d v="2024-04-24T00:00:00"/>
    <d v="2024-04-26T00:00:00"/>
    <n v="2"/>
    <s v="4-2024"/>
    <s v="Europe"/>
    <s v="United Kingdom"/>
    <s v="London"/>
    <s v="Non-Profit"/>
    <s v="Distributor"/>
    <s v="N. Brown"/>
    <s v="Phones"/>
    <s v="PHN-9107"/>
    <n v="1232.77"/>
    <n v="891.73"/>
    <n v="0.16700000000000001"/>
    <n v="10"/>
    <n v="7428.1108999999988"/>
    <n v="12327.7"/>
    <n v="-4899.589100000002"/>
    <n v="-0.65960096260813805"/>
    <s v="Q2-2024"/>
    <s v="Europe → United Kingdom → London"/>
    <s v="Low"/>
    <n v="2024"/>
    <n v="4"/>
    <x v="1"/>
  </r>
  <r>
    <s v="ORD-2023-744942"/>
    <d v="2023-02-23T00:00:00"/>
    <d v="2023-03-18T00:00:00"/>
    <d v="2023-02-23T00:00:00"/>
    <d v="2023-03-18T00:00:00"/>
    <n v="23"/>
    <s v="2-2023"/>
    <s v="Asia"/>
    <s v="China"/>
    <s v="Beijing"/>
    <s v="Education"/>
    <s v="Distributor"/>
    <s v="K. Singh"/>
    <s v="Printers"/>
    <s v="PRN-1060"/>
    <n v="770.11"/>
    <n v="1667.82"/>
    <n v="6.9000000000000006E-2"/>
    <n v="7"/>
    <n v="10869.182940000001"/>
    <n v="5390.77"/>
    <n v="5478.4129400000002"/>
    <n v="0.50403171703355287"/>
    <s v="Q1-2023"/>
    <s v="Asia → China → Beijing"/>
    <s v="Medium"/>
    <n v="2023"/>
    <n v="2"/>
    <x v="0"/>
  </r>
  <r>
    <s v="ORD-2025-331237"/>
    <d v="2025-03-24T00:00:00"/>
    <d v="2025-03-25T00:00:00"/>
    <d v="2025-03-24T00:00:00"/>
    <d v="2025-03-25T00:00:00"/>
    <n v="1"/>
    <s v="3-2025"/>
    <s v="Asia"/>
    <s v="China"/>
    <s v="Beijing"/>
    <s v="Non-Profit"/>
    <s v="Online"/>
    <s v="G. Dubois"/>
    <s v="Networking"/>
    <s v="NET-8329"/>
    <n v="1133.03"/>
    <n v="1921.51"/>
    <n v="0.10100000000000001"/>
    <n v="5"/>
    <n v="8637.1874499999994"/>
    <n v="5665.15"/>
    <n v="2972.0374499999998"/>
    <n v="0.3440978289755654"/>
    <s v="Q1-2025"/>
    <s v="Asia → China → Beijing"/>
    <s v="High"/>
    <n v="2025"/>
    <n v="3"/>
    <x v="1"/>
  </r>
  <r>
    <s v="ORD-2025-907040"/>
    <d v="2025-04-17T00:00:00"/>
    <d v="2025-05-03T00:00:00"/>
    <d v="2025-04-17T00:00:00"/>
    <d v="2025-05-03T00:00:00"/>
    <n v="16"/>
    <s v="4-2025"/>
    <s v="Americas"/>
    <s v="Brazil"/>
    <s v="Rio de Janeiro"/>
    <s v="Consumer"/>
    <s v="Marketplace"/>
    <s v="J. Njeri"/>
    <s v="Networking"/>
    <s v="NET-8610"/>
    <n v="168.68"/>
    <n v="413.34"/>
    <n v="0.186"/>
    <n v="7"/>
    <n v="2355.2113199999999"/>
    <n v="1180.76"/>
    <n v="1174.4513199999999"/>
    <n v="0.49866069767361682"/>
    <s v="Q2-2025"/>
    <s v="Americas → Brazil → Rio de Janeiro"/>
    <s v="Low"/>
    <n v="2025"/>
    <n v="4"/>
    <x v="0"/>
  </r>
  <r>
    <s v="ORD-2024-310809"/>
    <d v="2024-04-05T00:00:00"/>
    <d v="2024-04-09T00:00:00"/>
    <d v="2024-04-05T00:00:00"/>
    <d v="2024-04-09T00:00:00"/>
    <n v="4"/>
    <s v="4-2024"/>
    <s v="Africa"/>
    <s v="Nigeria"/>
    <s v="Lagos"/>
    <s v="Non-Profit"/>
    <s v="Direct"/>
    <s v="K. Singh"/>
    <s v="Components"/>
    <s v="CMP-6529"/>
    <n v="395.07"/>
    <n v="970.27"/>
    <n v="0.123"/>
    <n v="38"/>
    <n v="32335.21802"/>
    <n v="15012.66"/>
    <n v="17322.55802"/>
    <n v="0.53571799049833657"/>
    <s v="Q2-2024"/>
    <s v="Africa → Nigeria → Lagos"/>
    <s v="Low"/>
    <n v="2024"/>
    <n v="4"/>
    <x v="1"/>
  </r>
  <r>
    <s v="ORD-2025-474368"/>
    <d v="2025-04-27T00:00:00"/>
    <d v="2025-05-17T00:00:00"/>
    <d v="2025-04-27T00:00:00"/>
    <d v="2025-05-17T00:00:00"/>
    <n v="20"/>
    <s v="4-2025"/>
    <s v="Americas"/>
    <s v="USA"/>
    <s v="Austin"/>
    <s v="Corporate"/>
    <s v="Direct"/>
    <s v="N. Brown"/>
    <s v="Phones"/>
    <s v="PHN-8776"/>
    <n v="932.26"/>
    <n v="1624.67"/>
    <n v="0.23499999999999999"/>
    <n v="28"/>
    <n v="34800.431400000001"/>
    <n v="26103.279999999999"/>
    <n v="8697.1514000000025"/>
    <n v="0.24991504559337163"/>
    <s v="Q2-2025"/>
    <s v="Americas → USA → Austin"/>
    <s v="Medium"/>
    <n v="2025"/>
    <n v="4"/>
    <x v="0"/>
  </r>
  <r>
    <s v="ORD-2024-732543"/>
    <d v="2024-10-24T00:00:00"/>
    <d v="2024-10-28T00:00:00"/>
    <d v="2024-10-24T00:00:00"/>
    <d v="2024-10-28T00:00:00"/>
    <n v="4"/>
    <s v="10-2024"/>
    <s v="Asia"/>
    <s v="China"/>
    <s v="Shanghai"/>
    <s v="Small Business"/>
    <s v="Distributor"/>
    <s v="I. Johnson"/>
    <s v="Networking"/>
    <s v="NET-3728"/>
    <n v="1331.77"/>
    <n v="2606.11"/>
    <n v="0.02"/>
    <n v="6"/>
    <n v="15323.926799999999"/>
    <n v="7990.62"/>
    <n v="7333.3067999999994"/>
    <n v="0.47855271665745619"/>
    <s v="Q4-2024"/>
    <s v="Asia → China → Shanghai"/>
    <s v="High"/>
    <n v="2024"/>
    <n v="10"/>
    <x v="1"/>
  </r>
  <r>
    <s v="ORD-2023-867166"/>
    <d v="2023-04-13T00:00:00"/>
    <d v="2023-04-20T00:00:00"/>
    <d v="2023-04-13T00:00:00"/>
    <d v="2023-04-20T00:00:00"/>
    <n v="7"/>
    <s v="4-2023"/>
    <s v="Europe"/>
    <s v="France"/>
    <s v="Lyon"/>
    <s v="Small Business"/>
    <s v="Online"/>
    <s v="A. Patel"/>
    <s v="Laptops"/>
    <s v="LAP-3565"/>
    <n v="227.02"/>
    <n v="434.72"/>
    <n v="9.8000000000000004E-2"/>
    <n v="10"/>
    <n v="3921.1744000000008"/>
    <n v="2270.2000000000003"/>
    <n v="1650.9744000000005"/>
    <n v="0.42104079838938052"/>
    <s v="Q2-2023"/>
    <s v="Europe → France → Lyon"/>
    <s v="Low"/>
    <n v="2023"/>
    <n v="4"/>
    <x v="1"/>
  </r>
  <r>
    <s v="ORD-2024-776337"/>
    <d v="2024-11-12T00:00:00"/>
    <d v="2024-11-21T00:00:00"/>
    <d v="2024-11-12T00:00:00"/>
    <d v="2024-11-21T00:00:00"/>
    <n v="9"/>
    <s v="11-2024"/>
    <s v="Asia"/>
    <s v="India"/>
    <s v="Mumbai"/>
    <s v="Corporate"/>
    <s v="Direct"/>
    <s v="H. Kim"/>
    <s v="Laptops"/>
    <s v="LAP-5078"/>
    <n v="903.41"/>
    <n v="1860.41"/>
    <n v="0.108"/>
    <n v="5"/>
    <n v="8297.4286000000011"/>
    <n v="4517.05"/>
    <n v="3780.3786000000009"/>
    <n v="0.455608451996803"/>
    <s v="Q4-2024"/>
    <s v="Asia → India → Mumbai"/>
    <s v="Medium"/>
    <n v="2024"/>
    <n v="11"/>
    <x v="0"/>
  </r>
  <r>
    <s v="ORD-2023-913592"/>
    <d v="2023-05-10T00:00:00"/>
    <d v="2023-05-14T00:00:00"/>
    <d v="2023-05-10T00:00:00"/>
    <d v="2023-05-14T00:00:00"/>
    <n v="4"/>
    <s v="5-2023"/>
    <s v="Asia"/>
    <s v="India"/>
    <s v="Delhi"/>
    <s v="Non-Profit"/>
    <s v="Distributor"/>
    <s v="C. Otieno"/>
    <s v="Monitors"/>
    <s v="MON-2465"/>
    <n v="622.6"/>
    <n v="833.69"/>
    <n v="0.20899999999999999"/>
    <n v="14"/>
    <n v="9232.2830599999998"/>
    <n v="8716.4"/>
    <n v="515.88306000000011"/>
    <n v="5.5878167582959715E-2"/>
    <s v="Q2-2023"/>
    <s v="Asia → India → Delhi"/>
    <s v="Low"/>
    <n v="2023"/>
    <n v="5"/>
    <x v="1"/>
  </r>
  <r>
    <s v="ORD-2024-961501"/>
    <d v="2024-03-02T00:00:00"/>
    <d v="2024-03-23T00:00:00"/>
    <d v="2024-03-02T00:00:00"/>
    <d v="2024-03-23T00:00:00"/>
    <n v="21"/>
    <s v="3-2024"/>
    <s v="Americas"/>
    <s v="USA"/>
    <s v="Chicago"/>
    <s v="Small Business"/>
    <s v="Online"/>
    <s v="F. Müller"/>
    <s v="Components"/>
    <s v="CMP-3223"/>
    <n v="225.01"/>
    <n v="333.48"/>
    <n v="0.11899999999999999"/>
    <n v="12"/>
    <n v="3525.5505600000001"/>
    <n v="2700.12"/>
    <n v="825.43056000000024"/>
    <n v="0.23412813004729685"/>
    <s v="Q1-2024"/>
    <s v="Americas → USA → Chicago"/>
    <s v="Low"/>
    <n v="2024"/>
    <n v="3"/>
    <x v="0"/>
  </r>
  <r>
    <s v="ORD-2024-964950"/>
    <d v="2024-10-10T00:00:00"/>
    <d v="2024-10-11T00:00:00"/>
    <d v="2024-10-10T00:00:00"/>
    <d v="2024-10-11T00:00:00"/>
    <n v="1"/>
    <s v="10-2024"/>
    <s v="Europe"/>
    <s v="United Kingdom"/>
    <s v="Manchester"/>
    <s v="Non-Profit"/>
    <s v="Distributor"/>
    <s v="L. Okafor"/>
    <s v="Components"/>
    <s v="CMP-8127"/>
    <n v="1389.46"/>
    <n v="1784.7"/>
    <n v="0.14599999999999999"/>
    <n v="33"/>
    <n v="50296.415399999998"/>
    <n v="45852.18"/>
    <n v="4444.2353999999978"/>
    <n v="8.8360877503011831E-2"/>
    <s v="Q4-2024"/>
    <s v="Europe → United Kingdom → Manchester"/>
    <s v="Medium"/>
    <n v="2024"/>
    <n v="10"/>
    <x v="1"/>
  </r>
  <r>
    <s v="ORD-2023-349264"/>
    <d v="2023-06-01T00:00:00"/>
    <d v="2023-06-08T00:00:00"/>
    <d v="2023-06-01T00:00:00"/>
    <d v="2023-06-08T00:00:00"/>
    <n v="7"/>
    <s v="6-2023"/>
    <s v="Europe"/>
    <s v="Germany"/>
    <s v="Frankfurt"/>
    <s v="Consumer"/>
    <s v="Online"/>
    <s v="A. Patel"/>
    <s v="Phones"/>
    <s v="PHN-1924"/>
    <n v="804.17"/>
    <n v="1072.29"/>
    <n v="3.2000000000000001E-2"/>
    <n v="5"/>
    <n v="5189.8836000000001"/>
    <n v="4020.85"/>
    <n v="1169.0336000000002"/>
    <n v="0.2252523736755869"/>
    <s v="Q2-2023"/>
    <s v="Europe → Germany → Frankfurt"/>
    <s v="Low"/>
    <n v="2023"/>
    <n v="6"/>
    <x v="1"/>
  </r>
  <r>
    <s v="ORD-2025-137394"/>
    <d v="2025-01-04T00:00:00"/>
    <d v="2025-01-05T00:00:00"/>
    <d v="2025-01-04T00:00:00"/>
    <d v="2025-01-05T00:00:00"/>
    <n v="1"/>
    <s v="1-2025"/>
    <s v="Asia"/>
    <s v="India"/>
    <s v="Delhi"/>
    <s v="Education"/>
    <s v="Retail"/>
    <s v="I. Johnson"/>
    <s v="Components"/>
    <s v="CMP-1156"/>
    <n v="1428.33"/>
    <n v="3028.05"/>
    <n v="0"/>
    <n v="11"/>
    <n v="33308.550000000003"/>
    <n v="15711.63"/>
    <n v="17596.920000000006"/>
    <n v="0.52830039134096207"/>
    <s v="Q1-2025"/>
    <s v="Asia → India → Delhi"/>
    <s v="High"/>
    <n v="2025"/>
    <n v="1"/>
    <x v="1"/>
  </r>
  <r>
    <s v="ORD-2025-635337"/>
    <d v="2025-08-05T00:00:00"/>
    <d v="2025-08-28T00:00:00"/>
    <d v="2025-08-05T00:00:00"/>
    <d v="2025-08-28T00:00:00"/>
    <n v="23"/>
    <s v="8-2025"/>
    <s v="Asia"/>
    <s v="India"/>
    <s v="Mumbai"/>
    <s v="Non-Profit"/>
    <s v="Distributor"/>
    <s v="N. Brown"/>
    <s v="Laptops"/>
    <s v="LAP-3905"/>
    <n v="638.54"/>
    <n v="987.24"/>
    <n v="0"/>
    <n v="11"/>
    <n v="10859.64"/>
    <n v="7023.94"/>
    <n v="3835.7"/>
    <n v="0.35320692030306716"/>
    <s v="Q3-2025"/>
    <s v="Asia → India → Mumbai"/>
    <s v="Low"/>
    <n v="2025"/>
    <n v="8"/>
    <x v="0"/>
  </r>
  <r>
    <s v="ORD-2023-568013"/>
    <d v="2023-09-30T00:00:00"/>
    <d v="2023-10-30T00:00:00"/>
    <d v="2023-09-30T00:00:00"/>
    <d v="2023-10-30T00:00:00"/>
    <n v="30"/>
    <s v="9-2023"/>
    <s v="Asia"/>
    <s v="Japan"/>
    <s v="Tokyo"/>
    <s v="Enterprise"/>
    <s v="Online"/>
    <s v="D. Smith"/>
    <s v="Printers"/>
    <s v="PRN-1786"/>
    <n v="649.13"/>
    <n v="975.43"/>
    <n v="0.157"/>
    <n v="27"/>
    <n v="22201.762229999997"/>
    <n v="17526.509999999998"/>
    <n v="4675.2522299999982"/>
    <n v="0.21058023149543473"/>
    <s v="Q3-2023"/>
    <s v="Asia → Japan → Tokyo"/>
    <s v="Low"/>
    <n v="2023"/>
    <n v="9"/>
    <x v="0"/>
  </r>
  <r>
    <s v="ORD-2023-181257"/>
    <d v="2023-11-15T00:00:00"/>
    <d v="2023-12-06T00:00:00"/>
    <d v="2023-11-15T00:00:00"/>
    <d v="2023-12-06T00:00:00"/>
    <n v="21"/>
    <s v="11-2023"/>
    <s v="Europe"/>
    <s v="United Kingdom"/>
    <s v="Manchester"/>
    <s v="Education"/>
    <s v="Direct"/>
    <s v="H. Kim"/>
    <s v="Accessories"/>
    <s v="ACC-1060"/>
    <n v="1184.99"/>
    <n v="1154.3399999999999"/>
    <n v="2.8000000000000001E-2"/>
    <n v="5"/>
    <n v="5610.0923999999995"/>
    <n v="5924.95"/>
    <n v="-314.85760000000028"/>
    <n v="-5.6123424990290764E-2"/>
    <s v="Q4-2023"/>
    <s v="Europe → United Kingdom → Manchester"/>
    <s v="Low"/>
    <n v="2023"/>
    <n v="11"/>
    <x v="0"/>
  </r>
  <r>
    <s v="ORD-2024-402240"/>
    <d v="2024-05-01T00:00:00"/>
    <d v="2024-05-26T00:00:00"/>
    <d v="2024-05-01T00:00:00"/>
    <d v="2024-05-26T00:00:00"/>
    <n v="25"/>
    <s v="5-2024"/>
    <s v="Europe"/>
    <s v="Germany"/>
    <s v="Berlin"/>
    <s v="Non-Profit"/>
    <s v="Retail"/>
    <s v="B. Chen"/>
    <s v="Networking"/>
    <s v="NET-4228"/>
    <n v="930.71"/>
    <n v="1625.42"/>
    <n v="0.13800000000000001"/>
    <n v="7"/>
    <n v="9807.7842799999999"/>
    <n v="6514.97"/>
    <n v="3292.8142799999996"/>
    <n v="0.33573477821231196"/>
    <s v="Q2-2024"/>
    <s v="Europe → Germany → Berlin"/>
    <s v="Medium"/>
    <n v="2024"/>
    <n v="5"/>
    <x v="0"/>
  </r>
  <r>
    <s v="ORD-2023-125739"/>
    <d v="2023-05-01T00:00:00"/>
    <d v="2023-05-18T00:00:00"/>
    <d v="2023-05-01T00:00:00"/>
    <d v="2023-05-18T00:00:00"/>
    <n v="17"/>
    <s v="5-2023"/>
    <s v="Africa"/>
    <s v="Nigeria"/>
    <s v="Port Harcourt"/>
    <s v="Corporate"/>
    <s v="Direct"/>
    <s v="F. Müller"/>
    <s v="Components"/>
    <s v="CMP-5633"/>
    <n v="327.97"/>
    <n v="299.94"/>
    <n v="4.9000000000000002E-2"/>
    <n v="3"/>
    <n v="855.72881999999993"/>
    <n v="983.91000000000008"/>
    <n v="-128.18118000000015"/>
    <n v="-0.14979182306843442"/>
    <s v="Q2-2023"/>
    <s v="Africa → Nigeria → Port Harcourt"/>
    <s v="Low"/>
    <n v="2023"/>
    <n v="5"/>
    <x v="0"/>
  </r>
  <r>
    <s v="ORD-2024-892879"/>
    <d v="2024-07-09T00:00:00"/>
    <d v="2024-08-08T00:00:00"/>
    <d v="2024-07-09T00:00:00"/>
    <d v="2024-08-08T00:00:00"/>
    <n v="30"/>
    <s v="7-2024"/>
    <s v="Europe"/>
    <s v="France"/>
    <s v="Marseille"/>
    <s v="Corporate"/>
    <s v="Direct"/>
    <s v="J. Njeri"/>
    <s v="Components"/>
    <s v="CMP-5825"/>
    <n v="1062.3800000000001"/>
    <n v="1503.96"/>
    <n v="0.18"/>
    <n v="6"/>
    <n v="7399.4832000000006"/>
    <n v="6374.2800000000007"/>
    <n v="1025.2031999999999"/>
    <n v="0.13855064905073369"/>
    <s v="Q3-2024"/>
    <s v="Europe → France → Marseille"/>
    <s v="Medium"/>
    <n v="2024"/>
    <n v="7"/>
    <x v="0"/>
  </r>
  <r>
    <s v="ORD-2023-472050"/>
    <d v="2023-05-10T00:00:00"/>
    <d v="2023-05-27T00:00:00"/>
    <d v="2023-05-10T00:00:00"/>
    <d v="2023-05-27T00:00:00"/>
    <n v="17"/>
    <s v="5-2023"/>
    <s v="Asia"/>
    <s v="India"/>
    <s v="Mumbai"/>
    <s v="Consumer"/>
    <s v="Retail"/>
    <s v="M. Rossi"/>
    <s v="Laptops"/>
    <s v="LAP-6499"/>
    <n v="1286.1600000000001"/>
    <n v="3101.11"/>
    <n v="0.1"/>
    <n v="23"/>
    <n v="64192.976999999999"/>
    <n v="29581.68"/>
    <n v="34611.296999999999"/>
    <n v="0.53917575749758417"/>
    <s v="Q2-2023"/>
    <s v="Asia → India → Mumbai"/>
    <s v="High"/>
    <n v="2023"/>
    <n v="5"/>
    <x v="0"/>
  </r>
  <r>
    <s v="ORD-2023-302041"/>
    <d v="2023-10-04T00:00:00"/>
    <d v="2023-10-29T00:00:00"/>
    <d v="2023-10-04T00:00:00"/>
    <d v="2023-10-29T00:00:00"/>
    <n v="25"/>
    <s v="10-2023"/>
    <s v="Americas"/>
    <s v="USA"/>
    <s v="San Francisco"/>
    <s v="Small Business"/>
    <s v="Distributor"/>
    <s v="O. Wang"/>
    <s v="Accessories"/>
    <s v="ACC-5079"/>
    <n v="1239.8399999999999"/>
    <n v="1482.75"/>
    <n v="6.7000000000000004E-2"/>
    <n v="4"/>
    <n v="5533.6230000000005"/>
    <n v="4959.3599999999997"/>
    <n v="574.26300000000083"/>
    <n v="0.10377703721413634"/>
    <s v="Q4-2023"/>
    <s v="Americas → USA → San Francisco"/>
    <s v="Medium"/>
    <n v="2023"/>
    <n v="10"/>
    <x v="0"/>
  </r>
  <r>
    <s v="ORD-2024-833375"/>
    <d v="2024-04-24T00:00:00"/>
    <d v="2024-05-10T00:00:00"/>
    <d v="2024-04-24T00:00:00"/>
    <d v="2024-05-10T00:00:00"/>
    <n v="16"/>
    <s v="4-2024"/>
    <s v="Africa"/>
    <s v="Kenya"/>
    <s v="Kisumu"/>
    <s v="Non-Profit"/>
    <s v="Online"/>
    <s v="N. Brown"/>
    <s v="Monitors"/>
    <s v="MON-6190"/>
    <n v="513.30999999999995"/>
    <n v="1186.26"/>
    <n v="9.4E-2"/>
    <n v="15"/>
    <n v="16121.273400000002"/>
    <n v="7699.65"/>
    <n v="8421.6234000000022"/>
    <n v="0.52239194702820446"/>
    <s v="Q2-2024"/>
    <s v="Africa → Kenya → Kisumu"/>
    <s v="Low"/>
    <n v="2024"/>
    <n v="4"/>
    <x v="0"/>
  </r>
  <r>
    <s v="ORD-2024-206311"/>
    <d v="2024-01-13T00:00:00"/>
    <d v="2024-01-15T00:00:00"/>
    <d v="2024-01-13T00:00:00"/>
    <d v="2024-01-15T00:00:00"/>
    <n v="2"/>
    <s v="1-2024"/>
    <s v="Americas"/>
    <s v="USA"/>
    <s v="San Francisco"/>
    <s v="Non-Profit"/>
    <s v="Direct"/>
    <s v="E. Garcia"/>
    <s v="Components"/>
    <s v="CMP-2410"/>
    <n v="1061.3699999999999"/>
    <n v="1938.33"/>
    <n v="0.17"/>
    <n v="4"/>
    <n v="6435.2555999999995"/>
    <n v="4245.4799999999996"/>
    <n v="2189.7755999999999"/>
    <n v="0.34027795259600879"/>
    <s v="Q1-2024"/>
    <s v="Americas → USA → San Francisco"/>
    <s v="High"/>
    <n v="2024"/>
    <n v="1"/>
    <x v="1"/>
  </r>
  <r>
    <s v="ORD-2024-364080"/>
    <d v="2024-04-16T00:00:00"/>
    <d v="2024-04-27T00:00:00"/>
    <d v="2024-04-16T00:00:00"/>
    <d v="2024-04-27T00:00:00"/>
    <n v="11"/>
    <s v="4-2024"/>
    <s v="Africa"/>
    <s v="Kenya"/>
    <s v="Nakuru"/>
    <s v="Enterprise"/>
    <s v="Online"/>
    <s v="D. Smith"/>
    <s v="Printers"/>
    <s v="PRN-2641"/>
    <n v="401.3"/>
    <n v="826.47"/>
    <n v="0.22500000000000001"/>
    <n v="13"/>
    <n v="8326.6852500000005"/>
    <n v="5216.9000000000005"/>
    <n v="3109.7852499999999"/>
    <n v="0.37347217489696755"/>
    <s v="Q2-2024"/>
    <s v="Africa → Kenya → Nakuru"/>
    <s v="Low"/>
    <n v="2024"/>
    <n v="4"/>
    <x v="0"/>
  </r>
  <r>
    <s v="ORD-2025-460466"/>
    <d v="2025-02-07T00:00:00"/>
    <d v="2025-02-16T00:00:00"/>
    <d v="2025-02-07T00:00:00"/>
    <d v="2025-02-16T00:00:00"/>
    <n v="9"/>
    <s v="2-2025"/>
    <s v="Africa"/>
    <s v="Nigeria"/>
    <s v="Lagos"/>
    <s v="Small Business"/>
    <s v="Distributor"/>
    <s v="C. Otieno"/>
    <s v="Printers"/>
    <s v="PRN-1882"/>
    <n v="90.68"/>
    <n v="118.17"/>
    <n v="0.13500000000000001"/>
    <n v="21"/>
    <n v="2146.5580500000001"/>
    <n v="1904.2800000000002"/>
    <n v="242.27804999999989"/>
    <n v="0.11286815653552899"/>
    <s v="Q1-2025"/>
    <s v="Africa → Nigeria → Lagos"/>
    <s v="Low"/>
    <n v="2025"/>
    <n v="2"/>
    <x v="0"/>
  </r>
  <r>
    <s v="ORD-2023-700699"/>
    <d v="2023-01-12T00:00:00"/>
    <d v="2023-01-26T00:00:00"/>
    <d v="2023-01-12T00:00:00"/>
    <d v="2023-01-26T00:00:00"/>
    <n v="14"/>
    <s v="1-2023"/>
    <s v="Asia"/>
    <s v="China"/>
    <s v="Shenzhen"/>
    <s v="Non-Profit"/>
    <s v="Retail"/>
    <s v="M. Rossi"/>
    <s v="Printers"/>
    <s v="PRN-1641"/>
    <n v="1083.0899999999999"/>
    <n v="1425.87"/>
    <n v="0"/>
    <n v="8"/>
    <n v="11406.96"/>
    <n v="8664.7199999999993"/>
    <n v="2742.24"/>
    <n v="0.24040059752992909"/>
    <s v="Q1-2023"/>
    <s v="Asia → China → Shenzhen"/>
    <s v="Medium"/>
    <n v="2023"/>
    <n v="1"/>
    <x v="0"/>
  </r>
  <r>
    <s v="ORD-2024-713332"/>
    <d v="2024-06-05T00:00:00"/>
    <d v="2024-06-23T00:00:00"/>
    <d v="2024-06-05T00:00:00"/>
    <d v="2024-06-23T00:00:00"/>
    <n v="18"/>
    <s v="6-2024"/>
    <s v="Africa"/>
    <s v="Kenya"/>
    <s v="Nairobi"/>
    <s v="Consumer"/>
    <s v="Distributor"/>
    <s v="D. Smith"/>
    <s v="Laptops"/>
    <s v="LAP-1739"/>
    <n v="1208.74"/>
    <n v="1594.78"/>
    <n v="5.8999999999999997E-2"/>
    <n v="39"/>
    <n v="58526.83122"/>
    <n v="47140.86"/>
    <n v="11385.971219999999"/>
    <n v="0.1945427589817838"/>
    <s v="Q2-2024"/>
    <s v="Africa → Kenya → Nairobi"/>
    <s v="Medium"/>
    <n v="2024"/>
    <n v="6"/>
    <x v="0"/>
  </r>
  <r>
    <s v="ORD-2023-640022"/>
    <d v="2023-08-24T00:00:00"/>
    <d v="2023-09-20T00:00:00"/>
    <d v="2023-08-24T00:00:00"/>
    <d v="2023-09-20T00:00:00"/>
    <n v="27"/>
    <s v="8-2023"/>
    <s v="Africa"/>
    <s v="South Africa"/>
    <s v="Durban"/>
    <s v="Small Business"/>
    <s v="Marketplace"/>
    <s v="M. Rossi"/>
    <s v="Printers"/>
    <s v="PRN-4732"/>
    <n v="1399.64"/>
    <n v="3342.11"/>
    <n v="0"/>
    <n v="10"/>
    <n v="33421.1"/>
    <n v="13996.400000000001"/>
    <n v="19424.699999999997"/>
    <n v="0.58121067229983447"/>
    <s v="Q3-2023"/>
    <s v="Africa → South Africa → Durban"/>
    <s v="High"/>
    <n v="2023"/>
    <n v="8"/>
    <x v="0"/>
  </r>
  <r>
    <s v="ORD-2024-532184"/>
    <d v="2024-01-25T00:00:00"/>
    <d v="2024-02-08T00:00:00"/>
    <d v="2024-01-25T00:00:00"/>
    <d v="2024-02-08T00:00:00"/>
    <n v="14"/>
    <s v="1-2024"/>
    <s v="Asia"/>
    <s v="Japan"/>
    <s v="Osaka"/>
    <s v="Consumer"/>
    <s v="Marketplace"/>
    <s v="I. Johnson"/>
    <s v="Networking"/>
    <s v="NET-9569"/>
    <n v="937.16"/>
    <n v="1069.77"/>
    <n v="3.7999999999999999E-2"/>
    <n v="9"/>
    <n v="9262.0686600000008"/>
    <n v="8434.44"/>
    <n v="827.62866000000031"/>
    <n v="8.9356783066645962E-2"/>
    <s v="Q1-2024"/>
    <s v="Asia → Japan → Osaka"/>
    <s v="Low"/>
    <n v="2024"/>
    <n v="1"/>
    <x v="0"/>
  </r>
  <r>
    <s v="ORD-2025-926547"/>
    <d v="2025-03-11T00:00:00"/>
    <d v="2025-03-26T00:00:00"/>
    <d v="2025-03-11T00:00:00"/>
    <d v="2025-03-26T00:00:00"/>
    <n v="15"/>
    <s v="3-2025"/>
    <s v="Europe"/>
    <s v="Germany"/>
    <s v="Berlin"/>
    <s v="Small Business"/>
    <s v="Online"/>
    <s v="I. Johnson"/>
    <s v="Phones"/>
    <s v="PHN-3007"/>
    <n v="116.97"/>
    <n v="140.82"/>
    <n v="0.122"/>
    <n v="5"/>
    <n v="618.19979999999987"/>
    <n v="584.85"/>
    <n v="33.349799999999846"/>
    <n v="5.3946636669891926E-2"/>
    <s v="Q1-2025"/>
    <s v="Europe → Germany → Berlin"/>
    <s v="Low"/>
    <n v="2025"/>
    <n v="3"/>
    <x v="0"/>
  </r>
  <r>
    <s v="ORD-2025-778145"/>
    <d v="2025-04-22T00:00:00"/>
    <d v="2025-05-12T00:00:00"/>
    <d v="2025-04-22T00:00:00"/>
    <d v="2025-05-12T00:00:00"/>
    <n v="20"/>
    <s v="4-2025"/>
    <s v="Europe"/>
    <s v="France"/>
    <s v="Lyon"/>
    <s v="Enterprise"/>
    <s v="Marketplace"/>
    <s v="K. Singh"/>
    <s v="Monitors"/>
    <s v="MON-9216"/>
    <n v="59.51"/>
    <n v="67.040000000000006"/>
    <n v="0.114"/>
    <n v="9"/>
    <n v="534.57695999999999"/>
    <n v="535.59"/>
    <n v="-1.0130400000000463"/>
    <n v="-1.8950311663264469E-3"/>
    <s v="Q2-2025"/>
    <s v="Europe → France → Lyon"/>
    <s v="Low"/>
    <n v="2025"/>
    <n v="4"/>
    <x v="0"/>
  </r>
  <r>
    <s v="ORD-2023-525643"/>
    <d v="2023-08-17T00:00:00"/>
    <d v="2023-09-03T00:00:00"/>
    <d v="2023-08-17T00:00:00"/>
    <d v="2023-09-03T00:00:00"/>
    <n v="17"/>
    <s v="8-2023"/>
    <s v="Africa"/>
    <s v="South Africa"/>
    <s v="Durban"/>
    <s v="Enterprise"/>
    <s v="Retail"/>
    <s v="A. Patel"/>
    <s v="Phones"/>
    <s v="PHN-8072"/>
    <n v="676.37"/>
    <n v="1276.67"/>
    <n v="6.6000000000000003E-2"/>
    <n v="10"/>
    <n v="11924.0978"/>
    <n v="6763.7"/>
    <n v="5160.3977999999997"/>
    <n v="0.4327705027712872"/>
    <s v="Q3-2023"/>
    <s v="Africa → South Africa → Durban"/>
    <s v="Medium"/>
    <n v="2023"/>
    <n v="8"/>
    <x v="0"/>
  </r>
  <r>
    <s v="ORD-2025-312803"/>
    <d v="2025-06-24T00:00:00"/>
    <d v="2025-07-14T00:00:00"/>
    <d v="2025-06-24T00:00:00"/>
    <d v="2025-07-14T00:00:00"/>
    <n v="20"/>
    <s v="6-2025"/>
    <s v="Africa"/>
    <s v="South Africa"/>
    <s v="Johannesburg"/>
    <s v="Enterprise"/>
    <s v="Marketplace"/>
    <s v="J. Njeri"/>
    <s v="Laptops"/>
    <s v="LAP-1308"/>
    <n v="1151.06"/>
    <n v="2821.36"/>
    <n v="0.248"/>
    <n v="20"/>
    <n v="42433.254400000005"/>
    <n v="23021.199999999997"/>
    <n v="19412.054400000008"/>
    <n v="0.45747267501594235"/>
    <s v="Q2-2025"/>
    <s v="Africa → South Africa → Johannesburg"/>
    <s v="High"/>
    <n v="2025"/>
    <n v="6"/>
    <x v="0"/>
  </r>
  <r>
    <s v="ORD-2025-757957"/>
    <d v="2025-04-24T00:00:00"/>
    <d v="2025-05-06T00:00:00"/>
    <d v="2025-04-24T00:00:00"/>
    <d v="2025-05-06T00:00:00"/>
    <n v="12"/>
    <s v="4-2025"/>
    <s v="Americas"/>
    <s v="Brazil"/>
    <s v="Brasília"/>
    <s v="Consumer"/>
    <s v="Online"/>
    <s v="C. Otieno"/>
    <s v="Phones"/>
    <s v="PHN-2787"/>
    <n v="394.13"/>
    <n v="932.29"/>
    <n v="0.109"/>
    <n v="7"/>
    <n v="5814.6927299999998"/>
    <n v="2758.91"/>
    <n v="3055.7827299999999"/>
    <n v="0.5255278089303268"/>
    <s v="Q2-2025"/>
    <s v="Americas → Brazil → Brasília"/>
    <s v="Low"/>
    <n v="2025"/>
    <n v="4"/>
    <x v="0"/>
  </r>
  <r>
    <s v="ORD-2023-215819"/>
    <d v="2023-07-01T00:00:00"/>
    <d v="2023-07-11T00:00:00"/>
    <d v="2023-07-01T00:00:00"/>
    <d v="2023-07-11T00:00:00"/>
    <n v="10"/>
    <s v="7-2023"/>
    <s v="Europe"/>
    <s v="France"/>
    <s v="Paris"/>
    <s v="Corporate"/>
    <s v="Direct"/>
    <s v="F. Müller"/>
    <s v="Networking"/>
    <s v="NET-6533"/>
    <n v="479.5"/>
    <n v="656.66"/>
    <n v="0.14899999999999999"/>
    <n v="14"/>
    <n v="7823.4472399999995"/>
    <n v="6713"/>
    <n v="1110.4472399999995"/>
    <n v="0.14193835606412289"/>
    <s v="Q3-2023"/>
    <s v="Europe → France → Paris"/>
    <s v="Low"/>
    <n v="2023"/>
    <n v="7"/>
    <x v="0"/>
  </r>
  <r>
    <s v="ORD-2024-353078"/>
    <d v="2024-08-16T00:00:00"/>
    <d v="2024-08-26T00:00:00"/>
    <d v="2024-08-16T00:00:00"/>
    <d v="2024-08-26T00:00:00"/>
    <n v="10"/>
    <s v="8-2024"/>
    <s v="Americas"/>
    <s v="USA"/>
    <s v="Chicago"/>
    <s v="Corporate"/>
    <s v="Distributor"/>
    <s v="L. Okafor"/>
    <s v="Laptops"/>
    <s v="LAP-5763"/>
    <n v="1291.7"/>
    <n v="2657.84"/>
    <n v="8.6999999999999994E-2"/>
    <n v="21"/>
    <n v="50958.766320000002"/>
    <n v="27125.7"/>
    <n v="23833.066320000002"/>
    <n v="0.46769315745083367"/>
    <s v="Q3-2024"/>
    <s v="Americas → USA → Chicago"/>
    <s v="High"/>
    <n v="2024"/>
    <n v="8"/>
    <x v="0"/>
  </r>
  <r>
    <s v="ORD-2024-289089"/>
    <d v="2024-12-17T00:00:00"/>
    <d v="2024-12-18T00:00:00"/>
    <d v="2024-12-17T00:00:00"/>
    <d v="2024-12-18T00:00:00"/>
    <n v="1"/>
    <s v="12-2024"/>
    <s v="Europe"/>
    <s v="Germany"/>
    <s v="Munich"/>
    <s v="Education"/>
    <s v="Retail"/>
    <s v="L. Okafor"/>
    <s v="Accessories"/>
    <s v="ACC-5780"/>
    <n v="346.82"/>
    <n v="701.95"/>
    <n v="0.14699999999999999"/>
    <n v="8"/>
    <n v="4790.1068000000005"/>
    <n v="2774.56"/>
    <n v="2015.5468000000005"/>
    <n v="0.42077283120284509"/>
    <s v="Q4-2024"/>
    <s v="Europe → Germany → Munich"/>
    <s v="Low"/>
    <n v="2024"/>
    <n v="12"/>
    <x v="1"/>
  </r>
  <r>
    <s v="ORD-2023-974506"/>
    <d v="2023-12-28T00:00:00"/>
    <d v="2024-01-01T00:00:00"/>
    <d v="2023-12-28T00:00:00"/>
    <d v="2024-01-01T00:00:00"/>
    <n v="4"/>
    <s v="12-2023"/>
    <s v="Africa"/>
    <s v="South Africa"/>
    <s v="Cape Town"/>
    <s v="Education"/>
    <s v="Distributor"/>
    <s v="A. Patel"/>
    <s v="Printers"/>
    <s v="PRN-1654"/>
    <n v="1141.8"/>
    <n v="2318.7399999999998"/>
    <n v="0.107"/>
    <n v="32"/>
    <n v="66260.314239999992"/>
    <n v="36537.599999999999"/>
    <n v="29722.714239999994"/>
    <n v="0.44857490612468304"/>
    <s v="Q4-2023"/>
    <s v="Africa → South Africa → Cape Town"/>
    <s v="High"/>
    <n v="2023"/>
    <n v="12"/>
    <x v="1"/>
  </r>
  <r>
    <s v="ORD-2023-811823"/>
    <d v="2023-01-26T00:00:00"/>
    <d v="2023-02-15T00:00:00"/>
    <d v="2023-01-26T00:00:00"/>
    <d v="2023-02-15T00:00:00"/>
    <n v="20"/>
    <s v="1-2023"/>
    <s v="Europe"/>
    <s v="Germany"/>
    <s v="Berlin"/>
    <s v="Small Business"/>
    <s v="Online"/>
    <s v="O. Wang"/>
    <s v="Networking"/>
    <s v="NET-8787"/>
    <n v="492.62"/>
    <n v="366.7"/>
    <n v="8.8999999999999996E-2"/>
    <n v="10"/>
    <n v="3340.6370000000002"/>
    <n v="4926.2"/>
    <n v="-1585.5629999999996"/>
    <n v="-0.47462894052840809"/>
    <s v="Q1-2023"/>
    <s v="Europe → Germany → Berlin"/>
    <s v="Low"/>
    <n v="2023"/>
    <n v="1"/>
    <x v="0"/>
  </r>
  <r>
    <s v="ORD-2023-286720"/>
    <d v="2023-07-08T00:00:00"/>
    <d v="2023-07-09T00:00:00"/>
    <d v="2023-07-08T00:00:00"/>
    <d v="2023-07-09T00:00:00"/>
    <n v="1"/>
    <s v="7-2023"/>
    <s v="Africa"/>
    <s v="Kenya"/>
    <s v="Nairobi"/>
    <s v="Consumer"/>
    <s v="Online"/>
    <s v="D. Smith"/>
    <s v="Laptops"/>
    <s v="LAP-1989"/>
    <n v="1258.72"/>
    <n v="2797.41"/>
    <n v="0"/>
    <n v="7"/>
    <n v="19581.87"/>
    <n v="8811.0400000000009"/>
    <n v="10770.829999999998"/>
    <n v="0.55004093071805704"/>
    <s v="Q3-2023"/>
    <s v="Africa → Kenya → Nairobi"/>
    <s v="High"/>
    <n v="2023"/>
    <n v="7"/>
    <x v="1"/>
  </r>
  <r>
    <s v="ORD-2024-626925"/>
    <d v="2024-06-07T00:00:00"/>
    <d v="2024-06-09T00:00:00"/>
    <d v="2024-06-07T00:00:00"/>
    <d v="2024-06-09T00:00:00"/>
    <n v="2"/>
    <s v="6-2024"/>
    <s v="Asia"/>
    <s v="China"/>
    <s v="Shanghai"/>
    <s v="Corporate"/>
    <s v="Retail"/>
    <s v="O. Wang"/>
    <s v="Monitors"/>
    <s v="MON-8688"/>
    <n v="1370.28"/>
    <n v="2209.66"/>
    <n v="0.13300000000000001"/>
    <n v="16"/>
    <n v="30652.403519999996"/>
    <n v="21924.48"/>
    <n v="8727.9235199999966"/>
    <n v="0.28473863442079589"/>
    <s v="Q2-2024"/>
    <s v="Asia → China → Shanghai"/>
    <s v="High"/>
    <n v="2024"/>
    <n v="6"/>
    <x v="1"/>
  </r>
  <r>
    <s v="ORD-2023-960380"/>
    <d v="2023-02-11T00:00:00"/>
    <d v="2023-02-12T00:00:00"/>
    <d v="2023-02-11T00:00:00"/>
    <d v="2023-02-12T00:00:00"/>
    <n v="1"/>
    <s v="2-2023"/>
    <s v="Africa"/>
    <s v="Nigeria"/>
    <s v="Port Harcourt"/>
    <s v="Non-Profit"/>
    <s v="Direct"/>
    <s v="D. Smith"/>
    <s v="Accessories"/>
    <s v="ACC-8242"/>
    <n v="944.61"/>
    <n v="839.04"/>
    <n v="5.8999999999999997E-2"/>
    <n v="6"/>
    <n v="4737.2198399999997"/>
    <n v="5667.66"/>
    <n v="-930.44016000000011"/>
    <n v="-0.19641059343363726"/>
    <s v="Q1-2023"/>
    <s v="Africa → Nigeria → Port Harcourt"/>
    <s v="Low"/>
    <n v="2023"/>
    <n v="2"/>
    <x v="1"/>
  </r>
  <r>
    <s v="ORD-2023-453699"/>
    <d v="2023-07-01T00:00:00"/>
    <d v="2023-07-08T00:00:00"/>
    <d v="2023-07-01T00:00:00"/>
    <d v="2023-07-08T00:00:00"/>
    <n v="7"/>
    <s v="7-2023"/>
    <s v="Europe"/>
    <s v="Germany"/>
    <s v="Frankfurt"/>
    <s v="Small Business"/>
    <s v="Distributor"/>
    <s v="N. Brown"/>
    <s v="Laptops"/>
    <s v="LAP-4666"/>
    <n v="460.21"/>
    <n v="1139.1500000000001"/>
    <n v="0.115"/>
    <n v="14"/>
    <n v="14114.068500000001"/>
    <n v="6442.94"/>
    <n v="7671.1285000000016"/>
    <n v="0.54350937151821255"/>
    <s v="Q3-2023"/>
    <s v="Europe → Germany → Frankfurt"/>
    <s v="Low"/>
    <n v="2023"/>
    <n v="7"/>
    <x v="1"/>
  </r>
  <r>
    <s v="ORD-2025-960931"/>
    <d v="2025-08-20T00:00:00"/>
    <d v="2025-08-26T00:00:00"/>
    <d v="2025-08-20T00:00:00"/>
    <d v="2025-08-26T00:00:00"/>
    <n v="6"/>
    <s v="8-2025"/>
    <s v="Americas"/>
    <s v="USA"/>
    <s v="New York"/>
    <s v="Corporate"/>
    <s v="Retail"/>
    <s v="M. Rossi"/>
    <s v="Networking"/>
    <s v="NET-5196"/>
    <n v="1304.95"/>
    <n v="1712.03"/>
    <n v="0.21199999999999999"/>
    <n v="8"/>
    <n v="10792.637119999999"/>
    <n v="10439.6"/>
    <n v="353.03711999999905"/>
    <n v="3.2710922833287949E-2"/>
    <s v="Q3-2025"/>
    <s v="Americas → USA → New York"/>
    <s v="Medium"/>
    <n v="2025"/>
    <n v="8"/>
    <x v="1"/>
  </r>
  <r>
    <s v="ORD-2024-419248"/>
    <d v="2024-03-04T00:00:00"/>
    <d v="2024-03-16T00:00:00"/>
    <d v="2024-03-04T00:00:00"/>
    <d v="2024-03-16T00:00:00"/>
    <n v="12"/>
    <s v="3-2024"/>
    <s v="Africa"/>
    <s v="South Africa"/>
    <s v="Johannesburg"/>
    <s v="Enterprise"/>
    <s v="Distributor"/>
    <s v="M. Rossi"/>
    <s v="Monitors"/>
    <s v="MON-8422"/>
    <n v="441.08"/>
    <n v="1054.29"/>
    <n v="0.23699999999999999"/>
    <n v="6"/>
    <n v="4826.5396199999996"/>
    <n v="2646.48"/>
    <n v="2180.0596199999995"/>
    <n v="0.45168169985932899"/>
    <s v="Q1-2024"/>
    <s v="Africa → South Africa → Johannesburg"/>
    <s v="Low"/>
    <n v="2024"/>
    <n v="3"/>
    <x v="0"/>
  </r>
  <r>
    <s v="ORD-2023-868460"/>
    <d v="2023-06-01T00:00:00"/>
    <d v="2023-06-01T00:00:00"/>
    <d v="2023-06-01T00:00:00"/>
    <d v="2023-06-01T00:00:00"/>
    <n v="0"/>
    <s v="6-2023"/>
    <s v="Asia"/>
    <s v="India"/>
    <s v="Bengaluru"/>
    <s v="Corporate"/>
    <s v="Retail"/>
    <s v="E. Garcia"/>
    <s v="Accessories"/>
    <s v="ACC-4587"/>
    <n v="669.37"/>
    <n v="997.2"/>
    <n v="8.2000000000000003E-2"/>
    <n v="5"/>
    <n v="4577.1480000000001"/>
    <n v="3346.85"/>
    <n v="1230.2980000000002"/>
    <n v="0.26879139586484863"/>
    <s v="Q2-2023"/>
    <s v="Asia → India → Bengaluru"/>
    <s v="Low"/>
    <n v="2023"/>
    <n v="6"/>
    <x v="1"/>
  </r>
  <r>
    <s v="ORD-2023-472078"/>
    <d v="2023-02-28T00:00:00"/>
    <d v="2023-03-06T00:00:00"/>
    <d v="2023-02-28T00:00:00"/>
    <d v="2023-03-06T00:00:00"/>
    <n v="6"/>
    <s v="2-2023"/>
    <s v="Europe"/>
    <s v="Germany"/>
    <s v="Frankfurt"/>
    <s v="Small Business"/>
    <s v="Marketplace"/>
    <s v="D. Smith"/>
    <s v="Printers"/>
    <s v="PRN-9624"/>
    <n v="880.02"/>
    <n v="1251.21"/>
    <n v="0.123"/>
    <n v="29"/>
    <n v="31822.023930000003"/>
    <n v="25520.579999999998"/>
    <n v="6301.4439300000049"/>
    <n v="0.19802146915172672"/>
    <s v="Q1-2023"/>
    <s v="Europe → Germany → Frankfurt"/>
    <s v="Medium"/>
    <n v="2023"/>
    <n v="2"/>
    <x v="1"/>
  </r>
  <r>
    <s v="ORD-2025-779530"/>
    <d v="2025-05-19T00:00:00"/>
    <d v="2025-05-17T00:00:00"/>
    <d v="2025-05-17T00:00:00"/>
    <d v="2025-05-19T00:00:00"/>
    <n v="2"/>
    <s v="5-2025"/>
    <s v="Americas"/>
    <s v="Brazil"/>
    <s v="São Paulo"/>
    <s v="Small Business"/>
    <s v="Distributor"/>
    <s v="L. Okafor"/>
    <s v="Monitors"/>
    <s v="MON-2993"/>
    <n v="383.77"/>
    <n v="952.56"/>
    <n v="0.1186"/>
    <n v="10"/>
    <n v="8395.8638399999982"/>
    <n v="3837.7"/>
    <n v="4558.1638399999983"/>
    <n v="0.54290587923588807"/>
    <s v="Q2-2025"/>
    <s v="Americas → Brazil → São Paulo"/>
    <s v="Low"/>
    <n v="2025"/>
    <n v="5"/>
    <x v="1"/>
  </r>
  <r>
    <s v="ORD-2024-140633"/>
    <d v="2024-12-07T00:00:00"/>
    <d v="2024-12-26T00:00:00"/>
    <d v="2024-12-07T00:00:00"/>
    <d v="2024-12-26T00:00:00"/>
    <n v="19"/>
    <s v="12-2024"/>
    <s v="Europe"/>
    <s v="United Kingdom"/>
    <s v="London"/>
    <s v="Enterprise"/>
    <s v="Online"/>
    <s v="D. Smith"/>
    <s v="Networking"/>
    <s v="NET-4491"/>
    <n v="1035.24"/>
    <n v="2383.41"/>
    <n v="0.17"/>
    <n v="15"/>
    <n v="29673.454499999993"/>
    <n v="15528.6"/>
    <n v="14144.854499999992"/>
    <n v="0.47668378145860962"/>
    <s v="Q4-2024"/>
    <s v="Europe → United Kingdom → London"/>
    <s v="High"/>
    <n v="2024"/>
    <n v="12"/>
    <x v="0"/>
  </r>
  <r>
    <s v="ORD-2025-997421"/>
    <d v="2025-05-21T00:00:00"/>
    <d v="2025-06-09T00:00:00"/>
    <d v="2025-05-21T00:00:00"/>
    <d v="2025-06-09T00:00:00"/>
    <n v="19"/>
    <s v="5-2025"/>
    <s v="Americas"/>
    <s v="Brazil"/>
    <s v="São Paulo"/>
    <s v="Non-Profit"/>
    <s v="Online"/>
    <s v="A. Patel"/>
    <s v="Components"/>
    <s v="CMP-3731"/>
    <n v="1331.38"/>
    <n v="2309.56"/>
    <n v="0.14899999999999999"/>
    <n v="31"/>
    <n v="60928.502359999999"/>
    <n v="41272.780000000006"/>
    <n v="19655.722359999992"/>
    <n v="0.32260307735553528"/>
    <s v="Q2-2025"/>
    <s v="Americas → Brazil → São Paulo"/>
    <s v="High"/>
    <n v="2025"/>
    <n v="5"/>
    <x v="0"/>
  </r>
  <r>
    <s v="ORD-2023-139236"/>
    <d v="2023-03-03T00:00:00"/>
    <d v="2023-03-20T00:00:00"/>
    <d v="2023-03-03T00:00:00"/>
    <d v="2023-03-20T00:00:00"/>
    <n v="17"/>
    <s v="3-2023"/>
    <s v="Asia"/>
    <s v="Japan"/>
    <s v="Nagoya"/>
    <s v="Small Business"/>
    <s v="Online"/>
    <s v="D. Smith"/>
    <s v="Networking"/>
    <s v="NET-7349"/>
    <n v="1171.17"/>
    <n v="2030.64"/>
    <n v="0.157"/>
    <n v="11"/>
    <n v="18830.12472"/>
    <n v="12882.87"/>
    <n v="5947.254719999999"/>
    <n v="0.31583724528830415"/>
    <s v="Q1-2023"/>
    <s v="Asia → Japan → Nagoya"/>
    <s v="High"/>
    <n v="2023"/>
    <n v="3"/>
    <x v="0"/>
  </r>
  <r>
    <s v="ORD-2025-762301"/>
    <d v="2025-05-02T00:00:00"/>
    <d v="2025-05-13T00:00:00"/>
    <d v="2025-05-02T00:00:00"/>
    <d v="2025-05-13T00:00:00"/>
    <n v="11"/>
    <s v="5-2025"/>
    <s v="Africa"/>
    <s v="Kenya"/>
    <s v="Nakuru"/>
    <s v="Small Business"/>
    <s v="Online"/>
    <s v="A. Patel"/>
    <s v="Accessories"/>
    <s v="ACC-2252"/>
    <n v="1057.5999999999999"/>
    <n v="1437.06"/>
    <n v="0.20499999999999999"/>
    <n v="4"/>
    <n v="4569.8508000000002"/>
    <n v="4230.3999999999996"/>
    <n v="339.45080000000053"/>
    <n v="7.4280499485891424E-2"/>
    <s v="Q2-2025"/>
    <s v="Africa → Kenya → Nakuru"/>
    <s v="Medium"/>
    <n v="2025"/>
    <n v="5"/>
    <x v="0"/>
  </r>
  <r>
    <s v="ORD-2025-501927"/>
    <d v="2025-03-03T00:00:00"/>
    <d v="2025-03-24T00:00:00"/>
    <d v="2025-03-03T00:00:00"/>
    <d v="2025-03-24T00:00:00"/>
    <n v="21"/>
    <s v="3-2025"/>
    <s v="Africa"/>
    <s v="Nigeria"/>
    <s v="Abuja"/>
    <s v="Enterprise"/>
    <s v="Direct"/>
    <s v="H. Kim"/>
    <s v="Accessories"/>
    <s v="ACC-4056"/>
    <n v="555.95000000000005"/>
    <n v="468.09"/>
    <n v="0.14199999999999999"/>
    <n v="11"/>
    <n v="4417.8334199999999"/>
    <n v="6115.4500000000007"/>
    <n v="-1697.6165800000008"/>
    <n v="-0.38426450674095375"/>
    <s v="Q1-2025"/>
    <s v="Africa → Nigeria → Abuja"/>
    <s v="Low"/>
    <n v="2025"/>
    <n v="3"/>
    <x v="0"/>
  </r>
  <r>
    <s v="ORD-2024-536442"/>
    <d v="2024-08-31T00:00:00"/>
    <d v="2024-09-26T00:00:00"/>
    <d v="2024-08-31T00:00:00"/>
    <d v="2024-09-26T00:00:00"/>
    <n v="26"/>
    <s v="8-2024"/>
    <s v="Asia"/>
    <s v="Japan"/>
    <s v="Tokyo"/>
    <s v="Education"/>
    <s v="Online"/>
    <s v="I. Johnson"/>
    <s v="Phones"/>
    <s v="PHN-6111"/>
    <n v="1189.03"/>
    <n v="2949.62"/>
    <n v="0.125"/>
    <n v="13"/>
    <n v="33551.927499999998"/>
    <n v="15457.39"/>
    <n v="18094.537499999999"/>
    <n v="0.53929949330034765"/>
    <s v="Q3-2024"/>
    <s v="Asia → Japan → Tokyo"/>
    <s v="High"/>
    <n v="2024"/>
    <n v="8"/>
    <x v="0"/>
  </r>
  <r>
    <s v="ORD-2024-961756"/>
    <d v="2024-11-25T00:00:00"/>
    <d v="2024-12-07T00:00:00"/>
    <d v="2024-11-25T00:00:00"/>
    <d v="2024-12-07T00:00:00"/>
    <n v="12"/>
    <s v="11-2024"/>
    <s v="Asia"/>
    <s v="China"/>
    <s v="Shanghai"/>
    <s v="Corporate"/>
    <s v="Distributor"/>
    <s v="A. Patel"/>
    <s v="Accessories"/>
    <s v="ACC-7047"/>
    <n v="769.9"/>
    <n v="814.36"/>
    <n v="0"/>
    <n v="5"/>
    <n v="4071.8"/>
    <n v="3849.5"/>
    <n v="222.30000000000018"/>
    <n v="5.4595019401738831E-2"/>
    <s v="Q4-2024"/>
    <s v="Asia → China → Shanghai"/>
    <s v="Low"/>
    <n v="2024"/>
    <n v="11"/>
    <x v="0"/>
  </r>
  <r>
    <s v="ORD-2025-874124"/>
    <d v="2025-05-14T00:00:00"/>
    <d v="2025-05-12T00:00:00"/>
    <d v="2025-05-12T00:00:00"/>
    <d v="2025-05-14T00:00:00"/>
    <n v="2"/>
    <s v="5-2025"/>
    <s v="Americas"/>
    <s v="Canada"/>
    <s v="Vancouver"/>
    <s v="Non-Profit"/>
    <s v="Distributor"/>
    <s v="F. Müller"/>
    <s v="Printers"/>
    <s v="PRN-2407"/>
    <n v="883.5"/>
    <n v="1978.91"/>
    <n v="5.3999999999999999E-2"/>
    <n v="27"/>
    <n v="50545.319219999998"/>
    <n v="23854.5"/>
    <n v="26690.819219999998"/>
    <n v="0.52805718970390547"/>
    <s v="Q2-2025"/>
    <s v="Americas → Canada → Vancouver"/>
    <s v="High"/>
    <n v="2025"/>
    <n v="5"/>
    <x v="1"/>
  </r>
  <r>
    <s v="ORD-2024-687073"/>
    <d v="2024-03-11T00:00:00"/>
    <d v="2024-03-29T00:00:00"/>
    <d v="2024-03-11T00:00:00"/>
    <d v="2024-03-29T00:00:00"/>
    <n v="18"/>
    <s v="3-2024"/>
    <s v="Americas"/>
    <s v="USA"/>
    <s v="New York"/>
    <s v="Corporate"/>
    <s v="Retail"/>
    <s v="M. Rossi"/>
    <s v="Monitors"/>
    <s v="MON-7099"/>
    <n v="710.98"/>
    <n v="1481.45"/>
    <n v="0.21099999999999999"/>
    <n v="9"/>
    <n v="10519.776450000001"/>
    <n v="6398.82"/>
    <n v="4120.9564500000015"/>
    <n v="0.39173422264120461"/>
    <s v="Q1-2024"/>
    <s v="Americas → USA → New York"/>
    <s v="Medium"/>
    <n v="2024"/>
    <n v="3"/>
    <x v="0"/>
  </r>
  <r>
    <s v="ORD-2023-660608"/>
    <d v="2023-07-25T00:00:00"/>
    <d v="2023-08-10T00:00:00"/>
    <d v="2023-07-25T00:00:00"/>
    <d v="2023-08-10T00:00:00"/>
    <n v="16"/>
    <s v="7-2023"/>
    <s v="Africa"/>
    <s v="Nigeria"/>
    <s v="Port Harcourt"/>
    <s v="Corporate"/>
    <s v="Distributor"/>
    <s v="I. Johnson"/>
    <s v="Accessories"/>
    <s v="ACC-8178"/>
    <n v="506.83"/>
    <n v="441.74"/>
    <n v="0.24"/>
    <n v="9"/>
    <n v="3021.5016000000001"/>
    <n v="4561.47"/>
    <n v="-1539.9684000000002"/>
    <n v="-0.50966989393618067"/>
    <s v="Q3-2023"/>
    <s v="Africa → Nigeria → Port Harcourt"/>
    <s v="Low"/>
    <n v="2023"/>
    <n v="7"/>
    <x v="0"/>
  </r>
  <r>
    <s v="ORD-2024-872291"/>
    <d v="2024-01-08T00:00:00"/>
    <d v="2024-01-12T00:00:00"/>
    <d v="2024-01-08T00:00:00"/>
    <d v="2024-01-12T00:00:00"/>
    <n v="4"/>
    <s v="1-2024"/>
    <s v="Asia"/>
    <s v="India"/>
    <s v="Bengaluru"/>
    <s v="Corporate"/>
    <s v="Direct"/>
    <s v="E. Garcia"/>
    <s v="Printers"/>
    <s v="PRN-6585"/>
    <n v="802.32"/>
    <n v="602.34"/>
    <n v="0.12"/>
    <n v="25"/>
    <n v="13251.48"/>
    <n v="20058"/>
    <n v="-6806.52"/>
    <n v="-0.51364224977134632"/>
    <s v="Q1-2024"/>
    <s v="Asia → India → Bengaluru"/>
    <s v="Low"/>
    <n v="2024"/>
    <n v="1"/>
    <x v="1"/>
  </r>
  <r>
    <s v="ORD-2024-250862"/>
    <d v="2024-10-25T00:00:00"/>
    <d v="2024-11-05T00:00:00"/>
    <d v="2024-10-25T00:00:00"/>
    <d v="2024-11-05T00:00:00"/>
    <n v="11"/>
    <s v="10-2024"/>
    <s v="Americas"/>
    <s v="USA"/>
    <s v="New York"/>
    <s v="Corporate"/>
    <s v="Distributor"/>
    <s v="N. Brown"/>
    <s v="Components"/>
    <s v="CMP-9498"/>
    <n v="446.66"/>
    <n v="527.64"/>
    <n v="0.14499999999999999"/>
    <n v="15"/>
    <n v="6766.9829999999993"/>
    <n v="6699.9000000000005"/>
    <n v="67.082999999998719"/>
    <n v="9.9132804087137105E-3"/>
    <s v="Q4-2024"/>
    <s v="Americas → USA → New York"/>
    <s v="Low"/>
    <n v="2024"/>
    <n v="10"/>
    <x v="0"/>
  </r>
  <r>
    <s v="ORD-2024-331226"/>
    <d v="2024-11-30T00:00:00"/>
    <d v="2024-12-19T00:00:00"/>
    <d v="2024-11-30T00:00:00"/>
    <d v="2024-12-19T00:00:00"/>
    <n v="19"/>
    <s v="11-2024"/>
    <s v="Africa"/>
    <s v="Kenya"/>
    <s v="Kisumu"/>
    <s v="Corporate"/>
    <s v="Online"/>
    <s v="L. Okafor"/>
    <s v="Phones"/>
    <s v="PHN-1919"/>
    <n v="1195.98"/>
    <n v="1841.9"/>
    <n v="5.5E-2"/>
    <n v="19"/>
    <n v="33071.3145"/>
    <n v="22723.62"/>
    <n v="10347.694500000001"/>
    <n v="0.31289032977506842"/>
    <s v="Q4-2024"/>
    <s v="Africa → Kenya → Kisumu"/>
    <s v="Medium"/>
    <n v="2024"/>
    <n v="11"/>
    <x v="0"/>
  </r>
  <r>
    <s v="ORD-2023-356427"/>
    <d v="2023-04-13T00:00:00"/>
    <d v="2023-05-02T00:00:00"/>
    <d v="2023-04-13T00:00:00"/>
    <d v="2023-05-02T00:00:00"/>
    <n v="19"/>
    <s v="4-2023"/>
    <s v="Americas"/>
    <s v="Canada"/>
    <s v="Montreal"/>
    <s v="Consumer"/>
    <s v="Distributor"/>
    <s v="E. Garcia"/>
    <s v="Monitors"/>
    <s v="MON-6053"/>
    <n v="671.05"/>
    <n v="1645.48"/>
    <n v="0.13700000000000001"/>
    <n v="6"/>
    <n v="8520.2954399999999"/>
    <n v="4026.2999999999997"/>
    <n v="4493.9954400000006"/>
    <n v="0.52744596377517172"/>
    <s v="Q2-2023"/>
    <s v="Americas → Canada → Montreal"/>
    <s v="Medium"/>
    <n v="2023"/>
    <n v="4"/>
    <x v="0"/>
  </r>
  <r>
    <s v="ORD-2025-659650"/>
    <d v="2025-02-04T00:00:00"/>
    <d v="2025-02-08T00:00:00"/>
    <d v="2025-02-04T00:00:00"/>
    <d v="2025-02-08T00:00:00"/>
    <n v="4"/>
    <s v="2-2025"/>
    <s v="Europe"/>
    <s v="United Kingdom"/>
    <s v="Manchester"/>
    <s v="Enterprise"/>
    <s v="Marketplace"/>
    <s v="L. Okafor"/>
    <s v="Networking"/>
    <s v="NET-2502"/>
    <n v="586.21"/>
    <n v="727.22"/>
    <n v="6.8000000000000005E-2"/>
    <n v="15"/>
    <n v="10166.535600000001"/>
    <n v="8793.1500000000015"/>
    <n v="1373.3855999999996"/>
    <n v="0.13508884973559721"/>
    <s v="Q1-2025"/>
    <s v="Europe → United Kingdom → Manchester"/>
    <s v="Low"/>
    <n v="2025"/>
    <n v="2"/>
    <x v="1"/>
  </r>
  <r>
    <s v="ORD-2024-207669"/>
    <d v="2024-01-24T00:00:00"/>
    <d v="2024-02-04T00:00:00"/>
    <d v="2024-01-24T00:00:00"/>
    <d v="2024-02-04T00:00:00"/>
    <n v="11"/>
    <s v="1-2024"/>
    <s v="Europe"/>
    <s v="United Kingdom"/>
    <s v="Manchester"/>
    <s v="Consumer"/>
    <s v="Retail"/>
    <s v="B. Chen"/>
    <s v="Laptops"/>
    <s v="LAP-5689"/>
    <n v="525.34"/>
    <n v="1233.79"/>
    <n v="0.14299999999999999"/>
    <n v="4"/>
    <n v="4229.4321199999995"/>
    <n v="2101.36"/>
    <n v="2128.0721199999994"/>
    <n v="0.50315788494082736"/>
    <s v="Q1-2024"/>
    <s v="Europe → United Kingdom → Manchester"/>
    <s v="Medium"/>
    <n v="2024"/>
    <n v="1"/>
    <x v="0"/>
  </r>
  <r>
    <s v="ORD-2024-979401"/>
    <d v="2024-02-08T00:00:00"/>
    <d v="2024-02-09T00:00:00"/>
    <d v="2024-02-08T00:00:00"/>
    <d v="2024-02-09T00:00:00"/>
    <n v="1"/>
    <s v="2-2024"/>
    <s v="Africa"/>
    <s v="Kenya"/>
    <s v="Mombasa"/>
    <s v="Corporate"/>
    <s v="Direct"/>
    <s v="F. Müller"/>
    <s v="Components"/>
    <s v="CMP-5911"/>
    <n v="1233.52"/>
    <n v="1543.76"/>
    <n v="0.126"/>
    <n v="13"/>
    <n v="17540.201120000002"/>
    <n v="16035.76"/>
    <n v="1504.4411200000013"/>
    <n v="8.5771030201277493E-2"/>
    <s v="Q1-2024"/>
    <s v="Africa → Kenya → Mombasa"/>
    <s v="Medium"/>
    <n v="2024"/>
    <n v="2"/>
    <x v="1"/>
  </r>
  <r>
    <s v="ORD-2025-929414"/>
    <d v="2025-06-26T00:00:00"/>
    <d v="2025-07-11T00:00:00"/>
    <d v="2025-06-26T00:00:00"/>
    <d v="2025-07-11T00:00:00"/>
    <n v="15"/>
    <s v="6-2025"/>
    <s v="Africa"/>
    <s v="Nigeria"/>
    <s v="Port Harcourt"/>
    <s v="Small Business"/>
    <s v="Online"/>
    <s v="A. Patel"/>
    <s v="Laptops"/>
    <s v="LAP-7523"/>
    <n v="1170.1500000000001"/>
    <n v="2115.19"/>
    <n v="9.1999999999999998E-2"/>
    <n v="23"/>
    <n v="44173.627960000005"/>
    <n v="26913.45"/>
    <n v="17260.177960000005"/>
    <n v="0.39073489674946776"/>
    <s v="Q2-2025"/>
    <s v="Africa → Nigeria → Port Harcourt"/>
    <s v="High"/>
    <n v="2025"/>
    <n v="6"/>
    <x v="0"/>
  </r>
  <r>
    <s v="ORD-2024-766980"/>
    <d v="2024-11-04T00:00:00"/>
    <d v="2024-11-07T00:00:00"/>
    <d v="2024-11-04T00:00:00"/>
    <d v="2024-11-07T00:00:00"/>
    <n v="3"/>
    <s v="11-2024"/>
    <s v="Europe"/>
    <s v="France"/>
    <s v="Lyon"/>
    <s v="Corporate"/>
    <s v="Online"/>
    <s v="O. Wang"/>
    <s v="Monitors"/>
    <s v="MON-1118"/>
    <n v="740.68"/>
    <n v="1837.19"/>
    <n v="0.19700000000000001"/>
    <n v="17"/>
    <n v="25079.480689999997"/>
    <n v="12591.56"/>
    <n v="12487.920689999997"/>
    <n v="0.4979337827748298"/>
    <s v="Q4-2024"/>
    <s v="Europe → France → Lyon"/>
    <s v="Medium"/>
    <n v="2024"/>
    <n v="11"/>
    <x v="1"/>
  </r>
  <r>
    <s v="ORD-2024-437164"/>
    <d v="2024-02-20T00:00:00"/>
    <d v="2024-02-20T00:00:00"/>
    <d v="2024-02-20T00:00:00"/>
    <d v="2024-02-20T00:00:00"/>
    <n v="0"/>
    <s v="2-2024"/>
    <s v="Americas"/>
    <s v="USA"/>
    <s v="New York"/>
    <s v="Enterprise"/>
    <s v="Online"/>
    <s v="C. Otieno"/>
    <s v="Networking"/>
    <s v="NET-9177"/>
    <n v="1407.05"/>
    <n v="2858.93"/>
    <n v="0"/>
    <n v="12"/>
    <n v="34307.159999999996"/>
    <n v="16884.599999999999"/>
    <n v="17422.559999999998"/>
    <n v="0.50784034586366222"/>
    <s v="Q1-2024"/>
    <s v="Americas → USA → New York"/>
    <s v="High"/>
    <n v="2024"/>
    <n v="2"/>
    <x v="1"/>
  </r>
  <r>
    <s v="ORD-2025-169093"/>
    <d v="2025-04-13T00:00:00"/>
    <d v="2025-04-14T00:00:00"/>
    <d v="2025-04-13T00:00:00"/>
    <d v="2025-04-14T00:00:00"/>
    <n v="1"/>
    <s v="4-2025"/>
    <s v="Asia"/>
    <s v="Japan"/>
    <s v="Osaka"/>
    <s v="Enterprise"/>
    <s v="Online"/>
    <s v="G. Dubois"/>
    <s v="Components"/>
    <s v="CMP-6495"/>
    <n v="138.9"/>
    <n v="289.92"/>
    <n v="2.9000000000000001E-2"/>
    <n v="12"/>
    <n v="3378.1478400000001"/>
    <n v="1666.8000000000002"/>
    <n v="1711.3478399999999"/>
    <n v="0.50659353025828491"/>
    <s v="Q2-2025"/>
    <s v="Asia → Japan → Osaka"/>
    <s v="Low"/>
    <n v="2025"/>
    <n v="4"/>
    <x v="1"/>
  </r>
  <r>
    <s v="ORD-2024-787018"/>
    <d v="2024-06-23T00:00:00"/>
    <d v="2024-06-28T00:00:00"/>
    <d v="2024-06-23T00:00:00"/>
    <d v="2024-06-28T00:00:00"/>
    <n v="5"/>
    <s v="6-2024"/>
    <s v="Africa"/>
    <s v="Nigeria"/>
    <s v="Port Harcourt"/>
    <s v="Non-Profit"/>
    <s v="Direct"/>
    <s v="M. Rossi"/>
    <s v="Accessories"/>
    <s v="ACC-7671"/>
    <n v="242.31"/>
    <n v="587.95000000000005"/>
    <n v="0.22900000000000001"/>
    <n v="6"/>
    <n v="2719.8567000000003"/>
    <n v="1453.8600000000001"/>
    <n v="1265.9967000000001"/>
    <n v="0.46546448568411714"/>
    <s v="Q2-2024"/>
    <s v="Africa → Nigeria → Port Harcourt"/>
    <s v="Low"/>
    <n v="2024"/>
    <n v="6"/>
    <x v="1"/>
  </r>
  <r>
    <s v="ORD-2025-177994"/>
    <d v="2025-03-24T00:00:00"/>
    <d v="2025-04-04T00:00:00"/>
    <d v="2025-03-24T00:00:00"/>
    <d v="2025-04-04T00:00:00"/>
    <n v="11"/>
    <s v="3-2025"/>
    <s v="Asia"/>
    <s v="India"/>
    <s v="Mumbai"/>
    <s v="Education"/>
    <s v="Marketplace"/>
    <s v="J. Njeri"/>
    <s v="Phones"/>
    <s v="PHN-4395"/>
    <n v="23.83"/>
    <n v="47.29"/>
    <n v="6.4000000000000001E-2"/>
    <n v="19"/>
    <n v="841.00536"/>
    <n v="452.77"/>
    <n v="388.23536000000001"/>
    <n v="0.46163244429262618"/>
    <s v="Q1-2025"/>
    <s v="Asia → India → Mumbai"/>
    <s v="Low"/>
    <n v="2025"/>
    <n v="3"/>
    <x v="0"/>
  </r>
  <r>
    <s v="ORD-2024-355095"/>
    <d v="2024-01-02T00:00:00"/>
    <d v="2024-01-02T00:00:00"/>
    <d v="2024-01-02T00:00:00"/>
    <d v="2024-01-02T00:00:00"/>
    <n v="0"/>
    <s v="1-2024"/>
    <s v="Americas"/>
    <s v="Canada"/>
    <s v="Vancouver"/>
    <s v="Education"/>
    <s v="Direct"/>
    <s v="A. Patel"/>
    <s v="Laptops"/>
    <s v="LAP-3581"/>
    <n v="444.41"/>
    <n v="754.24"/>
    <n v="0.20699999999999999"/>
    <n v="32"/>
    <n v="19139.594240000002"/>
    <n v="14221.12"/>
    <n v="4918.4742400000014"/>
    <n v="0.25697902360546598"/>
    <s v="Q1-2024"/>
    <s v="Americas → Canada → Vancouver"/>
    <s v="Low"/>
    <n v="2024"/>
    <n v="1"/>
    <x v="1"/>
  </r>
  <r>
    <s v="ORD-2023-126505"/>
    <d v="2023-12-19T00:00:00"/>
    <d v="2024-01-01T00:00:00"/>
    <d v="2023-12-19T00:00:00"/>
    <d v="2024-01-01T00:00:00"/>
    <n v="13"/>
    <s v="12-2023"/>
    <s v="Americas"/>
    <s v="Canada"/>
    <s v="Toronto"/>
    <s v="Enterprise"/>
    <s v="Retail"/>
    <s v="K. Singh"/>
    <s v="Monitors"/>
    <s v="MON-6065"/>
    <n v="856.1"/>
    <n v="901.48"/>
    <n v="5.6000000000000001E-2"/>
    <n v="17"/>
    <n v="14466.95104"/>
    <n v="14553.7"/>
    <n v="-86.748960000000807"/>
    <n v="-5.9963540182134192E-3"/>
    <s v="Q4-2023"/>
    <s v="Americas → Canada → Toronto"/>
    <s v="Low"/>
    <n v="2023"/>
    <n v="12"/>
    <x v="0"/>
  </r>
  <r>
    <s v="ORD-2023-340056"/>
    <d v="2023-04-26T00:00:00"/>
    <d v="2023-04-26T00:00:00"/>
    <d v="2023-04-26T00:00:00"/>
    <d v="2023-04-26T00:00:00"/>
    <n v="0"/>
    <s v="4-2023"/>
    <s v="Europe"/>
    <s v="France"/>
    <s v="Marseille"/>
    <s v="Consumer"/>
    <s v="Direct"/>
    <s v="M. Rossi"/>
    <s v="Components"/>
    <s v="CMP-4945"/>
    <n v="81.489999999999995"/>
    <n v="113.08"/>
    <n v="0.121"/>
    <n v="5"/>
    <n v="496.98660000000001"/>
    <n v="407.45"/>
    <n v="89.536600000000021"/>
    <n v="0.18015898215364362"/>
    <s v="Q2-2023"/>
    <s v="Europe → France → Marseille"/>
    <s v="Low"/>
    <n v="2023"/>
    <n v="4"/>
    <x v="1"/>
  </r>
  <r>
    <s v="ORD-2025-281413"/>
    <d v="2025-08-03T00:00:00"/>
    <d v="2025-08-16T00:00:00"/>
    <d v="2025-08-03T00:00:00"/>
    <d v="2025-08-16T00:00:00"/>
    <n v="13"/>
    <s v="8-2025"/>
    <s v="Americas"/>
    <s v="Canada"/>
    <s v="Montreal"/>
    <s v="Enterprise"/>
    <s v="Distributor"/>
    <s v="O. Wang"/>
    <s v="Networking"/>
    <s v="NET-3785"/>
    <n v="698.66"/>
    <n v="868.62"/>
    <n v="7.1999999999999995E-2"/>
    <n v="15"/>
    <n v="12091.190399999999"/>
    <n v="10479.9"/>
    <n v="1611.2903999999999"/>
    <n v="0.13326151906432637"/>
    <s v="Q3-2025"/>
    <s v="Americas → Canada → Montreal"/>
    <s v="Low"/>
    <n v="2025"/>
    <n v="8"/>
    <x v="0"/>
  </r>
  <r>
    <s v="ORD-2023-713614"/>
    <d v="2023-08-02T00:00:00"/>
    <d v="2023-08-19T00:00:00"/>
    <d v="2023-08-02T00:00:00"/>
    <d v="2023-08-19T00:00:00"/>
    <n v="17"/>
    <s v="8-2023"/>
    <s v="Americas"/>
    <s v="Canada"/>
    <s v="Vancouver"/>
    <s v="Corporate"/>
    <s v="Online"/>
    <s v="F. Müller"/>
    <s v="Networking"/>
    <s v="NET-3689"/>
    <n v="175.38"/>
    <n v="347.9"/>
    <n v="7.1999999999999995E-2"/>
    <n v="43"/>
    <n v="13882.6016"/>
    <n v="7541.34"/>
    <n v="6341.2615999999998"/>
    <n v="0.45677761148169804"/>
    <s v="Q3-2023"/>
    <s v="Americas → Canada → Vancouver"/>
    <s v="Low"/>
    <n v="2023"/>
    <n v="8"/>
    <x v="0"/>
  </r>
  <r>
    <s v="ORD-2025-649239"/>
    <d v="2025-01-17T00:00:00"/>
    <d v="2025-01-24T00:00:00"/>
    <d v="2025-01-17T00:00:00"/>
    <d v="2025-01-24T00:00:00"/>
    <n v="7"/>
    <s v="1-2025"/>
    <s v="Americas"/>
    <s v="USA"/>
    <s v="Austin"/>
    <s v="Enterprise"/>
    <s v="Online"/>
    <s v="G. Dubois"/>
    <s v="Accessories"/>
    <s v="ACC-4511"/>
    <n v="142.09"/>
    <n v="218.5"/>
    <n v="0.11899999999999999"/>
    <n v="11"/>
    <n v="2117.4834999999998"/>
    <n v="1562.99"/>
    <n v="554.49349999999981"/>
    <n v="0.26186437816398561"/>
    <s v="Q1-2025"/>
    <s v="Americas → USA → Austin"/>
    <s v="Low"/>
    <n v="2025"/>
    <n v="1"/>
    <x v="1"/>
  </r>
  <r>
    <s v="ORD-2024-496601"/>
    <d v="2024-11-11T00:00:00"/>
    <d v="2024-11-24T00:00:00"/>
    <d v="2024-11-11T00:00:00"/>
    <d v="2024-11-24T00:00:00"/>
    <n v="13"/>
    <s v="11-2024"/>
    <s v="Europe"/>
    <s v="United Kingdom"/>
    <s v="London"/>
    <s v="Corporate"/>
    <s v="Retail"/>
    <s v="E. Garcia"/>
    <s v="Networking"/>
    <s v="NET-2932"/>
    <n v="164.53"/>
    <n v="327.72"/>
    <n v="6.7000000000000004E-2"/>
    <n v="14"/>
    <n v="4280.6786400000001"/>
    <n v="2303.42"/>
    <n v="1977.25864"/>
    <n v="0.46190307805960412"/>
    <s v="Q4-2024"/>
    <s v="Europe → United Kingdom → London"/>
    <s v="Low"/>
    <n v="2024"/>
    <n v="11"/>
    <x v="0"/>
  </r>
  <r>
    <s v="ORD-2025-155182"/>
    <d v="2025-07-11T00:00:00"/>
    <d v="2025-08-03T00:00:00"/>
    <d v="2025-07-11T00:00:00"/>
    <d v="2025-08-03T00:00:00"/>
    <n v="23"/>
    <s v="7-2025"/>
    <s v="Africa"/>
    <s v="Kenya"/>
    <s v="Nakuru"/>
    <s v="Small Business"/>
    <s v="Retail"/>
    <s v="C. Otieno"/>
    <s v="Phones"/>
    <s v="PHN-7636"/>
    <n v="389.93"/>
    <n v="486.13"/>
    <n v="0.13200000000000001"/>
    <n v="17"/>
    <n v="7173.3342799999991"/>
    <n v="6628.81"/>
    <n v="544.52427999999873"/>
    <n v="7.5909508569562828E-2"/>
    <s v="Q3-2025"/>
    <s v="Africa → Kenya → Nakuru"/>
    <s v="Low"/>
    <n v="2025"/>
    <n v="7"/>
    <x v="0"/>
  </r>
  <r>
    <s v="ORD-2024-247032"/>
    <d v="2024-04-21T00:00:00"/>
    <d v="2024-05-19T00:00:00"/>
    <d v="2024-04-21T00:00:00"/>
    <d v="2024-05-19T00:00:00"/>
    <n v="28"/>
    <s v="4-2024"/>
    <s v="Africa"/>
    <s v="Nigeria"/>
    <s v="Lagos"/>
    <s v="Corporate"/>
    <s v="Distributor"/>
    <s v="A. Patel"/>
    <s v="Accessories"/>
    <s v="ACC-2990"/>
    <n v="187.22"/>
    <n v="309.47000000000003"/>
    <n v="0"/>
    <n v="5"/>
    <n v="1547.3500000000001"/>
    <n v="936.1"/>
    <n v="611.25000000000011"/>
    <n v="0.39503021294471197"/>
    <s v="Q2-2024"/>
    <s v="Africa → Nigeria → Lagos"/>
    <s v="Low"/>
    <n v="2024"/>
    <n v="4"/>
    <x v="0"/>
  </r>
  <r>
    <s v="ORD-2025-419532"/>
    <d v="2025-08-06T00:00:00"/>
    <d v="2025-08-23T00:00:00"/>
    <d v="2025-08-06T00:00:00"/>
    <d v="2025-08-23T00:00:00"/>
    <n v="17"/>
    <s v="8-2025"/>
    <s v="Americas"/>
    <s v="Brazil"/>
    <s v="Brasília"/>
    <s v="Consumer"/>
    <s v="Distributor"/>
    <s v="A. Patel"/>
    <s v="Monitors"/>
    <s v="MON-4317"/>
    <n v="86.64"/>
    <n v="213.06"/>
    <n v="0.21199999999999999"/>
    <n v="11"/>
    <n v="1846.8040799999999"/>
    <n v="953.04"/>
    <n v="893.76407999999992"/>
    <n v="0.48395175735154322"/>
    <s v="Q3-2025"/>
    <s v="Americas → Brazil → Brasília"/>
    <s v="Low"/>
    <n v="2025"/>
    <n v="8"/>
    <x v="0"/>
  </r>
  <r>
    <s v="ORD-2024-594527"/>
    <d v="2024-09-06T00:00:00"/>
    <d v="2024-09-04T00:00:00"/>
    <d v="2024-09-04T00:00:00"/>
    <d v="2024-09-06T00:00:00"/>
    <n v="2"/>
    <s v="9-2024"/>
    <s v="Asia"/>
    <s v="Japan"/>
    <s v="Osaka"/>
    <s v="Corporate"/>
    <s v="Direct"/>
    <s v="A. Patel"/>
    <s v="Laptops"/>
    <s v="LAP-4483"/>
    <n v="1368.17"/>
    <n v="2307.75"/>
    <n v="0.16300000000000001"/>
    <n v="21"/>
    <n v="40563.321749999996"/>
    <n v="28731.57"/>
    <n v="11831.751749999996"/>
    <n v="0.29168596750831921"/>
    <s v="Q3-2024"/>
    <s v="Asia → Japan → Osaka"/>
    <s v="High"/>
    <n v="2024"/>
    <n v="9"/>
    <x v="1"/>
  </r>
  <r>
    <s v="ORD-2024-689872"/>
    <d v="2024-08-03T00:00:00"/>
    <d v="2024-08-09T00:00:00"/>
    <d v="2024-08-03T00:00:00"/>
    <d v="2024-08-09T00:00:00"/>
    <n v="6"/>
    <s v="8-2024"/>
    <s v="Africa"/>
    <s v="Kenya"/>
    <s v="Mombasa"/>
    <s v="Consumer"/>
    <s v="Marketplace"/>
    <s v="H. Kim"/>
    <s v="Laptops"/>
    <s v="LAP-1969"/>
    <n v="643.21"/>
    <n v="1112.81"/>
    <n v="0.14099999999999999"/>
    <n v="4"/>
    <n v="3823.6151599999998"/>
    <n v="2572.84"/>
    <n v="1250.7751599999997"/>
    <n v="0.32711847496702562"/>
    <s v="Q3-2024"/>
    <s v="Africa → Kenya → Mombasa"/>
    <s v="Low"/>
    <n v="2024"/>
    <n v="8"/>
    <x v="1"/>
  </r>
  <r>
    <s v="ORD-2025-949776"/>
    <d v="2025-08-14T00:00:00"/>
    <d v="2025-09-11T00:00:00"/>
    <d v="2025-08-14T00:00:00"/>
    <d v="2025-09-11T00:00:00"/>
    <n v="28"/>
    <s v="8-2025"/>
    <s v="Americas"/>
    <s v="Brazil"/>
    <s v="São Paulo"/>
    <s v="Non-Profit"/>
    <s v="Direct"/>
    <s v="F. Müller"/>
    <s v="Printers"/>
    <s v="PRN-9490"/>
    <n v="1203.02"/>
    <n v="2439.33"/>
    <n v="0"/>
    <n v="18"/>
    <n v="43907.94"/>
    <n v="21654.36"/>
    <n v="22253.58"/>
    <n v="0.50682359500354612"/>
    <s v="Q3-2025"/>
    <s v="Americas → Brazil → São Paulo"/>
    <s v="High"/>
    <n v="2025"/>
    <n v="8"/>
    <x v="0"/>
  </r>
  <r>
    <s v="ORD-2023-378676"/>
    <d v="2023-05-03T00:00:00"/>
    <d v="2023-05-16T00:00:00"/>
    <d v="2023-05-03T00:00:00"/>
    <d v="2023-05-16T00:00:00"/>
    <n v="13"/>
    <s v="5-2023"/>
    <s v="Americas"/>
    <s v="USA"/>
    <s v="New York"/>
    <s v="Corporate"/>
    <s v="Marketplace"/>
    <s v="L. Okafor"/>
    <s v="Phones"/>
    <s v="PHN-5366"/>
    <n v="64.5"/>
    <n v="123.62"/>
    <n v="0"/>
    <n v="3"/>
    <n v="370.86"/>
    <n v="193.5"/>
    <n v="177.36"/>
    <n v="0.47823976702798904"/>
    <s v="Q2-2023"/>
    <s v="Americas → USA → New York"/>
    <s v="Low"/>
    <n v="2023"/>
    <n v="5"/>
    <x v="0"/>
  </r>
  <r>
    <s v="ORD-2024-243988"/>
    <d v="2024-03-13T00:00:00"/>
    <d v="2024-04-06T00:00:00"/>
    <d v="2024-03-13T00:00:00"/>
    <d v="2024-04-06T00:00:00"/>
    <n v="24"/>
    <s v="3-2024"/>
    <s v="Africa"/>
    <s v="Nigeria"/>
    <s v="Abuja"/>
    <s v="Consumer"/>
    <s v="Distributor"/>
    <s v="L. Okafor"/>
    <s v="Components"/>
    <s v="CMP-9001"/>
    <n v="1232.78"/>
    <n v="1731.75"/>
    <n v="9.2999999999999999E-2"/>
    <n v="16"/>
    <n v="25131.155999999999"/>
    <n v="19724.48"/>
    <n v="5406.6759999999995"/>
    <n v="0.21513837246484005"/>
    <s v="Q1-2024"/>
    <s v="Africa → Nigeria → Abuja"/>
    <s v="Medium"/>
    <n v="2024"/>
    <n v="3"/>
    <x v="0"/>
  </r>
  <r>
    <s v="ORD-2024-572312"/>
    <d v="2024-06-16T00:00:00"/>
    <d v="2024-06-21T00:00:00"/>
    <d v="2024-06-16T00:00:00"/>
    <d v="2024-06-21T00:00:00"/>
    <n v="5"/>
    <s v="6-2024"/>
    <s v="Asia"/>
    <s v="Japan"/>
    <s v="Tokyo"/>
    <s v="Small Business"/>
    <s v="Distributor"/>
    <s v="F. Müller"/>
    <s v="Phones"/>
    <s v="PHN-9677"/>
    <n v="1367.13"/>
    <n v="3062.01"/>
    <n v="0.10299999999999999"/>
    <n v="25"/>
    <n v="68665.574250000005"/>
    <n v="34178.25"/>
    <n v="34487.324250000005"/>
    <n v="0.50225057645971705"/>
    <s v="Q2-2024"/>
    <s v="Asia → Japan → Tokyo"/>
    <s v="High"/>
    <n v="2024"/>
    <n v="6"/>
    <x v="1"/>
  </r>
  <r>
    <s v="ORD-2024-232632"/>
    <d v="2024-02-14T00:00:00"/>
    <d v="2024-02-14T00:00:00"/>
    <d v="2024-02-14T00:00:00"/>
    <d v="2024-02-14T00:00:00"/>
    <n v="0"/>
    <s v="2-2024"/>
    <s v="Asia"/>
    <s v="China"/>
    <s v="Beijing"/>
    <s v="Corporate"/>
    <s v="Distributor"/>
    <s v="L. Okafor"/>
    <s v="Accessories"/>
    <s v="ACC-1021"/>
    <n v="65.930000000000007"/>
    <n v="84.9"/>
    <n v="0.25900000000000001"/>
    <n v="23"/>
    <n v="1446.9507000000001"/>
    <n v="1516.39"/>
    <n v="-69.439300000000003"/>
    <n v="-4.7990093926489688E-2"/>
    <s v="Q1-2024"/>
    <s v="Asia → China → Beijing"/>
    <s v="Low"/>
    <n v="2024"/>
    <n v="2"/>
    <x v="1"/>
  </r>
  <r>
    <s v="ORD-2023-755337"/>
    <d v="2023-09-08T00:00:00"/>
    <d v="2023-09-14T00:00:00"/>
    <d v="2023-09-08T00:00:00"/>
    <d v="2023-09-14T00:00:00"/>
    <n v="6"/>
    <s v="9-2023"/>
    <s v="Africa"/>
    <s v="Kenya"/>
    <s v="Nakuru"/>
    <s v="Education"/>
    <s v="Direct"/>
    <s v="I. Johnson"/>
    <s v="Accessories"/>
    <s v="ACC-4766"/>
    <n v="251.03"/>
    <n v="411.48"/>
    <n v="0.16500000000000001"/>
    <n v="3"/>
    <n v="1030.7574"/>
    <n v="753.09"/>
    <n v="277.66739999999993"/>
    <n v="0.26938191275658069"/>
    <s v="Q3-2023"/>
    <s v="Africa → Kenya → Nakuru"/>
    <s v="Low"/>
    <n v="2023"/>
    <n v="9"/>
    <x v="1"/>
  </r>
  <r>
    <s v="ORD-2025-993993"/>
    <d v="2025-08-30T00:00:00"/>
    <d v="2025-09-22T00:00:00"/>
    <d v="2025-08-30T00:00:00"/>
    <d v="2025-09-22T00:00:00"/>
    <n v="23"/>
    <s v="8-2025"/>
    <s v="Europe"/>
    <s v="France"/>
    <s v="Marseille"/>
    <s v="Corporate"/>
    <s v="Direct"/>
    <s v="E. Garcia"/>
    <s v="Components"/>
    <s v="CMP-5311"/>
    <n v="663.9"/>
    <n v="947.77"/>
    <n v="0.17399999999999999"/>
    <n v="15"/>
    <n v="11742.8703"/>
    <n v="9958.5"/>
    <n v="1784.3703000000005"/>
    <n v="0.1519535049280073"/>
    <s v="Q3-2025"/>
    <s v="Europe → France → Marseille"/>
    <s v="Low"/>
    <n v="2025"/>
    <n v="8"/>
    <x v="0"/>
  </r>
  <r>
    <s v="ORD-2023-619493"/>
    <d v="2023-02-27T00:00:00"/>
    <d v="2023-02-26T00:00:00"/>
    <d v="2023-02-26T00:00:00"/>
    <d v="2023-02-27T00:00:00"/>
    <n v="1"/>
    <s v="2-2023"/>
    <s v="Americas"/>
    <s v="USA"/>
    <s v="San Francisco"/>
    <s v="Non-Profit"/>
    <s v="Online"/>
    <s v="L. Okafor"/>
    <s v="Networking"/>
    <s v="NET-1282"/>
    <n v="1015.91"/>
    <n v="2331.48"/>
    <n v="0.14599999999999999"/>
    <n v="26"/>
    <n v="51768.181920000003"/>
    <n v="26413.66"/>
    <n v="25354.521920000003"/>
    <n v="0.48977037592669626"/>
    <s v="Q1-2023"/>
    <s v="Americas → USA → San Francisco"/>
    <s v="High"/>
    <n v="2023"/>
    <n v="2"/>
    <x v="1"/>
  </r>
  <r>
    <s v="ORD-2024-947056"/>
    <d v="2024-07-31T00:00:00"/>
    <d v="2024-08-15T00:00:00"/>
    <d v="2024-07-31T00:00:00"/>
    <d v="2024-08-15T00:00:00"/>
    <n v="15"/>
    <s v="7-2024"/>
    <s v="Asia"/>
    <s v="Japan"/>
    <s v="Tokyo"/>
    <s v="Corporate"/>
    <s v="Marketplace"/>
    <s v="F. Müller"/>
    <s v="Monitors"/>
    <s v="MON-1564"/>
    <n v="1252.52"/>
    <n v="1417.24"/>
    <n v="0.192"/>
    <n v="5"/>
    <n v="5725.6496000000006"/>
    <n v="6262.6"/>
    <n v="-536.95039999999972"/>
    <n v="-9.3779821943696953E-2"/>
    <s v="Q3-2024"/>
    <s v="Asia → Japan → Tokyo"/>
    <s v="Medium"/>
    <n v="2024"/>
    <n v="7"/>
    <x v="0"/>
  </r>
  <r>
    <s v="ORD-2025-828263"/>
    <d v="2025-05-17T00:00:00"/>
    <d v="2025-05-30T00:00:00"/>
    <d v="2025-05-17T00:00:00"/>
    <d v="2025-05-30T00:00:00"/>
    <n v="13"/>
    <s v="5-2025"/>
    <s v="Africa"/>
    <s v="Nigeria"/>
    <s v="Lagos"/>
    <s v="Consumer"/>
    <s v="Distributor"/>
    <s v="F. Müller"/>
    <s v="Accessories"/>
    <s v="ACC-3349"/>
    <n v="66.400000000000006"/>
    <n v="141.43"/>
    <n v="0.107"/>
    <n v="8"/>
    <n v="1010.3759200000001"/>
    <n v="531.20000000000005"/>
    <n v="479.17592000000002"/>
    <n v="0.47425508715607551"/>
    <s v="Q2-2025"/>
    <s v="Africa → Nigeria → Lagos"/>
    <s v="Low"/>
    <n v="2025"/>
    <n v="5"/>
    <x v="0"/>
  </r>
  <r>
    <s v="ORD-2024-442776"/>
    <d v="2024-06-30T00:00:00"/>
    <d v="2024-07-21T00:00:00"/>
    <d v="2024-06-30T00:00:00"/>
    <d v="2024-07-21T00:00:00"/>
    <n v="21"/>
    <s v="6-2024"/>
    <s v="Africa"/>
    <s v="Kenya"/>
    <s v="Kisumu"/>
    <s v="Small Business"/>
    <s v="Retail"/>
    <s v="K. Singh"/>
    <s v="Laptops"/>
    <s v="LAP-6577"/>
    <n v="753.43"/>
    <n v="1787.2"/>
    <n v="7.2999999999999995E-2"/>
    <n v="9"/>
    <n v="14910.609600000002"/>
    <n v="6780.87"/>
    <n v="8129.7396000000017"/>
    <n v="0.54523187301476939"/>
    <s v="Q2-2024"/>
    <s v="Africa → Kenya → Kisumu"/>
    <s v="Medium"/>
    <n v="2024"/>
    <n v="6"/>
    <x v="0"/>
  </r>
  <r>
    <s v="ORD-2025-705398"/>
    <d v="2025-02-17T00:00:00"/>
    <d v="2025-02-15T00:00:00"/>
    <d v="2025-02-15T00:00:00"/>
    <d v="2025-02-17T00:00:00"/>
    <n v="2"/>
    <s v="2-2025"/>
    <s v="Americas"/>
    <s v="Canada"/>
    <s v="Toronto"/>
    <s v="Small Business"/>
    <s v="Retail"/>
    <s v="D. Smith"/>
    <s v="Components"/>
    <s v="CMP-5065"/>
    <n v="1133.47"/>
    <n v="1698.75"/>
    <n v="4.2999999999999997E-2"/>
    <n v="5"/>
    <n v="8128.5187499999993"/>
    <n v="5667.35"/>
    <n v="2461.1687499999989"/>
    <n v="0.30278194904821976"/>
    <s v="Q1-2025"/>
    <s v="Americas → Canada → Toronto"/>
    <s v="Medium"/>
    <n v="2025"/>
    <n v="2"/>
    <x v="1"/>
  </r>
  <r>
    <s v="ORD-2023-689428"/>
    <d v="2023-01-07T00:00:00"/>
    <d v="2023-01-30T00:00:00"/>
    <d v="2023-01-07T00:00:00"/>
    <d v="2023-01-30T00:00:00"/>
    <n v="23"/>
    <s v="1-2023"/>
    <s v="Africa"/>
    <s v="South Africa"/>
    <s v="Cape Town"/>
    <s v="Consumer"/>
    <s v="Online"/>
    <s v="A. Patel"/>
    <s v="Printers"/>
    <s v="PRN-4787"/>
    <n v="299.02"/>
    <n v="724.7"/>
    <n v="0.14000000000000001"/>
    <n v="5"/>
    <n v="3116.21"/>
    <n v="1495.1"/>
    <n v="1621.1100000000001"/>
    <n v="0.52021847051386139"/>
    <s v="Q1-2023"/>
    <s v="Africa → South Africa → Cape Town"/>
    <s v="Low"/>
    <n v="2023"/>
    <n v="1"/>
    <x v="0"/>
  </r>
  <r>
    <s v="ORD-2025-683247"/>
    <d v="2025-03-10T00:00:00"/>
    <d v="2025-04-04T00:00:00"/>
    <d v="2025-03-10T00:00:00"/>
    <d v="2025-04-04T00:00:00"/>
    <n v="25"/>
    <s v="3-2025"/>
    <s v="Asia"/>
    <s v="Japan"/>
    <s v="Osaka"/>
    <s v="Corporate"/>
    <s v="Direct"/>
    <s v="H. Kim"/>
    <s v="Printers"/>
    <s v="PRN-9867"/>
    <n v="783.72"/>
    <n v="1355.94"/>
    <n v="0.187"/>
    <n v="4"/>
    <n v="4409.5168800000001"/>
    <n v="3134.88"/>
    <n v="1274.63688"/>
    <n v="0.28906497348525856"/>
    <s v="Q1-2025"/>
    <s v="Asia → Japan → Osaka"/>
    <s v="Medium"/>
    <n v="2025"/>
    <n v="3"/>
    <x v="0"/>
  </r>
  <r>
    <s v="ORD-2023-704111"/>
    <d v="2023-05-17T00:00:00"/>
    <d v="2023-06-15T00:00:00"/>
    <d v="2023-05-17T00:00:00"/>
    <d v="2023-06-15T00:00:00"/>
    <n v="29"/>
    <s v="5-2023"/>
    <s v="Africa"/>
    <s v="South Africa"/>
    <s v="Durban"/>
    <s v="Enterprise"/>
    <s v="Retail"/>
    <s v="K. Singh"/>
    <s v="Accessories"/>
    <s v="ACC-5206"/>
    <n v="40.89"/>
    <n v="62.82"/>
    <n v="0.129"/>
    <n v="17"/>
    <n v="930.17574000000002"/>
    <n v="695.13"/>
    <n v="235.04574000000002"/>
    <n v="0.25268960465470752"/>
    <s v="Q2-2023"/>
    <s v="Africa → South Africa → Durban"/>
    <s v="Low"/>
    <n v="2023"/>
    <n v="5"/>
    <x v="0"/>
  </r>
  <r>
    <s v="ORD-2024-907733"/>
    <d v="2024-03-09T00:00:00"/>
    <d v="2024-03-22T00:00:00"/>
    <d v="2024-03-09T00:00:00"/>
    <d v="2024-03-22T00:00:00"/>
    <n v="13"/>
    <s v="3-2024"/>
    <s v="Europe"/>
    <s v="United Kingdom"/>
    <s v="Manchester"/>
    <s v="Consumer"/>
    <s v="Online"/>
    <s v="E. Garcia"/>
    <s v="Laptops"/>
    <s v="LAP-8633"/>
    <n v="985.45"/>
    <n v="1802.44"/>
    <n v="8.9999999999999993E-3"/>
    <n v="19"/>
    <n v="33938.142760000002"/>
    <n v="18723.55"/>
    <n v="15214.592760000003"/>
    <n v="0.44830363486867486"/>
    <s v="Q1-2024"/>
    <s v="Europe → United Kingdom → Manchester"/>
    <s v="Medium"/>
    <n v="2024"/>
    <n v="3"/>
    <x v="0"/>
  </r>
  <r>
    <s v="ORD-2024-550400"/>
    <d v="2024-08-19T00:00:00"/>
    <d v="2024-09-02T00:00:00"/>
    <d v="2024-08-19T00:00:00"/>
    <d v="2024-09-02T00:00:00"/>
    <n v="14"/>
    <s v="8-2024"/>
    <s v="Americas"/>
    <s v="Canada"/>
    <s v="Toronto"/>
    <s v="Consumer"/>
    <s v="Distributor"/>
    <s v="C. Otieno"/>
    <s v="Printers"/>
    <s v="PRN-9793"/>
    <n v="1337.01"/>
    <n v="1269.78"/>
    <n v="0.16"/>
    <n v="7"/>
    <n v="7466.3063999999986"/>
    <n v="9359.07"/>
    <n v="-1892.7636000000011"/>
    <n v="-0.25350735672996244"/>
    <s v="Q3-2024"/>
    <s v="Americas → Canada → Toronto"/>
    <s v="Medium"/>
    <n v="2024"/>
    <n v="8"/>
    <x v="0"/>
  </r>
  <r>
    <s v="ORD-2025-189846"/>
    <d v="2025-08-11T00:00:00"/>
    <d v="2025-08-28T00:00:00"/>
    <d v="2025-08-11T00:00:00"/>
    <d v="2025-08-28T00:00:00"/>
    <n v="17"/>
    <s v="8-2025"/>
    <s v="Europe"/>
    <s v="France"/>
    <s v="Paris"/>
    <s v="Education"/>
    <s v="Online"/>
    <s v="F. Müller"/>
    <s v="Networking"/>
    <s v="NET-6218"/>
    <n v="416.16"/>
    <n v="571.9"/>
    <n v="7.0999999999999994E-2"/>
    <n v="2"/>
    <n v="1062.5902000000001"/>
    <n v="832.32"/>
    <n v="230.27020000000005"/>
    <n v="0.21670649701079497"/>
    <s v="Q3-2025"/>
    <s v="Europe → France → Paris"/>
    <s v="Low"/>
    <n v="2025"/>
    <n v="8"/>
    <x v="0"/>
  </r>
  <r>
    <s v="ORD-2025-752192"/>
    <d v="2025-05-16T00:00:00"/>
    <d v="2025-05-18T00:00:00"/>
    <d v="2025-05-16T00:00:00"/>
    <d v="2025-05-18T00:00:00"/>
    <n v="2"/>
    <s v="5-2025"/>
    <s v="Asia"/>
    <s v="Japan"/>
    <s v="Tokyo"/>
    <s v="Enterprise"/>
    <s v="Retail"/>
    <s v="J. Njeri"/>
    <s v="Printers"/>
    <s v="PRN-6131"/>
    <n v="1144.3800000000001"/>
    <n v="2755.04"/>
    <n v="0.15"/>
    <n v="17"/>
    <n v="39810.328000000001"/>
    <n v="19454.460000000003"/>
    <n v="20355.867999999999"/>
    <n v="0.51132128326096682"/>
    <s v="Q2-2025"/>
    <s v="Asia → Japan → Tokyo"/>
    <s v="High"/>
    <n v="2025"/>
    <n v="5"/>
    <x v="1"/>
  </r>
  <r>
    <s v="ORD-2023-294716"/>
    <d v="2023-04-10T00:00:00"/>
    <d v="2023-04-25T00:00:00"/>
    <d v="2023-04-10T00:00:00"/>
    <d v="2023-04-25T00:00:00"/>
    <n v="15"/>
    <s v="4-2023"/>
    <s v="Europe"/>
    <s v="United Kingdom"/>
    <s v="London"/>
    <s v="Small Business"/>
    <s v="Retail"/>
    <s v="D. Smith"/>
    <s v="Printers"/>
    <s v="PRN-5067"/>
    <n v="405.66"/>
    <n v="962.51"/>
    <n v="0.19"/>
    <n v="7"/>
    <n v="5457.4317000000001"/>
    <n v="2839.6200000000003"/>
    <n v="2617.8116999999997"/>
    <n v="0.47967832561239376"/>
    <s v="Q2-2023"/>
    <s v="Europe → United Kingdom → London"/>
    <s v="Low"/>
    <n v="2023"/>
    <n v="4"/>
    <x v="0"/>
  </r>
  <r>
    <s v="ORD-2025-823055"/>
    <d v="2025-09-08T00:00:00"/>
    <d v="2025-10-05T00:00:00"/>
    <d v="2025-09-08T00:00:00"/>
    <d v="2025-10-05T00:00:00"/>
    <n v="27"/>
    <s v="9-2025"/>
    <s v="Americas"/>
    <s v="Brazil"/>
    <s v="Rio de Janeiro"/>
    <s v="Education"/>
    <s v="Online"/>
    <s v="C. Otieno"/>
    <s v="Monitors"/>
    <s v="MON-9274"/>
    <n v="660.78"/>
    <n v="1630.39"/>
    <n v="0.218"/>
    <n v="13"/>
    <n v="16574.544740000001"/>
    <n v="8590.14"/>
    <n v="7984.4047400000018"/>
    <n v="0.48172694123724097"/>
    <s v="Q3-2025"/>
    <s v="Americas → Brazil → Rio de Janeiro"/>
    <s v="Medium"/>
    <n v="2025"/>
    <n v="9"/>
    <x v="0"/>
  </r>
  <r>
    <s v="ORD-2023-271918"/>
    <d v="2023-09-25T00:00:00"/>
    <d v="2023-10-02T00:00:00"/>
    <d v="2023-09-25T00:00:00"/>
    <d v="2023-10-02T00:00:00"/>
    <n v="7"/>
    <s v="9-2023"/>
    <s v="Americas"/>
    <s v="USA"/>
    <s v="New York"/>
    <s v="Education"/>
    <s v="Marketplace"/>
    <s v="I. Johnson"/>
    <s v="Accessories"/>
    <s v="ACC-3551"/>
    <n v="145.58000000000001"/>
    <n v="228.15"/>
    <n v="0.20399999999999999"/>
    <n v="5"/>
    <n v="908.03700000000003"/>
    <n v="727.90000000000009"/>
    <n v="180.13699999999994"/>
    <n v="0.19838068272548359"/>
    <s v="Q3-2023"/>
    <s v="Americas → USA → New York"/>
    <s v="Low"/>
    <n v="2023"/>
    <n v="9"/>
    <x v="1"/>
  </r>
  <r>
    <s v="ORD-2025-262434"/>
    <d v="2025-06-19T00:00:00"/>
    <d v="2025-06-21T00:00:00"/>
    <d v="2025-06-19T00:00:00"/>
    <d v="2025-06-21T00:00:00"/>
    <n v="2"/>
    <s v="6-2025"/>
    <s v="Africa"/>
    <s v="South Africa"/>
    <s v="Johannesburg"/>
    <s v="Small Business"/>
    <s v="Unknown Channel"/>
    <s v="H. Kim"/>
    <s v="Phones"/>
    <s v="PHN-7379"/>
    <n v="1466.27"/>
    <n v="3589.89"/>
    <n v="9.7000000000000003E-2"/>
    <n v="9"/>
    <n v="29175.036029999999"/>
    <n v="13196.43"/>
    <n v="15978.606029999999"/>
    <n v="0.54768076425234147"/>
    <s v="Q2-2025"/>
    <s v="Africa → South Africa → Johannesburg"/>
    <s v="High"/>
    <n v="2025"/>
    <n v="6"/>
    <x v="1"/>
  </r>
  <r>
    <s v="ORD-2024-266562"/>
    <d v="2024-11-27T00:00:00"/>
    <d v="2024-12-24T00:00:00"/>
    <d v="2024-11-27T00:00:00"/>
    <d v="2024-12-24T00:00:00"/>
    <n v="27"/>
    <s v="11-2024"/>
    <s v="Africa"/>
    <s v="Kenya"/>
    <s v="Mombasa"/>
    <s v="Corporate"/>
    <s v="Distributor"/>
    <s v="B. Chen"/>
    <s v="Printers"/>
    <s v="PRN-5569"/>
    <n v="143.33000000000001"/>
    <n v="233.51"/>
    <n v="0.16300000000000001"/>
    <n v="14"/>
    <n v="2736.27018"/>
    <n v="2006.6200000000001"/>
    <n v="729.65017999999986"/>
    <n v="0.26665867476580835"/>
    <s v="Q4-2024"/>
    <s v="Africa → Kenya → Mombasa"/>
    <s v="Low"/>
    <n v="2024"/>
    <n v="11"/>
    <x v="0"/>
  </r>
  <r>
    <s v="ORD-2024-838925"/>
    <d v="2024-01-28T00:00:00"/>
    <d v="2024-01-27T00:00:00"/>
    <d v="2024-01-27T00:00:00"/>
    <d v="2024-01-28T00:00:00"/>
    <n v="1"/>
    <s v="1-2024"/>
    <s v="Africa"/>
    <s v="South Africa"/>
    <s v="Cape Town"/>
    <s v="Enterprise"/>
    <s v="Direct"/>
    <s v="O. Wang"/>
    <s v="Components"/>
    <s v="CMP-1470"/>
    <n v="109.75"/>
    <n v="124.25"/>
    <n v="0.12"/>
    <n v="19"/>
    <n v="2077.46"/>
    <n v="2085.25"/>
    <n v="-7.7899999999999636"/>
    <n v="-3.7497713554051405E-3"/>
    <s v="Q1-2024"/>
    <s v="Africa → South Africa → Cape Town"/>
    <s v="Low"/>
    <n v="2024"/>
    <n v="1"/>
    <x v="1"/>
  </r>
  <r>
    <s v="ORD-2023-664790"/>
    <d v="2023-04-16T00:00:00"/>
    <d v="2023-04-23T00:00:00"/>
    <d v="2023-04-16T00:00:00"/>
    <d v="2023-04-23T00:00:00"/>
    <n v="7"/>
    <s v="4-2023"/>
    <s v="Americas"/>
    <s v="USA"/>
    <s v="Austin"/>
    <s v="Corporate"/>
    <s v="Distributor"/>
    <s v="O. Wang"/>
    <s v="Printers"/>
    <s v="PRN-9249"/>
    <n v="1099.1500000000001"/>
    <n v="1431.37"/>
    <n v="0.104"/>
    <n v="8"/>
    <n v="10260.060159999999"/>
    <n v="8793.2000000000007"/>
    <n v="1466.8601599999984"/>
    <n v="0.14296798821109433"/>
    <s v="Q2-2023"/>
    <s v="Americas → USA → Austin"/>
    <s v="Medium"/>
    <n v="2023"/>
    <n v="4"/>
    <x v="1"/>
  </r>
  <r>
    <s v="ORD-2024-331408"/>
    <d v="2024-02-01T00:00:00"/>
    <d v="2024-02-01T00:00:00"/>
    <d v="2024-02-01T00:00:00"/>
    <d v="2024-02-01T00:00:00"/>
    <n v="0"/>
    <s v="2-2024"/>
    <s v="Americas"/>
    <s v="USA"/>
    <s v="Austin"/>
    <s v="Consumer"/>
    <s v="Distributor"/>
    <s v="H. Kim"/>
    <s v="Printers"/>
    <s v="PRN-4906"/>
    <n v="714.43"/>
    <n v="1595.52"/>
    <n v="0.19400000000000001"/>
    <n v="14"/>
    <n v="18003.847679999999"/>
    <n v="10002.019999999999"/>
    <n v="8001.8276800000003"/>
    <n v="0.44445097638151093"/>
    <s v="Q1-2024"/>
    <s v="Americas → USA → Austin"/>
    <s v="Medium"/>
    <n v="2024"/>
    <n v="2"/>
    <x v="1"/>
  </r>
  <r>
    <s v="ORD-2024-741404"/>
    <d v="2024-10-19T00:00:00"/>
    <d v="2024-11-06T00:00:00"/>
    <d v="2024-10-19T00:00:00"/>
    <d v="2024-11-06T00:00:00"/>
    <n v="18"/>
    <s v="10-2024"/>
    <s v="Americas"/>
    <s v="USA"/>
    <s v="Chicago"/>
    <s v="Education"/>
    <s v="Unknown Channel"/>
    <s v="C. Otieno"/>
    <s v="Monitors"/>
    <s v="MON-8129"/>
    <n v="942.02"/>
    <n v="1028.46"/>
    <n v="0"/>
    <n v="9"/>
    <n v="9256.14"/>
    <n v="8478.18"/>
    <n v="777.95999999999913"/>
    <n v="8.4047994088248354E-2"/>
    <s v="Q4-2024"/>
    <s v="Americas → USA → Chicago"/>
    <s v="Low"/>
    <n v="2024"/>
    <n v="10"/>
    <x v="0"/>
  </r>
  <r>
    <s v="ORD-2024-341535"/>
    <d v="2024-06-25T00:00:00"/>
    <d v="2024-06-30T00:00:00"/>
    <d v="2024-06-25T00:00:00"/>
    <d v="2024-06-30T00:00:00"/>
    <n v="5"/>
    <s v="6-2024"/>
    <s v="Africa"/>
    <s v="Kenya"/>
    <s v="Kisumu"/>
    <s v="Education"/>
    <s v="Direct"/>
    <s v="M. Rossi"/>
    <s v="Networking"/>
    <s v="NET-5987"/>
    <n v="1323.55"/>
    <n v="3230.35"/>
    <n v="2.1999999999999999E-2"/>
    <n v="26"/>
    <n v="82141.339799999987"/>
    <n v="34412.299999999996"/>
    <n v="47729.039799999991"/>
    <n v="0.58105991351263542"/>
    <s v="Q2-2024"/>
    <s v="Africa → Kenya → Kisumu"/>
    <s v="High"/>
    <n v="2024"/>
    <n v="6"/>
    <x v="1"/>
  </r>
  <r>
    <s v="ORD-2023-451931"/>
    <d v="2023-07-30T00:00:00"/>
    <d v="2023-08-19T00:00:00"/>
    <d v="2023-07-30T00:00:00"/>
    <d v="2023-08-19T00:00:00"/>
    <n v="20"/>
    <s v="7-2023"/>
    <s v="Europe"/>
    <s v="France"/>
    <s v="Paris"/>
    <s v="Enterprise"/>
    <s v="Marketplace"/>
    <s v="G. Dubois"/>
    <s v="Networking"/>
    <s v="NET-5423"/>
    <n v="1418.51"/>
    <n v="2789.61"/>
    <n v="0.17100000000000001"/>
    <n v="8"/>
    <n v="18500.693520000001"/>
    <n v="11348.08"/>
    <n v="7152.6135200000008"/>
    <n v="0.38661326464695689"/>
    <s v="Q3-2023"/>
    <s v="Europe → France → Paris"/>
    <s v="High"/>
    <n v="2023"/>
    <n v="7"/>
    <x v="0"/>
  </r>
  <r>
    <s v="ORD-2025-532859"/>
    <d v="2025-03-11T00:00:00"/>
    <d v="2025-03-27T00:00:00"/>
    <d v="2025-03-11T00:00:00"/>
    <d v="2025-03-27T00:00:00"/>
    <n v="16"/>
    <s v="3-2025"/>
    <s v="Asia"/>
    <s v="Japan"/>
    <s v="Tokyo"/>
    <s v="Enterprise"/>
    <s v="Distributor"/>
    <s v="B. Chen"/>
    <s v="Printers"/>
    <s v="PRN-5264"/>
    <n v="1317.58"/>
    <n v="1897.74"/>
    <n v="8.1000000000000003E-2"/>
    <n v="6"/>
    <n v="10464.138360000001"/>
    <n v="7905.48"/>
    <n v="2558.6583600000013"/>
    <n v="0.24451687009230266"/>
    <s v="Q1-2025"/>
    <s v="Asia → Japan → Tokyo"/>
    <s v="Medium"/>
    <n v="2025"/>
    <n v="3"/>
    <x v="0"/>
  </r>
  <r>
    <s v="ORD-2023-502205"/>
    <d v="2023-10-09T00:00:00"/>
    <d v="2023-10-11T00:00:00"/>
    <d v="2023-10-09T00:00:00"/>
    <d v="2023-10-11T00:00:00"/>
    <n v="2"/>
    <s v="10-2023"/>
    <s v="Africa"/>
    <s v="Nigeria"/>
    <s v="Port Harcourt"/>
    <s v="Education"/>
    <s v="Marketplace"/>
    <s v="K. Singh"/>
    <s v="Networking"/>
    <s v="NET-8856"/>
    <n v="391.16"/>
    <n v="902.47"/>
    <n v="4.0000000000000001E-3"/>
    <n v="12"/>
    <n v="10786.32144"/>
    <n v="4693.92"/>
    <n v="6092.4014399999996"/>
    <n v="0.56482661618139207"/>
    <s v="Q4-2023"/>
    <s v="Africa → Nigeria → Port Harcourt"/>
    <s v="Low"/>
    <n v="2023"/>
    <n v="10"/>
    <x v="1"/>
  </r>
  <r>
    <s v="ORD-2024-930679"/>
    <d v="2024-12-17T00:00:00"/>
    <d v="2025-01-16T00:00:00"/>
    <d v="2024-12-17T00:00:00"/>
    <d v="2025-01-16T00:00:00"/>
    <n v="30"/>
    <s v="12-2024"/>
    <s v="Europe"/>
    <s v="United Kingdom"/>
    <s v="Manchester"/>
    <s v="Corporate"/>
    <s v="Retail"/>
    <s v="D. Smith"/>
    <s v="Monitors"/>
    <s v="MON-4215"/>
    <n v="722.87"/>
    <n v="33.659999999999997"/>
    <n v="0.10199999999999999"/>
    <n v="28"/>
    <n v="846.34703999999988"/>
    <n v="20240.36"/>
    <n v="-19394.01296"/>
    <n v="-22.914965189693348"/>
    <s v="Q4-2024"/>
    <s v="Europe → United Kingdom → Manchester"/>
    <s v="Low"/>
    <n v="2024"/>
    <n v="12"/>
    <x v="0"/>
  </r>
  <r>
    <s v="ORD-2025-150713"/>
    <d v="2025-07-11T00:00:00"/>
    <d v="2025-07-16T00:00:00"/>
    <d v="2025-07-11T00:00:00"/>
    <d v="2025-07-16T00:00:00"/>
    <n v="5"/>
    <s v="7-2025"/>
    <s v="Europe"/>
    <s v="United Kingdom"/>
    <s v="London"/>
    <s v="Enterprise"/>
    <s v="Online"/>
    <s v="K. Singh"/>
    <s v="Printers"/>
    <s v="PRN-5753"/>
    <n v="930.03"/>
    <n v="1086.68"/>
    <n v="0.109"/>
    <n v="26"/>
    <n v="25174.028880000002"/>
    <n v="24180.78"/>
    <n v="993.24888000000283"/>
    <n v="3.9455300728168656E-2"/>
    <s v="Q3-2025"/>
    <s v="Europe → United Kingdom → London"/>
    <s v="Low"/>
    <n v="2025"/>
    <n v="7"/>
    <x v="1"/>
  </r>
  <r>
    <s v="ORD-2024-756884"/>
    <d v="2024-10-13T00:00:00"/>
    <d v="2024-10-24T00:00:00"/>
    <d v="2024-10-13T00:00:00"/>
    <d v="2024-10-24T00:00:00"/>
    <n v="11"/>
    <s v="10-2024"/>
    <s v="Europe"/>
    <s v="France"/>
    <s v="Paris"/>
    <s v="Education"/>
    <s v="Distributor"/>
    <s v="F. Müller"/>
    <s v="Components"/>
    <s v="CMP-5006"/>
    <n v="816.7"/>
    <n v="1010.75"/>
    <n v="4.7E-2"/>
    <n v="43"/>
    <n v="41419.524249999995"/>
    <n v="35118.1"/>
    <n v="6301.4242499999964"/>
    <n v="0.15213656757537472"/>
    <s v="Q4-2024"/>
    <s v="Europe → France → Paris"/>
    <s v="Low"/>
    <n v="2024"/>
    <n v="10"/>
    <x v="0"/>
  </r>
  <r>
    <s v="ORD-2024-166150"/>
    <d v="2024-06-02T00:00:00"/>
    <d v="2024-06-08T00:00:00"/>
    <d v="2024-06-02T00:00:00"/>
    <d v="2024-06-08T00:00:00"/>
    <n v="6"/>
    <s v="6-2024"/>
    <s v="Africa"/>
    <s v="Kenya"/>
    <s v="Kisumu"/>
    <s v="Consumer"/>
    <s v="Marketplace"/>
    <s v="A. Patel"/>
    <s v="Accessories"/>
    <s v="ACC-9820"/>
    <n v="292.94"/>
    <n v="356.55"/>
    <n v="0.22900000000000001"/>
    <n v="2"/>
    <n v="549.80010000000004"/>
    <n v="585.88"/>
    <n v="-36.079899999999952"/>
    <n v="-6.5623669402751925E-2"/>
    <s v="Q2-2024"/>
    <s v="Africa → Kenya → Kisumu"/>
    <s v="Low"/>
    <n v="2024"/>
    <n v="6"/>
    <x v="1"/>
  </r>
  <r>
    <s v="ORD-2025-639542"/>
    <d v="2025-06-09T00:00:00"/>
    <d v="2025-06-18T00:00:00"/>
    <d v="2025-06-09T00:00:00"/>
    <d v="2025-06-18T00:00:00"/>
    <n v="9"/>
    <s v="6-2025"/>
    <s v="Europe"/>
    <s v="France"/>
    <s v="Marseille"/>
    <s v="Small Business"/>
    <s v="Marketplace"/>
    <s v="H. Kim"/>
    <s v="Accessories"/>
    <s v="ACC-1770"/>
    <n v="1225.5"/>
    <n v="5.27"/>
    <n v="7.4999999999999997E-2"/>
    <n v="56"/>
    <n v="272.98599999999999"/>
    <n v="68628"/>
    <n v="-68355.013999999996"/>
    <n v="-250.39750756449047"/>
    <s v="Q2-2025"/>
    <s v="Europe → France → Marseille"/>
    <s v="Low"/>
    <n v="2025"/>
    <n v="6"/>
    <x v="0"/>
  </r>
  <r>
    <s v="ORD-2024-817997"/>
    <d v="2024-07-28T00:00:00"/>
    <d v="2024-08-23T00:00:00"/>
    <d v="2024-07-28T00:00:00"/>
    <d v="2024-08-23T00:00:00"/>
    <n v="26"/>
    <s v="7-2024"/>
    <s v="Asia"/>
    <s v="India"/>
    <s v="Hyderabad"/>
    <s v="Corporate"/>
    <s v="Retail"/>
    <s v="J. Njeri"/>
    <s v="Networking"/>
    <s v="NET-4675"/>
    <n v="1339.24"/>
    <n v="1558.89"/>
    <n v="0.192"/>
    <n v="24"/>
    <n v="30229.994880000002"/>
    <n v="32141.760000000002"/>
    <n v="-1911.76512"/>
    <n v="-6.3240669659021781E-2"/>
    <s v="Q3-2024"/>
    <s v="Asia → India → Hyderabad"/>
    <s v="Medium"/>
    <n v="2024"/>
    <n v="7"/>
    <x v="0"/>
  </r>
  <r>
    <s v="ORD-2025-667201"/>
    <d v="2025-09-15T00:00:00"/>
    <d v="2025-09-18T00:00:00"/>
    <d v="2025-09-15T00:00:00"/>
    <d v="2025-09-18T00:00:00"/>
    <n v="3"/>
    <s v="9-2025"/>
    <s v="Americas"/>
    <s v="Brazil"/>
    <s v="Rio de Janeiro"/>
    <s v="Non-Profit"/>
    <s v="Direct"/>
    <s v="L. Okafor"/>
    <s v="Accessories"/>
    <s v="ACC-6777"/>
    <n v="5.5"/>
    <n v="5.92"/>
    <n v="0.21199999999999999"/>
    <n v="4"/>
    <n v="18.659839999999999"/>
    <n v="22"/>
    <n v="-3.3401600000000009"/>
    <n v="-0.17900260666758133"/>
    <s v="Q3-2025"/>
    <s v="Americas → Brazil → Rio de Janeiro"/>
    <s v="Low"/>
    <n v="2025"/>
    <n v="9"/>
    <x v="1"/>
  </r>
  <r>
    <s v="ORD-2023-885216"/>
    <d v="2023-08-03T00:00:00"/>
    <d v="2023-08-02T00:00:00"/>
    <d v="2023-08-02T00:00:00"/>
    <d v="2023-08-03T00:00:00"/>
    <n v="1"/>
    <s v="8-2023"/>
    <s v="Asia"/>
    <s v="China"/>
    <s v="Shanghai"/>
    <s v="Non-Profit"/>
    <s v="Direct"/>
    <s v="J. Njeri"/>
    <s v="Networking"/>
    <s v="NET-4735"/>
    <n v="1021.97"/>
    <n v="2296.25"/>
    <n v="0.161"/>
    <n v="26"/>
    <n v="50090.397499999999"/>
    <n v="26571.22"/>
    <n v="23519.177499999998"/>
    <n v="0.46953465482081669"/>
    <s v="Q3-2023"/>
    <s v="Asia → China → Shanghai"/>
    <s v="High"/>
    <n v="2023"/>
    <n v="8"/>
    <x v="1"/>
  </r>
  <r>
    <s v="ORD-2023-561823"/>
    <d v="2023-11-19T00:00:00"/>
    <d v="2023-12-12T00:00:00"/>
    <d v="2023-11-19T00:00:00"/>
    <d v="2023-12-12T00:00:00"/>
    <n v="23"/>
    <s v="11-2023"/>
    <s v="Asia"/>
    <s v="India"/>
    <s v="Delhi"/>
    <s v="Small Business"/>
    <s v="Direct"/>
    <s v="C. Otieno"/>
    <s v="Networking"/>
    <s v="NET-2460"/>
    <n v="1349.04"/>
    <n v="2636.6"/>
    <n v="0.114"/>
    <n v="14"/>
    <n v="32704.386400000003"/>
    <n v="18886.559999999998"/>
    <n v="13817.826400000005"/>
    <n v="0.42250682312143928"/>
    <s v="Q4-2023"/>
    <s v="Asia → India → Delhi"/>
    <s v="High"/>
    <n v="2023"/>
    <n v="11"/>
    <x v="0"/>
  </r>
  <r>
    <s v="ORD-2023-249805"/>
    <d v="2023-12-22T00:00:00"/>
    <d v="2024-01-16T00:00:00"/>
    <d v="2023-12-22T00:00:00"/>
    <d v="2024-01-16T00:00:00"/>
    <n v="25"/>
    <s v="12-2023"/>
    <s v="Asia"/>
    <s v="India"/>
    <s v="Hyderabad"/>
    <s v="Small Business"/>
    <s v="Retail"/>
    <s v="A. Patel"/>
    <s v="Components"/>
    <s v="CMP-1555"/>
    <n v="1346.81"/>
    <n v="978.09"/>
    <n v="0.159"/>
    <n v="17"/>
    <n v="13983.752729999998"/>
    <n v="22895.77"/>
    <n v="-8912.0172700000021"/>
    <n v="-0.6373122753293996"/>
    <s v="Q4-2023"/>
    <s v="Asia → India → Hyderabad"/>
    <s v="Low"/>
    <n v="2023"/>
    <n v="12"/>
    <x v="0"/>
  </r>
  <r>
    <s v="ORD-2023-548934"/>
    <d v="2023-08-03T00:00:00"/>
    <d v="2023-08-30T00:00:00"/>
    <d v="2023-08-03T00:00:00"/>
    <d v="2023-08-30T00:00:00"/>
    <n v="27"/>
    <s v="8-2023"/>
    <s v="Asia"/>
    <s v="China"/>
    <s v="Shanghai"/>
    <s v="Consumer"/>
    <s v="Distributor"/>
    <s v="N. Brown"/>
    <s v="Monitors"/>
    <s v="MON-3773"/>
    <n v="226.04"/>
    <n v="545.72"/>
    <n v="0.151"/>
    <n v="11"/>
    <n v="5096.4790800000001"/>
    <n v="2486.44"/>
    <n v="2610.03908"/>
    <n v="0.51212592831834014"/>
    <s v="Q3-2023"/>
    <s v="Asia → China → Shanghai"/>
    <s v="Low"/>
    <n v="2023"/>
    <n v="8"/>
    <x v="0"/>
  </r>
  <r>
    <s v="ORD-2023-921939"/>
    <d v="2023-06-23T00:00:00"/>
    <d v="2023-07-18T00:00:00"/>
    <d v="2023-06-23T00:00:00"/>
    <d v="2023-07-18T00:00:00"/>
    <n v="25"/>
    <s v="6-2023"/>
    <s v="Americas"/>
    <s v="Canada"/>
    <s v="Vancouver"/>
    <s v="Enterprise"/>
    <s v="Online"/>
    <s v="N. Brown"/>
    <s v="Phones"/>
    <s v="PHN-4677"/>
    <n v="807.02"/>
    <n v="1435.54"/>
    <n v="0"/>
    <n v="23"/>
    <n v="33017.42"/>
    <n v="18561.46"/>
    <n v="14455.96"/>
    <n v="0.43782827368098415"/>
    <s v="Q2-2023"/>
    <s v="Americas → Canada → Vancouver"/>
    <s v="Medium"/>
    <n v="2023"/>
    <n v="6"/>
    <x v="0"/>
  </r>
  <r>
    <s v="ORD-2023-961864"/>
    <d v="2023-12-07T00:00:00"/>
    <d v="2024-01-02T00:00:00"/>
    <d v="2023-12-07T00:00:00"/>
    <d v="2024-01-02T00:00:00"/>
    <n v="26"/>
    <s v="12-2023"/>
    <s v="Europe"/>
    <s v="Germany"/>
    <s v="Frankfurt"/>
    <s v="Enterprise"/>
    <s v="Distributor"/>
    <s v="E. Garcia"/>
    <s v="Components"/>
    <s v="CMP-1940"/>
    <n v="1071.99"/>
    <n v="2397.3000000000002"/>
    <n v="6.2E-2"/>
    <n v="18"/>
    <n v="40476.013200000001"/>
    <n v="19295.82"/>
    <n v="21180.193200000002"/>
    <n v="0.52327765324476183"/>
    <s v="Q4-2023"/>
    <s v="Europe → Germany → Frankfurt"/>
    <s v="High"/>
    <n v="2023"/>
    <n v="12"/>
    <x v="0"/>
  </r>
  <r>
    <s v="ORD-2023-455933"/>
    <d v="2023-11-19T00:00:00"/>
    <d v="2023-12-19T00:00:00"/>
    <d v="2023-11-19T00:00:00"/>
    <d v="2023-12-19T00:00:00"/>
    <n v="30"/>
    <s v="11-2023"/>
    <s v="Asia"/>
    <s v="Japan"/>
    <s v="Nagoya"/>
    <s v="Consumer"/>
    <s v="Retail"/>
    <s v="Unknown Salesperson"/>
    <s v="Phones"/>
    <s v="PHN-9184"/>
    <n v="807.11"/>
    <n v="1853.86"/>
    <n v="0.13900000000000001"/>
    <n v="8"/>
    <n v="12769.38768"/>
    <n v="6456.88"/>
    <n v="6312.5076799999997"/>
    <n v="0.49434693645388639"/>
    <s v="Q4-2023"/>
    <s v="Asia → Japan → Nagoya"/>
    <s v="Medium"/>
    <n v="2023"/>
    <n v="11"/>
    <x v="0"/>
  </r>
  <r>
    <s v="ORD-2025-728935"/>
    <d v="2025-02-28T00:00:00"/>
    <d v="2025-03-10T00:00:00"/>
    <d v="2025-02-28T00:00:00"/>
    <d v="2025-03-10T00:00:00"/>
    <n v="10"/>
    <s v="2-2025"/>
    <s v="Asia"/>
    <s v="Japan"/>
    <s v="Osaka"/>
    <s v="Education"/>
    <s v="Distributor"/>
    <s v="N. Brown"/>
    <s v="Laptops"/>
    <s v="LAP-3017"/>
    <n v="51.86"/>
    <n v="45.98"/>
    <n v="0.17299999999999999"/>
    <n v="7"/>
    <n v="266.17821999999995"/>
    <n v="363.02"/>
    <n v="-96.841780000000028"/>
    <n v="-0.3638230806412337"/>
    <s v="Q1-2025"/>
    <s v="Asia → Japan → Osaka"/>
    <s v="Low"/>
    <n v="2025"/>
    <n v="2"/>
    <x v="0"/>
  </r>
</pivotCacheRecords>
</file>

<file path=xl/pivotCache/pivotCacheRecords4.xml><?xml version="1.0" encoding="utf-8"?>
<pivotCacheRecords xmlns="http://schemas.openxmlformats.org/spreadsheetml/2006/main" xmlns:r="http://schemas.openxmlformats.org/officeDocument/2006/relationships" count="632">
  <r>
    <s v="ORD-2024-275203"/>
    <d v="2024-03-11T00:00:00"/>
    <d v="2024-04-06T00:00:00"/>
    <d v="2024-03-11T00:00:00"/>
    <d v="2024-04-06T00:00:00"/>
    <n v="26"/>
    <s v="3-2024"/>
    <s v="Africa"/>
    <x v="0"/>
    <s v="Kisumu"/>
    <s v="Corporate"/>
    <x v="0"/>
    <x v="0"/>
    <s v="Components"/>
    <s v="CMP-8270"/>
    <n v="279.24"/>
    <n v="608.9"/>
    <n v="0.112"/>
    <n v="9"/>
    <n v="4866.3287999999993"/>
    <n v="2513.16"/>
    <n v="2353.1687999999995"/>
    <n v="0.48356140670149533"/>
    <s v="Q1-2024"/>
    <s v="Africa → Kenya → Kisumu"/>
    <s v="Low"/>
    <x v="0"/>
    <x v="0"/>
  </r>
  <r>
    <s v="ORD-2024-358795"/>
    <d v="2024-10-23T00:00:00"/>
    <d v="2024-10-22T00:00:00"/>
    <d v="2024-10-22T00:00:00"/>
    <d v="2024-10-23T00:00:00"/>
    <n v="1"/>
    <s v="10-2024"/>
    <s v="Africa"/>
    <x v="1"/>
    <s v="Port Harcourt"/>
    <s v="Education"/>
    <x v="1"/>
    <x v="1"/>
    <s v="Printers"/>
    <s v="PRN-9322"/>
    <n v="1084.3900000000001"/>
    <n v="759.33"/>
    <n v="0.23699999999999999"/>
    <n v="31"/>
    <n v="17960.432489999999"/>
    <n v="33616.090000000004"/>
    <n v="-15655.657510000005"/>
    <n v="-0.87167486187856302"/>
    <s v="Q4-2024"/>
    <s v="Africa → Nigeria → Port Harcourt"/>
    <s v="Low"/>
    <x v="0"/>
    <x v="1"/>
  </r>
  <r>
    <s v="ORD-2023-373538"/>
    <d v="2023-02-28T00:00:00"/>
    <d v="2023-03-25T00:00:00"/>
    <d v="2023-02-28T00:00:00"/>
    <d v="2023-03-25T00:00:00"/>
    <n v="25"/>
    <s v="2-2023"/>
    <s v="Africa"/>
    <x v="0"/>
    <s v="Nairobi"/>
    <s v="Corporate"/>
    <x v="0"/>
    <x v="2"/>
    <s v="Networking"/>
    <s v="NET-9666"/>
    <n v="1460.76"/>
    <n v="30.66"/>
    <n v="0.13100000000000001"/>
    <n v="12"/>
    <n v="319.72248000000002"/>
    <n v="17529.12"/>
    <n v="-17209.397519999999"/>
    <n v="-53.826047890032626"/>
    <s v="Q1-2023"/>
    <s v="Africa → Kenya → Nairobi"/>
    <s v="Low"/>
    <x v="1"/>
    <x v="2"/>
  </r>
  <r>
    <s v="ORD-2025-168148"/>
    <d v="2025-03-29T00:00:00"/>
    <d v="2025-04-02T00:00:00"/>
    <d v="2025-03-29T00:00:00"/>
    <d v="2025-04-02T00:00:00"/>
    <n v="4"/>
    <s v="3-2025"/>
    <s v="Africa"/>
    <x v="1"/>
    <s v="Lagos"/>
    <s v="Non-Profit"/>
    <x v="2"/>
    <x v="3"/>
    <s v="Phones"/>
    <s v="PHN-4556"/>
    <n v="259.93"/>
    <n v="255.94"/>
    <n v="7.1999999999999995E-2"/>
    <n v="22"/>
    <n v="5225.2710400000005"/>
    <n v="5718.46"/>
    <n v="-493.1889599999995"/>
    <n v="-9.4385335463861311E-2"/>
    <s v="Q1-2025"/>
    <s v="Africa → Nigeria → Lagos"/>
    <s v="Low"/>
    <x v="2"/>
    <x v="0"/>
  </r>
  <r>
    <s v="ORD-2023-824839"/>
    <d v="2023-12-06T00:00:00"/>
    <d v="2023-12-31T00:00:00"/>
    <d v="2023-12-06T00:00:00"/>
    <d v="2023-12-31T00:00:00"/>
    <n v="25"/>
    <s v="12-2023"/>
    <s v="Asia"/>
    <x v="2"/>
    <s v="Osaka"/>
    <s v="Consumer"/>
    <x v="0"/>
    <x v="4"/>
    <s v="Printers"/>
    <s v="PRN-8041"/>
    <n v="663.03"/>
    <n v="813.51"/>
    <n v="0.10199999999999999"/>
    <n v="15"/>
    <n v="10957.9797"/>
    <n v="9945.4499999999989"/>
    <n v="1012.529700000001"/>
    <n v="9.2401129379715952E-2"/>
    <s v="Q4-2023"/>
    <s v="Asia → Japan → Osaka"/>
    <s v="Low"/>
    <x v="1"/>
    <x v="3"/>
  </r>
  <r>
    <s v="ORD-2023-723587"/>
    <d v="2023-01-02T00:00:00"/>
    <d v="2023-01-05T00:00:00"/>
    <d v="2023-01-02T00:00:00"/>
    <d v="2023-01-05T00:00:00"/>
    <n v="3"/>
    <s v="1-2023"/>
    <s v="Americas"/>
    <x v="3"/>
    <s v="Toronto"/>
    <s v="Corporate"/>
    <x v="3"/>
    <x v="5"/>
    <s v="Laptops"/>
    <s v="LAP-8555"/>
    <n v="315.87"/>
    <n v="591.67999999999995"/>
    <n v="0"/>
    <n v="7"/>
    <n v="4141.7599999999993"/>
    <n v="2211.09"/>
    <n v="1930.6699999999992"/>
    <n v="0.46614724175229844"/>
    <s v="Q1-2023"/>
    <s v="Americas → Canada → Toronto"/>
    <s v="Low"/>
    <x v="1"/>
    <x v="4"/>
  </r>
  <r>
    <s v="ORD-2024-336584"/>
    <d v="2024-12-27T00:00:00"/>
    <d v="2025-01-14T00:00:00"/>
    <d v="2024-12-27T00:00:00"/>
    <d v="2025-01-14T00:00:00"/>
    <n v="18"/>
    <s v="12-2024"/>
    <s v="Asia"/>
    <x v="4"/>
    <s v="Bengaluru"/>
    <s v="Small Business"/>
    <x v="2"/>
    <x v="6"/>
    <s v="Monitors"/>
    <s v="MON-8629"/>
    <n v="586.07000000000005"/>
    <n v="845.97"/>
    <n v="0.14699999999999999"/>
    <n v="4"/>
    <n v="2886.4496399999998"/>
    <n v="2344.2800000000002"/>
    <n v="542.16963999999962"/>
    <n v="0.18783270370862928"/>
    <s v="Q4-2024"/>
    <s v="Asia → India → Bengaluru"/>
    <s v="Low"/>
    <x v="0"/>
    <x v="3"/>
  </r>
  <r>
    <s v="ORD-2023-112666"/>
    <d v="2023-01-15T00:00:00"/>
    <d v="2023-01-13T00:00:00"/>
    <d v="2023-01-13T00:00:00"/>
    <d v="2023-01-15T00:00:00"/>
    <n v="2"/>
    <s v="1-2023"/>
    <s v="Africa"/>
    <x v="1"/>
    <s v="Abuja"/>
    <s v="Education"/>
    <x v="1"/>
    <x v="7"/>
    <s v="Printers"/>
    <s v="PRN-6276"/>
    <n v="28.38"/>
    <n v="47.22"/>
    <n v="0.19400000000000001"/>
    <n v="18"/>
    <n v="685.06776000000002"/>
    <n v="510.84"/>
    <n v="174.22776000000005"/>
    <n v="0.25432193743871417"/>
    <s v="Q1-2023"/>
    <s v="Africa → Nigeria → Abuja"/>
    <s v="Low"/>
    <x v="1"/>
    <x v="4"/>
  </r>
  <r>
    <s v="ORD-2024-589570"/>
    <d v="2024-05-04T00:00:00"/>
    <d v="2024-05-29T00:00:00"/>
    <d v="2024-05-04T00:00:00"/>
    <d v="2024-05-29T00:00:00"/>
    <n v="25"/>
    <s v="5-2024"/>
    <s v="Africa"/>
    <x v="1"/>
    <s v="Abuja"/>
    <s v="Non-Profit"/>
    <x v="2"/>
    <x v="7"/>
    <s v="Monitors"/>
    <s v="MON-6892"/>
    <n v="1295.3399999999999"/>
    <n v="2530.81"/>
    <n v="3.1E-2"/>
    <n v="6"/>
    <n v="14714.12934"/>
    <n v="7772.0399999999991"/>
    <n v="6942.0893400000004"/>
    <n v="0.4717974933880798"/>
    <s v="Q2-2024"/>
    <s v="Africa → Nigeria → Abuja"/>
    <s v="High"/>
    <x v="0"/>
    <x v="5"/>
  </r>
  <r>
    <s v="ORD-2023-856322"/>
    <d v="2023-01-29T00:00:00"/>
    <d v="2023-02-06T00:00:00"/>
    <d v="2023-01-29T00:00:00"/>
    <d v="2023-02-06T00:00:00"/>
    <n v="8"/>
    <s v="1-2023"/>
    <s v="Americas"/>
    <x v="5"/>
    <s v="Brasília"/>
    <s v="Corporate"/>
    <x v="2"/>
    <x v="8"/>
    <s v="Monitors"/>
    <s v="MON-7207"/>
    <n v="41.84"/>
    <n v="86.2"/>
    <n v="0.22600000000000001"/>
    <n v="27"/>
    <n v="1801.4076000000002"/>
    <n v="1129.68"/>
    <n v="671.72760000000017"/>
    <n v="0.37289039970742882"/>
    <s v="Q1-2023"/>
    <s v="Americas → Brazil → Brasília"/>
    <s v="Low"/>
    <x v="1"/>
    <x v="4"/>
  </r>
  <r>
    <s v="ORD-2024-901115"/>
    <d v="2024-07-25T00:00:00"/>
    <d v="2024-08-02T00:00:00"/>
    <d v="2024-07-25T00:00:00"/>
    <d v="2024-08-02T00:00:00"/>
    <n v="8"/>
    <s v="7-2024"/>
    <s v="Americas"/>
    <x v="3"/>
    <s v="Montreal"/>
    <s v="Consumer"/>
    <x v="4"/>
    <x v="1"/>
    <s v="Accessories"/>
    <s v="ACC-6626"/>
    <n v="986.81"/>
    <n v="2050.31"/>
    <n v="0.10299999999999999"/>
    <n v="43"/>
    <n v="79082.507010000001"/>
    <n v="42432.829999999994"/>
    <n v="36649.677010000007"/>
    <n v="0.46343595310358138"/>
    <s v="Q3-2024"/>
    <s v="Americas → Canada → Montreal"/>
    <s v="High"/>
    <x v="0"/>
    <x v="6"/>
  </r>
  <r>
    <s v="ORD-2025-515515"/>
    <d v="2025-01-03T00:00:00"/>
    <d v="2025-01-23T00:00:00"/>
    <d v="2025-01-03T00:00:00"/>
    <d v="2025-01-23T00:00:00"/>
    <n v="20"/>
    <s v="1-2025"/>
    <s v="Asia"/>
    <x v="2"/>
    <s v="Osaka"/>
    <s v="Corporate"/>
    <x v="3"/>
    <x v="9"/>
    <s v="Phones"/>
    <s v="PHN-7019"/>
    <n v="908.6"/>
    <n v="691.37"/>
    <n v="0.25"/>
    <n v="20"/>
    <n v="10370.549999999999"/>
    <n v="18172"/>
    <n v="-7801.4500000000007"/>
    <n v="-0.75226964818645115"/>
    <s v="Q1-2025"/>
    <s v="Asia → Japan → Osaka"/>
    <s v="Low"/>
    <x v="2"/>
    <x v="4"/>
  </r>
  <r>
    <s v="ORD-2023-271836"/>
    <d v="2023-02-07T00:00:00"/>
    <d v="2023-02-12T00:00:00"/>
    <d v="2023-02-07T00:00:00"/>
    <d v="2023-02-12T00:00:00"/>
    <n v="5"/>
    <s v="2-2023"/>
    <s v="Americas"/>
    <x v="5"/>
    <s v="São Paulo"/>
    <s v="Education"/>
    <x v="1"/>
    <x v="10"/>
    <s v="Components"/>
    <s v="CMP-2693"/>
    <n v="948.55"/>
    <n v="2089.16"/>
    <n v="7.0000000000000001E-3"/>
    <n v="12"/>
    <n v="24894.430559999997"/>
    <n v="11382.599999999999"/>
    <n v="13511.830559999999"/>
    <n v="0.54276519912492427"/>
    <s v="Q1-2023"/>
    <s v="Americas → Brazil → São Paulo"/>
    <s v="High"/>
    <x v="1"/>
    <x v="2"/>
  </r>
  <r>
    <s v="ORD-2024-890180"/>
    <d v="2024-01-20T00:00:00"/>
    <d v="2024-02-13T00:00:00"/>
    <d v="2024-01-20T00:00:00"/>
    <d v="2024-02-13T00:00:00"/>
    <n v="24"/>
    <s v="1-2024"/>
    <s v="Europe"/>
    <x v="6"/>
    <s v="Marseille"/>
    <s v="Corporate"/>
    <x v="0"/>
    <x v="11"/>
    <s v="Printers"/>
    <s v="PRN-8392"/>
    <n v="643.53"/>
    <n v="1439.01"/>
    <n v="0"/>
    <n v="15"/>
    <n v="21585.15"/>
    <n v="9652.9499999999989"/>
    <n v="11932.200000000003"/>
    <n v="0.55279671440782208"/>
    <s v="Q1-2024"/>
    <s v="Europe → France → Marseille"/>
    <s v="Medium"/>
    <x v="0"/>
    <x v="4"/>
  </r>
  <r>
    <s v="ORD-2023-869884"/>
    <d v="2023-03-02T00:00:00"/>
    <d v="2023-03-05T00:00:00"/>
    <d v="2023-03-02T00:00:00"/>
    <d v="2023-03-05T00:00:00"/>
    <n v="3"/>
    <s v="3-2023"/>
    <s v="Americas"/>
    <x v="5"/>
    <s v="Brasília"/>
    <s v="Enterprise"/>
    <x v="4"/>
    <x v="3"/>
    <s v="Monitors"/>
    <s v="MON-2828"/>
    <n v="1473.58"/>
    <n v="3436.52"/>
    <n v="0.108"/>
    <n v="8"/>
    <n v="24523.006720000001"/>
    <n v="11788.64"/>
    <n v="12734.366720000002"/>
    <n v="0.51928243813652564"/>
    <s v="Q1-2023"/>
    <s v="Americas → Brazil → Brasília"/>
    <s v="High"/>
    <x v="1"/>
    <x v="0"/>
  </r>
  <r>
    <s v="ORD-2023-937291"/>
    <d v="2023-04-23T00:00:00"/>
    <d v="2023-04-22T00:00:00"/>
    <d v="2023-04-22T00:00:00"/>
    <d v="2023-04-23T00:00:00"/>
    <n v="1"/>
    <s v="4-2023"/>
    <s v="Africa"/>
    <x v="0"/>
    <s v="Nairobi"/>
    <s v="Small Business"/>
    <x v="4"/>
    <x v="6"/>
    <s v="Laptops"/>
    <s v="LAP-1698"/>
    <n v="756.51"/>
    <n v="850.8"/>
    <n v="7.3999999999999996E-2"/>
    <n v="9"/>
    <n v="7090.5672000000004"/>
    <n v="6808.59"/>
    <n v="281.97720000000027"/>
    <n v="3.9767932810791252E-2"/>
    <s v="Q2-2023"/>
    <s v="Africa → Kenya → Nairobi"/>
    <s v="Low"/>
    <x v="1"/>
    <x v="7"/>
  </r>
  <r>
    <s v="ORD-2024-206081"/>
    <d v="2024-12-10T00:00:00"/>
    <d v="2025-01-08T00:00:00"/>
    <d v="2024-12-10T00:00:00"/>
    <d v="2025-01-08T00:00:00"/>
    <n v="29"/>
    <s v="12-2024"/>
    <s v="Europe"/>
    <x v="6"/>
    <s v="Marseille"/>
    <s v="Small Business"/>
    <x v="0"/>
    <x v="12"/>
    <s v="Printers"/>
    <s v="PRN-6791"/>
    <n v="891.08"/>
    <n v="1040.0999999999999"/>
    <n v="0.109"/>
    <n v="28"/>
    <n v="25948.414799999995"/>
    <n v="24950.240000000002"/>
    <n v="998.17479999999341"/>
    <n v="3.8467660074556598E-2"/>
    <s v="Q4-2024"/>
    <s v="Europe → France → Marseille"/>
    <s v="Low"/>
    <x v="0"/>
    <x v="3"/>
  </r>
  <r>
    <s v="ORD-2025-233883"/>
    <d v="2025-09-08T00:00:00"/>
    <d v="2025-09-16T00:00:00"/>
    <d v="2025-09-08T00:00:00"/>
    <d v="2025-09-16T00:00:00"/>
    <n v="8"/>
    <s v="9-2025"/>
    <s v="Asia"/>
    <x v="2"/>
    <s v="Osaka"/>
    <s v="Corporate"/>
    <x v="3"/>
    <x v="0"/>
    <s v="Phones"/>
    <s v="PHN-1197"/>
    <n v="1225.57"/>
    <n v="2705.57"/>
    <n v="0.183"/>
    <n v="16"/>
    <n v="35367.211040000002"/>
    <n v="19609.12"/>
    <n v="15758.091040000003"/>
    <n v="0.44555650775453404"/>
    <s v="Q3-2025"/>
    <s v="Asia → Japan → Osaka"/>
    <s v="High"/>
    <x v="2"/>
    <x v="8"/>
  </r>
  <r>
    <s v="ORD-2023-747341"/>
    <d v="2023-04-19T00:00:00"/>
    <d v="2023-04-28T00:00:00"/>
    <d v="2023-04-19T00:00:00"/>
    <d v="2023-04-28T00:00:00"/>
    <n v="9"/>
    <s v="4-2023"/>
    <s v="Americas"/>
    <x v="5"/>
    <s v="Rio de Janeiro"/>
    <s v="Corporate"/>
    <x v="3"/>
    <x v="13"/>
    <s v="Phones"/>
    <s v="PHN-7132"/>
    <n v="1013.54"/>
    <n v="927.93"/>
    <n v="0.17499999999999999"/>
    <n v="16"/>
    <n v="12248.675999999999"/>
    <n v="16216.64"/>
    <n v="-3967.9639999999999"/>
    <n v="-0.32395044166406234"/>
    <s v="Q2-2023"/>
    <s v="Americas → Brazil → Rio de Janeiro"/>
    <s v="Low"/>
    <x v="1"/>
    <x v="7"/>
  </r>
  <r>
    <s v="ORD-2025-745263"/>
    <d v="2025-05-21T00:00:00"/>
    <d v="2025-05-19T00:00:00"/>
    <d v="2025-05-19T00:00:00"/>
    <d v="2025-05-21T00:00:00"/>
    <n v="2"/>
    <s v="5-2025"/>
    <s v="Europe"/>
    <x v="7"/>
    <s v="Birmingham"/>
    <s v="Enterprise"/>
    <x v="1"/>
    <x v="13"/>
    <s v="Laptops"/>
    <s v="LAP-3385"/>
    <n v="1015.16"/>
    <n v="2148.14"/>
    <n v="3.7999999999999999E-2"/>
    <n v="19"/>
    <n v="39263.702919999996"/>
    <n v="19288.04"/>
    <n v="19975.662919999995"/>
    <n v="0.50875647059322227"/>
    <s v="Q2-2025"/>
    <s v="Europe → United Kingdom → Birmingham"/>
    <s v="High"/>
    <x v="2"/>
    <x v="5"/>
  </r>
  <r>
    <s v="ORD-2024-798002"/>
    <d v="2024-07-25T00:00:00"/>
    <d v="2024-07-24T00:00:00"/>
    <d v="2024-07-24T00:00:00"/>
    <d v="2024-07-25T00:00:00"/>
    <n v="1"/>
    <s v="7-2024"/>
    <s v="Africa"/>
    <x v="0"/>
    <s v="Mombasa"/>
    <s v="Non-Profit"/>
    <x v="4"/>
    <x v="1"/>
    <s v="Laptops"/>
    <s v="LAP-9815"/>
    <n v="1494.4"/>
    <n v="3661.07"/>
    <n v="7.1999999999999995E-2"/>
    <n v="7"/>
    <n v="23782.310720000001"/>
    <n v="10460.800000000001"/>
    <n v="13321.51072"/>
    <n v="0.56014366630897339"/>
    <s v="Q3-2024"/>
    <s v="Africa → Kenya → Mombasa"/>
    <s v="High"/>
    <x v="0"/>
    <x v="6"/>
  </r>
  <r>
    <s v="ORD-2023-867836"/>
    <d v="2023-05-11T00:00:00"/>
    <d v="2023-05-28T00:00:00"/>
    <d v="2023-05-11T00:00:00"/>
    <d v="2023-05-28T00:00:00"/>
    <n v="17"/>
    <s v="5-2023"/>
    <s v="Asia"/>
    <x v="8"/>
    <s v="Shenzhen"/>
    <s v="Enterprise"/>
    <x v="2"/>
    <x v="6"/>
    <s v="Networking"/>
    <s v="NET-3255"/>
    <n v="1331.19"/>
    <n v="2903.09"/>
    <n v="0.14299999999999999"/>
    <n v="8"/>
    <n v="19903.585040000002"/>
    <n v="10649.52"/>
    <n v="9254.0650400000013"/>
    <n v="0.46494463290920784"/>
    <s v="Q2-2023"/>
    <s v="Asia → China → Shenzhen"/>
    <s v="High"/>
    <x v="1"/>
    <x v="5"/>
  </r>
  <r>
    <s v="ORD-2023-835010"/>
    <d v="2023-03-23T00:00:00"/>
    <d v="2023-04-15T00:00:00"/>
    <d v="2023-03-23T00:00:00"/>
    <d v="2023-04-15T00:00:00"/>
    <n v="23"/>
    <s v="3-2023"/>
    <s v="Africa"/>
    <x v="0"/>
    <s v="Mombasa"/>
    <s v="Small Business"/>
    <x v="0"/>
    <x v="0"/>
    <s v="Accessories"/>
    <s v="ACC-2988"/>
    <n v="875.36"/>
    <n v="1178.6199999999999"/>
    <n v="0.151"/>
    <n v="53"/>
    <n v="53034.364139999991"/>
    <n v="46394.080000000002"/>
    <n v="6640.2841399999888"/>
    <n v="0.12520719815685888"/>
    <s v="Q1-2023"/>
    <s v="Africa → Kenya → Mombasa"/>
    <s v="Low"/>
    <x v="1"/>
    <x v="0"/>
  </r>
  <r>
    <s v="ORD-2024-500109"/>
    <d v="2024-05-18T00:00:00"/>
    <d v="2024-05-23T00:00:00"/>
    <d v="2024-05-18T00:00:00"/>
    <d v="2024-05-23T00:00:00"/>
    <n v="5"/>
    <s v="5-2024"/>
    <s v="Americas"/>
    <x v="9"/>
    <s v="Chicago"/>
    <s v="Enterprise"/>
    <x v="0"/>
    <x v="11"/>
    <s v="Laptops"/>
    <s v="LAP-4987"/>
    <n v="1274.5899999999999"/>
    <n v="2553.69"/>
    <n v="0.01"/>
    <n v="8"/>
    <n v="20225.2248"/>
    <n v="10196.719999999999"/>
    <n v="10028.504800000001"/>
    <n v="0.49584145042481803"/>
    <s v="Q2-2024"/>
    <s v="Americas → USA → Chicago"/>
    <s v="High"/>
    <x v="0"/>
    <x v="5"/>
  </r>
  <r>
    <s v="ORD-2023-588455"/>
    <d v="2023-05-23T00:00:00"/>
    <d v="2023-05-25T00:00:00"/>
    <d v="2023-05-23T00:00:00"/>
    <d v="2023-05-25T00:00:00"/>
    <n v="2"/>
    <s v="5-2023"/>
    <s v="Americas"/>
    <x v="5"/>
    <s v="Rio de Janeiro"/>
    <s v="Enterprise"/>
    <x v="0"/>
    <x v="13"/>
    <s v="Printers"/>
    <s v="PRN-1271"/>
    <n v="690.49"/>
    <n v="1290.29"/>
    <n v="4.2000000000000003E-2"/>
    <n v="22"/>
    <n v="27194.152039999997"/>
    <n v="15190.78"/>
    <n v="12003.372039999997"/>
    <n v="0.44139534199647718"/>
    <s v="Q2-2023"/>
    <s v="Americas → Brazil → Rio de Janeiro"/>
    <s v="Medium"/>
    <x v="1"/>
    <x v="5"/>
  </r>
  <r>
    <s v="ORD-2023-244375"/>
    <d v="2023-06-03T00:00:00"/>
    <d v="2023-07-01T00:00:00"/>
    <d v="2023-06-03T00:00:00"/>
    <d v="2023-07-01T00:00:00"/>
    <n v="28"/>
    <s v="6-2023"/>
    <s v="Americas"/>
    <x v="5"/>
    <s v="Brasília"/>
    <s v="Small Business"/>
    <x v="2"/>
    <x v="14"/>
    <s v="Components"/>
    <s v="CMP-1223"/>
    <n v="860.4"/>
    <n v="2066.6"/>
    <n v="0.01"/>
    <n v="3"/>
    <n v="6137.8019999999988"/>
    <n v="2581.1999999999998"/>
    <n v="3556.601999999999"/>
    <n v="0.57945857491004105"/>
    <s v="Q2-2023"/>
    <s v="Americas → Brazil → Brasília"/>
    <s v="High"/>
    <x v="1"/>
    <x v="9"/>
  </r>
  <r>
    <s v="ORD-2024-788105"/>
    <d v="2024-11-30T00:00:00"/>
    <d v="2024-12-30T00:00:00"/>
    <d v="2024-11-30T00:00:00"/>
    <d v="2024-12-30T00:00:00"/>
    <n v="30"/>
    <s v="11-2024"/>
    <s v="Europe"/>
    <x v="6"/>
    <s v="Marseille"/>
    <s v="Consumer"/>
    <x v="2"/>
    <x v="9"/>
    <s v="Printers"/>
    <s v="PRN-4170"/>
    <n v="117.64"/>
    <n v="175.67"/>
    <n v="0"/>
    <n v="10"/>
    <n v="1756.6999999999998"/>
    <n v="1176.4000000000001"/>
    <n v="580.29999999999973"/>
    <n v="0.33033528775545046"/>
    <s v="Q4-2024"/>
    <s v="Europe → France → Marseille"/>
    <s v="Low"/>
    <x v="0"/>
    <x v="10"/>
  </r>
  <r>
    <s v="ORD-2024-855073"/>
    <d v="2024-07-19T00:00:00"/>
    <d v="2024-07-19T00:00:00"/>
    <d v="2024-07-19T00:00:00"/>
    <d v="2024-07-19T00:00:00"/>
    <n v="0"/>
    <s v="7-2024"/>
    <s v="Africa"/>
    <x v="0"/>
    <s v="Kisumu"/>
    <s v="Small Business"/>
    <x v="0"/>
    <x v="14"/>
    <s v="Phones"/>
    <s v="PHN-6854"/>
    <n v="857.24"/>
    <n v="758.23"/>
    <n v="0.125"/>
    <n v="6"/>
    <n v="3980.7075"/>
    <n v="5143.4400000000005"/>
    <n v="-1162.7325000000005"/>
    <n v="-0.29209192084572921"/>
    <s v="Q3-2024"/>
    <s v="Africa → Kenya → Kisumu"/>
    <s v="Low"/>
    <x v="0"/>
    <x v="6"/>
  </r>
  <r>
    <s v="ORD-2023-897079"/>
    <d v="2023-04-14T00:00:00"/>
    <d v="2023-05-14T00:00:00"/>
    <d v="2023-04-14T00:00:00"/>
    <d v="2023-05-14T00:00:00"/>
    <n v="30"/>
    <s v="4-2023"/>
    <s v="Africa"/>
    <x v="0"/>
    <s v="Nakuru"/>
    <s v="Consumer"/>
    <x v="2"/>
    <x v="13"/>
    <s v="Phones"/>
    <s v="PHN-1784"/>
    <n v="209.25"/>
    <n v="434.8"/>
    <n v="0"/>
    <n v="9"/>
    <n v="3913.2000000000003"/>
    <n v="1883.25"/>
    <n v="2029.9500000000003"/>
    <n v="0.51874425022999082"/>
    <s v="Q2-2023"/>
    <s v="Africa → Kenya → Nakuru"/>
    <s v="Low"/>
    <x v="1"/>
    <x v="7"/>
  </r>
  <r>
    <s v="ORD-2025-548982"/>
    <d v="2025-04-07T00:00:00"/>
    <d v="2025-04-11T00:00:00"/>
    <d v="2025-04-07T00:00:00"/>
    <d v="2025-04-11T00:00:00"/>
    <n v="4"/>
    <s v="4-2025"/>
    <s v="Europe"/>
    <x v="6"/>
    <s v="Lyon"/>
    <s v="Education"/>
    <x v="0"/>
    <x v="6"/>
    <s v="Networking"/>
    <s v="NET-9716"/>
    <n v="754.77"/>
    <n v="1666.18"/>
    <n v="0.13900000000000001"/>
    <n v="14"/>
    <n v="20084.133720000002"/>
    <n v="10566.779999999999"/>
    <n v="9517.3537200000028"/>
    <n v="0.47387424584424653"/>
    <s v="Q2-2025"/>
    <s v="Europe → France → Lyon"/>
    <s v="Medium"/>
    <x v="2"/>
    <x v="7"/>
  </r>
  <r>
    <s v="ORD-2024-170313"/>
    <d v="2024-12-27T00:00:00"/>
    <d v="2025-01-15T00:00:00"/>
    <d v="2024-12-27T00:00:00"/>
    <d v="2025-01-15T00:00:00"/>
    <n v="19"/>
    <s v="12-2024"/>
    <s v="Asia"/>
    <x v="4"/>
    <s v="Delhi"/>
    <s v="Non-Profit"/>
    <x v="3"/>
    <x v="3"/>
    <s v="Components"/>
    <s v="CMP-6919"/>
    <n v="495.59"/>
    <n v="631.78"/>
    <n v="8.6999999999999994E-2"/>
    <n v="17"/>
    <n v="9805.8573800000013"/>
    <n v="8425.0299999999988"/>
    <n v="1380.8273800000024"/>
    <n v="0.14081658813601899"/>
    <s v="Q4-2024"/>
    <s v="Asia → India → Delhi"/>
    <s v="Low"/>
    <x v="0"/>
    <x v="3"/>
  </r>
  <r>
    <s v="ORD-2023-562894"/>
    <d v="2023-02-23T00:00:00"/>
    <d v="2023-03-25T00:00:00"/>
    <d v="2023-02-23T00:00:00"/>
    <d v="2023-03-25T00:00:00"/>
    <n v="30"/>
    <s v="2-2023"/>
    <s v="Americas"/>
    <x v="3"/>
    <s v="Montreal"/>
    <s v="Enterprise"/>
    <x v="1"/>
    <x v="8"/>
    <s v="Phones"/>
    <s v="PHN-4854"/>
    <n v="1242.6600000000001"/>
    <n v="1794.07"/>
    <n v="8.8999999999999996E-2"/>
    <n v="16"/>
    <n v="26150.364320000001"/>
    <n v="19882.560000000001"/>
    <n v="6267.8043199999993"/>
    <n v="0.23968325042440553"/>
    <s v="Q1-2023"/>
    <s v="Americas → Canada → Montreal"/>
    <s v="Medium"/>
    <x v="1"/>
    <x v="2"/>
  </r>
  <r>
    <s v="ORD-2025-474710"/>
    <d v="2025-07-24T00:00:00"/>
    <d v="2025-08-06T00:00:00"/>
    <d v="2025-07-24T00:00:00"/>
    <d v="2025-08-06T00:00:00"/>
    <n v="13"/>
    <s v="7-2025"/>
    <s v="Africa"/>
    <x v="10"/>
    <s v="Johannesburg"/>
    <s v="Education"/>
    <x v="2"/>
    <x v="8"/>
    <s v="Networking"/>
    <s v="NET-7966"/>
    <n v="1463.9"/>
    <n v="2633.02"/>
    <n v="8.4000000000000005E-2"/>
    <n v="4"/>
    <n v="9647.3852800000004"/>
    <n v="5855.6"/>
    <n v="3791.7852800000001"/>
    <n v="0.39303761277791527"/>
    <s v="Q3-2025"/>
    <s v="Africa → South Africa → Johannesburg"/>
    <s v="High"/>
    <x v="2"/>
    <x v="6"/>
  </r>
  <r>
    <s v="ORD-2024-629525"/>
    <d v="2024-04-18T00:00:00"/>
    <d v="2024-05-08T00:00:00"/>
    <d v="2024-04-18T00:00:00"/>
    <d v="2024-05-08T00:00:00"/>
    <n v="20"/>
    <s v="4-2024"/>
    <s v="Europe"/>
    <x v="7"/>
    <s v="London"/>
    <s v="Non-Profit"/>
    <x v="5"/>
    <x v="8"/>
    <s v="Laptops"/>
    <s v="LAP-9932"/>
    <n v="645.33000000000004"/>
    <n v="1321.85"/>
    <n v="0"/>
    <n v="10"/>
    <n v="13218.5"/>
    <n v="6453.3"/>
    <n v="6765.2"/>
    <n v="0.51179785906116426"/>
    <s v="Q2-2024"/>
    <s v="Europe → United Kingdom → London"/>
    <s v="Medium"/>
    <x v="0"/>
    <x v="7"/>
  </r>
  <r>
    <s v="ORD-2024-167215"/>
    <d v="2024-08-23T00:00:00"/>
    <d v="2024-08-21T00:00:00"/>
    <d v="2024-08-21T00:00:00"/>
    <d v="2024-08-23T00:00:00"/>
    <n v="2"/>
    <s v="8-2024"/>
    <s v="Africa"/>
    <x v="10"/>
    <s v="Johannesburg"/>
    <s v="Education"/>
    <x v="0"/>
    <x v="6"/>
    <s v="Components"/>
    <s v="CMP-1559"/>
    <n v="1432.52"/>
    <n v="3036.87"/>
    <n v="0"/>
    <n v="9"/>
    <n v="27331.829999999998"/>
    <n v="12892.68"/>
    <n v="14439.149999999998"/>
    <n v="0.52829064135112791"/>
    <s v="Q3-2024"/>
    <s v="Africa → South Africa → Johannesburg"/>
    <s v="High"/>
    <x v="0"/>
    <x v="11"/>
  </r>
  <r>
    <s v="ORD-2023-864121"/>
    <d v="2023-03-27T00:00:00"/>
    <d v="2023-04-22T00:00:00"/>
    <d v="2023-03-27T00:00:00"/>
    <d v="2023-04-22T00:00:00"/>
    <n v="26"/>
    <s v="3-2023"/>
    <s v="Asia"/>
    <x v="4"/>
    <s v="Delhi"/>
    <s v="Non-Profit"/>
    <x v="2"/>
    <x v="1"/>
    <s v="Printers"/>
    <s v="PRN-4506"/>
    <n v="178.53"/>
    <n v="199.37"/>
    <n v="0.10100000000000001"/>
    <n v="37"/>
    <n v="6631.6443100000006"/>
    <n v="6605.61"/>
    <n v="26.034310000000914"/>
    <n v="3.9257699573457538E-3"/>
    <s v="Q1-2023"/>
    <s v="Asia → India → Delhi"/>
    <s v="Low"/>
    <x v="1"/>
    <x v="0"/>
  </r>
  <r>
    <s v="ORD-2024-692673"/>
    <d v="2024-03-07T00:00:00"/>
    <d v="2024-03-25T00:00:00"/>
    <d v="2024-03-07T00:00:00"/>
    <d v="2024-03-25T00:00:00"/>
    <n v="18"/>
    <s v="3-2024"/>
    <s v="Europe"/>
    <x v="11"/>
    <s v="Munich"/>
    <s v="Corporate"/>
    <x v="1"/>
    <x v="5"/>
    <s v="Components"/>
    <s v="CMP-7617"/>
    <n v="712.84"/>
    <n v="927.51"/>
    <n v="0.24299999999999999"/>
    <n v="27"/>
    <n v="18957.37689"/>
    <n v="19246.68"/>
    <n v="-289.30311000000074"/>
    <n v="-1.5260714163076427E-2"/>
    <s v="Q1-2024"/>
    <s v="Europe → Germany → Munich"/>
    <s v="Low"/>
    <x v="0"/>
    <x v="0"/>
  </r>
  <r>
    <s v="ORD-2025-718992"/>
    <d v="2025-06-24T00:00:00"/>
    <d v="2025-07-10T00:00:00"/>
    <d v="2025-06-24T00:00:00"/>
    <d v="2025-07-10T00:00:00"/>
    <n v="16"/>
    <s v="6-2025"/>
    <s v="Asia"/>
    <x v="8"/>
    <s v="Shanghai"/>
    <s v="Enterprise"/>
    <x v="4"/>
    <x v="10"/>
    <s v="Components"/>
    <s v="CMP-8390"/>
    <n v="757.19"/>
    <n v="1735.41"/>
    <n v="0.13600000000000001"/>
    <n v="8"/>
    <n v="11995.153920000001"/>
    <n v="6057.52"/>
    <n v="5937.6339200000002"/>
    <n v="0.4950027285685718"/>
    <s v="Q2-2025"/>
    <s v="Asia → China → Shanghai"/>
    <s v="Medium"/>
    <x v="2"/>
    <x v="9"/>
  </r>
  <r>
    <s v="ORD-2024-599522"/>
    <d v="2024-04-19T00:00:00"/>
    <d v="2024-05-06T00:00:00"/>
    <d v="2024-04-19T00:00:00"/>
    <d v="2024-05-06T00:00:00"/>
    <n v="17"/>
    <s v="4-2024"/>
    <s v="Africa"/>
    <x v="1"/>
    <s v="Port Harcourt"/>
    <s v="Non-Profit"/>
    <x v="1"/>
    <x v="14"/>
    <s v="Printers"/>
    <s v="PRN-7303"/>
    <n v="865.33"/>
    <n v="1395.64"/>
    <n v="0.17499999999999999"/>
    <n v="13"/>
    <n v="14968.239"/>
    <n v="11249.29"/>
    <n v="3718.9489999999987"/>
    <n v="0.24845601409758347"/>
    <s v="Q2-2024"/>
    <s v="Africa → Nigeria → Port Harcourt"/>
    <s v="Medium"/>
    <x v="0"/>
    <x v="7"/>
  </r>
  <r>
    <s v="ORD-2023-651638"/>
    <d v="2023-06-17T00:00:00"/>
    <d v="2023-06-24T00:00:00"/>
    <d v="2023-06-17T00:00:00"/>
    <d v="2023-06-24T00:00:00"/>
    <n v="7"/>
    <s v="6-2023"/>
    <s v="Americas"/>
    <x v="9"/>
    <s v="San Francisco"/>
    <s v="Corporate"/>
    <x v="0"/>
    <x v="2"/>
    <s v="Printers"/>
    <s v="PRN-6536"/>
    <n v="313.99"/>
    <n v="454.42"/>
    <n v="0.129"/>
    <n v="9"/>
    <n v="3562.1983800000003"/>
    <n v="2825.91"/>
    <n v="736.28838000000042"/>
    <n v="0.20669493988147858"/>
    <s v="Q2-2023"/>
    <s v="Americas → USA → San Francisco"/>
    <s v="Low"/>
    <x v="1"/>
    <x v="9"/>
  </r>
  <r>
    <s v="ORD-2024-635626"/>
    <d v="2024-08-27T00:00:00"/>
    <d v="2024-09-19T00:00:00"/>
    <d v="2024-08-27T00:00:00"/>
    <d v="2024-09-19T00:00:00"/>
    <n v="23"/>
    <s v="8-2024"/>
    <s v="Europe"/>
    <x v="11"/>
    <s v="Berlin"/>
    <s v="Small Business"/>
    <x v="4"/>
    <x v="8"/>
    <s v="Monitors"/>
    <s v="MON-9967"/>
    <n v="1024.01"/>
    <n v="1580.97"/>
    <n v="3.6999999999999998E-2"/>
    <n v="27"/>
    <n v="41106.800970000004"/>
    <n v="27648.27"/>
    <n v="13458.530970000003"/>
    <n v="0.3274039976942531"/>
    <s v="Q3-2024"/>
    <s v="Europe → Germany → Berlin"/>
    <s v="Medium"/>
    <x v="0"/>
    <x v="11"/>
  </r>
  <r>
    <s v="ORD-2024-296582"/>
    <d v="2024-01-11T00:00:00"/>
    <d v="2024-02-02T00:00:00"/>
    <d v="2024-01-11T00:00:00"/>
    <d v="2024-02-02T00:00:00"/>
    <n v="22"/>
    <s v="1-2024"/>
    <s v="Africa"/>
    <x v="10"/>
    <s v="Durban"/>
    <s v="Consumer"/>
    <x v="1"/>
    <x v="12"/>
    <s v="Networking"/>
    <s v="NET-1412"/>
    <n v="1206.2"/>
    <n v="1759.79"/>
    <n v="0"/>
    <n v="6"/>
    <n v="10558.74"/>
    <n v="7237.2000000000007"/>
    <n v="3321.5399999999991"/>
    <n v="0.31457730751964713"/>
    <s v="Q1-2024"/>
    <s v="Africa → South Africa → Durban"/>
    <s v="Medium"/>
    <x v="0"/>
    <x v="4"/>
  </r>
  <r>
    <s v="ORD-2024-998320"/>
    <d v="2024-10-25T00:00:00"/>
    <d v="2024-11-14T00:00:00"/>
    <d v="2024-10-25T00:00:00"/>
    <d v="2024-11-14T00:00:00"/>
    <n v="20"/>
    <s v="10-2024"/>
    <s v="Africa"/>
    <x v="0"/>
    <s v="Mombasa"/>
    <s v="Corporate"/>
    <x v="4"/>
    <x v="11"/>
    <s v="Printers"/>
    <s v="PRN-3143"/>
    <n v="1396.48"/>
    <n v="3204.5"/>
    <n v="0.1186"/>
    <n v="14"/>
    <n v="39542.248200000002"/>
    <n v="19550.72"/>
    <n v="19991.528200000001"/>
    <n v="0.50557388894240973"/>
    <s v="Q4-2024"/>
    <s v="Africa → Kenya → Mombasa"/>
    <s v="High"/>
    <x v="0"/>
    <x v="1"/>
  </r>
  <r>
    <s v="ORD-2025-820255"/>
    <d v="2025-05-29T00:00:00"/>
    <d v="2025-06-20T00:00:00"/>
    <d v="2025-05-29T00:00:00"/>
    <d v="2025-06-20T00:00:00"/>
    <n v="22"/>
    <s v="5-2025"/>
    <s v="Europe"/>
    <x v="11"/>
    <s v="Berlin"/>
    <s v="Corporate"/>
    <x v="4"/>
    <x v="14"/>
    <s v="Printers"/>
    <s v="PRN-9787"/>
    <n v="483.47"/>
    <n v="1135.43"/>
    <n v="0.14599999999999999"/>
    <n v="11"/>
    <n v="10666.229420000001"/>
    <n v="5318.17"/>
    <n v="5348.0594200000014"/>
    <n v="0.50140112399719983"/>
    <s v="Q2-2025"/>
    <s v="Europe → Germany → Berlin"/>
    <s v="Low"/>
    <x v="2"/>
    <x v="5"/>
  </r>
  <r>
    <s v="ORD-2024-389336"/>
    <d v="2024-05-20T00:00:00"/>
    <d v="2024-06-02T00:00:00"/>
    <d v="2024-05-20T00:00:00"/>
    <d v="2024-06-02T00:00:00"/>
    <n v="13"/>
    <s v="5-2024"/>
    <s v="Americas"/>
    <x v="3"/>
    <s v="Vancouver"/>
    <s v="Enterprise"/>
    <x v="2"/>
    <x v="12"/>
    <s v="Components"/>
    <s v="CMP-5946"/>
    <n v="675.43"/>
    <n v="996.36"/>
    <n v="0.182"/>
    <n v="22"/>
    <n v="17930.494560000003"/>
    <n v="14859.46"/>
    <n v="3071.0345600000037"/>
    <n v="0.17127439233332575"/>
    <s v="Q2-2024"/>
    <s v="Americas → Canada → Vancouver"/>
    <s v="Low"/>
    <x v="0"/>
    <x v="5"/>
  </r>
  <r>
    <s v="ORD-2023-308124"/>
    <d v="2023-04-19T00:00:00"/>
    <d v="2023-04-30T00:00:00"/>
    <d v="2023-04-19T00:00:00"/>
    <d v="2023-04-30T00:00:00"/>
    <n v="11"/>
    <s v="4-2023"/>
    <s v="Asia"/>
    <x v="4"/>
    <s v="Delhi"/>
    <s v="Small Business"/>
    <x v="0"/>
    <x v="14"/>
    <s v="Networking"/>
    <s v="NET-2062"/>
    <n v="826.55"/>
    <n v="1397.05"/>
    <n v="0.16900000000000001"/>
    <n v="28"/>
    <n v="32506.559399999998"/>
    <n v="23143.399999999998"/>
    <n v="9363.1594000000005"/>
    <n v="0.28803907804527601"/>
    <s v="Q2-2023"/>
    <s v="Asia → India → Delhi"/>
    <s v="Medium"/>
    <x v="1"/>
    <x v="7"/>
  </r>
  <r>
    <s v="ORD-2023-128295"/>
    <d v="2023-06-23T00:00:00"/>
    <d v="2023-07-03T00:00:00"/>
    <d v="2023-06-23T00:00:00"/>
    <d v="2023-07-03T00:00:00"/>
    <n v="10"/>
    <s v="6-2023"/>
    <s v="Africa"/>
    <x v="1"/>
    <s v="Abuja"/>
    <s v="Consumer"/>
    <x v="1"/>
    <x v="1"/>
    <s v="Printers"/>
    <s v="PRN-2542"/>
    <n v="337.75"/>
    <n v="548.89"/>
    <n v="0"/>
    <n v="13"/>
    <n v="7135.57"/>
    <n v="4390.75"/>
    <n v="2744.8199999999997"/>
    <n v="0.38466723751571352"/>
    <s v="Q2-2023"/>
    <s v="Africa → Nigeria → Abuja"/>
    <s v="Low"/>
    <x v="1"/>
    <x v="9"/>
  </r>
  <r>
    <s v="ORD-2024-548345"/>
    <d v="2024-05-14T00:00:00"/>
    <d v="2024-05-28T00:00:00"/>
    <d v="2024-05-14T00:00:00"/>
    <d v="2024-05-28T00:00:00"/>
    <n v="14"/>
    <s v="5-2024"/>
    <s v="Europe"/>
    <x v="7"/>
    <s v="Birmingham"/>
    <s v="Consumer"/>
    <x v="0"/>
    <x v="5"/>
    <s v="Networking"/>
    <s v="NET-2365"/>
    <n v="1421.14"/>
    <n v="3524"/>
    <n v="0"/>
    <n v="31"/>
    <n v="109244"/>
    <n v="44055.340000000004"/>
    <n v="65188.659999999996"/>
    <n v="0.59672531214528945"/>
    <s v="Q2-2024"/>
    <s v="Europe → United Kingdom → Birmingham"/>
    <s v="High"/>
    <x v="0"/>
    <x v="5"/>
  </r>
  <r>
    <s v="ORD-2024-966651"/>
    <d v="2024-10-14T00:00:00"/>
    <d v="2024-11-08T00:00:00"/>
    <d v="2024-10-14T00:00:00"/>
    <d v="2024-11-08T00:00:00"/>
    <n v="25"/>
    <s v="10-2024"/>
    <s v="Africa"/>
    <x v="1"/>
    <s v="Lagos"/>
    <s v="Enterprise"/>
    <x v="1"/>
    <x v="7"/>
    <s v="Networking"/>
    <s v="NET-5268"/>
    <n v="859.35"/>
    <n v="1825.61"/>
    <n v="0.187"/>
    <n v="24"/>
    <n v="35621.302319999995"/>
    <n v="20624.400000000001"/>
    <n v="14996.902319999994"/>
    <n v="0.42100937762681989"/>
    <s v="Q4-2024"/>
    <s v="Africa → Nigeria → Lagos"/>
    <s v="Medium"/>
    <x v="0"/>
    <x v="1"/>
  </r>
  <r>
    <s v="ORD-2023-292714"/>
    <d v="2023-07-10T00:00:00"/>
    <d v="2023-08-01T00:00:00"/>
    <d v="2023-07-10T00:00:00"/>
    <d v="2023-08-01T00:00:00"/>
    <n v="22"/>
    <s v="7-2023"/>
    <s v="Europe"/>
    <x v="6"/>
    <s v="Marseille"/>
    <s v="Consumer"/>
    <x v="2"/>
    <x v="5"/>
    <s v="Printers"/>
    <s v="PRN-1504"/>
    <n v="1303.56"/>
    <n v="1791.37"/>
    <n v="0.126"/>
    <n v="22"/>
    <n v="34444.462359999998"/>
    <n v="28678.32"/>
    <n v="5766.142359999998"/>
    <n v="0.16740404596055358"/>
    <s v="Q3-2023"/>
    <s v="Europe → France → Marseille"/>
    <s v="Medium"/>
    <x v="1"/>
    <x v="6"/>
  </r>
  <r>
    <s v="ORD-2023-957692"/>
    <d v="2023-05-07T00:00:00"/>
    <d v="2023-05-20T00:00:00"/>
    <d v="2023-05-07T00:00:00"/>
    <d v="2023-05-20T00:00:00"/>
    <n v="13"/>
    <s v="5-2023"/>
    <s v="Asia"/>
    <x v="4"/>
    <s v="Mumbai"/>
    <s v="Enterprise"/>
    <x v="0"/>
    <x v="8"/>
    <s v="Accessories"/>
    <s v="ACC-9283"/>
    <n v="1443.28"/>
    <n v="2580.5700000000002"/>
    <n v="0"/>
    <n v="18"/>
    <n v="46450.26"/>
    <n v="25979.040000000001"/>
    <n v="20471.22"/>
    <n v="0.4407127107577008"/>
    <s v="Q2-2023"/>
    <s v="Asia → India → Mumbai"/>
    <s v="High"/>
    <x v="1"/>
    <x v="5"/>
  </r>
  <r>
    <s v="ORD-2024-260775"/>
    <d v="2024-10-17T00:00:00"/>
    <d v="2024-11-06T00:00:00"/>
    <d v="2024-10-17T00:00:00"/>
    <d v="2024-11-06T00:00:00"/>
    <n v="20"/>
    <s v="10-2024"/>
    <s v="Asia"/>
    <x v="4"/>
    <s v="Bengaluru"/>
    <s v="Enterprise"/>
    <x v="3"/>
    <x v="7"/>
    <s v="Monitors"/>
    <s v="MON-4330"/>
    <n v="72.94"/>
    <n v="106.3"/>
    <n v="0.29499999999999998"/>
    <n v="8"/>
    <n v="599.53200000000004"/>
    <n v="583.52"/>
    <n v="16.012000000000057"/>
    <n v="2.6707498515508857E-2"/>
    <s v="Q4-2024"/>
    <s v="Asia → India → Bengaluru"/>
    <s v="Low"/>
    <x v="0"/>
    <x v="1"/>
  </r>
  <r>
    <s v="ORD-2023-419187"/>
    <d v="2023-03-31T00:00:00"/>
    <d v="2023-04-05T00:00:00"/>
    <d v="2023-03-31T00:00:00"/>
    <d v="2023-04-05T00:00:00"/>
    <n v="5"/>
    <s v="3-2023"/>
    <s v="Africa"/>
    <x v="0"/>
    <s v="Nakuru"/>
    <s v="Education"/>
    <x v="2"/>
    <x v="5"/>
    <s v="Laptops"/>
    <s v="LAP-7819"/>
    <n v="533.26"/>
    <n v="385.72"/>
    <n v="0"/>
    <n v="15"/>
    <n v="5785.8"/>
    <n v="7998.9"/>
    <n v="-2213.0999999999995"/>
    <n v="-0.38250544436378708"/>
    <s v="Q1-2023"/>
    <s v="Africa → Kenya → Nakuru"/>
    <s v="Low"/>
    <x v="1"/>
    <x v="0"/>
  </r>
  <r>
    <s v="ORD-2025-578007"/>
    <d v="2025-01-21T00:00:00"/>
    <d v="2025-02-16T00:00:00"/>
    <d v="2025-01-21T00:00:00"/>
    <d v="2025-02-16T00:00:00"/>
    <n v="26"/>
    <s v="1-2025"/>
    <s v="Europe"/>
    <x v="6"/>
    <s v="Lyon"/>
    <s v="Corporate"/>
    <x v="3"/>
    <x v="7"/>
    <s v="Laptops"/>
    <s v="LAP-3779"/>
    <n v="204.11"/>
    <n v="236.87"/>
    <n v="0.182"/>
    <n v="13"/>
    <n v="2518.8755800000004"/>
    <n v="2653.4300000000003"/>
    <n v="-134.55441999999994"/>
    <n v="-5.3418446337075494E-2"/>
    <s v="Q1-2025"/>
    <s v="Europe → France → Lyon"/>
    <s v="Low"/>
    <x v="2"/>
    <x v="4"/>
  </r>
  <r>
    <s v="ORD-2023-235230"/>
    <d v="2023-08-30T00:00:00"/>
    <d v="2023-09-01T00:00:00"/>
    <d v="2023-08-30T00:00:00"/>
    <d v="2023-09-01T00:00:00"/>
    <n v="2"/>
    <s v="8-2023"/>
    <s v="Europe"/>
    <x v="11"/>
    <s v="Munich"/>
    <s v="Corporate"/>
    <x v="4"/>
    <x v="10"/>
    <s v="Networking"/>
    <s v="NET-9989"/>
    <n v="44.42"/>
    <n v="41.9"/>
    <n v="0.14399999999999999"/>
    <n v="6"/>
    <n v="215.19839999999996"/>
    <n v="266.52"/>
    <n v="-51.321600000000018"/>
    <n v="-0.23848504449847224"/>
    <s v="Q3-2023"/>
    <s v="Europe → Germany → Munich"/>
    <s v="Low"/>
    <x v="1"/>
    <x v="11"/>
  </r>
  <r>
    <s v="ORD-2023-434071"/>
    <d v="2023-06-20T00:00:00"/>
    <d v="2023-07-04T00:00:00"/>
    <d v="2023-06-20T00:00:00"/>
    <d v="2023-07-04T00:00:00"/>
    <n v="14"/>
    <s v="6-2023"/>
    <s v="Americas"/>
    <x v="5"/>
    <s v="Brasília"/>
    <s v="Non-Profit"/>
    <x v="4"/>
    <x v="0"/>
    <s v="Networking"/>
    <s v="NET-1228"/>
    <n v="1292.8599999999999"/>
    <n v="2981.01"/>
    <n v="0.14199999999999999"/>
    <n v="12"/>
    <n v="30692.47896"/>
    <n v="15514.32"/>
    <n v="15178.158960000001"/>
    <n v="0.49452372288927687"/>
    <s v="Q2-2023"/>
    <s v="Americas → Brazil → Brasília"/>
    <s v="High"/>
    <x v="1"/>
    <x v="9"/>
  </r>
  <r>
    <s v="ORD-2023-374486"/>
    <d v="2023-06-24T00:00:00"/>
    <d v="2023-06-23T00:00:00"/>
    <d v="2023-06-23T00:00:00"/>
    <d v="2023-06-24T00:00:00"/>
    <n v="1"/>
    <s v="6-2023"/>
    <s v="Americas"/>
    <x v="5"/>
    <s v="Rio de Janeiro"/>
    <s v="Non-Profit"/>
    <x v="0"/>
    <x v="6"/>
    <s v="Printers"/>
    <s v="PRN-6490"/>
    <n v="804.01"/>
    <n v="1405.07"/>
    <n v="9.6000000000000002E-2"/>
    <n v="8"/>
    <n v="10161.46624"/>
    <n v="6432.08"/>
    <n v="3729.3862399999998"/>
    <n v="0.36701260939287439"/>
    <s v="Q2-2023"/>
    <s v="Americas → Brazil → Rio de Janeiro"/>
    <s v="Medium"/>
    <x v="1"/>
    <x v="9"/>
  </r>
  <r>
    <s v="ORD-2025-944081"/>
    <d v="2025-03-25T00:00:00"/>
    <d v="2025-03-26T00:00:00"/>
    <d v="2025-03-25T00:00:00"/>
    <d v="2025-03-26T00:00:00"/>
    <n v="1"/>
    <s v="3-2025"/>
    <s v="Africa"/>
    <x v="1"/>
    <s v="Lagos"/>
    <s v="Education"/>
    <x v="3"/>
    <x v="3"/>
    <s v="Accessories"/>
    <s v="ACC-9533"/>
    <n v="1450.43"/>
    <n v="1994.67"/>
    <n v="0.1"/>
    <n v="24"/>
    <n v="43084.872000000003"/>
    <n v="34810.32"/>
    <n v="8274.5520000000033"/>
    <n v="0.19205237513529116"/>
    <s v="Q1-2025"/>
    <s v="Africa → Nigeria → Lagos"/>
    <s v="High"/>
    <x v="2"/>
    <x v="0"/>
  </r>
  <r>
    <s v="ORD-2025-843974"/>
    <d v="2025-07-20T00:00:00"/>
    <d v="2025-08-05T00:00:00"/>
    <d v="2025-07-20T00:00:00"/>
    <d v="2025-08-05T00:00:00"/>
    <n v="16"/>
    <s v="7-2025"/>
    <s v="Americas"/>
    <x v="5"/>
    <s v="Brasília"/>
    <s v="Enterprise"/>
    <x v="2"/>
    <x v="3"/>
    <s v="Accessories"/>
    <s v="ACC-8098"/>
    <n v="1068.17"/>
    <n v="2375.37"/>
    <n v="0.109"/>
    <n v="18"/>
    <n v="38096.18406"/>
    <n v="19227.060000000001"/>
    <n v="18869.124059999998"/>
    <n v="0.49530220744108822"/>
    <s v="Q3-2025"/>
    <s v="Americas → Brazil → Brasília"/>
    <s v="High"/>
    <x v="2"/>
    <x v="6"/>
  </r>
  <r>
    <s v="ORD-2024-446699"/>
    <d v="2024-08-28T00:00:00"/>
    <d v="2024-09-25T00:00:00"/>
    <d v="2024-08-28T00:00:00"/>
    <d v="2024-09-25T00:00:00"/>
    <n v="28"/>
    <s v="8-2024"/>
    <s v="Americas"/>
    <x v="5"/>
    <s v="Rio de Janeiro"/>
    <s v="Non-Profit"/>
    <x v="1"/>
    <x v="15"/>
    <s v="Accessories"/>
    <s v="ACC-4490"/>
    <n v="1394.65"/>
    <n v="3144.1"/>
    <n v="0.13400000000000001"/>
    <n v="13"/>
    <n v="35396.277799999996"/>
    <n v="18130.45"/>
    <n v="17265.827799999995"/>
    <n v="0.4877865378263021"/>
    <s v="Q3-2024"/>
    <s v="Americas → Brazil → Rio de Janeiro"/>
    <s v="High"/>
    <x v="0"/>
    <x v="11"/>
  </r>
  <r>
    <s v="ORD-2024-906395"/>
    <d v="2024-03-10T00:00:00"/>
    <d v="2024-04-09T00:00:00"/>
    <d v="2024-03-10T00:00:00"/>
    <d v="2024-04-09T00:00:00"/>
    <n v="30"/>
    <s v="3-2024"/>
    <s v="Europe"/>
    <x v="6"/>
    <s v="Lyon"/>
    <s v="Corporate"/>
    <x v="4"/>
    <x v="2"/>
    <s v="Components"/>
    <s v="CMP-8002"/>
    <n v="1176.56"/>
    <n v="1911.89"/>
    <n v="0.11899999999999999"/>
    <n v="20"/>
    <n v="33687.501800000005"/>
    <n v="23531.199999999997"/>
    <n v="10156.301800000008"/>
    <n v="0.30148575160892477"/>
    <s v="Q1-2024"/>
    <s v="Europe → France → Lyon"/>
    <s v="Medium"/>
    <x v="0"/>
    <x v="0"/>
  </r>
  <r>
    <s v="ORD-2025-779574"/>
    <d v="2025-09-10T00:00:00"/>
    <d v="2025-09-12T00:00:00"/>
    <d v="2025-09-10T00:00:00"/>
    <d v="2025-09-12T00:00:00"/>
    <n v="2"/>
    <s v="9-2025"/>
    <s v="Asia"/>
    <x v="2"/>
    <s v="Tokyo"/>
    <s v="Consumer"/>
    <x v="1"/>
    <x v="7"/>
    <s v="Components"/>
    <s v="CMP-6971"/>
    <n v="1470.15"/>
    <n v="2593.7800000000002"/>
    <n v="0.11"/>
    <n v="12"/>
    <n v="27701.570400000001"/>
    <n v="17641.800000000003"/>
    <n v="10059.770399999998"/>
    <n v="0.36314801849645306"/>
    <s v="Q3-2025"/>
    <s v="Asia → Japan → Tokyo"/>
    <s v="High"/>
    <x v="2"/>
    <x v="8"/>
  </r>
  <r>
    <s v="ORD-2025-526650"/>
    <d v="2025-04-27T00:00:00"/>
    <d v="2025-05-25T00:00:00"/>
    <d v="2025-04-27T00:00:00"/>
    <d v="2025-05-25T00:00:00"/>
    <n v="28"/>
    <s v="4-2025"/>
    <s v="Europe"/>
    <x v="6"/>
    <s v="Paris"/>
    <s v="Small Business"/>
    <x v="2"/>
    <x v="2"/>
    <s v="Phones"/>
    <s v="PHN-8350"/>
    <n v="603.45000000000005"/>
    <n v="1244.08"/>
    <n v="0.2"/>
    <n v="11"/>
    <n v="10947.904"/>
    <n v="6637.9500000000007"/>
    <n v="4309.9539999999997"/>
    <n v="0.39367846119220623"/>
    <s v="Q2-2025"/>
    <s v="Europe → France → Paris"/>
    <s v="Medium"/>
    <x v="2"/>
    <x v="7"/>
  </r>
  <r>
    <s v="ORD-2024-247979"/>
    <d v="2024-11-02T00:00:00"/>
    <d v="2024-11-18T00:00:00"/>
    <d v="2024-11-02T00:00:00"/>
    <d v="2024-11-18T00:00:00"/>
    <n v="16"/>
    <s v="11-2024"/>
    <s v="Asia"/>
    <x v="4"/>
    <s v="Mumbai"/>
    <s v="Small Business"/>
    <x v="3"/>
    <x v="7"/>
    <s v="Monitors"/>
    <s v="MON-5188"/>
    <n v="1233.58"/>
    <n v="1912.51"/>
    <n v="0.255"/>
    <n v="51"/>
    <n v="72665.817450000002"/>
    <n v="62912.579999999994"/>
    <n v="9753.2374500000078"/>
    <n v="0.134220432553601"/>
    <s v="Q4-2024"/>
    <s v="Asia → India → Mumbai"/>
    <s v="High"/>
    <x v="0"/>
    <x v="10"/>
  </r>
  <r>
    <s v="ORD-2023-480975"/>
    <d v="2023-02-15T00:00:00"/>
    <d v="2023-02-26T00:00:00"/>
    <d v="2023-02-15T00:00:00"/>
    <d v="2023-02-26T00:00:00"/>
    <n v="11"/>
    <s v="2-2023"/>
    <s v="Africa"/>
    <x v="10"/>
    <s v="Johannesburg"/>
    <s v="Non-Profit"/>
    <x v="0"/>
    <x v="12"/>
    <s v="Laptops"/>
    <s v="LAP-3393"/>
    <n v="498.5"/>
    <n v="755.87"/>
    <n v="0.13"/>
    <n v="40"/>
    <n v="26304.275999999998"/>
    <n v="19940"/>
    <n v="6364.275999999998"/>
    <n v="0.24194834330357537"/>
    <s v="Q1-2023"/>
    <s v="Africa → South Africa → Johannesburg"/>
    <s v="Low"/>
    <x v="1"/>
    <x v="2"/>
  </r>
  <r>
    <s v="ORD-2023-309373"/>
    <d v="2023-07-05T00:00:00"/>
    <d v="2023-07-14T00:00:00"/>
    <d v="2023-07-05T00:00:00"/>
    <d v="2023-07-14T00:00:00"/>
    <n v="9"/>
    <s v="7-2023"/>
    <s v="Americas"/>
    <x v="5"/>
    <s v="Brasília"/>
    <s v="Enterprise"/>
    <x v="4"/>
    <x v="5"/>
    <s v="Networking"/>
    <s v="NET-2394"/>
    <n v="578.85"/>
    <n v="998.76"/>
    <n v="8.2000000000000003E-2"/>
    <n v="28"/>
    <n v="25672.127039999999"/>
    <n v="16207.800000000001"/>
    <n v="9464.3270399999983"/>
    <n v="0.36866158480960831"/>
    <s v="Q3-2023"/>
    <s v="Americas → Brazil → Brasília"/>
    <s v="Low"/>
    <x v="1"/>
    <x v="6"/>
  </r>
  <r>
    <s v="ORD-2024-704056"/>
    <d v="2024-06-23T00:00:00"/>
    <d v="2024-06-25T00:00:00"/>
    <d v="2024-06-23T00:00:00"/>
    <d v="2024-06-25T00:00:00"/>
    <n v="2"/>
    <s v="6-2024"/>
    <s v="Europe"/>
    <x v="7"/>
    <s v="Birmingham"/>
    <s v="Small Business"/>
    <x v="2"/>
    <x v="4"/>
    <s v="Accessories"/>
    <s v="ACC-7838"/>
    <n v="951.44"/>
    <n v="1646.43"/>
    <n v="0.11"/>
    <n v="24"/>
    <n v="35167.7448"/>
    <n v="22834.560000000001"/>
    <n v="12333.184799999999"/>
    <n v="0.35069592520473475"/>
    <s v="Q2-2024"/>
    <s v="Europe → United Kingdom → Birmingham"/>
    <s v="Medium"/>
    <x v="0"/>
    <x v="9"/>
  </r>
  <r>
    <s v="ORD-2024-347736"/>
    <d v="2024-05-22T00:00:00"/>
    <d v="2024-06-06T00:00:00"/>
    <d v="2024-05-22T00:00:00"/>
    <d v="2024-06-06T00:00:00"/>
    <n v="15"/>
    <s v="5-2024"/>
    <s v="Asia"/>
    <x v="2"/>
    <s v="Nagoya"/>
    <s v="Corporate"/>
    <x v="3"/>
    <x v="0"/>
    <s v="Monitors"/>
    <s v="MON-6870"/>
    <n v="673.88"/>
    <n v="1228.01"/>
    <n v="0.105"/>
    <n v="13"/>
    <n v="14287.896349999999"/>
    <n v="8760.44"/>
    <n v="5527.4563499999986"/>
    <n v="0.38686285332689996"/>
    <s v="Q2-2024"/>
    <s v="Asia → Japan → Nagoya"/>
    <s v="Medium"/>
    <x v="0"/>
    <x v="5"/>
  </r>
  <r>
    <s v="ORD-2023-749324"/>
    <d v="2023-08-19T00:00:00"/>
    <d v="2023-09-07T00:00:00"/>
    <d v="2023-08-19T00:00:00"/>
    <d v="2023-09-07T00:00:00"/>
    <n v="19"/>
    <s v="8-2023"/>
    <s v="Africa"/>
    <x v="10"/>
    <s v="Johannesburg"/>
    <s v="Enterprise"/>
    <x v="0"/>
    <x v="8"/>
    <s v="Monitors"/>
    <s v="MON-2296"/>
    <n v="494.61"/>
    <n v="605.23"/>
    <n v="0.20399999999999999"/>
    <n v="18"/>
    <n v="8671.7354400000004"/>
    <n v="8902.98"/>
    <n v="-231.24455999999918"/>
    <n v="-2.6666468505639647E-2"/>
    <s v="Q3-2023"/>
    <s v="Africa → South Africa → Johannesburg"/>
    <s v="Low"/>
    <x v="1"/>
    <x v="11"/>
  </r>
  <r>
    <s v="ORD-2023-809913"/>
    <d v="2023-04-21T00:00:00"/>
    <d v="2023-05-10T00:00:00"/>
    <d v="2023-04-21T00:00:00"/>
    <d v="2023-05-10T00:00:00"/>
    <n v="19"/>
    <s v="4-2023"/>
    <s v="Asia"/>
    <x v="8"/>
    <s v="Shanghai"/>
    <s v="Corporate"/>
    <x v="0"/>
    <x v="14"/>
    <s v="Components"/>
    <s v="CMP-7371"/>
    <n v="882.33"/>
    <n v="1880.15"/>
    <n v="0.05"/>
    <n v="5"/>
    <n v="8930.7124999999996"/>
    <n v="4411.6500000000005"/>
    <n v="4519.0624999999991"/>
    <n v="0.50601365792482955"/>
    <s v="Q2-2023"/>
    <s v="Asia → China → Shanghai"/>
    <s v="Medium"/>
    <x v="1"/>
    <x v="7"/>
  </r>
  <r>
    <s v="ORD-2023-261081"/>
    <d v="2023-07-24T00:00:00"/>
    <d v="2023-08-19T00:00:00"/>
    <d v="2023-07-24T00:00:00"/>
    <d v="2023-08-19T00:00:00"/>
    <n v="26"/>
    <s v="7-2023"/>
    <s v="Africa"/>
    <x v="0"/>
    <s v="Nairobi"/>
    <s v="Enterprise"/>
    <x v="3"/>
    <x v="13"/>
    <s v="Accessories"/>
    <s v="ACC-1238"/>
    <n v="661.45"/>
    <n v="1634.86"/>
    <n v="0.1186"/>
    <n v="24"/>
    <n v="34583.174496"/>
    <n v="15874.800000000001"/>
    <n v="18708.374495999997"/>
    <n v="0.54096753027007016"/>
    <s v="Q3-2023"/>
    <s v="Africa → Kenya → Nairobi"/>
    <s v="Medium"/>
    <x v="1"/>
    <x v="6"/>
  </r>
  <r>
    <s v="ORD-2023-594700"/>
    <d v="2023-07-18T00:00:00"/>
    <d v="2023-07-22T00:00:00"/>
    <d v="2023-07-18T00:00:00"/>
    <d v="2023-07-22T00:00:00"/>
    <n v="4"/>
    <s v="7-2023"/>
    <s v="Americas"/>
    <x v="5"/>
    <s v="São Paulo"/>
    <s v="Consumer"/>
    <x v="4"/>
    <x v="9"/>
    <s v="Networking"/>
    <s v="NET-1699"/>
    <n v="1269.55"/>
    <n v="2071.1"/>
    <n v="0.129"/>
    <n v="22"/>
    <n v="39686.4182"/>
    <n v="27930.1"/>
    <n v="11756.318200000002"/>
    <n v="0.29623026549672354"/>
    <s v="Q3-2023"/>
    <s v="Americas → Brazil → São Paulo"/>
    <s v="High"/>
    <x v="1"/>
    <x v="6"/>
  </r>
  <r>
    <s v="ORD-2024-939873"/>
    <d v="2024-04-12T00:00:00"/>
    <d v="2024-05-07T00:00:00"/>
    <d v="2024-04-12T00:00:00"/>
    <d v="2024-05-07T00:00:00"/>
    <n v="25"/>
    <s v="4-2024"/>
    <s v="Africa"/>
    <x v="10"/>
    <s v="Johannesburg"/>
    <s v="Education"/>
    <x v="3"/>
    <x v="14"/>
    <s v="Laptops"/>
    <s v="LAP-8489"/>
    <n v="1376.51"/>
    <n v="1455.91"/>
    <n v="0.185"/>
    <n v="17"/>
    <n v="20171.63305"/>
    <n v="23400.67"/>
    <n v="-3229.0369499999979"/>
    <n v="-0.1600781127634085"/>
    <s v="Q2-2024"/>
    <s v="Africa → South Africa → Johannesburg"/>
    <s v="Medium"/>
    <x v="0"/>
    <x v="7"/>
  </r>
  <r>
    <s v="ORD-2024-800947"/>
    <d v="2024-12-15T00:00:00"/>
    <d v="2024-12-20T00:00:00"/>
    <d v="2024-12-15T00:00:00"/>
    <d v="2024-12-20T00:00:00"/>
    <n v="5"/>
    <s v="12-2024"/>
    <s v="Asia"/>
    <x v="8"/>
    <s v="Shenzhen"/>
    <s v="Small Business"/>
    <x v="4"/>
    <x v="1"/>
    <s v="Networking"/>
    <s v="NET-1846"/>
    <n v="717.55"/>
    <n v="546.42999999999995"/>
    <n v="4.7E-2"/>
    <n v="18"/>
    <n v="9373.460219999999"/>
    <n v="12915.9"/>
    <n v="-3542.4397800000006"/>
    <n v="-0.37792231437026369"/>
    <s v="Q4-2024"/>
    <s v="Asia → China → Shenzhen"/>
    <s v="Low"/>
    <x v="0"/>
    <x v="3"/>
  </r>
  <r>
    <s v="ORD-2023-382272"/>
    <d v="2023-05-20T00:00:00"/>
    <d v="2023-05-18T00:00:00"/>
    <d v="2023-05-18T00:00:00"/>
    <d v="2023-05-20T00:00:00"/>
    <n v="2"/>
    <s v="5-2023"/>
    <s v="Africa"/>
    <x v="10"/>
    <s v="Durban"/>
    <s v="Corporate"/>
    <x v="3"/>
    <x v="14"/>
    <s v="Components"/>
    <s v="CMP-5208"/>
    <n v="917.88"/>
    <n v="1347.92"/>
    <n v="0.1186"/>
    <n v="5"/>
    <n v="5940.2834400000002"/>
    <n v="4589.3999999999996"/>
    <n v="1350.8834400000005"/>
    <n v="0.22741060315465358"/>
    <s v="Q2-2023"/>
    <s v="Africa → South Africa → Durban"/>
    <s v="Medium"/>
    <x v="1"/>
    <x v="5"/>
  </r>
  <r>
    <s v="ORD-2023-722117"/>
    <d v="2023-09-18T00:00:00"/>
    <d v="2023-10-08T00:00:00"/>
    <d v="2023-09-18T00:00:00"/>
    <d v="2023-10-08T00:00:00"/>
    <n v="20"/>
    <s v="9-2023"/>
    <s v="Asia"/>
    <x v="4"/>
    <s v="Delhi"/>
    <s v="Small Business"/>
    <x v="4"/>
    <x v="5"/>
    <s v="Components"/>
    <s v="CMP-1009"/>
    <n v="825.64"/>
    <n v="1108.43"/>
    <n v="0.114"/>
    <n v="7"/>
    <n v="6874.4828600000001"/>
    <n v="5779.48"/>
    <n v="1095.0028600000005"/>
    <n v="0.15928512475773349"/>
    <s v="Q3-2023"/>
    <s v="Asia → India → Delhi"/>
    <s v="Low"/>
    <x v="1"/>
    <x v="8"/>
  </r>
  <r>
    <s v="ORD-2023-825836"/>
    <d v="2023-07-19T00:00:00"/>
    <d v="2023-07-31T00:00:00"/>
    <d v="2023-07-19T00:00:00"/>
    <d v="2023-07-31T00:00:00"/>
    <n v="12"/>
    <s v="7-2023"/>
    <s v="Americas"/>
    <x v="5"/>
    <s v="Rio de Janeiro"/>
    <s v="Corporate"/>
    <x v="0"/>
    <x v="0"/>
    <s v="Monitors"/>
    <s v="MON-7869"/>
    <n v="1334.64"/>
    <n v="2273.42"/>
    <n v="0.11799999999999999"/>
    <n v="14"/>
    <n v="28072.190160000002"/>
    <n v="18684.960000000003"/>
    <n v="9387.2301599999992"/>
    <n v="0.33439607335575267"/>
    <s v="Q3-2023"/>
    <s v="Americas → Brazil → Rio de Janeiro"/>
    <s v="High"/>
    <x v="1"/>
    <x v="6"/>
  </r>
  <r>
    <s v="ORD-2024-638884"/>
    <d v="2024-05-28T00:00:00"/>
    <d v="2024-05-26T00:00:00"/>
    <d v="2024-05-26T00:00:00"/>
    <d v="2024-05-28T00:00:00"/>
    <n v="2"/>
    <s v="5-2024"/>
    <s v="Africa"/>
    <x v="1"/>
    <s v="Abuja"/>
    <s v="Enterprise"/>
    <x v="1"/>
    <x v="9"/>
    <s v="Accessories"/>
    <s v="ACC-5177"/>
    <n v="1227.08"/>
    <n v="1896.62"/>
    <n v="0"/>
    <n v="18"/>
    <n v="34139.159999999996"/>
    <n v="22087.439999999999"/>
    <n v="12051.719999999998"/>
    <n v="0.353017473189147"/>
    <s v="Q2-2024"/>
    <s v="Africa → Nigeria → Abuja"/>
    <s v="Medium"/>
    <x v="0"/>
    <x v="5"/>
  </r>
  <r>
    <s v="ORD-2023-290279"/>
    <d v="2023-06-14T00:00:00"/>
    <d v="2023-06-16T00:00:00"/>
    <d v="2023-06-14T00:00:00"/>
    <d v="2023-06-16T00:00:00"/>
    <n v="2"/>
    <s v="6-2023"/>
    <s v="Europe"/>
    <x v="7"/>
    <s v="Manchester"/>
    <s v="Non-Profit"/>
    <x v="4"/>
    <x v="12"/>
    <s v="Components"/>
    <s v="CMP-5820"/>
    <n v="357.36"/>
    <n v="703.62"/>
    <n v="0.25700000000000001"/>
    <n v="20"/>
    <n v="10455.7932"/>
    <n v="7147.2000000000007"/>
    <n v="3308.5931999999993"/>
    <n v="0.31643636563125593"/>
    <s v="Q2-2023"/>
    <s v="Europe → United Kingdom → Manchester"/>
    <s v="Low"/>
    <x v="1"/>
    <x v="9"/>
  </r>
  <r>
    <s v="ORD-2024-192263"/>
    <d v="2024-11-21T00:00:00"/>
    <d v="2024-12-21T00:00:00"/>
    <d v="2024-11-21T00:00:00"/>
    <d v="2024-12-21T00:00:00"/>
    <n v="30"/>
    <s v="11-2024"/>
    <s v="Europe"/>
    <x v="6"/>
    <s v="Marseille"/>
    <s v="Small Business"/>
    <x v="4"/>
    <x v="2"/>
    <s v="Monitors"/>
    <s v="MON-7943"/>
    <n v="1122.68"/>
    <n v="1997.19"/>
    <n v="0.186"/>
    <n v="3"/>
    <n v="4877.1379800000004"/>
    <n v="3368.04"/>
    <n v="1509.0979800000005"/>
    <n v="0.30942285951073306"/>
    <s v="Q4-2024"/>
    <s v="Europe → France → Marseille"/>
    <s v="High"/>
    <x v="0"/>
    <x v="10"/>
  </r>
  <r>
    <s v="ORD-2023-159379"/>
    <d v="2023-02-08T00:00:00"/>
    <d v="2023-02-11T00:00:00"/>
    <d v="2023-02-08T00:00:00"/>
    <d v="2023-02-11T00:00:00"/>
    <n v="3"/>
    <s v="2-2023"/>
    <s v="Africa"/>
    <x v="10"/>
    <s v="Cape Town"/>
    <s v="Corporate"/>
    <x v="4"/>
    <x v="13"/>
    <s v="Networking"/>
    <s v="NET-5018"/>
    <n v="1410.05"/>
    <n v="2763.95"/>
    <n v="0.161"/>
    <n v="26"/>
    <n v="60292.805299999993"/>
    <n v="36661.299999999996"/>
    <n v="23631.505299999997"/>
    <n v="0.39194569206750779"/>
    <s v="Q1-2023"/>
    <s v="Africa → South Africa → Cape Town"/>
    <s v="High"/>
    <x v="1"/>
    <x v="2"/>
  </r>
  <r>
    <s v="ORD-2023-343322"/>
    <d v="2023-08-19T00:00:00"/>
    <d v="2023-09-12T00:00:00"/>
    <d v="2023-08-19T00:00:00"/>
    <d v="2023-09-12T00:00:00"/>
    <n v="24"/>
    <s v="8-2023"/>
    <s v="Americas"/>
    <x v="3"/>
    <s v="Vancouver"/>
    <s v="Enterprise"/>
    <x v="0"/>
    <x v="2"/>
    <s v="Printers"/>
    <s v="PRN-9669"/>
    <n v="1183.95"/>
    <n v="1503.53"/>
    <n v="0.24099999999999999"/>
    <n v="16"/>
    <n v="18258.868320000001"/>
    <n v="18943.2"/>
    <n v="-684.33167999999932"/>
    <n v="-3.7479413729623705E-2"/>
    <s v="Q3-2023"/>
    <s v="Americas → Canada → Vancouver"/>
    <s v="Medium"/>
    <x v="1"/>
    <x v="11"/>
  </r>
  <r>
    <s v="ORD-2025-114382"/>
    <d v="2025-05-14T00:00:00"/>
    <d v="2025-05-24T00:00:00"/>
    <d v="2025-05-14T00:00:00"/>
    <d v="2025-05-24T00:00:00"/>
    <n v="10"/>
    <s v="5-2025"/>
    <s v="Europe"/>
    <x v="6"/>
    <s v="Paris"/>
    <s v="Small Business"/>
    <x v="2"/>
    <x v="12"/>
    <s v="Components"/>
    <s v="CMP-2865"/>
    <n v="170.39"/>
    <n v="388.04"/>
    <n v="8.4000000000000005E-2"/>
    <n v="15"/>
    <n v="5331.6696000000002"/>
    <n v="2555.85"/>
    <n v="2775.8196000000003"/>
    <n v="0.52062858508711796"/>
    <s v="Q2-2025"/>
    <s v="Europe → France → Paris"/>
    <s v="Low"/>
    <x v="2"/>
    <x v="5"/>
  </r>
  <r>
    <s v="ORD-2025-488349"/>
    <d v="2025-04-23T00:00:00"/>
    <d v="2025-04-22T00:00:00"/>
    <d v="2025-04-22T00:00:00"/>
    <d v="2025-04-23T00:00:00"/>
    <n v="1"/>
    <s v="4-2025"/>
    <s v="Americas"/>
    <x v="9"/>
    <s v="San Francisco"/>
    <s v="Non-Profit"/>
    <x v="3"/>
    <x v="8"/>
    <s v="Monitors"/>
    <s v="MON-3371"/>
    <n v="23.24"/>
    <n v="44.57"/>
    <n v="0.215"/>
    <n v="15"/>
    <n v="524.81174999999996"/>
    <n v="348.59999999999997"/>
    <n v="176.21174999999999"/>
    <n v="0.33576182316802167"/>
    <s v="Q2-2025"/>
    <s v="Americas → USA → San Francisco"/>
    <s v="Low"/>
    <x v="2"/>
    <x v="7"/>
  </r>
  <r>
    <s v="ORD-2025-330203"/>
    <d v="2025-03-25T00:00:00"/>
    <d v="2025-04-17T00:00:00"/>
    <d v="2025-03-25T00:00:00"/>
    <d v="2025-04-17T00:00:00"/>
    <n v="23"/>
    <s v="3-2025"/>
    <s v="Europe"/>
    <x v="7"/>
    <s v="London"/>
    <s v="Consumer"/>
    <x v="0"/>
    <x v="11"/>
    <s v="Networking"/>
    <s v="NET-7166"/>
    <n v="1421.19"/>
    <n v="1808.26"/>
    <n v="0.104"/>
    <n v="13"/>
    <n v="21062.61248"/>
    <n v="18475.47"/>
    <n v="2587.1424799999986"/>
    <n v="0.12283103449093123"/>
    <s v="Q1-2025"/>
    <s v="Europe → United Kingdom → London"/>
    <s v="Medium"/>
    <x v="2"/>
    <x v="0"/>
  </r>
  <r>
    <s v="ORD-2023-841426"/>
    <d v="2023-12-22T00:00:00"/>
    <d v="2023-12-23T00:00:00"/>
    <d v="2023-12-22T00:00:00"/>
    <d v="2023-12-23T00:00:00"/>
    <n v="1"/>
    <s v="12-2023"/>
    <s v="Africa"/>
    <x v="10"/>
    <s v="Cape Town"/>
    <s v="Non-Profit"/>
    <x v="2"/>
    <x v="8"/>
    <s v="Components"/>
    <s v="CMP-4531"/>
    <n v="1186.18"/>
    <n v="1285.0899999999999"/>
    <n v="7.0000000000000007E-2"/>
    <n v="11"/>
    <n v="13146.470699999998"/>
    <n v="13047.980000000001"/>
    <n v="98.49069999999665"/>
    <n v="7.4917977796121861E-3"/>
    <s v="Q4-2023"/>
    <s v="Africa → South Africa → Cape Town"/>
    <s v="Medium"/>
    <x v="1"/>
    <x v="3"/>
  </r>
  <r>
    <s v="ORD-2024-594592"/>
    <d v="2024-04-06T00:00:00"/>
    <d v="2024-04-25T00:00:00"/>
    <d v="2024-04-06T00:00:00"/>
    <d v="2024-04-25T00:00:00"/>
    <n v="19"/>
    <s v="4-2024"/>
    <s v="Asia"/>
    <x v="8"/>
    <s v="Shanghai"/>
    <s v="Corporate"/>
    <x v="0"/>
    <x v="12"/>
    <s v="Components"/>
    <s v="CMP-8196"/>
    <n v="1366.48"/>
    <n v="1678.14"/>
    <n v="0.154"/>
    <n v="10"/>
    <n v="14197.064400000001"/>
    <n v="13664.8"/>
    <n v="532.26440000000184"/>
    <n v="3.7491159087790132E-2"/>
    <s v="Q2-2024"/>
    <s v="Asia → China → Shanghai"/>
    <s v="Medium"/>
    <x v="0"/>
    <x v="7"/>
  </r>
  <r>
    <s v="ORD-2025-863978"/>
    <d v="2025-08-07T00:00:00"/>
    <d v="2025-08-19T00:00:00"/>
    <d v="2025-08-07T00:00:00"/>
    <d v="2025-08-19T00:00:00"/>
    <n v="12"/>
    <s v="8-2025"/>
    <s v="Africa"/>
    <x v="0"/>
    <s v="Nakuru"/>
    <s v="Corporate"/>
    <x v="5"/>
    <x v="13"/>
    <s v="Components"/>
    <s v="CMP-2854"/>
    <n v="601.51"/>
    <n v="679.35"/>
    <n v="0.188"/>
    <n v="3"/>
    <n v="1654.8966000000003"/>
    <n v="1804.53"/>
    <n v="-149.63339999999971"/>
    <n v="-9.0418579626062243E-2"/>
    <s v="Q3-2025"/>
    <s v="Africa → Kenya → Nakuru"/>
    <s v="Low"/>
    <x v="2"/>
    <x v="11"/>
  </r>
  <r>
    <s v="ORD-2024-604471"/>
    <d v="2024-01-21T00:00:00"/>
    <d v="2024-01-25T00:00:00"/>
    <d v="2024-01-21T00:00:00"/>
    <d v="2024-01-25T00:00:00"/>
    <n v="4"/>
    <s v="1-2024"/>
    <s v="Asia"/>
    <x v="4"/>
    <s v="Delhi"/>
    <s v="Consumer"/>
    <x v="4"/>
    <x v="0"/>
    <s v="Monitors"/>
    <s v="MON-8973"/>
    <n v="523.70000000000005"/>
    <n v="1109.92"/>
    <n v="0.03"/>
    <n v="11"/>
    <n v="11842.8464"/>
    <n v="5760.7000000000007"/>
    <n v="6082.1463999999996"/>
    <n v="0.51357133197302973"/>
    <s v="Q1-2024"/>
    <s v="Asia → India → Delhi"/>
    <s v="Low"/>
    <x v="0"/>
    <x v="4"/>
  </r>
  <r>
    <s v="ORD-2023-258768"/>
    <d v="2023-06-29T00:00:00"/>
    <d v="2023-07-02T00:00:00"/>
    <d v="2023-06-29T00:00:00"/>
    <d v="2023-07-02T00:00:00"/>
    <n v="3"/>
    <s v="6-2023"/>
    <s v="Asia"/>
    <x v="2"/>
    <s v="Nagoya"/>
    <s v="Education"/>
    <x v="2"/>
    <x v="9"/>
    <s v="Monitors"/>
    <s v="MON-2990"/>
    <n v="55.65"/>
    <n v="83.57"/>
    <n v="6.6000000000000003E-2"/>
    <n v="8"/>
    <n v="624.43503999999996"/>
    <n v="445.2"/>
    <n v="179.23503999999997"/>
    <n v="0.2870355257449998"/>
    <s v="Q2-2023"/>
    <s v="Asia → Japan → Nagoya"/>
    <s v="Low"/>
    <x v="1"/>
    <x v="9"/>
  </r>
  <r>
    <s v="ORD-2025-626047"/>
    <d v="2025-04-28T00:00:00"/>
    <d v="2025-05-15T00:00:00"/>
    <d v="2025-04-28T00:00:00"/>
    <d v="2025-05-15T00:00:00"/>
    <n v="17"/>
    <s v="4-2025"/>
    <s v="Asia"/>
    <x v="2"/>
    <s v="Nagoya"/>
    <s v="Education"/>
    <x v="4"/>
    <x v="10"/>
    <s v="Networking"/>
    <s v="NET-1966"/>
    <n v="691.19"/>
    <n v="1284.3"/>
    <n v="7.3999999999999996E-2"/>
    <n v="7"/>
    <n v="8324.8326000000015"/>
    <n v="4838.33"/>
    <n v="3486.5026000000016"/>
    <n v="0.41880753253825198"/>
    <s v="Q2-2025"/>
    <s v="Asia → Japan → Nagoya"/>
    <s v="Medium"/>
    <x v="2"/>
    <x v="7"/>
  </r>
  <r>
    <s v="ORD-2025-526752"/>
    <d v="2025-06-09T00:00:00"/>
    <d v="2025-06-25T00:00:00"/>
    <d v="2025-06-09T00:00:00"/>
    <d v="2025-06-25T00:00:00"/>
    <n v="16"/>
    <s v="6-2025"/>
    <s v="Asia"/>
    <x v="4"/>
    <s v="Hyderabad"/>
    <s v="Enterprise"/>
    <x v="3"/>
    <x v="13"/>
    <s v="Phones"/>
    <s v="PHN-3482"/>
    <n v="527.33000000000004"/>
    <n v="911.72"/>
    <n v="0.14399999999999999"/>
    <n v="25"/>
    <n v="19510.808000000001"/>
    <n v="13183.250000000002"/>
    <n v="6327.5579999999991"/>
    <n v="0.32431040272652978"/>
    <s v="Q2-2025"/>
    <s v="Asia → India → Hyderabad"/>
    <s v="Low"/>
    <x v="2"/>
    <x v="9"/>
  </r>
  <r>
    <s v="ORD-2023-630430"/>
    <d v="2023-08-04T00:00:00"/>
    <d v="2023-08-24T00:00:00"/>
    <d v="2023-08-04T00:00:00"/>
    <d v="2023-08-24T00:00:00"/>
    <n v="20"/>
    <s v="8-2023"/>
    <s v="Americas"/>
    <x v="5"/>
    <s v="Brasília"/>
    <s v="Non-Profit"/>
    <x v="4"/>
    <x v="15"/>
    <s v="Networking"/>
    <s v="NET-9125"/>
    <n v="582.88"/>
    <n v="1044.1400000000001"/>
    <n v="0.216"/>
    <n v="10"/>
    <n v="8186.057600000001"/>
    <n v="5828.8"/>
    <n v="2357.2576000000008"/>
    <n v="0.28796005539956138"/>
    <s v="Q3-2023"/>
    <s v="Americas → Brazil → Brasília"/>
    <s v="Low"/>
    <x v="1"/>
    <x v="11"/>
  </r>
  <r>
    <s v="ORD-2024-451005"/>
    <d v="2024-06-30T00:00:00"/>
    <d v="2024-06-28T00:00:00"/>
    <d v="2024-06-28T00:00:00"/>
    <d v="2024-06-30T00:00:00"/>
    <n v="2"/>
    <s v="6-2024"/>
    <s v="Americas"/>
    <x v="5"/>
    <s v="Rio de Janeiro"/>
    <s v="Small Business"/>
    <x v="4"/>
    <x v="4"/>
    <s v="Accessories"/>
    <s v="ACC-9162"/>
    <n v="1112.98"/>
    <n v="2095.73"/>
    <n v="7.1999999999999995E-2"/>
    <n v="17"/>
    <n v="33062.236480000007"/>
    <n v="18920.66"/>
    <n v="14141.576480000007"/>
    <n v="0.42772594916724777"/>
    <s v="Q2-2024"/>
    <s v="Americas → Brazil → Rio de Janeiro"/>
    <s v="High"/>
    <x v="0"/>
    <x v="9"/>
  </r>
  <r>
    <s v="ORD-2025-725646"/>
    <d v="2025-09-10T00:00:00"/>
    <d v="2025-09-30T00:00:00"/>
    <d v="2025-09-10T00:00:00"/>
    <d v="2025-09-30T00:00:00"/>
    <n v="20"/>
    <s v="9-2025"/>
    <s v="Africa"/>
    <x v="0"/>
    <s v="Mombasa"/>
    <s v="Corporate"/>
    <x v="4"/>
    <x v="4"/>
    <s v="Phones"/>
    <s v="PHN-6954"/>
    <n v="1009.48"/>
    <n v="1088.81"/>
    <n v="0.16"/>
    <n v="6"/>
    <n v="5487.6023999999998"/>
    <n v="6056.88"/>
    <n v="-569.27760000000035"/>
    <n v="-0.10373885688219693"/>
    <s v="Q3-2025"/>
    <s v="Africa → Kenya → Mombasa"/>
    <s v="Low"/>
    <x v="2"/>
    <x v="8"/>
  </r>
  <r>
    <s v="ORD-2023-868734"/>
    <d v="2023-04-06T00:00:00"/>
    <d v="2023-04-27T00:00:00"/>
    <d v="2023-04-06T00:00:00"/>
    <d v="2023-04-27T00:00:00"/>
    <n v="21"/>
    <s v="4-2023"/>
    <s v="Europe"/>
    <x v="7"/>
    <s v="Manchester"/>
    <s v="Enterprise"/>
    <x v="3"/>
    <x v="2"/>
    <s v="Printers"/>
    <s v="PRN-8970"/>
    <n v="1084.79"/>
    <n v="2484.9899999999998"/>
    <n v="3.4000000000000002E-2"/>
    <n v="18"/>
    <n v="43209.006119999991"/>
    <n v="19526.22"/>
    <n v="23682.78611999999"/>
    <n v="0.54809837685755114"/>
    <s v="Q2-2023"/>
    <s v="Europe → United Kingdom → Manchester"/>
    <s v="High"/>
    <x v="1"/>
    <x v="7"/>
  </r>
  <r>
    <s v="ORD-2025-262491"/>
    <d v="2025-08-01T00:00:00"/>
    <d v="2025-08-16T00:00:00"/>
    <d v="2025-08-01T00:00:00"/>
    <d v="2025-08-16T00:00:00"/>
    <n v="15"/>
    <s v="8-2025"/>
    <s v="Asia"/>
    <x v="4"/>
    <s v="Unknown City"/>
    <s v="Enterprise"/>
    <x v="4"/>
    <x v="7"/>
    <s v="Monitors"/>
    <s v="MON-1822"/>
    <n v="24.44"/>
    <n v="28.69"/>
    <n v="0.14599999999999999"/>
    <n v="6"/>
    <n v="147.00756000000001"/>
    <n v="146.64000000000001"/>
    <n v="0.36755999999999744"/>
    <n v="2.5002795774584476E-3"/>
    <s v="Q3-2025"/>
    <s v="Asia → India → Unknown City"/>
    <s v="Low"/>
    <x v="2"/>
    <x v="11"/>
  </r>
  <r>
    <s v="ORD-2023-912395"/>
    <d v="2023-07-26T00:00:00"/>
    <d v="2023-08-25T00:00:00"/>
    <d v="2023-07-26T00:00:00"/>
    <d v="2023-08-25T00:00:00"/>
    <n v="30"/>
    <s v="7-2023"/>
    <s v="Americas"/>
    <x v="9"/>
    <s v="New York"/>
    <s v="Consumer"/>
    <x v="0"/>
    <x v="13"/>
    <s v="Accessories"/>
    <s v="ACC-7078"/>
    <n v="1261.48"/>
    <n v="1643.18"/>
    <n v="0.151"/>
    <n v="23"/>
    <n v="32086.37586"/>
    <n v="29014.04"/>
    <n v="3072.3358599999992"/>
    <n v="9.5752037357079045E-2"/>
    <s v="Q3-2023"/>
    <s v="Americas → USA → New York"/>
    <s v="Medium"/>
    <x v="1"/>
    <x v="6"/>
  </r>
  <r>
    <s v="ORD-2025-541501"/>
    <d v="2025-07-22T00:00:00"/>
    <d v="2025-08-18T00:00:00"/>
    <d v="2025-07-22T00:00:00"/>
    <d v="2025-08-18T00:00:00"/>
    <n v="27"/>
    <s v="7-2025"/>
    <s v="Asia"/>
    <x v="8"/>
    <s v="Shenzhen"/>
    <s v="Non-Profit"/>
    <x v="2"/>
    <x v="13"/>
    <s v="Networking"/>
    <s v="NET-1804"/>
    <n v="547.32000000000005"/>
    <n v="419.17"/>
    <n v="9.1999999999999998E-2"/>
    <n v="14"/>
    <n v="5328.4890400000004"/>
    <n v="7662.4800000000005"/>
    <n v="-2333.9909600000001"/>
    <n v="-0.43802116181137907"/>
    <s v="Q3-2025"/>
    <s v="Asia → China → Shenzhen"/>
    <s v="Low"/>
    <x v="2"/>
    <x v="6"/>
  </r>
  <r>
    <s v="ORD-2023-422918"/>
    <d v="2023-02-28T00:00:00"/>
    <d v="2023-03-20T00:00:00"/>
    <d v="2023-02-28T00:00:00"/>
    <d v="2023-03-20T00:00:00"/>
    <n v="20"/>
    <s v="2-2023"/>
    <s v="Europe"/>
    <x v="11"/>
    <s v="Berlin"/>
    <s v="Small Business"/>
    <x v="4"/>
    <x v="11"/>
    <s v="Laptops"/>
    <s v="LAP-3679"/>
    <n v="1200.78"/>
    <n v="2001.17"/>
    <n v="0.29199999999999998"/>
    <n v="18"/>
    <n v="25502.910479999999"/>
    <n v="21614.04"/>
    <n v="3888.8704799999978"/>
    <n v="0.15248732034132906"/>
    <s v="Q1-2023"/>
    <s v="Europe → Germany → Berlin"/>
    <s v="High"/>
    <x v="1"/>
    <x v="2"/>
  </r>
  <r>
    <s v="ORD-2025-328504"/>
    <d v="2025-01-27T00:00:00"/>
    <d v="2025-02-15T00:00:00"/>
    <d v="2025-01-27T00:00:00"/>
    <d v="2025-02-15T00:00:00"/>
    <n v="19"/>
    <s v="1-2025"/>
    <s v="Asia"/>
    <x v="8"/>
    <s v="Shenzhen"/>
    <s v="Non-Profit"/>
    <x v="4"/>
    <x v="4"/>
    <s v="Phones"/>
    <s v="PHN-8368"/>
    <n v="1253.22"/>
    <n v="3104.71"/>
    <n v="0"/>
    <n v="17"/>
    <n v="52780.07"/>
    <n v="21304.74"/>
    <n v="31475.329999999998"/>
    <n v="0.59634877331538205"/>
    <s v="Q1-2025"/>
    <s v="Asia → China → Shenzhen"/>
    <s v="High"/>
    <x v="2"/>
    <x v="4"/>
  </r>
  <r>
    <s v="ORD-2024-851883"/>
    <d v="2024-01-13T00:00:00"/>
    <d v="2024-01-22T00:00:00"/>
    <d v="2024-01-13T00:00:00"/>
    <d v="2024-01-22T00:00:00"/>
    <n v="9"/>
    <s v="1-2024"/>
    <s v="Asia"/>
    <x v="4"/>
    <s v="Mumbai"/>
    <s v="Enterprise"/>
    <x v="2"/>
    <x v="1"/>
    <s v="Components"/>
    <s v="CMP-8141"/>
    <n v="313.60000000000002"/>
    <n v="334.28"/>
    <n v="0.14000000000000001"/>
    <n v="22"/>
    <n v="6324.5775999999996"/>
    <n v="6899.2000000000007"/>
    <n v="-574.62240000000111"/>
    <n v="-9.0855458868905517E-2"/>
    <s v="Q1-2024"/>
    <s v="Asia → India → Mumbai"/>
    <s v="Low"/>
    <x v="0"/>
    <x v="4"/>
  </r>
  <r>
    <s v="ORD-2025-662997"/>
    <d v="2025-03-31T00:00:00"/>
    <d v="2025-04-04T00:00:00"/>
    <d v="2025-03-31T00:00:00"/>
    <d v="2025-04-04T00:00:00"/>
    <n v="4"/>
    <s v="3-2025"/>
    <s v="Africa"/>
    <x v="0"/>
    <s v="Nakuru"/>
    <s v="Corporate"/>
    <x v="4"/>
    <x v="0"/>
    <s v="Laptops"/>
    <s v="LAP-7136"/>
    <n v="862.08"/>
    <n v="1952.83"/>
    <n v="0"/>
    <n v="7"/>
    <n v="13669.81"/>
    <n v="6034.56"/>
    <n v="7635.2499999999991"/>
    <n v="0.5585483631447693"/>
    <s v="Q1-2025"/>
    <s v="Africa → Kenya → Nakuru"/>
    <s v="High"/>
    <x v="2"/>
    <x v="0"/>
  </r>
  <r>
    <s v="ORD-2023-842820"/>
    <d v="2023-09-20T00:00:00"/>
    <d v="2023-09-28T00:00:00"/>
    <d v="2023-09-20T00:00:00"/>
    <d v="2023-09-28T00:00:00"/>
    <n v="8"/>
    <s v="9-2023"/>
    <s v="Asia"/>
    <x v="4"/>
    <s v="Unknown City"/>
    <s v="Corporate"/>
    <x v="5"/>
    <x v="5"/>
    <s v="Accessories"/>
    <s v="ACC-1375"/>
    <n v="1362.06"/>
    <n v="3398.37"/>
    <n v="0.157"/>
    <n v="11"/>
    <n v="31513.085009999999"/>
    <n v="14982.66"/>
    <n v="16530.425009999999"/>
    <n v="0.52455749745714919"/>
    <s v="Q3-2023"/>
    <s v="Asia → India → Unknown City"/>
    <s v="High"/>
    <x v="1"/>
    <x v="8"/>
  </r>
  <r>
    <s v="ORD-2024-771210"/>
    <d v="2024-09-14T00:00:00"/>
    <d v="2024-10-05T00:00:00"/>
    <d v="2024-09-14T00:00:00"/>
    <d v="2024-10-05T00:00:00"/>
    <n v="21"/>
    <s v="9-2024"/>
    <s v="Asia"/>
    <x v="8"/>
    <s v="Shanghai"/>
    <s v="Small Business"/>
    <x v="1"/>
    <x v="11"/>
    <s v="Laptops"/>
    <s v="LAP-5150"/>
    <n v="1405.56"/>
    <n v="2968.87"/>
    <n v="0.16900000000000001"/>
    <n v="5"/>
    <n v="12335.654849999999"/>
    <n v="7027.7999999999993"/>
    <n v="5307.8548499999997"/>
    <n v="0.4302856163327235"/>
    <s v="Q3-2024"/>
    <s v="Asia → China → Shanghai"/>
    <s v="High"/>
    <x v="0"/>
    <x v="8"/>
  </r>
  <r>
    <s v="ORD-2024-155337"/>
    <d v="2024-05-21T00:00:00"/>
    <d v="2024-05-27T00:00:00"/>
    <d v="2024-05-21T00:00:00"/>
    <d v="2024-05-27T00:00:00"/>
    <n v="6"/>
    <s v="5-2024"/>
    <s v="Africa"/>
    <x v="10"/>
    <s v="Johannesburg"/>
    <s v="Non-Profit"/>
    <x v="1"/>
    <x v="13"/>
    <s v="Components"/>
    <s v="CMP-8101"/>
    <n v="1157.51"/>
    <n v="1394.3"/>
    <n v="0.27800000000000002"/>
    <n v="12"/>
    <n v="12080.215199999999"/>
    <n v="13890.119999999999"/>
    <n v="-1809.9048000000003"/>
    <n v="-0.14982388724333326"/>
    <s v="Q2-2024"/>
    <s v="Africa → South Africa → Johannesburg"/>
    <s v="Medium"/>
    <x v="0"/>
    <x v="5"/>
  </r>
  <r>
    <s v="ORD-2023-251563"/>
    <d v="2023-05-11T00:00:00"/>
    <d v="2023-06-07T00:00:00"/>
    <d v="2023-05-11T00:00:00"/>
    <d v="2023-06-07T00:00:00"/>
    <n v="27"/>
    <s v="5-2023"/>
    <s v="Africa"/>
    <x v="0"/>
    <s v="Mombasa"/>
    <s v="Corporate"/>
    <x v="1"/>
    <x v="1"/>
    <s v="Phones"/>
    <s v="PHN-8970"/>
    <n v="12.85"/>
    <n v="15.41"/>
    <n v="0.13700000000000001"/>
    <n v="39"/>
    <n v="518.65436999999997"/>
    <n v="501.15"/>
    <n v="17.504369999999994"/>
    <n v="3.3749585489851353E-2"/>
    <s v="Q2-2023"/>
    <s v="Africa → Kenya → Mombasa"/>
    <s v="Low"/>
    <x v="1"/>
    <x v="5"/>
  </r>
  <r>
    <s v="ORD-2024-286833"/>
    <d v="2024-08-14T00:00:00"/>
    <d v="2024-09-04T00:00:00"/>
    <d v="2024-08-14T00:00:00"/>
    <d v="2024-09-04T00:00:00"/>
    <n v="21"/>
    <s v="8-2024"/>
    <s v="Europe"/>
    <x v="7"/>
    <s v="Manchester"/>
    <s v="Non-Profit"/>
    <x v="1"/>
    <x v="1"/>
    <s v="Phones"/>
    <s v="PHN-2341"/>
    <n v="1138.8"/>
    <n v="2250.81"/>
    <n v="0.123"/>
    <n v="12"/>
    <n v="23687.524440000001"/>
    <n v="13665.599999999999"/>
    <n v="10021.924440000003"/>
    <n v="0.42308872188756258"/>
    <s v="Q3-2024"/>
    <s v="Europe → United Kingdom → Manchester"/>
    <s v="High"/>
    <x v="0"/>
    <x v="11"/>
  </r>
  <r>
    <s v="ORD-2024-792558"/>
    <d v="2024-10-16T00:00:00"/>
    <d v="2024-11-08T00:00:00"/>
    <d v="2024-10-16T00:00:00"/>
    <d v="2024-11-08T00:00:00"/>
    <n v="23"/>
    <s v="10-2024"/>
    <s v="Asia"/>
    <x v="2"/>
    <s v="Osaka"/>
    <s v="Small Business"/>
    <x v="0"/>
    <x v="1"/>
    <s v="Networking"/>
    <s v="NET-6387"/>
    <n v="82.14"/>
    <n v="166.04"/>
    <n v="0"/>
    <n v="10"/>
    <n v="1660.3999999999999"/>
    <n v="821.4"/>
    <n v="838.99999999999989"/>
    <n v="0.50529992772825827"/>
    <s v="Q4-2024"/>
    <s v="Asia → Japan → Osaka"/>
    <s v="Low"/>
    <x v="0"/>
    <x v="1"/>
  </r>
  <r>
    <s v="ORD-2025-146850"/>
    <d v="2025-01-21T00:00:00"/>
    <d v="2025-02-14T00:00:00"/>
    <d v="2025-01-21T00:00:00"/>
    <d v="2025-02-14T00:00:00"/>
    <n v="24"/>
    <s v="1-2025"/>
    <s v="Africa"/>
    <x v="0"/>
    <s v="Nairobi"/>
    <s v="Small Business"/>
    <x v="0"/>
    <x v="1"/>
    <s v="Accessories"/>
    <s v="ACC-1659"/>
    <n v="1030.44"/>
    <n v="2562.84"/>
    <n v="0.14799999999999999"/>
    <n v="13"/>
    <n v="28386.015839999996"/>
    <n v="13395.720000000001"/>
    <n v="14990.295839999995"/>
    <n v="0.52808734852027039"/>
    <s v="Q1-2025"/>
    <s v="Africa → Kenya → Nairobi"/>
    <s v="High"/>
    <x v="2"/>
    <x v="4"/>
  </r>
  <r>
    <s v="ORD-2024-909942"/>
    <d v="2024-06-09T00:00:00"/>
    <d v="2024-07-07T00:00:00"/>
    <d v="2024-06-09T00:00:00"/>
    <d v="2024-07-07T00:00:00"/>
    <n v="28"/>
    <s v="6-2024"/>
    <s v="Asia"/>
    <x v="8"/>
    <s v="Shenzhen"/>
    <s v="Corporate"/>
    <x v="1"/>
    <x v="1"/>
    <s v="Components"/>
    <s v="CMP-6392"/>
    <n v="550.22"/>
    <n v="1025.05"/>
    <n v="0"/>
    <n v="27"/>
    <n v="27676.35"/>
    <n v="14855.94"/>
    <n v="12820.409999999998"/>
    <n v="0.46322618408858102"/>
    <s v="Q2-2024"/>
    <s v="Asia → China → Shenzhen"/>
    <s v="Low"/>
    <x v="0"/>
    <x v="9"/>
  </r>
  <r>
    <s v="ORD-2024-223618"/>
    <d v="2024-06-10T00:00:00"/>
    <d v="2024-06-11T00:00:00"/>
    <d v="2024-06-10T00:00:00"/>
    <d v="2024-06-11T00:00:00"/>
    <n v="1"/>
    <s v="6-2024"/>
    <s v="Europe"/>
    <x v="7"/>
    <s v="Birmingham"/>
    <s v="Small Business"/>
    <x v="2"/>
    <x v="13"/>
    <s v="Laptops"/>
    <s v="LAP-9230"/>
    <n v="1187.1300000000001"/>
    <n v="1795.17"/>
    <n v="1.2E-2"/>
    <n v="17"/>
    <n v="30151.675319999998"/>
    <n v="20181.210000000003"/>
    <n v="9970.4653199999957"/>
    <n v="0.33067699271046663"/>
    <s v="Q2-2024"/>
    <s v="Europe → United Kingdom → Birmingham"/>
    <s v="Medium"/>
    <x v="0"/>
    <x v="9"/>
  </r>
  <r>
    <s v="ORD-2024-919471"/>
    <d v="2024-06-29T00:00:00"/>
    <d v="2024-07-26T00:00:00"/>
    <d v="2024-06-29T00:00:00"/>
    <d v="2024-07-26T00:00:00"/>
    <n v="27"/>
    <s v="6-2024"/>
    <s v="Africa"/>
    <x v="10"/>
    <s v="Durban"/>
    <s v="Enterprise"/>
    <x v="3"/>
    <x v="5"/>
    <s v="Networking"/>
    <s v="NET-4241"/>
    <n v="5.36"/>
    <n v="4.37"/>
    <n v="0.11799999999999999"/>
    <n v="9"/>
    <n v="34.689059999999998"/>
    <n v="48.24"/>
    <n v="-13.550940000000004"/>
    <n v="-0.39064016148030545"/>
    <s v="Q2-2024"/>
    <s v="Africa → South Africa → Durban"/>
    <s v="Low"/>
    <x v="0"/>
    <x v="9"/>
  </r>
  <r>
    <s v="ORD-2024-277241"/>
    <d v="2024-01-28T00:00:00"/>
    <d v="2024-01-30T00:00:00"/>
    <d v="2024-01-28T00:00:00"/>
    <d v="2024-01-30T00:00:00"/>
    <n v="2"/>
    <s v="1-2024"/>
    <s v="Africa"/>
    <x v="10"/>
    <s v="Cape Town"/>
    <s v="Consumer"/>
    <x v="4"/>
    <x v="9"/>
    <s v="Accessories"/>
    <s v="ACC-6223"/>
    <n v="798.45"/>
    <n v="1592.02"/>
    <n v="6.6000000000000003E-2"/>
    <n v="18"/>
    <n v="26765.040239999998"/>
    <n v="14372.1"/>
    <n v="12392.940239999998"/>
    <n v="0.46302714768494585"/>
    <s v="Q1-2024"/>
    <s v="Africa → South Africa → Cape Town"/>
    <s v="Medium"/>
    <x v="0"/>
    <x v="4"/>
  </r>
  <r>
    <s v="ORD-2023-975863"/>
    <d v="2023-11-20T00:00:00"/>
    <d v="2023-12-05T00:00:00"/>
    <d v="2023-11-20T00:00:00"/>
    <d v="2023-12-05T00:00:00"/>
    <n v="15"/>
    <s v="11-2023"/>
    <s v="Asia"/>
    <x v="2"/>
    <s v="Tokyo"/>
    <s v="Enterprise"/>
    <x v="0"/>
    <x v="4"/>
    <s v="Networking"/>
    <s v="NET-3033"/>
    <n v="354.24"/>
    <n v="249.87"/>
    <n v="0"/>
    <n v="6"/>
    <n v="1499.22"/>
    <n v="2125.44"/>
    <n v="-626.22"/>
    <n v="-0.41769720254532355"/>
    <s v="Q4-2023"/>
    <s v="Asia → Japan → Tokyo"/>
    <s v="Low"/>
    <x v="1"/>
    <x v="10"/>
  </r>
  <r>
    <s v="ORD-2023-867175"/>
    <d v="2023-08-10T00:00:00"/>
    <d v="2023-08-15T00:00:00"/>
    <d v="2023-08-10T00:00:00"/>
    <d v="2023-08-15T00:00:00"/>
    <n v="5"/>
    <s v="8-2023"/>
    <s v="Americas"/>
    <x v="5"/>
    <s v="São Paulo"/>
    <s v="Education"/>
    <x v="4"/>
    <x v="3"/>
    <s v="Networking"/>
    <s v="NET-2894"/>
    <n v="1307.52"/>
    <n v="1921.65"/>
    <n v="0.123"/>
    <n v="13"/>
    <n v="21908.731650000002"/>
    <n v="16997.759999999998"/>
    <n v="4910.9716500000031"/>
    <n v="0.22415590863289445"/>
    <s v="Q3-2023"/>
    <s v="Americas → Brazil → São Paulo"/>
    <s v="High"/>
    <x v="1"/>
    <x v="11"/>
  </r>
  <r>
    <s v="ORD-2025-698069"/>
    <d v="2025-06-03T00:00:00"/>
    <d v="2025-06-10T00:00:00"/>
    <d v="2025-06-03T00:00:00"/>
    <d v="2025-06-10T00:00:00"/>
    <n v="7"/>
    <s v="6-2025"/>
    <s v="Americas"/>
    <x v="3"/>
    <s v="Toronto"/>
    <s v="Consumer"/>
    <x v="3"/>
    <x v="7"/>
    <s v="Printers"/>
    <s v="PRN-6429"/>
    <n v="75.180000000000007"/>
    <n v="53.45"/>
    <n v="0.157"/>
    <n v="17"/>
    <n v="765.99195000000009"/>
    <n v="1278.0600000000002"/>
    <n v="-512.06805000000008"/>
    <n v="-0.66850317421743144"/>
    <s v="Q2-2025"/>
    <s v="Americas → Canada → Toronto"/>
    <s v="Low"/>
    <x v="2"/>
    <x v="9"/>
  </r>
  <r>
    <s v="ORD-2024-474999"/>
    <d v="2024-12-27T00:00:00"/>
    <d v="2025-01-02T00:00:00"/>
    <d v="2024-12-27T00:00:00"/>
    <d v="2025-01-02T00:00:00"/>
    <n v="6"/>
    <s v="12-2024"/>
    <s v="Europe"/>
    <x v="11"/>
    <s v="Frankfurt"/>
    <s v="Education"/>
    <x v="4"/>
    <x v="9"/>
    <s v="Laptops"/>
    <s v="LAP-8214"/>
    <n v="1391.99"/>
    <n v="3469.7"/>
    <n v="0.184"/>
    <n v="23"/>
    <n v="65119.329599999997"/>
    <n v="32015.77"/>
    <n v="33103.559599999993"/>
    <n v="0.50835227886006973"/>
    <s v="Q4-2024"/>
    <s v="Europe → Germany → Frankfurt"/>
    <s v="High"/>
    <x v="0"/>
    <x v="3"/>
  </r>
  <r>
    <s v="ORD-2023-427304"/>
    <d v="2023-06-09T00:00:00"/>
    <d v="2023-06-19T00:00:00"/>
    <d v="2023-06-09T00:00:00"/>
    <d v="2023-06-19T00:00:00"/>
    <n v="10"/>
    <s v="6-2023"/>
    <s v="Asia"/>
    <x v="8"/>
    <s v="Beijing"/>
    <s v="Enterprise"/>
    <x v="0"/>
    <x v="9"/>
    <s v="Monitors"/>
    <s v="MON-9194"/>
    <n v="339.61"/>
    <n v="621.02"/>
    <n v="7.0999999999999994E-2"/>
    <n v="10"/>
    <n v="5769.2758000000003"/>
    <n v="3396.1000000000004"/>
    <n v="2373.1758"/>
    <n v="0.41134726129750981"/>
    <s v="Q2-2023"/>
    <s v="Asia → China → Beijing"/>
    <s v="Low"/>
    <x v="1"/>
    <x v="9"/>
  </r>
  <r>
    <s v="ORD-2025-956101"/>
    <d v="2025-07-09T00:00:00"/>
    <d v="2025-07-18T00:00:00"/>
    <d v="2025-07-09T00:00:00"/>
    <d v="2025-07-18T00:00:00"/>
    <n v="9"/>
    <s v="7-2025"/>
    <s v="Americas"/>
    <x v="3"/>
    <s v="Vancouver"/>
    <s v="Education"/>
    <x v="3"/>
    <x v="2"/>
    <s v="Laptops"/>
    <s v="LAP-2218"/>
    <n v="57.96"/>
    <n v="88.51"/>
    <n v="4.2999999999999997E-2"/>
    <n v="7"/>
    <n v="592.92849000000001"/>
    <n v="405.72"/>
    <n v="187.20848999999998"/>
    <n v="0.3157353595877978"/>
    <s v="Q3-2025"/>
    <s v="Americas → Canada → Vancouver"/>
    <s v="Low"/>
    <x v="2"/>
    <x v="6"/>
  </r>
  <r>
    <s v="ORD-2025-184082"/>
    <d v="2025-06-19T00:00:00"/>
    <d v="2025-07-12T00:00:00"/>
    <d v="2025-06-19T00:00:00"/>
    <d v="2025-07-12T00:00:00"/>
    <n v="23"/>
    <s v="6-2025"/>
    <s v="Europe"/>
    <x v="7"/>
    <s v="Unknown City"/>
    <s v="Non-Profit"/>
    <x v="4"/>
    <x v="15"/>
    <s v="Networking"/>
    <s v="NET-6370"/>
    <n v="801.24"/>
    <n v="1959.09"/>
    <n v="0.123"/>
    <n v="23"/>
    <n v="39516.804389999998"/>
    <n v="18428.52"/>
    <n v="21088.284389999997"/>
    <n v="0.53365358650651762"/>
    <s v="Q2-2025"/>
    <s v="Europe → United Kingdom → Unknown City"/>
    <s v="High"/>
    <x v="2"/>
    <x v="9"/>
  </r>
  <r>
    <s v="ORD-2023-576840"/>
    <d v="2023-11-19T00:00:00"/>
    <d v="2023-12-13T00:00:00"/>
    <d v="2023-11-19T00:00:00"/>
    <d v="2023-12-13T00:00:00"/>
    <n v="24"/>
    <s v="11-2023"/>
    <s v="Europe"/>
    <x v="6"/>
    <s v="Lyon"/>
    <s v="Non-Profit"/>
    <x v="4"/>
    <x v="11"/>
    <s v="Monitors"/>
    <s v="MON-3745"/>
    <n v="1297.42"/>
    <n v="2742.97"/>
    <n v="6.9000000000000006E-2"/>
    <n v="9"/>
    <n v="22983.34563"/>
    <n v="11676.78"/>
    <n v="11306.565629999999"/>
    <n v="0.49194602961727291"/>
    <s v="Q4-2023"/>
    <s v="Europe → France → Lyon"/>
    <s v="High"/>
    <x v="1"/>
    <x v="10"/>
  </r>
  <r>
    <s v="ORD-2023-178249"/>
    <d v="2023-12-29T00:00:00"/>
    <d v="2024-01-20T00:00:00"/>
    <d v="2023-12-29T00:00:00"/>
    <d v="2024-01-20T00:00:00"/>
    <n v="22"/>
    <s v="12-2023"/>
    <s v="Africa"/>
    <x v="0"/>
    <s v="Kisumu"/>
    <s v="Corporate"/>
    <x v="4"/>
    <x v="4"/>
    <s v="Phones"/>
    <s v="PHN-7924"/>
    <n v="1395.49"/>
    <n v="1679.42"/>
    <n v="0.20300000000000001"/>
    <n v="12"/>
    <n v="16061.972879999999"/>
    <n v="16745.88"/>
    <n v="-683.90712000000167"/>
    <n v="-4.2579272490964493E-2"/>
    <s v="Q4-2023"/>
    <s v="Africa → Kenya → Kisumu"/>
    <s v="Medium"/>
    <x v="1"/>
    <x v="3"/>
  </r>
  <r>
    <s v="ORD-2023-552115"/>
    <d v="2023-09-17T00:00:00"/>
    <d v="2023-10-02T00:00:00"/>
    <d v="2023-09-17T00:00:00"/>
    <d v="2023-10-02T00:00:00"/>
    <n v="15"/>
    <s v="9-2023"/>
    <s v="Americas"/>
    <x v="5"/>
    <s v="Rio de Janeiro"/>
    <s v="Small Business"/>
    <x v="0"/>
    <x v="5"/>
    <s v="Laptops"/>
    <s v="LAP-4932"/>
    <n v="689.33"/>
    <n v="668.27"/>
    <n v="0.186"/>
    <n v="13"/>
    <n v="7071.6331400000008"/>
    <n v="8961.2900000000009"/>
    <n v="-1889.6568600000001"/>
    <n v="-0.26721647214861033"/>
    <s v="Q3-2023"/>
    <s v="Americas → Brazil → Rio de Janeiro"/>
    <s v="Low"/>
    <x v="1"/>
    <x v="8"/>
  </r>
  <r>
    <s v="ORD-2023-603238"/>
    <d v="2023-08-21T00:00:00"/>
    <d v="2023-09-04T00:00:00"/>
    <d v="2023-08-21T00:00:00"/>
    <d v="2023-09-04T00:00:00"/>
    <n v="14"/>
    <s v="8-2023"/>
    <s v="Americas"/>
    <x v="3"/>
    <s v="Montreal"/>
    <s v="Education"/>
    <x v="3"/>
    <x v="9"/>
    <s v="Components"/>
    <s v="CMP-2136"/>
    <n v="178.19"/>
    <n v="284.43"/>
    <n v="8.8999999999999996E-2"/>
    <n v="8"/>
    <n v="2072.9258400000003"/>
    <n v="1425.52"/>
    <n v="647.40584000000035"/>
    <n v="0.31231500302972742"/>
    <s v="Q3-2023"/>
    <s v="Americas → Canada → Montreal"/>
    <s v="Low"/>
    <x v="1"/>
    <x v="11"/>
  </r>
  <r>
    <s v="ORD-2023-883066"/>
    <d v="2023-08-12T00:00:00"/>
    <d v="2023-09-06T00:00:00"/>
    <d v="2023-08-12T00:00:00"/>
    <d v="2023-09-06T00:00:00"/>
    <n v="25"/>
    <s v="8-2023"/>
    <s v="Asia"/>
    <x v="8"/>
    <s v="Shanghai"/>
    <s v="Small Business"/>
    <x v="0"/>
    <x v="5"/>
    <s v="Components"/>
    <s v="CMP-6352"/>
    <n v="950.77"/>
    <n v="694.78"/>
    <n v="8.4000000000000005E-2"/>
    <n v="14"/>
    <n v="8909.8587200000002"/>
    <n v="13310.779999999999"/>
    <n v="-4400.9212799999987"/>
    <n v="-0.49393839097821279"/>
    <s v="Q3-2023"/>
    <s v="Asia → China → Shanghai"/>
    <s v="Low"/>
    <x v="1"/>
    <x v="11"/>
  </r>
  <r>
    <s v="ORD-2024-584090"/>
    <d v="2024-06-07T00:00:00"/>
    <d v="2024-06-26T00:00:00"/>
    <d v="2024-06-07T00:00:00"/>
    <d v="2024-06-26T00:00:00"/>
    <n v="19"/>
    <s v="6-2024"/>
    <s v="Europe"/>
    <x v="11"/>
    <s v="Berlin"/>
    <s v="Non-Profit"/>
    <x v="2"/>
    <x v="13"/>
    <s v="Components"/>
    <s v="CMP-2040"/>
    <n v="1064.32"/>
    <n v="1848.39"/>
    <n v="7.2999999999999995E-2"/>
    <n v="38"/>
    <n v="65111.38614000001"/>
    <n v="40444.159999999996"/>
    <n v="24667.226140000013"/>
    <n v="0.3788465827921631"/>
    <s v="Q2-2024"/>
    <s v="Europe → Germany → Berlin"/>
    <s v="Medium"/>
    <x v="0"/>
    <x v="9"/>
  </r>
  <r>
    <s v="ORD-2025-537785"/>
    <d v="2025-08-05T00:00:00"/>
    <d v="2025-08-14T00:00:00"/>
    <d v="2025-08-05T00:00:00"/>
    <d v="2025-08-14T00:00:00"/>
    <n v="9"/>
    <s v="8-2025"/>
    <s v="Europe"/>
    <x v="7"/>
    <s v="London"/>
    <s v="Non-Profit"/>
    <x v="4"/>
    <x v="6"/>
    <s v="Components"/>
    <s v="CMP-6346"/>
    <n v="41.76"/>
    <n v="45.19"/>
    <n v="0.17899999999999999"/>
    <n v="23"/>
    <n v="853.32276999999988"/>
    <n v="960.4799999999999"/>
    <n v="-107.15723000000003"/>
    <n v="-0.12557643340514638"/>
    <s v="Q3-2025"/>
    <s v="Europe → United Kingdom → London"/>
    <s v="Low"/>
    <x v="2"/>
    <x v="11"/>
  </r>
  <r>
    <s v="ORD-2024-605518"/>
    <d v="2024-05-30T00:00:00"/>
    <d v="2024-06-13T00:00:00"/>
    <d v="2024-05-30T00:00:00"/>
    <d v="2024-06-13T00:00:00"/>
    <n v="14"/>
    <s v="5-2024"/>
    <s v="Americas"/>
    <x v="9"/>
    <s v="San Francisco"/>
    <s v="Small Business"/>
    <x v="0"/>
    <x v="9"/>
    <s v="Phones"/>
    <s v="PHN-4356"/>
    <n v="157.78"/>
    <n v="361.1"/>
    <n v="0.187"/>
    <n v="9"/>
    <n v="2642.1686999999997"/>
    <n v="1420.02"/>
    <n v="1222.1486999999997"/>
    <n v="0.46255513510549112"/>
    <s v="Q2-2024"/>
    <s v="Americas → USA → San Francisco"/>
    <s v="Low"/>
    <x v="0"/>
    <x v="5"/>
  </r>
  <r>
    <s v="ORD-2023-521818"/>
    <d v="2023-01-22T00:00:00"/>
    <d v="2023-01-30T00:00:00"/>
    <d v="2023-01-22T00:00:00"/>
    <d v="2023-01-30T00:00:00"/>
    <n v="8"/>
    <s v="1-2023"/>
    <s v="Americas"/>
    <x v="9"/>
    <s v="San Francisco"/>
    <s v="Small Business"/>
    <x v="1"/>
    <x v="14"/>
    <s v="Networking"/>
    <s v="NET-4155"/>
    <n v="413.52"/>
    <n v="1004.34"/>
    <n v="0.111"/>
    <n v="18"/>
    <n v="16071.44868"/>
    <n v="7443.36"/>
    <n v="8628.0886800000007"/>
    <n v="0.53685817948304593"/>
    <s v="Q1-2023"/>
    <s v="Americas → USA → San Francisco"/>
    <s v="Low"/>
    <x v="1"/>
    <x v="4"/>
  </r>
  <r>
    <s v="ORD-2023-521818"/>
    <d v="2023-01-29T00:00:00"/>
    <d v="2023-02-28T00:00:00"/>
    <d v="2023-01-29T00:00:00"/>
    <d v="2023-02-28T00:00:00"/>
    <n v="30"/>
    <s v="1-2023"/>
    <s v="Asia"/>
    <x v="4"/>
    <s v="Bengaluru"/>
    <s v="Non-Profit"/>
    <x v="0"/>
    <x v="5"/>
    <s v="Accessories"/>
    <s v="ACC-4631"/>
    <n v="1262.0999999999999"/>
    <n v="1395.53"/>
    <n v="0.23300000000000001"/>
    <n v="25"/>
    <n v="26759.28775"/>
    <n v="31552.499999999996"/>
    <n v="-4793.2122499999969"/>
    <n v="-0.17912331205452198"/>
    <s v="Q1-2023"/>
    <s v="Asia → India → Bengaluru"/>
    <s v="Medium"/>
    <x v="1"/>
    <x v="4"/>
  </r>
  <r>
    <s v="ORD-2023-479747"/>
    <d v="2023-07-14T00:00:00"/>
    <d v="2023-07-14T00:00:00"/>
    <d v="2023-07-14T00:00:00"/>
    <d v="2023-07-14T00:00:00"/>
    <n v="0"/>
    <s v="7-2023"/>
    <s v="Africa"/>
    <x v="1"/>
    <s v="Lagos"/>
    <s v="Education"/>
    <x v="0"/>
    <x v="2"/>
    <s v="Accessories"/>
    <s v="ACC-5334"/>
    <n v="956.38"/>
    <n v="1454.22"/>
    <n v="3.9E-2"/>
    <n v="19"/>
    <n v="26552.60298"/>
    <n v="18171.22"/>
    <n v="8381.3829799999985"/>
    <n v="0.31565202802576603"/>
    <s v="Q3-2023"/>
    <s v="Africa → Nigeria → Lagos"/>
    <s v="Medium"/>
    <x v="1"/>
    <x v="6"/>
  </r>
  <r>
    <s v="ORD-2023-430904"/>
    <d v="2023-01-27T00:00:00"/>
    <d v="2023-01-31T00:00:00"/>
    <d v="2023-01-27T00:00:00"/>
    <d v="2023-01-31T00:00:00"/>
    <n v="4"/>
    <s v="1-2023"/>
    <s v="Europe"/>
    <x v="7"/>
    <s v="Manchester"/>
    <s v="Enterprise"/>
    <x v="1"/>
    <x v="10"/>
    <s v="Laptops"/>
    <s v="LAP-9782"/>
    <n v="941.2"/>
    <n v="668.02"/>
    <n v="0.22"/>
    <n v="16"/>
    <n v="8336.8896000000004"/>
    <n v="15059.2"/>
    <n v="-6722.3104000000003"/>
    <n v="-0.80633314371825193"/>
    <s v="Q1-2023"/>
    <s v="Europe → United Kingdom → Manchester"/>
    <s v="Low"/>
    <x v="1"/>
    <x v="4"/>
  </r>
  <r>
    <s v="ORD-2025-354346"/>
    <d v="2025-01-09T00:00:00"/>
    <d v="2025-01-15T00:00:00"/>
    <d v="2025-01-09T00:00:00"/>
    <d v="2025-01-15T00:00:00"/>
    <n v="6"/>
    <s v="1-2025"/>
    <s v="Asia"/>
    <x v="8"/>
    <s v="Beijing"/>
    <s v="Education"/>
    <x v="1"/>
    <x v="0"/>
    <s v="Phones"/>
    <s v="PHN-2875"/>
    <n v="304.77999999999997"/>
    <n v="537.27"/>
    <n v="0.187"/>
    <n v="8"/>
    <n v="3494.4040799999998"/>
    <n v="2438.2399999999998"/>
    <n v="1056.16408"/>
    <n v="0.3022444044307549"/>
    <s v="Q1-2025"/>
    <s v="Asia → China → Beijing"/>
    <s v="Low"/>
    <x v="2"/>
    <x v="4"/>
  </r>
  <r>
    <s v="ORD-2024-164288"/>
    <d v="2024-12-21T00:00:00"/>
    <d v="2024-12-26T00:00:00"/>
    <d v="2024-12-21T00:00:00"/>
    <d v="2024-12-26T00:00:00"/>
    <n v="5"/>
    <s v="12-2024"/>
    <s v="Americas"/>
    <x v="9"/>
    <s v="San Francisco"/>
    <s v="Consumer"/>
    <x v="2"/>
    <x v="13"/>
    <s v="Printers"/>
    <s v="PRN-4788"/>
    <n v="699.57"/>
    <n v="572.71"/>
    <n v="0.192"/>
    <n v="26"/>
    <n v="12031.491680000001"/>
    <n v="18188.82"/>
    <n v="-6157.3283199999987"/>
    <n v="-0.51176765805651114"/>
    <s v="Q4-2024"/>
    <s v="Americas → USA → San Francisco"/>
    <s v="Low"/>
    <x v="0"/>
    <x v="3"/>
  </r>
  <r>
    <s v="ORD-2023-867285"/>
    <d v="2023-04-12T00:00:00"/>
    <d v="2023-04-17T00:00:00"/>
    <d v="2023-04-12T00:00:00"/>
    <d v="2023-04-17T00:00:00"/>
    <n v="5"/>
    <s v="4-2023"/>
    <s v="Europe"/>
    <x v="6"/>
    <s v="Lyon"/>
    <s v="Enterprise"/>
    <x v="4"/>
    <x v="6"/>
    <s v="Monitors"/>
    <s v="MON-3043"/>
    <n v="1087.81"/>
    <n v="2323.87"/>
    <n v="9.4E-2"/>
    <n v="13"/>
    <n v="27370.540859999997"/>
    <n v="14141.529999999999"/>
    <n v="13229.010859999999"/>
    <n v="0.48333026839572651"/>
    <s v="Q2-2023"/>
    <s v="Europe → France → Lyon"/>
    <s v="High"/>
    <x v="1"/>
    <x v="7"/>
  </r>
  <r>
    <s v="ORD-2024-836421"/>
    <d v="2024-12-14T00:00:00"/>
    <d v="2025-01-12T00:00:00"/>
    <d v="2024-12-14T00:00:00"/>
    <d v="2025-01-12T00:00:00"/>
    <n v="29"/>
    <s v="12-2024"/>
    <s v="Asia"/>
    <x v="8"/>
    <s v="Shenzhen"/>
    <s v="Education"/>
    <x v="1"/>
    <x v="1"/>
    <s v="Components"/>
    <s v="CMP-3720"/>
    <n v="1412.15"/>
    <n v="1631.04"/>
    <n v="8.9999999999999993E-3"/>
    <n v="6"/>
    <n v="9698.1638399999993"/>
    <n v="8472.9000000000015"/>
    <n v="1225.2638399999978"/>
    <n v="0.12633977526203535"/>
    <s v="Q4-2024"/>
    <s v="Asia → China → Shenzhen"/>
    <s v="Medium"/>
    <x v="0"/>
    <x v="3"/>
  </r>
  <r>
    <s v="ORD-2023-613287"/>
    <d v="2023-03-31T00:00:00"/>
    <d v="2023-04-12T00:00:00"/>
    <d v="2023-03-31T00:00:00"/>
    <d v="2023-04-12T00:00:00"/>
    <n v="12"/>
    <s v="3-2023"/>
    <s v="Africa"/>
    <x v="0"/>
    <s v="Mombasa"/>
    <s v="Small Business"/>
    <x v="1"/>
    <x v="0"/>
    <s v="Phones"/>
    <s v="PHN-8014"/>
    <n v="304.22000000000003"/>
    <n v="393.31"/>
    <n v="0.26500000000000001"/>
    <n v="15"/>
    <n v="4336.2427499999994"/>
    <n v="4563.3"/>
    <n v="-227.05725000000075"/>
    <n v="-5.2362670424759034E-2"/>
    <s v="Q1-2023"/>
    <s v="Africa → Kenya → Mombasa"/>
    <s v="Low"/>
    <x v="1"/>
    <x v="0"/>
  </r>
  <r>
    <s v="ORD-2024-783321"/>
    <d v="2024-11-20T00:00:00"/>
    <d v="2024-12-15T00:00:00"/>
    <d v="2024-11-20T00:00:00"/>
    <d v="2024-12-15T00:00:00"/>
    <n v="25"/>
    <s v="11-2024"/>
    <s v="Europe"/>
    <x v="6"/>
    <s v="Paris"/>
    <s v="Corporate"/>
    <x v="1"/>
    <x v="3"/>
    <s v="Printers"/>
    <s v="PRN-4911"/>
    <n v="1203.58"/>
    <n v="1856.16"/>
    <n v="0.129"/>
    <n v="22"/>
    <n v="35567.737920000007"/>
    <n v="26478.76"/>
    <n v="9088.9779200000085"/>
    <n v="0.25553994860295032"/>
    <s v="Q4-2024"/>
    <s v="Europe → France → Paris"/>
    <s v="Medium"/>
    <x v="0"/>
    <x v="10"/>
  </r>
  <r>
    <s v="ORD-2023-808024"/>
    <d v="2023-12-30T00:00:00"/>
    <d v="2024-01-08T00:00:00"/>
    <d v="2023-12-30T00:00:00"/>
    <d v="2024-01-08T00:00:00"/>
    <n v="9"/>
    <s v="12-2023"/>
    <s v="Europe"/>
    <x v="6"/>
    <s v="Marseille"/>
    <s v="Consumer"/>
    <x v="2"/>
    <x v="4"/>
    <s v="Accessories"/>
    <s v="ACC-6594"/>
    <n v="861.1"/>
    <n v="1224.72"/>
    <n v="0.17399999999999999"/>
    <n v="24"/>
    <n v="24278.849280000002"/>
    <n v="20666.400000000001"/>
    <n v="3612.4492800000007"/>
    <n v="0.14878997098827909"/>
    <s v="Q4-2023"/>
    <s v="Europe → France → Marseille"/>
    <s v="Medium"/>
    <x v="1"/>
    <x v="3"/>
  </r>
  <r>
    <s v="ORD-2023-906481"/>
    <d v="2023-05-02T00:00:00"/>
    <d v="2023-05-18T00:00:00"/>
    <d v="2023-05-02T00:00:00"/>
    <d v="2023-05-18T00:00:00"/>
    <n v="16"/>
    <s v="5-2023"/>
    <s v="Asia"/>
    <x v="4"/>
    <s v="Delhi"/>
    <s v="Small Business"/>
    <x v="2"/>
    <x v="12"/>
    <s v="Monitors"/>
    <s v="MON-2266"/>
    <n v="1463.92"/>
    <n v="2252.2399999999998"/>
    <n v="0.11799999999999999"/>
    <n v="44"/>
    <n v="87404.929919999995"/>
    <n v="64412.480000000003"/>
    <n v="22992.449919999992"/>
    <n v="0.26305667130040061"/>
    <s v="Q2-2023"/>
    <s v="Asia → India → Delhi"/>
    <s v="High"/>
    <x v="1"/>
    <x v="5"/>
  </r>
  <r>
    <s v="ORD-2024-902741"/>
    <d v="2024-12-23T00:00:00"/>
    <d v="2025-01-11T00:00:00"/>
    <d v="2024-12-23T00:00:00"/>
    <d v="2025-01-11T00:00:00"/>
    <n v="19"/>
    <s v="12-2024"/>
    <s v="Europe"/>
    <x v="11"/>
    <s v="Berlin"/>
    <s v="Education"/>
    <x v="0"/>
    <x v="12"/>
    <s v="Phones"/>
    <s v="PHN-8057"/>
    <n v="501.81"/>
    <n v="921.62"/>
    <n v="0.01"/>
    <n v="9"/>
    <n v="8211.6342000000004"/>
    <n v="4516.29"/>
    <n v="3695.3442000000005"/>
    <n v="0.45001325071202031"/>
    <s v="Q4-2024"/>
    <s v="Europe → Germany → Berlin"/>
    <s v="Low"/>
    <x v="0"/>
    <x v="3"/>
  </r>
  <r>
    <s v="ORD-2023-674887"/>
    <d v="2023-12-16T00:00:00"/>
    <d v="2023-12-19T00:00:00"/>
    <d v="2023-12-16T00:00:00"/>
    <d v="2023-12-19T00:00:00"/>
    <n v="3"/>
    <s v="12-2023"/>
    <s v="Asia"/>
    <x v="8"/>
    <s v="Beijing"/>
    <s v="Education"/>
    <x v="0"/>
    <x v="14"/>
    <s v="Accessories"/>
    <s v="ACC-9644"/>
    <n v="1415.05"/>
    <n v="1972.38"/>
    <n v="0"/>
    <n v="12"/>
    <n v="23668.560000000001"/>
    <n v="16980.599999999999"/>
    <n v="6687.9600000000028"/>
    <n v="0.28256725377462771"/>
    <s v="Q4-2023"/>
    <s v="Asia → China → Beijing"/>
    <s v="High"/>
    <x v="1"/>
    <x v="3"/>
  </r>
  <r>
    <s v="ORD-2024-389102"/>
    <d v="2024-06-15T00:00:00"/>
    <d v="2024-07-06T00:00:00"/>
    <d v="2024-06-15T00:00:00"/>
    <d v="2024-07-06T00:00:00"/>
    <n v="21"/>
    <s v="6-2024"/>
    <s v="Americas"/>
    <x v="3"/>
    <s v="Toronto"/>
    <s v="Enterprise"/>
    <x v="3"/>
    <x v="4"/>
    <s v="Printers"/>
    <s v="PRN-4453"/>
    <n v="817.23"/>
    <n v="1467.17"/>
    <n v="0.245"/>
    <n v="9"/>
    <n v="9969.4201499999999"/>
    <n v="7355.07"/>
    <n v="2614.3501500000002"/>
    <n v="0.26223693160328893"/>
    <s v="Q2-2024"/>
    <s v="Americas → Canada → Toronto"/>
    <s v="Medium"/>
    <x v="0"/>
    <x v="9"/>
  </r>
  <r>
    <s v="ORD-2023-667815"/>
    <d v="2023-10-21T00:00:00"/>
    <d v="2023-11-09T00:00:00"/>
    <d v="2023-10-21T00:00:00"/>
    <d v="2023-11-09T00:00:00"/>
    <n v="19"/>
    <s v="10-2023"/>
    <s v="Europe"/>
    <x v="7"/>
    <s v="London"/>
    <s v="Non-Profit"/>
    <x v="4"/>
    <x v="14"/>
    <s v="Accessories"/>
    <s v="ACC-8557"/>
    <n v="1142.48"/>
    <n v="2105.5300000000002"/>
    <n v="0.20699999999999999"/>
    <n v="14"/>
    <n v="23375.594060000003"/>
    <n v="15994.720000000001"/>
    <n v="7380.8740600000019"/>
    <n v="0.31575129346680658"/>
    <s v="Q4-2023"/>
    <s v="Europe → United Kingdom → London"/>
    <s v="High"/>
    <x v="1"/>
    <x v="1"/>
  </r>
  <r>
    <s v="ORD-2023-825495"/>
    <d v="2023-11-30T00:00:00"/>
    <d v="2023-11-29T00:00:00"/>
    <d v="2023-11-29T00:00:00"/>
    <d v="2023-11-30T00:00:00"/>
    <n v="1"/>
    <s v="11-2023"/>
    <s v="Africa"/>
    <x v="10"/>
    <s v="Durban"/>
    <s v="Small Business"/>
    <x v="2"/>
    <x v="6"/>
    <s v="Laptops"/>
    <s v="LAP-1525"/>
    <n v="275.56"/>
    <n v="630.72"/>
    <n v="0.107"/>
    <n v="23"/>
    <n v="12954.358080000002"/>
    <n v="6337.88"/>
    <n v="6616.4780800000017"/>
    <n v="0.5107530638831933"/>
    <s v="Q4-2023"/>
    <s v="Africa → South Africa → Durban"/>
    <s v="Low"/>
    <x v="1"/>
    <x v="10"/>
  </r>
  <r>
    <s v="ORD-2025-244832"/>
    <d v="2025-09-11T00:00:00"/>
    <d v="2025-09-28T00:00:00"/>
    <d v="2025-09-11T00:00:00"/>
    <d v="2025-09-28T00:00:00"/>
    <n v="17"/>
    <s v="9-2025"/>
    <s v="Africa"/>
    <x v="0"/>
    <s v="Nairobi"/>
    <s v="Non-Profit"/>
    <x v="3"/>
    <x v="1"/>
    <s v="Laptops"/>
    <s v="LAP-3278"/>
    <n v="891.46"/>
    <n v="728.61"/>
    <n v="0.185"/>
    <n v="6"/>
    <n v="3562.9028999999996"/>
    <n v="5348.76"/>
    <n v="-1785.8571000000006"/>
    <n v="-0.50123653383874167"/>
    <s v="Q3-2025"/>
    <s v="Africa → Kenya → Nairobi"/>
    <s v="Low"/>
    <x v="2"/>
    <x v="8"/>
  </r>
  <r>
    <s v="ORD-2024-921935"/>
    <d v="2024-01-01T00:00:00"/>
    <d v="2024-01-27T00:00:00"/>
    <d v="2024-01-01T00:00:00"/>
    <d v="2024-01-27T00:00:00"/>
    <n v="26"/>
    <s v="1-2024"/>
    <s v="Europe"/>
    <x v="7"/>
    <s v="Manchester"/>
    <s v="Education"/>
    <x v="3"/>
    <x v="8"/>
    <s v="Accessories"/>
    <s v="ACC-3103"/>
    <n v="657.45"/>
    <n v="1325.96"/>
    <n v="0.16700000000000001"/>
    <n v="21"/>
    <n v="23195.01828"/>
    <n v="13806.45"/>
    <n v="9388.5682799999995"/>
    <n v="0.40476658249048808"/>
    <s v="Q1-2024"/>
    <s v="Europe → United Kingdom → Manchester"/>
    <s v="Medium"/>
    <x v="0"/>
    <x v="4"/>
  </r>
  <r>
    <s v="ORD-2023-192324"/>
    <d v="2023-09-14T00:00:00"/>
    <d v="2023-09-16T00:00:00"/>
    <d v="2023-09-14T00:00:00"/>
    <d v="2023-09-16T00:00:00"/>
    <n v="2"/>
    <s v="9-2023"/>
    <s v="Europe"/>
    <x v="6"/>
    <s v="Lyon"/>
    <s v="Non-Profit"/>
    <x v="4"/>
    <x v="5"/>
    <s v="Printers"/>
    <s v="PRN-4432"/>
    <n v="376.83"/>
    <n v="732.88"/>
    <n v="0.188"/>
    <n v="25"/>
    <n v="14877.464000000002"/>
    <n v="9420.75"/>
    <n v="5456.7140000000018"/>
    <n v="0.36677716040852132"/>
    <s v="Q3-2023"/>
    <s v="Europe → France → Lyon"/>
    <s v="Low"/>
    <x v="1"/>
    <x v="8"/>
  </r>
  <r>
    <s v="ORD-2024-438404"/>
    <d v="2024-09-23T00:00:00"/>
    <d v="2024-10-18T00:00:00"/>
    <d v="2024-09-23T00:00:00"/>
    <d v="2024-10-18T00:00:00"/>
    <n v="25"/>
    <s v="9-2024"/>
    <s v="Americas"/>
    <x v="3"/>
    <s v="Vancouver"/>
    <s v="Small Business"/>
    <x v="1"/>
    <x v="10"/>
    <s v="Phones"/>
    <s v="PHN-4568"/>
    <n v="1297"/>
    <n v="2411.52"/>
    <n v="2.1000000000000001E-2"/>
    <n v="18"/>
    <n v="42495.805439999996"/>
    <n v="23346"/>
    <n v="19149.805439999996"/>
    <n v="0.45062813239385913"/>
    <s v="Q3-2024"/>
    <s v="Americas → Canada → Vancouver"/>
    <s v="High"/>
    <x v="0"/>
    <x v="8"/>
  </r>
  <r>
    <s v="ORD-2025-246470"/>
    <d v="2025-04-16T00:00:00"/>
    <d v="2025-05-16T00:00:00"/>
    <d v="2025-04-16T00:00:00"/>
    <d v="2025-05-16T00:00:00"/>
    <n v="30"/>
    <s v="4-2025"/>
    <s v="Americas"/>
    <x v="3"/>
    <s v="Montreal"/>
    <s v="Enterprise"/>
    <x v="3"/>
    <x v="12"/>
    <s v="Printers"/>
    <s v="PRN-6178"/>
    <n v="763.32"/>
    <n v="568.29"/>
    <n v="0.13100000000000001"/>
    <n v="16"/>
    <n v="7901.5041599999995"/>
    <n v="12213.12"/>
    <n v="-4311.6158400000013"/>
    <n v="-0.54567026134426555"/>
    <s v="Q2-2025"/>
    <s v="Americas → Canada → Montreal"/>
    <s v="Low"/>
    <x v="2"/>
    <x v="7"/>
  </r>
  <r>
    <s v="ORD-2023-497686"/>
    <d v="2023-07-03T00:00:00"/>
    <d v="2023-07-23T00:00:00"/>
    <d v="2023-07-03T00:00:00"/>
    <d v="2023-07-23T00:00:00"/>
    <n v="20"/>
    <s v="7-2023"/>
    <s v="Africa"/>
    <x v="10"/>
    <s v="Johannesburg"/>
    <s v="Small Business"/>
    <x v="3"/>
    <x v="9"/>
    <s v="Laptops"/>
    <s v="LAP-6342"/>
    <n v="1001.96"/>
    <n v="1254.95"/>
    <n v="4.4999999999999998E-2"/>
    <n v="18"/>
    <n v="21572.590500000002"/>
    <n v="18035.28"/>
    <n v="3537.3105000000032"/>
    <n v="0.16397244920585699"/>
    <s v="Q3-2023"/>
    <s v="Africa → South Africa → Johannesburg"/>
    <s v="Medium"/>
    <x v="1"/>
    <x v="6"/>
  </r>
  <r>
    <s v="ORD-2023-596758"/>
    <d v="2023-12-07T00:00:00"/>
    <d v="2023-12-05T00:00:00"/>
    <d v="2023-12-05T00:00:00"/>
    <d v="2023-12-07T00:00:00"/>
    <n v="2"/>
    <s v="12-2023"/>
    <s v="Asia"/>
    <x v="2"/>
    <s v="Tokyo"/>
    <s v="Non-Profit"/>
    <x v="2"/>
    <x v="11"/>
    <s v="Printers"/>
    <s v="PRN-8175"/>
    <n v="1097.5899999999999"/>
    <n v="845.55"/>
    <n v="0.184"/>
    <n v="6"/>
    <n v="4139.8127999999997"/>
    <n v="6585.5399999999991"/>
    <n v="-2445.7271999999994"/>
    <n v="-0.59078207594314402"/>
    <s v="Q4-2023"/>
    <s v="Asia → Japan → Tokyo"/>
    <s v="Low"/>
    <x v="1"/>
    <x v="3"/>
  </r>
  <r>
    <s v="ORD-2024-201376"/>
    <d v="2024-02-18T00:00:00"/>
    <d v="2024-03-04T00:00:00"/>
    <d v="2024-02-18T00:00:00"/>
    <d v="2024-03-04T00:00:00"/>
    <n v="15"/>
    <s v="2-2024"/>
    <s v="Africa"/>
    <x v="0"/>
    <s v="Kisumu"/>
    <s v="Education"/>
    <x v="4"/>
    <x v="12"/>
    <s v="Printers"/>
    <s v="PRN-7089"/>
    <n v="928.68"/>
    <n v="2145.17"/>
    <n v="0.13600000000000001"/>
    <n v="16"/>
    <n v="29654.83008"/>
    <n v="14858.88"/>
    <n v="14795.950080000001"/>
    <n v="0.49893896003062177"/>
    <s v="Q1-2024"/>
    <s v="Africa → Kenya → Kisumu"/>
    <s v="High"/>
    <x v="0"/>
    <x v="2"/>
  </r>
  <r>
    <s v="ORD-2023-609394"/>
    <d v="2023-04-16T00:00:00"/>
    <d v="2023-04-19T00:00:00"/>
    <d v="2023-04-16T00:00:00"/>
    <d v="2023-04-19T00:00:00"/>
    <n v="3"/>
    <s v="4-2023"/>
    <s v="Europe"/>
    <x v="11"/>
    <s v="Munich"/>
    <s v="Corporate"/>
    <x v="4"/>
    <x v="5"/>
    <s v="Accessories"/>
    <s v="ACC-1731"/>
    <n v="553.61"/>
    <n v="699.47"/>
    <n v="0.02"/>
    <n v="33"/>
    <n v="22620.859800000002"/>
    <n v="18269.13"/>
    <n v="4351.729800000001"/>
    <n v="0.19237685209472014"/>
    <s v="Q2-2023"/>
    <s v="Europe → Germany → Munich"/>
    <s v="Low"/>
    <x v="1"/>
    <x v="7"/>
  </r>
  <r>
    <s v="ORD-2024-136321"/>
    <d v="2024-08-07T00:00:00"/>
    <d v="2024-08-17T00:00:00"/>
    <d v="2024-08-07T00:00:00"/>
    <d v="2024-08-17T00:00:00"/>
    <n v="10"/>
    <s v="8-2024"/>
    <s v="Asia"/>
    <x v="2"/>
    <s v="Osaka"/>
    <s v="Consumer"/>
    <x v="1"/>
    <x v="12"/>
    <s v="Networking"/>
    <s v="NET-7924"/>
    <n v="436.58"/>
    <n v="527.48"/>
    <n v="0.111"/>
    <n v="19"/>
    <n v="8909.6646800000017"/>
    <n v="8295.02"/>
    <n v="614.64468000000124"/>
    <n v="6.8986286473802644E-2"/>
    <s v="Q3-2024"/>
    <s v="Asia → Japan → Osaka"/>
    <s v="Low"/>
    <x v="0"/>
    <x v="11"/>
  </r>
  <r>
    <s v="ORD-2024-764468"/>
    <d v="2024-02-01T00:00:00"/>
    <d v="2024-02-21T00:00:00"/>
    <d v="2024-02-01T00:00:00"/>
    <d v="2024-02-21T00:00:00"/>
    <n v="20"/>
    <s v="2-2024"/>
    <s v="Europe"/>
    <x v="6"/>
    <s v="Paris"/>
    <s v="Small Business"/>
    <x v="2"/>
    <x v="14"/>
    <s v="Networking"/>
    <s v="NET-8761"/>
    <n v="656.2"/>
    <n v="1467.17"/>
    <n v="1.7999999999999999E-2"/>
    <n v="5"/>
    <n v="7203.8047000000006"/>
    <n v="3281"/>
    <n v="3922.8047000000006"/>
    <n v="0.54454623124360946"/>
    <s v="Q1-2024"/>
    <s v="Europe → France → Paris"/>
    <s v="Medium"/>
    <x v="0"/>
    <x v="2"/>
  </r>
  <r>
    <s v="ORD-2024-553449"/>
    <d v="2024-08-27T00:00:00"/>
    <d v="2024-09-18T00:00:00"/>
    <d v="2024-08-27T00:00:00"/>
    <d v="2024-09-18T00:00:00"/>
    <n v="22"/>
    <s v="8-2024"/>
    <s v="Asia"/>
    <x v="4"/>
    <s v="Delhi"/>
    <s v="Consumer"/>
    <x v="4"/>
    <x v="5"/>
    <s v="Components"/>
    <s v="CMP-3875"/>
    <n v="896.75"/>
    <n v="1651.14"/>
    <n v="2.5000000000000001E-2"/>
    <n v="15"/>
    <n v="24147.922500000001"/>
    <n v="13451.25"/>
    <n v="10696.672500000001"/>
    <n v="0.44296450346815552"/>
    <s v="Q3-2024"/>
    <s v="Asia → India → Delhi"/>
    <s v="Medium"/>
    <x v="0"/>
    <x v="11"/>
  </r>
  <r>
    <s v="ORD-2024-468615"/>
    <d v="2024-07-09T00:00:00"/>
    <d v="2024-07-12T00:00:00"/>
    <d v="2024-07-09T00:00:00"/>
    <d v="2024-07-12T00:00:00"/>
    <n v="3"/>
    <s v="7-2024"/>
    <s v="Asia"/>
    <x v="8"/>
    <s v="Shanghai"/>
    <s v="Small Business"/>
    <x v="0"/>
    <x v="8"/>
    <s v="Accessories"/>
    <s v="ACC-3721"/>
    <n v="748.39"/>
    <n v="979.42"/>
    <n v="0"/>
    <n v="23"/>
    <n v="22526.66"/>
    <n v="17212.97"/>
    <n v="5313.6899999999987"/>
    <n v="0.23588450307324738"/>
    <s v="Q3-2024"/>
    <s v="Asia → China → Shanghai"/>
    <s v="Low"/>
    <x v="0"/>
    <x v="6"/>
  </r>
  <r>
    <s v="ORD-2025-418232"/>
    <d v="2025-08-01T00:00:00"/>
    <d v="2025-08-21T00:00:00"/>
    <d v="2025-08-01T00:00:00"/>
    <d v="2025-08-21T00:00:00"/>
    <n v="20"/>
    <s v="8-2025"/>
    <s v="Asia"/>
    <x v="8"/>
    <s v="Shanghai"/>
    <s v="Corporate"/>
    <x v="4"/>
    <x v="2"/>
    <s v="Phones"/>
    <s v="PHN-9234"/>
    <n v="1220.4100000000001"/>
    <n v="2552.2199999999998"/>
    <n v="0.18099999999999999"/>
    <n v="14"/>
    <n v="29263.754519999995"/>
    <n v="17085.740000000002"/>
    <n v="12178.014519999993"/>
    <n v="0.41614668793360271"/>
    <s v="Q3-2025"/>
    <s v="Asia → China → Shanghai"/>
    <s v="High"/>
    <x v="2"/>
    <x v="11"/>
  </r>
  <r>
    <s v="ORD-2023-848013"/>
    <d v="2023-02-20T00:00:00"/>
    <d v="2023-03-04T00:00:00"/>
    <d v="2023-02-20T00:00:00"/>
    <d v="2023-03-04T00:00:00"/>
    <n v="12"/>
    <s v="2-2023"/>
    <s v="Asia"/>
    <x v="4"/>
    <s v="Delhi"/>
    <s v="Consumer"/>
    <x v="3"/>
    <x v="13"/>
    <s v="Monitors"/>
    <s v="MON-9906"/>
    <n v="299.75"/>
    <n v="523.01"/>
    <n v="0.157"/>
    <n v="50"/>
    <n v="22044.871499999997"/>
    <n v="14987.5"/>
    <n v="7057.3714999999975"/>
    <n v="0.32013665854210122"/>
    <s v="Q1-2023"/>
    <s v="Asia → India → Delhi"/>
    <s v="Low"/>
    <x v="1"/>
    <x v="2"/>
  </r>
  <r>
    <s v="ORD-2024-357368"/>
    <d v="2024-10-30T00:00:00"/>
    <d v="2024-11-24T00:00:00"/>
    <d v="2024-10-30T00:00:00"/>
    <d v="2024-11-24T00:00:00"/>
    <n v="25"/>
    <s v="10-2024"/>
    <s v="Asia"/>
    <x v="8"/>
    <s v="Shenzhen"/>
    <s v="Small Business"/>
    <x v="1"/>
    <x v="6"/>
    <s v="Components"/>
    <s v="CMP-4610"/>
    <n v="811.05"/>
    <n v="1217.71"/>
    <n v="7.1999999999999995E-2"/>
    <n v="5"/>
    <n v="5650.1744000000008"/>
    <n v="4055.25"/>
    <n v="1594.9244000000008"/>
    <n v="0.28227879125288602"/>
    <s v="Q4-2024"/>
    <s v="Asia → China → Shenzhen"/>
    <s v="Medium"/>
    <x v="0"/>
    <x v="1"/>
  </r>
  <r>
    <s v="ORD-2023-621393"/>
    <d v="2023-07-07T00:00:00"/>
    <d v="2023-07-13T00:00:00"/>
    <d v="2023-07-07T00:00:00"/>
    <d v="2023-07-13T00:00:00"/>
    <n v="6"/>
    <s v="7-2023"/>
    <s v="Africa"/>
    <x v="10"/>
    <s v="Cape Town"/>
    <s v="Small Business"/>
    <x v="2"/>
    <x v="5"/>
    <s v="Accessories"/>
    <s v="ACC-9445"/>
    <n v="612.59"/>
    <n v="1424.74"/>
    <n v="4.3999999999999997E-2"/>
    <n v="15"/>
    <n v="20430.771599999996"/>
    <n v="9188.85"/>
    <n v="11241.921599999996"/>
    <n v="0.55024459281802152"/>
    <s v="Q3-2023"/>
    <s v="Africa → South Africa → Cape Town"/>
    <s v="Medium"/>
    <x v="1"/>
    <x v="6"/>
  </r>
  <r>
    <s v="ORD-2023-240507"/>
    <d v="2023-03-25T00:00:00"/>
    <d v="2023-03-26T00:00:00"/>
    <d v="2023-03-25T00:00:00"/>
    <d v="2023-03-26T00:00:00"/>
    <n v="1"/>
    <s v="3-2023"/>
    <s v="Asia"/>
    <x v="2"/>
    <s v="Osaka"/>
    <s v="Small Business"/>
    <x v="3"/>
    <x v="2"/>
    <s v="Monitors"/>
    <s v="MON-9227"/>
    <n v="135.12"/>
    <n v="301.7"/>
    <n v="0.14000000000000001"/>
    <n v="47"/>
    <n v="12194.714"/>
    <n v="6350.64"/>
    <n v="5844.0739999999996"/>
    <n v="0.47923009920527859"/>
    <s v="Q1-2023"/>
    <s v="Asia → Japan → Osaka"/>
    <s v="Low"/>
    <x v="1"/>
    <x v="0"/>
  </r>
  <r>
    <s v="ORD-2024-134084"/>
    <d v="2024-06-04T00:00:00"/>
    <d v="2024-06-16T00:00:00"/>
    <d v="2024-06-04T00:00:00"/>
    <d v="2024-06-16T00:00:00"/>
    <n v="12"/>
    <s v="6-2024"/>
    <s v="Asia"/>
    <x v="8"/>
    <s v="Shanghai"/>
    <s v="Corporate"/>
    <x v="0"/>
    <x v="1"/>
    <s v="Printers"/>
    <s v="PRN-4097"/>
    <n v="918.42"/>
    <n v="1511.71"/>
    <n v="0.02"/>
    <n v="8"/>
    <n v="11851.806399999999"/>
    <n v="7347.36"/>
    <n v="4504.4463999999998"/>
    <n v="0.38006412254590999"/>
    <s v="Q2-2024"/>
    <s v="Asia → China → Shanghai"/>
    <s v="Medium"/>
    <x v="0"/>
    <x v="9"/>
  </r>
  <r>
    <s v="ORD-2023-884625"/>
    <d v="2023-02-19T00:00:00"/>
    <d v="2023-03-12T00:00:00"/>
    <d v="2023-02-19T00:00:00"/>
    <d v="2023-03-12T00:00:00"/>
    <n v="21"/>
    <s v="2-2023"/>
    <s v="Europe"/>
    <x v="11"/>
    <s v="Berlin"/>
    <s v="Small Business"/>
    <x v="4"/>
    <x v="4"/>
    <s v="Monitors"/>
    <s v="MON-6699"/>
    <n v="1234.81"/>
    <n v="2055.2399999999998"/>
    <n v="5.2999999999999999E-2"/>
    <n v="44"/>
    <n v="85637.740319999997"/>
    <n v="54331.64"/>
    <n v="31306.100319999998"/>
    <n v="0.36556429680441616"/>
    <s v="Q1-2023"/>
    <s v="Europe → Germany → Berlin"/>
    <s v="High"/>
    <x v="1"/>
    <x v="2"/>
  </r>
  <r>
    <s v="ORD-2023-157993"/>
    <d v="2023-04-18T00:00:00"/>
    <d v="2023-05-18T00:00:00"/>
    <d v="2023-04-18T00:00:00"/>
    <d v="2023-05-18T00:00:00"/>
    <n v="30"/>
    <s v="4-2023"/>
    <s v="Asia"/>
    <x v="8"/>
    <s v="Shenzhen"/>
    <s v="Non-Profit"/>
    <x v="0"/>
    <x v="11"/>
    <s v="Laptops"/>
    <s v="LAP-1482"/>
    <n v="329.03"/>
    <n v="391.15"/>
    <n v="0.19700000000000001"/>
    <n v="46"/>
    <n v="14448.298699999998"/>
    <n v="15135.38"/>
    <n v="-687.08130000000165"/>
    <n v="-4.7554477815440081E-2"/>
    <s v="Q2-2023"/>
    <s v="Asia → China → Shenzhen"/>
    <s v="Low"/>
    <x v="1"/>
    <x v="7"/>
  </r>
  <r>
    <s v="ORD-2024-329104"/>
    <d v="2024-05-23T00:00:00"/>
    <d v="2024-06-14T00:00:00"/>
    <d v="2024-05-23T00:00:00"/>
    <d v="2024-06-14T00:00:00"/>
    <n v="22"/>
    <s v="5-2024"/>
    <s v="Europe"/>
    <x v="6"/>
    <s v="Marseille"/>
    <s v="Small Business"/>
    <x v="1"/>
    <x v="10"/>
    <s v="Monitors"/>
    <s v="MON-2100"/>
    <n v="1481.74"/>
    <n v="1848.97"/>
    <n v="0.254"/>
    <n v="9"/>
    <n v="12413.98458"/>
    <n v="13335.66"/>
    <n v="-921.67541999999958"/>
    <n v="-7.4244930309072407E-2"/>
    <s v="Q2-2024"/>
    <s v="Europe → France → Marseille"/>
    <s v="Medium"/>
    <x v="0"/>
    <x v="5"/>
  </r>
  <r>
    <s v="ORD-2023-304451"/>
    <d v="2023-10-07T00:00:00"/>
    <d v="2023-10-23T00:00:00"/>
    <d v="2023-10-07T00:00:00"/>
    <d v="2023-10-23T00:00:00"/>
    <n v="16"/>
    <s v="10-2023"/>
    <s v="Asia"/>
    <x v="4"/>
    <s v="Hyderabad"/>
    <s v="Consumer"/>
    <x v="0"/>
    <x v="3"/>
    <s v="Monitors"/>
    <s v="MON-7602"/>
    <n v="906.81"/>
    <n v="1395.56"/>
    <n v="0.185"/>
    <n v="6"/>
    <n v="6824.2884000000004"/>
    <n v="5440.86"/>
    <n v="1383.4284000000007"/>
    <n v="0.20272126834498974"/>
    <s v="Q4-2023"/>
    <s v="Asia → India → Hyderabad"/>
    <s v="Medium"/>
    <x v="1"/>
    <x v="1"/>
  </r>
  <r>
    <s v="ORD-2024-942981"/>
    <d v="2024-10-09T00:00:00"/>
    <d v="2024-11-08T00:00:00"/>
    <d v="2024-10-09T00:00:00"/>
    <d v="2024-11-08T00:00:00"/>
    <n v="30"/>
    <s v="10-2024"/>
    <s v="Europe"/>
    <x v="7"/>
    <s v="Manchester"/>
    <s v="Small Business"/>
    <x v="3"/>
    <x v="1"/>
    <s v="Components"/>
    <s v="CMP-1072"/>
    <n v="343.85"/>
    <n v="538.04"/>
    <n v="0.13900000000000001"/>
    <n v="5"/>
    <n v="2316.2621999999997"/>
    <n v="1719.25"/>
    <n v="597.01219999999967"/>
    <n v="0.25774810813732563"/>
    <s v="Q4-2024"/>
    <s v="Europe → United Kingdom → Manchester"/>
    <s v="Low"/>
    <x v="0"/>
    <x v="1"/>
  </r>
  <r>
    <s v="ORD-2025-337268"/>
    <d v="2025-02-16T00:00:00"/>
    <d v="2025-03-17T00:00:00"/>
    <d v="2025-02-16T00:00:00"/>
    <d v="2025-03-17T00:00:00"/>
    <n v="29"/>
    <s v="2-2025"/>
    <s v="Europe"/>
    <x v="11"/>
    <s v="Munich"/>
    <s v="Consumer"/>
    <x v="0"/>
    <x v="4"/>
    <s v="Accessories"/>
    <s v="ACC-5150"/>
    <n v="730.42"/>
    <n v="956.7"/>
    <n v="4.2000000000000003E-2"/>
    <n v="22"/>
    <n v="20163.409200000002"/>
    <n v="16069.24"/>
    <n v="4094.1692000000021"/>
    <n v="0.20304945256975698"/>
    <s v="Q1-2025"/>
    <s v="Europe → Germany → Munich"/>
    <s v="Low"/>
    <x v="2"/>
    <x v="2"/>
  </r>
  <r>
    <s v="ORD-2023-450877"/>
    <d v="2023-09-21T00:00:00"/>
    <d v="2023-10-10T00:00:00"/>
    <d v="2023-09-21T00:00:00"/>
    <d v="2023-10-10T00:00:00"/>
    <n v="19"/>
    <s v="9-2023"/>
    <s v="Asia"/>
    <x v="2"/>
    <s v="Tokyo"/>
    <s v="Education"/>
    <x v="1"/>
    <x v="8"/>
    <s v="Components"/>
    <s v="CMP-5211"/>
    <n v="845.63"/>
    <n v="2062.12"/>
    <n v="0.13400000000000001"/>
    <n v="5"/>
    <n v="8928.9795999999988"/>
    <n v="4228.1499999999996"/>
    <n v="4700.8295999999991"/>
    <n v="0.52646884757133949"/>
    <s v="Q3-2023"/>
    <s v="Asia → Japan → Tokyo"/>
    <s v="High"/>
    <x v="1"/>
    <x v="8"/>
  </r>
  <r>
    <s v="ORD-2023-286994"/>
    <d v="2023-02-24T00:00:00"/>
    <d v="2023-03-09T00:00:00"/>
    <d v="2023-02-24T00:00:00"/>
    <d v="2023-03-09T00:00:00"/>
    <n v="13"/>
    <s v="2-2023"/>
    <s v="Americas"/>
    <x v="9"/>
    <s v="New York"/>
    <s v="Enterprise"/>
    <x v="1"/>
    <x v="13"/>
    <s v="Components"/>
    <s v="CMP-1632"/>
    <n v="6.85"/>
    <n v="10.18"/>
    <n v="4.7E-2"/>
    <n v="10"/>
    <n v="97.0154"/>
    <n v="68.5"/>
    <n v="28.5154"/>
    <n v="0.2939265312517394"/>
    <s v="Q1-2023"/>
    <s v="Americas → USA → New York"/>
    <s v="Low"/>
    <x v="1"/>
    <x v="2"/>
  </r>
  <r>
    <s v="ORD-2025-700847"/>
    <d v="2025-05-21T00:00:00"/>
    <d v="2025-05-19T00:00:00"/>
    <d v="2025-05-19T00:00:00"/>
    <d v="2025-05-21T00:00:00"/>
    <n v="2"/>
    <s v="5-2025"/>
    <s v="Africa"/>
    <x v="10"/>
    <s v="Johannesburg"/>
    <s v="Non-Profit"/>
    <x v="3"/>
    <x v="7"/>
    <s v="Laptops"/>
    <s v="LAP-7099"/>
    <n v="1263.8399999999999"/>
    <n v="2281.7199999999998"/>
    <n v="7.8E-2"/>
    <n v="15"/>
    <n v="31556.187599999997"/>
    <n v="18957.599999999999"/>
    <n v="12598.587599999999"/>
    <n v="0.39924301882398494"/>
    <s v="Q2-2025"/>
    <s v="Africa → South Africa → Johannesburg"/>
    <s v="High"/>
    <x v="2"/>
    <x v="5"/>
  </r>
  <r>
    <s v="ORD-2024-970848"/>
    <d v="2024-05-23T00:00:00"/>
    <d v="2024-06-03T00:00:00"/>
    <d v="2024-05-23T00:00:00"/>
    <d v="2024-06-03T00:00:00"/>
    <n v="11"/>
    <s v="5-2024"/>
    <s v="Africa"/>
    <x v="10"/>
    <s v="Johannesburg"/>
    <s v="Small Business"/>
    <x v="3"/>
    <x v="9"/>
    <s v="Printers"/>
    <s v="PRN-3785"/>
    <n v="180.89"/>
    <n v="249.57"/>
    <n v="2.1999999999999999E-2"/>
    <n v="8"/>
    <n v="1952.6356799999999"/>
    <n v="1447.12"/>
    <n v="505.51567999999997"/>
    <n v="0.25888888806948362"/>
    <s v="Q2-2024"/>
    <s v="Africa → South Africa → Johannesburg"/>
    <s v="Low"/>
    <x v="0"/>
    <x v="5"/>
  </r>
  <r>
    <s v="ORD-2025-845715"/>
    <d v="2025-04-14T00:00:00"/>
    <d v="2025-05-04T00:00:00"/>
    <d v="2025-04-14T00:00:00"/>
    <d v="2025-05-04T00:00:00"/>
    <n v="20"/>
    <s v="4-2025"/>
    <s v="Europe"/>
    <x v="7"/>
    <s v="Birmingham"/>
    <s v="Enterprise"/>
    <x v="2"/>
    <x v="12"/>
    <s v="Monitors"/>
    <s v="MON-6962"/>
    <n v="1413.87"/>
    <n v="3275"/>
    <n v="0.255"/>
    <n v="38"/>
    <n v="92715.25"/>
    <n v="53727.06"/>
    <n v="38988.19"/>
    <n v="0.42051539525590453"/>
    <s v="Q2-2025"/>
    <s v="Europe → United Kingdom → Birmingham"/>
    <s v="High"/>
    <x v="2"/>
    <x v="7"/>
  </r>
  <r>
    <s v="ORD-2023-664749"/>
    <d v="2023-08-27T00:00:00"/>
    <d v="2023-09-11T00:00:00"/>
    <d v="2023-08-27T00:00:00"/>
    <d v="2023-09-11T00:00:00"/>
    <n v="15"/>
    <s v="8-2023"/>
    <s v="Europe"/>
    <x v="7"/>
    <s v="London"/>
    <s v="Consumer"/>
    <x v="2"/>
    <x v="10"/>
    <s v="Printers"/>
    <s v="PRN-5107"/>
    <n v="943.79"/>
    <n v="1913.76"/>
    <n v="9.0999999999999998E-2"/>
    <n v="9"/>
    <n v="15656.47056"/>
    <n v="8494.11"/>
    <n v="7162.3605599999992"/>
    <n v="0.45746967891338081"/>
    <s v="Q3-2023"/>
    <s v="Europe → United Kingdom → London"/>
    <s v="High"/>
    <x v="1"/>
    <x v="11"/>
  </r>
  <r>
    <s v="ORD-2024-960952"/>
    <d v="2024-02-03T00:00:00"/>
    <d v="2024-02-21T00:00:00"/>
    <d v="2024-02-03T00:00:00"/>
    <d v="2024-02-21T00:00:00"/>
    <n v="18"/>
    <s v="2-2024"/>
    <s v="Europe"/>
    <x v="11"/>
    <s v="Frankfurt"/>
    <s v="Corporate"/>
    <x v="0"/>
    <x v="11"/>
    <s v="Components"/>
    <s v="CMP-9264"/>
    <n v="39.229999999999997"/>
    <n v="30.09"/>
    <n v="0.17699999999999999"/>
    <n v="13"/>
    <n v="321.93290999999999"/>
    <n v="509.98999999999995"/>
    <n v="-188.05708999999996"/>
    <n v="-0.58414993981199359"/>
    <s v="Q1-2024"/>
    <s v="Europe → Germany → Frankfurt"/>
    <s v="Low"/>
    <x v="0"/>
    <x v="2"/>
  </r>
  <r>
    <s v="ORD-2023-987700"/>
    <d v="2023-04-05T00:00:00"/>
    <d v="2023-04-16T00:00:00"/>
    <d v="2023-04-05T00:00:00"/>
    <d v="2023-04-16T00:00:00"/>
    <n v="11"/>
    <s v="4-2023"/>
    <s v="Americas"/>
    <x v="3"/>
    <s v="Vancouver"/>
    <s v="Non-Profit"/>
    <x v="1"/>
    <x v="7"/>
    <s v="Monitors"/>
    <s v="MON-5259"/>
    <n v="213.1"/>
    <n v="501.31"/>
    <n v="5.6000000000000001E-2"/>
    <n v="15"/>
    <n v="7098.5495999999994"/>
    <n v="3196.5"/>
    <n v="3902.0495999999994"/>
    <n v="0.54969674368409005"/>
    <s v="Q2-2023"/>
    <s v="Americas → Canada → Vancouver"/>
    <s v="Low"/>
    <x v="1"/>
    <x v="7"/>
  </r>
  <r>
    <s v="ORD-2025-652467"/>
    <d v="2025-08-21T00:00:00"/>
    <d v="2025-09-12T00:00:00"/>
    <d v="2025-08-21T00:00:00"/>
    <d v="2025-09-12T00:00:00"/>
    <n v="22"/>
    <s v="8-2025"/>
    <s v="Asia"/>
    <x v="8"/>
    <s v="Shenzhen"/>
    <s v="Education"/>
    <x v="0"/>
    <x v="5"/>
    <s v="Printers"/>
    <s v="PRN-8137"/>
    <n v="352.66"/>
    <n v="411.18"/>
    <n v="0.17299999999999999"/>
    <n v="13"/>
    <n v="4420.5961799999995"/>
    <n v="4584.58"/>
    <n v="-163.98382000000038"/>
    <n v="-3.7095408248758066E-2"/>
    <s v="Q3-2025"/>
    <s v="Asia → China → Shenzhen"/>
    <s v="Low"/>
    <x v="2"/>
    <x v="11"/>
  </r>
  <r>
    <s v="ORD-2023-619570"/>
    <d v="2023-11-14T00:00:00"/>
    <d v="2023-11-30T00:00:00"/>
    <d v="2023-11-14T00:00:00"/>
    <d v="2023-11-30T00:00:00"/>
    <n v="16"/>
    <s v="11-2023"/>
    <s v="Americas"/>
    <x v="5"/>
    <s v="São Paulo"/>
    <s v="Enterprise"/>
    <x v="4"/>
    <x v="12"/>
    <s v="Networking"/>
    <s v="NET-4104"/>
    <n v="1017.92"/>
    <n v="1175.25"/>
    <n v="7.4999999999999997E-2"/>
    <n v="15"/>
    <n v="16306.59375"/>
    <n v="15268.8"/>
    <n v="1037.7937500000007"/>
    <n v="6.3642583234159542E-2"/>
    <s v="Q4-2023"/>
    <s v="Americas → Brazil → São Paulo"/>
    <s v="Low"/>
    <x v="1"/>
    <x v="10"/>
  </r>
  <r>
    <s v="ORD-2024-237478"/>
    <d v="2024-10-03T00:00:00"/>
    <d v="2024-10-11T00:00:00"/>
    <d v="2024-10-03T00:00:00"/>
    <d v="2024-10-11T00:00:00"/>
    <n v="8"/>
    <s v="10-2024"/>
    <s v="Asia"/>
    <x v="8"/>
    <s v="Beijing"/>
    <s v="Enterprise"/>
    <x v="4"/>
    <x v="5"/>
    <s v="Phones"/>
    <s v="PHN-7488"/>
    <n v="1132.6099999999999"/>
    <n v="2206.63"/>
    <n v="6.3E-2"/>
    <n v="20"/>
    <n v="41352.246200000009"/>
    <n v="22652.199999999997"/>
    <n v="18700.046200000012"/>
    <n v="0.45221355351671338"/>
    <s v="Q4-2024"/>
    <s v="Asia → China → Beijing"/>
    <s v="High"/>
    <x v="0"/>
    <x v="1"/>
  </r>
  <r>
    <s v="ORD-2024-997336"/>
    <d v="2024-10-04T00:00:00"/>
    <d v="2024-11-02T00:00:00"/>
    <d v="2024-10-04T00:00:00"/>
    <d v="2024-11-02T00:00:00"/>
    <n v="29"/>
    <s v="10-2024"/>
    <s v="Africa"/>
    <x v="1"/>
    <s v="Abuja"/>
    <s v="Corporate"/>
    <x v="3"/>
    <x v="9"/>
    <s v="Accessories"/>
    <s v="ACC-9038"/>
    <n v="412.09"/>
    <n v="968.94"/>
    <n v="9.9000000000000005E-2"/>
    <n v="23"/>
    <n v="20079.343620000003"/>
    <n v="9478.07"/>
    <n v="10601.273620000004"/>
    <n v="0.52796913189137418"/>
    <s v="Q4-2024"/>
    <s v="Africa → Nigeria → Abuja"/>
    <s v="Low"/>
    <x v="0"/>
    <x v="1"/>
  </r>
  <r>
    <s v="ORD-2023-334213"/>
    <d v="2023-08-19T00:00:00"/>
    <d v="2023-08-23T00:00:00"/>
    <d v="2023-08-19T00:00:00"/>
    <d v="2023-08-23T00:00:00"/>
    <n v="4"/>
    <s v="8-2023"/>
    <s v="Africa"/>
    <x v="1"/>
    <s v="Abuja"/>
    <s v="Small Business"/>
    <x v="1"/>
    <x v="1"/>
    <s v="Monitors"/>
    <s v="MON-5517"/>
    <n v="790.63"/>
    <n v="1382.31"/>
    <n v="0.10100000000000001"/>
    <n v="7"/>
    <n v="8698.8768300000011"/>
    <n v="5534.41"/>
    <n v="3164.4668300000012"/>
    <n v="0.36377878338116448"/>
    <s v="Q3-2023"/>
    <s v="Africa → Nigeria → Abuja"/>
    <s v="Medium"/>
    <x v="1"/>
    <x v="11"/>
  </r>
  <r>
    <s v="ORD-2024-640340"/>
    <d v="2024-10-22T00:00:00"/>
    <d v="2024-10-29T00:00:00"/>
    <d v="2024-10-22T00:00:00"/>
    <d v="2024-10-29T00:00:00"/>
    <n v="7"/>
    <s v="10-2024"/>
    <s v="Africa"/>
    <x v="1"/>
    <s v="Port Harcourt"/>
    <s v="Enterprise"/>
    <x v="3"/>
    <x v="13"/>
    <s v="Monitors"/>
    <s v="MON-8758"/>
    <n v="1023.06"/>
    <n v="1355.61"/>
    <n v="0.153"/>
    <n v="23"/>
    <n v="26408.63841"/>
    <n v="23530.379999999997"/>
    <n v="2878.2584100000022"/>
    <n v="0.10898927711888809"/>
    <s v="Q4-2024"/>
    <s v="Africa → Nigeria → Port Harcourt"/>
    <s v="Medium"/>
    <x v="0"/>
    <x v="1"/>
  </r>
  <r>
    <s v="ORD-2023-780206"/>
    <d v="2023-01-19T00:00:00"/>
    <d v="2023-02-03T00:00:00"/>
    <d v="2023-01-19T00:00:00"/>
    <d v="2023-02-03T00:00:00"/>
    <n v="15"/>
    <s v="1-2023"/>
    <s v="Europe"/>
    <x v="7"/>
    <s v="London"/>
    <s v="Enterprise"/>
    <x v="3"/>
    <x v="3"/>
    <s v="Accessories"/>
    <s v="ACC-3645"/>
    <n v="873.06"/>
    <n v="2101.5500000000002"/>
    <n v="6.6000000000000003E-2"/>
    <n v="10"/>
    <n v="19628.476999999999"/>
    <n v="8730.5999999999985"/>
    <n v="10897.877"/>
    <n v="0.55520746719167269"/>
    <s v="Q1-2023"/>
    <s v="Europe → United Kingdom → London"/>
    <s v="High"/>
    <x v="1"/>
    <x v="4"/>
  </r>
  <r>
    <s v="ORD-2025-542939"/>
    <d v="2025-01-13T00:00:00"/>
    <d v="2025-02-08T00:00:00"/>
    <d v="2025-01-13T00:00:00"/>
    <d v="2025-02-08T00:00:00"/>
    <n v="26"/>
    <s v="1-2025"/>
    <s v="Europe"/>
    <x v="6"/>
    <s v="Paris"/>
    <s v="Non-Profit"/>
    <x v="5"/>
    <x v="6"/>
    <s v="Monitors"/>
    <s v="MON-1593"/>
    <n v="594.74"/>
    <n v="1020.69"/>
    <n v="0.21099999999999999"/>
    <n v="6"/>
    <n v="4831.9464600000001"/>
    <n v="3568.44"/>
    <n v="1263.5064600000001"/>
    <n v="0.26149016146176424"/>
    <s v="Q1-2025"/>
    <s v="Europe → France → Paris"/>
    <s v="Low"/>
    <x v="2"/>
    <x v="4"/>
  </r>
  <r>
    <s v="ORD-2025-922513"/>
    <d v="2025-08-28T00:00:00"/>
    <d v="2025-08-26T00:00:00"/>
    <d v="2025-08-26T00:00:00"/>
    <d v="2025-08-28T00:00:00"/>
    <n v="2"/>
    <s v="8-2025"/>
    <s v="Africa"/>
    <x v="1"/>
    <s v="Port Harcourt"/>
    <s v="Small Business"/>
    <x v="0"/>
    <x v="14"/>
    <s v="Accessories"/>
    <s v="ACC-4483"/>
    <n v="521.05999999999995"/>
    <n v="1240.31"/>
    <n v="0.14599999999999999"/>
    <n v="18"/>
    <n v="19066.045319999997"/>
    <n v="9379.0799999999981"/>
    <n v="9686.9653199999993"/>
    <n v="0.50807417885650974"/>
    <s v="Q3-2025"/>
    <s v="Africa → Nigeria → Port Harcourt"/>
    <s v="Medium"/>
    <x v="2"/>
    <x v="11"/>
  </r>
  <r>
    <s v="ORD-2023-239789"/>
    <d v="2023-12-03T00:00:00"/>
    <d v="2023-12-26T00:00:00"/>
    <d v="2023-12-03T00:00:00"/>
    <d v="2023-12-26T00:00:00"/>
    <n v="23"/>
    <s v="12-2023"/>
    <s v="Americas"/>
    <x v="5"/>
    <s v="Rio de Janeiro"/>
    <s v="Education"/>
    <x v="0"/>
    <x v="7"/>
    <s v="Phones"/>
    <s v="PHN-4644"/>
    <n v="1303.1099999999999"/>
    <n v="1145.67"/>
    <n v="0.184"/>
    <n v="13"/>
    <n v="12153.267360000002"/>
    <n v="16940.43"/>
    <n v="-4787.1626399999986"/>
    <n v="-0.39389922875851208"/>
    <s v="Q4-2023"/>
    <s v="Americas → Brazil → Rio de Janeiro"/>
    <s v="Low"/>
    <x v="1"/>
    <x v="3"/>
  </r>
  <r>
    <s v="ORD-2023-581799"/>
    <d v="2023-12-05T00:00:00"/>
    <d v="2023-12-12T00:00:00"/>
    <d v="2023-12-05T00:00:00"/>
    <d v="2023-12-12T00:00:00"/>
    <n v="7"/>
    <s v="12-2023"/>
    <s v="Americas"/>
    <x v="5"/>
    <s v="Brasília"/>
    <s v="Corporate"/>
    <x v="4"/>
    <x v="9"/>
    <s v="Phones"/>
    <s v="PHN-6506"/>
    <n v="307.43"/>
    <n v="495.19"/>
    <n v="0"/>
    <n v="42"/>
    <n v="20797.98"/>
    <n v="12912.06"/>
    <n v="7885.92"/>
    <n v="0.37916759223732305"/>
    <s v="Q4-2023"/>
    <s v="Americas → Brazil → Brasília"/>
    <s v="Low"/>
    <x v="1"/>
    <x v="3"/>
  </r>
  <r>
    <s v="ORD-2024-760799"/>
    <d v="2024-02-03T00:00:00"/>
    <d v="2024-02-19T00:00:00"/>
    <d v="2024-02-03T00:00:00"/>
    <d v="2024-02-19T00:00:00"/>
    <n v="16"/>
    <s v="2-2024"/>
    <s v="Asia"/>
    <x v="8"/>
    <s v="Shenzhen"/>
    <s v="Small Business"/>
    <x v="1"/>
    <x v="11"/>
    <s v="Laptops"/>
    <s v="LAP-5531"/>
    <n v="993.75"/>
    <n v="1310.29"/>
    <n v="0.215"/>
    <n v="19"/>
    <n v="19542.975350000001"/>
    <n v="18881.25"/>
    <n v="661.72535000000062"/>
    <n v="3.3860010471742245E-2"/>
    <s v="Q1-2024"/>
    <s v="Asia → China → Shenzhen"/>
    <s v="Medium"/>
    <x v="0"/>
    <x v="2"/>
  </r>
  <r>
    <s v="ORD-2023-197661"/>
    <d v="2023-08-08T00:00:00"/>
    <d v="2023-08-22T00:00:00"/>
    <d v="2023-08-08T00:00:00"/>
    <d v="2023-08-22T00:00:00"/>
    <n v="14"/>
    <s v="8-2023"/>
    <s v="Europe"/>
    <x v="7"/>
    <s v="Birmingham"/>
    <s v="Non-Profit"/>
    <x v="4"/>
    <x v="10"/>
    <s v="Monitors"/>
    <s v="MON-7511"/>
    <n v="446.69"/>
    <n v="967.25"/>
    <n v="9.4E-2"/>
    <n v="10"/>
    <n v="8763.2849999999999"/>
    <n v="4466.8999999999996"/>
    <n v="4296.3850000000002"/>
    <n v="0.49027105702941309"/>
    <s v="Q3-2023"/>
    <s v="Europe → United Kingdom → Birmingham"/>
    <s v="Low"/>
    <x v="1"/>
    <x v="11"/>
  </r>
  <r>
    <s v="ORD-2024-212990"/>
    <d v="2024-08-12T00:00:00"/>
    <d v="2024-09-03T00:00:00"/>
    <d v="2024-08-12T00:00:00"/>
    <d v="2024-09-03T00:00:00"/>
    <n v="22"/>
    <s v="8-2024"/>
    <s v="Americas"/>
    <x v="9"/>
    <s v="Austin"/>
    <s v="Consumer"/>
    <x v="3"/>
    <x v="2"/>
    <s v="Laptops"/>
    <s v="LAP-7979"/>
    <n v="797.8"/>
    <n v="886.22"/>
    <n v="0.23599999999999999"/>
    <n v="36"/>
    <n v="24374.594880000001"/>
    <n v="28720.799999999999"/>
    <n v="-4346.2051199999987"/>
    <n v="-0.17830881462428633"/>
    <s v="Q3-2024"/>
    <s v="Americas → USA → Austin"/>
    <s v="Low"/>
    <x v="0"/>
    <x v="11"/>
  </r>
  <r>
    <s v="ORD-2023-925146"/>
    <d v="2023-10-15T00:00:00"/>
    <d v="2023-11-13T00:00:00"/>
    <d v="2023-10-15T00:00:00"/>
    <d v="2023-11-13T00:00:00"/>
    <n v="29"/>
    <s v="10-2023"/>
    <s v="Asia"/>
    <x v="8"/>
    <s v="Shenzhen"/>
    <s v="Non-Profit"/>
    <x v="3"/>
    <x v="1"/>
    <s v="Printers"/>
    <s v="PRN-4983"/>
    <n v="986.44"/>
    <n v="790.61"/>
    <n v="7.1999999999999995E-2"/>
    <n v="6"/>
    <n v="4402.1164799999997"/>
    <n v="5918.64"/>
    <n v="-1516.5235200000006"/>
    <n v="-0.34449872621271499"/>
    <s v="Q4-2023"/>
    <s v="Asia → China → Shenzhen"/>
    <s v="Low"/>
    <x v="1"/>
    <x v="1"/>
  </r>
  <r>
    <s v="ORD-2023-177794"/>
    <d v="2023-05-04T00:00:00"/>
    <d v="2023-05-26T00:00:00"/>
    <d v="2023-05-04T00:00:00"/>
    <d v="2023-05-26T00:00:00"/>
    <n v="22"/>
    <s v="5-2023"/>
    <s v="Americas"/>
    <x v="9"/>
    <s v="San Francisco"/>
    <s v="Enterprise"/>
    <x v="1"/>
    <x v="1"/>
    <s v="Networking"/>
    <s v="NET-5941"/>
    <n v="249.71"/>
    <n v="361.33"/>
    <n v="9.4E-2"/>
    <n v="12"/>
    <n v="3928.3797600000003"/>
    <n v="2996.52"/>
    <n v="931.85976000000028"/>
    <n v="0.23721223937881206"/>
    <s v="Q2-2023"/>
    <s v="Americas → USA → San Francisco"/>
    <s v="Low"/>
    <x v="1"/>
    <x v="5"/>
  </r>
  <r>
    <s v="ORD-2023-195665"/>
    <d v="2023-12-19T00:00:00"/>
    <d v="2023-12-20T00:00:00"/>
    <d v="2023-12-19T00:00:00"/>
    <d v="2023-12-20T00:00:00"/>
    <n v="1"/>
    <s v="12-2023"/>
    <s v="Americas"/>
    <x v="5"/>
    <s v="Rio de Janeiro"/>
    <s v="Consumer"/>
    <x v="3"/>
    <x v="1"/>
    <s v="Phones"/>
    <s v="PHN-7274"/>
    <n v="1080.43"/>
    <n v="2529.15"/>
    <n v="0.14699999999999999"/>
    <n v="10"/>
    <n v="21573.6495"/>
    <n v="10804.300000000001"/>
    <n v="10769.349499999998"/>
    <n v="0.49918997247081437"/>
    <s v="Q4-2023"/>
    <s v="Americas → Brazil → Rio de Janeiro"/>
    <s v="High"/>
    <x v="1"/>
    <x v="3"/>
  </r>
  <r>
    <s v="ORD-2024-668926"/>
    <d v="2024-10-23T00:00:00"/>
    <d v="2024-11-14T00:00:00"/>
    <d v="2024-10-23T00:00:00"/>
    <d v="2024-11-14T00:00:00"/>
    <n v="22"/>
    <s v="10-2024"/>
    <s v="Asia"/>
    <x v="2"/>
    <s v="Osaka"/>
    <s v="Non-Profit"/>
    <x v="4"/>
    <x v="5"/>
    <s v="Phones"/>
    <s v="PHN-9789"/>
    <n v="1406.4"/>
    <n v="1564.76"/>
    <n v="0.185"/>
    <n v="17"/>
    <n v="21679.749799999998"/>
    <n v="23908.800000000003"/>
    <n v="-2229.0502000000051"/>
    <n v="-0.10281715520536151"/>
    <s v="Q4-2024"/>
    <s v="Asia → Japan → Osaka"/>
    <s v="Medium"/>
    <x v="0"/>
    <x v="1"/>
  </r>
  <r>
    <s v="ORD-2024-968374"/>
    <d v="2024-02-11T00:00:00"/>
    <d v="2024-03-03T00:00:00"/>
    <d v="2024-02-11T00:00:00"/>
    <d v="2024-03-03T00:00:00"/>
    <n v="21"/>
    <s v="2-2024"/>
    <s v="Africa"/>
    <x v="0"/>
    <s v="Kisumu"/>
    <s v="Enterprise"/>
    <x v="1"/>
    <x v="5"/>
    <s v="Phones"/>
    <s v="PHN-5082"/>
    <n v="516.86"/>
    <n v="852.54"/>
    <n v="5.0999999999999997E-2"/>
    <n v="14"/>
    <n v="11326.846439999999"/>
    <n v="7236.04"/>
    <n v="4090.8064399999994"/>
    <n v="0.36116022775355994"/>
    <s v="Q1-2024"/>
    <s v="Africa → Kenya → Kisumu"/>
    <s v="Low"/>
    <x v="0"/>
    <x v="2"/>
  </r>
  <r>
    <s v="ORD-2023-575584"/>
    <d v="2023-01-30T00:00:00"/>
    <d v="2023-02-21T00:00:00"/>
    <d v="2023-01-30T00:00:00"/>
    <d v="2023-02-21T00:00:00"/>
    <n v="22"/>
    <s v="1-2023"/>
    <s v="Europe"/>
    <x v="11"/>
    <s v="Munich"/>
    <s v="Small Business"/>
    <x v="2"/>
    <x v="3"/>
    <s v="Networking"/>
    <s v="NET-3460"/>
    <n v="1142.8800000000001"/>
    <n v="1465.29"/>
    <n v="0.186"/>
    <n v="7"/>
    <n v="8349.2224200000001"/>
    <n v="8000.1600000000008"/>
    <n v="349.06241999999929"/>
    <n v="4.1807775915017401E-2"/>
    <s v="Q1-2023"/>
    <s v="Europe → Germany → Munich"/>
    <s v="Medium"/>
    <x v="1"/>
    <x v="4"/>
  </r>
  <r>
    <s v="ORD-2023-701153"/>
    <d v="2023-04-14T00:00:00"/>
    <d v="2023-05-13T00:00:00"/>
    <d v="2023-04-14T00:00:00"/>
    <d v="2023-05-13T00:00:00"/>
    <n v="29"/>
    <s v="4-2023"/>
    <s v="Europe"/>
    <x v="11"/>
    <s v="Frankfurt"/>
    <s v="Consumer"/>
    <x v="4"/>
    <x v="1"/>
    <s v="Printers"/>
    <s v="PRN-7019"/>
    <n v="1320.33"/>
    <n v="2645.23"/>
    <n v="0.155"/>
    <n v="25"/>
    <n v="55880.483749999999"/>
    <n v="33008.25"/>
    <n v="22872.233749999999"/>
    <n v="0.40930629470436536"/>
    <s v="Q2-2023"/>
    <s v="Europe → Germany → Frankfurt"/>
    <s v="High"/>
    <x v="1"/>
    <x v="7"/>
  </r>
  <r>
    <s v="ORD-2023-382017"/>
    <d v="2023-01-13T00:00:00"/>
    <d v="2023-01-19T00:00:00"/>
    <d v="2023-01-13T00:00:00"/>
    <d v="2023-01-19T00:00:00"/>
    <n v="6"/>
    <s v="1-2023"/>
    <s v="Americas"/>
    <x v="9"/>
    <s v="Chicago"/>
    <s v="Corporate"/>
    <x v="4"/>
    <x v="11"/>
    <s v="Phones"/>
    <s v="PHN-3159"/>
    <n v="833.57"/>
    <n v="881.57"/>
    <n v="5.7000000000000002E-2"/>
    <n v="18"/>
    <n v="14963.769179999999"/>
    <n v="15004.26"/>
    <n v="-40.490820000000895"/>
    <n v="-2.7059238560107821E-3"/>
    <s v="Q1-2023"/>
    <s v="Americas → USA → Chicago"/>
    <s v="Low"/>
    <x v="1"/>
    <x v="4"/>
  </r>
  <r>
    <s v="ORD-2024-999607"/>
    <d v="2024-01-12T00:00:00"/>
    <d v="2024-01-29T00:00:00"/>
    <d v="2024-01-12T00:00:00"/>
    <d v="2024-01-29T00:00:00"/>
    <n v="17"/>
    <s v="1-2024"/>
    <s v="Americas"/>
    <x v="9"/>
    <s v="Chicago"/>
    <s v="Education"/>
    <x v="3"/>
    <x v="14"/>
    <s v="Printers"/>
    <s v="PRN-8604"/>
    <n v="493.76"/>
    <n v="625.04"/>
    <n v="0.25800000000000001"/>
    <n v="10"/>
    <n v="4637.7968000000001"/>
    <n v="4937.6000000000004"/>
    <n v="-299.80320000000029"/>
    <n v="-6.464345311549663E-2"/>
    <s v="Q1-2024"/>
    <s v="Americas → USA → Chicago"/>
    <s v="Low"/>
    <x v="0"/>
    <x v="4"/>
  </r>
  <r>
    <s v="ORD-2023-133848"/>
    <d v="2023-08-15T00:00:00"/>
    <d v="2023-09-07T00:00:00"/>
    <d v="2023-08-15T00:00:00"/>
    <d v="2023-09-07T00:00:00"/>
    <n v="23"/>
    <s v="8-2023"/>
    <s v="Americas"/>
    <x v="9"/>
    <s v="New York"/>
    <s v="Enterprise"/>
    <x v="1"/>
    <x v="12"/>
    <s v="Phones"/>
    <s v="PHN-2013"/>
    <n v="590.33000000000004"/>
    <n v="973.04"/>
    <n v="0"/>
    <n v="26"/>
    <n v="25299.040000000001"/>
    <n v="15348.580000000002"/>
    <n v="9950.4599999999991"/>
    <n v="0.39331373838691108"/>
    <s v="Q3-2023"/>
    <s v="Americas → USA → New York"/>
    <s v="Low"/>
    <x v="1"/>
    <x v="11"/>
  </r>
  <r>
    <s v="ORD-2023-586275"/>
    <d v="2023-01-20T00:00:00"/>
    <d v="2023-02-03T00:00:00"/>
    <d v="2023-01-20T00:00:00"/>
    <d v="2023-02-03T00:00:00"/>
    <n v="14"/>
    <s v="1-2023"/>
    <s v="Africa"/>
    <x v="0"/>
    <s v="Kisumu"/>
    <s v="Corporate"/>
    <x v="0"/>
    <x v="13"/>
    <s v="Networking"/>
    <s v="NET-6036"/>
    <n v="884.36"/>
    <n v="1545.34"/>
    <n v="0.24299999999999999"/>
    <n v="41"/>
    <n v="47962.717579999997"/>
    <n v="36258.76"/>
    <n v="11703.957579999995"/>
    <n v="0.24402198562827965"/>
    <s v="Q1-2023"/>
    <s v="Africa → Kenya → Kisumu"/>
    <s v="Medium"/>
    <x v="1"/>
    <x v="4"/>
  </r>
  <r>
    <s v="ORD-2025-964661"/>
    <d v="2025-02-04T00:00:00"/>
    <d v="2025-02-25T00:00:00"/>
    <d v="2025-02-04T00:00:00"/>
    <d v="2025-02-25T00:00:00"/>
    <n v="21"/>
    <s v="2-2025"/>
    <s v="Europe"/>
    <x v="7"/>
    <s v="Birmingham"/>
    <s v="Corporate"/>
    <x v="2"/>
    <x v="8"/>
    <s v="Monitors"/>
    <s v="MON-4959"/>
    <n v="1016.32"/>
    <n v="2253.42"/>
    <n v="5.5E-2"/>
    <n v="12"/>
    <n v="25553.782800000001"/>
    <n v="12195.84"/>
    <n v="13357.942800000001"/>
    <n v="0.52273837124419797"/>
    <s v="Q1-2025"/>
    <s v="Europe → United Kingdom → Birmingham"/>
    <s v="High"/>
    <x v="2"/>
    <x v="2"/>
  </r>
  <r>
    <s v="ORD-2023-390998"/>
    <d v="2023-04-19T00:00:00"/>
    <d v="2023-04-28T00:00:00"/>
    <d v="2023-04-19T00:00:00"/>
    <d v="2023-04-28T00:00:00"/>
    <n v="9"/>
    <s v="4-2023"/>
    <s v="Europe"/>
    <x v="11"/>
    <s v="Berlin"/>
    <s v="Education"/>
    <x v="1"/>
    <x v="6"/>
    <s v="Monitors"/>
    <s v="MON-1663"/>
    <n v="1178.42"/>
    <n v="2446.56"/>
    <n v="2.9000000000000001E-2"/>
    <n v="11"/>
    <n v="26131.70736"/>
    <n v="12962.62"/>
    <n v="13169.08736"/>
    <n v="0.5039505141618883"/>
    <s v="Q2-2023"/>
    <s v="Europe → Germany → Berlin"/>
    <s v="High"/>
    <x v="1"/>
    <x v="7"/>
  </r>
  <r>
    <s v="ORD-2023-920483"/>
    <d v="2023-07-02T00:00:00"/>
    <d v="2023-08-01T00:00:00"/>
    <d v="2023-07-02T00:00:00"/>
    <d v="2023-08-01T00:00:00"/>
    <n v="30"/>
    <s v="7-2023"/>
    <s v="Europe"/>
    <x v="7"/>
    <s v="Birmingham"/>
    <s v="Small Business"/>
    <x v="0"/>
    <x v="5"/>
    <s v="Components"/>
    <s v="CMP-7256"/>
    <n v="137.46"/>
    <n v="188.3"/>
    <n v="3.7999999999999999E-2"/>
    <n v="37"/>
    <n v="6702.3501999999999"/>
    <n v="5086.0200000000004"/>
    <n v="1616.3301999999994"/>
    <n v="0.24115872071262398"/>
    <s v="Q3-2023"/>
    <s v="Europe → United Kingdom → Birmingham"/>
    <s v="Low"/>
    <x v="1"/>
    <x v="6"/>
  </r>
  <r>
    <s v="ORD-2023-521280"/>
    <d v="2023-05-27T00:00:00"/>
    <d v="2023-06-19T00:00:00"/>
    <d v="2023-05-27T00:00:00"/>
    <d v="2023-06-19T00:00:00"/>
    <n v="23"/>
    <s v="5-2023"/>
    <s v="Europe"/>
    <x v="11"/>
    <s v="Berlin"/>
    <s v="Education"/>
    <x v="0"/>
    <x v="7"/>
    <s v="Accessories"/>
    <s v="ACC-1882"/>
    <n v="1471.58"/>
    <n v="2576.65"/>
    <n v="4.0000000000000001E-3"/>
    <n v="7"/>
    <n v="17964.4038"/>
    <n v="10301.06"/>
    <n v="7663.3438000000006"/>
    <n v="0.4265849223451546"/>
    <s v="Q2-2023"/>
    <s v="Europe → Germany → Berlin"/>
    <s v="High"/>
    <x v="1"/>
    <x v="5"/>
  </r>
  <r>
    <s v="ORD-2024-687100"/>
    <d v="2024-09-10T00:00:00"/>
    <d v="2024-10-07T00:00:00"/>
    <d v="2024-09-10T00:00:00"/>
    <d v="2024-10-07T00:00:00"/>
    <n v="27"/>
    <s v="9-2024"/>
    <s v="Africa"/>
    <x v="0"/>
    <s v="Kisumu"/>
    <s v="Consumer"/>
    <x v="0"/>
    <x v="4"/>
    <s v="Printers"/>
    <s v="PRN-6068"/>
    <n v="1248.3900000000001"/>
    <n v="1805.11"/>
    <n v="0.20300000000000001"/>
    <n v="11"/>
    <n v="15825.399369999997"/>
    <n v="13732.29"/>
    <n v="2093.1093699999965"/>
    <n v="0.13226265707820786"/>
    <s v="Q3-2024"/>
    <s v="Africa → Kenya → Kisumu"/>
    <s v="Medium"/>
    <x v="0"/>
    <x v="8"/>
  </r>
  <r>
    <s v="ORD-2025-629393"/>
    <d v="2025-07-21T00:00:00"/>
    <d v="2025-08-07T00:00:00"/>
    <d v="2025-07-21T00:00:00"/>
    <d v="2025-08-07T00:00:00"/>
    <n v="17"/>
    <s v="7-2025"/>
    <s v="Africa"/>
    <x v="1"/>
    <s v="Lagos"/>
    <s v="Enterprise"/>
    <x v="4"/>
    <x v="13"/>
    <s v="Accessories"/>
    <s v="ACC-8999"/>
    <n v="1204.95"/>
    <n v="2065.73"/>
    <n v="0.13600000000000001"/>
    <n v="10"/>
    <n v="17847.907199999998"/>
    <n v="12049.5"/>
    <n v="5798.4071999999978"/>
    <n v="0.32487882949100039"/>
    <s v="Q3-2025"/>
    <s v="Africa → Nigeria → Lagos"/>
    <s v="High"/>
    <x v="2"/>
    <x v="6"/>
  </r>
  <r>
    <s v="ORD-2024-686712"/>
    <d v="2024-10-02T00:00:00"/>
    <d v="2024-10-23T00:00:00"/>
    <d v="2024-10-02T00:00:00"/>
    <d v="2024-10-23T00:00:00"/>
    <n v="21"/>
    <s v="10-2024"/>
    <s v="Africa"/>
    <x v="10"/>
    <s v="Durban"/>
    <s v="Corporate"/>
    <x v="2"/>
    <x v="14"/>
    <s v="Components"/>
    <s v="CMP-3978"/>
    <n v="1095.6099999999999"/>
    <n v="2366.5100000000002"/>
    <n v="0.152"/>
    <n v="9"/>
    <n v="18061.204320000004"/>
    <n v="9860.49"/>
    <n v="8200.7143200000046"/>
    <n v="0.4540513564158607"/>
    <s v="Q4-2024"/>
    <s v="Africa → South Africa → Durban"/>
    <s v="High"/>
    <x v="0"/>
    <x v="1"/>
  </r>
  <r>
    <s v="ORD-2025-586799"/>
    <d v="2025-07-14T00:00:00"/>
    <d v="2025-08-04T00:00:00"/>
    <d v="2025-07-14T00:00:00"/>
    <d v="2025-08-04T00:00:00"/>
    <n v="21"/>
    <s v="7-2025"/>
    <s v="Americas"/>
    <x v="3"/>
    <s v="Montreal"/>
    <s v="Consumer"/>
    <x v="1"/>
    <x v="11"/>
    <s v="Monitors"/>
    <s v="MON-7868"/>
    <n v="90.3"/>
    <n v="131.76"/>
    <n v="0.10199999999999999"/>
    <n v="15"/>
    <n v="1774.8072"/>
    <n v="1354.5"/>
    <n v="420.30719999999997"/>
    <n v="0.23681851189244668"/>
    <s v="Q3-2025"/>
    <s v="Americas → Canada → Montreal"/>
    <s v="Low"/>
    <x v="2"/>
    <x v="6"/>
  </r>
  <r>
    <s v="ORD-2024-988736"/>
    <d v="2024-09-09T00:00:00"/>
    <d v="2024-10-01T00:00:00"/>
    <d v="2024-09-09T00:00:00"/>
    <d v="2024-10-01T00:00:00"/>
    <n v="22"/>
    <s v="9-2024"/>
    <s v="Asia"/>
    <x v="8"/>
    <s v="Shenzhen"/>
    <s v="Consumer"/>
    <x v="4"/>
    <x v="4"/>
    <s v="Printers"/>
    <s v="PRN-3014"/>
    <n v="1166.18"/>
    <n v="1335.02"/>
    <n v="0.128"/>
    <n v="6"/>
    <n v="6984.8246399999998"/>
    <n v="6997.08"/>
    <n v="-12.25536000000011"/>
    <n v="-1.7545694604582242E-3"/>
    <s v="Q3-2024"/>
    <s v="Asia → China → Shenzhen"/>
    <s v="Medium"/>
    <x v="0"/>
    <x v="8"/>
  </r>
  <r>
    <s v="ORD-2025-564184"/>
    <d v="2025-01-29T00:00:00"/>
    <d v="2025-02-06T00:00:00"/>
    <d v="2025-01-29T00:00:00"/>
    <d v="2025-02-06T00:00:00"/>
    <n v="8"/>
    <s v="1-2025"/>
    <s v="Africa"/>
    <x v="0"/>
    <s v="Kisumu"/>
    <s v="Education"/>
    <x v="0"/>
    <x v="5"/>
    <s v="Phones"/>
    <s v="PHN-1671"/>
    <n v="1445.27"/>
    <n v="2691.45"/>
    <n v="0"/>
    <n v="9"/>
    <n v="24223.05"/>
    <n v="13007.43"/>
    <n v="11215.619999999999"/>
    <n v="0.46301436028906351"/>
    <s v="Q1-2025"/>
    <s v="Africa → Kenya → Kisumu"/>
    <s v="High"/>
    <x v="2"/>
    <x v="4"/>
  </r>
  <r>
    <s v="ORD-2023-967239"/>
    <d v="2023-12-24T00:00:00"/>
    <d v="2024-01-01T00:00:00"/>
    <d v="2023-12-24T00:00:00"/>
    <d v="2024-01-01T00:00:00"/>
    <n v="8"/>
    <s v="12-2023"/>
    <s v="Americas"/>
    <x v="5"/>
    <s v="São Paulo"/>
    <s v="Education"/>
    <x v="4"/>
    <x v="0"/>
    <s v="Phones"/>
    <s v="PHN-3014"/>
    <n v="526.49"/>
    <n v="496.2"/>
    <n v="0"/>
    <n v="14"/>
    <n v="6946.8"/>
    <n v="7370.8600000000006"/>
    <n v="-424.0600000000004"/>
    <n v="-6.1043933897621985E-2"/>
    <s v="Q4-2023"/>
    <s v="Americas → Brazil → São Paulo"/>
    <s v="Low"/>
    <x v="1"/>
    <x v="3"/>
  </r>
  <r>
    <s v="ORD-2024-197852"/>
    <d v="2024-02-29T00:00:00"/>
    <d v="2024-03-30T00:00:00"/>
    <d v="2024-02-29T00:00:00"/>
    <d v="2024-03-30T00:00:00"/>
    <n v="30"/>
    <s v="2-2024"/>
    <s v="Asia"/>
    <x v="2"/>
    <s v="Nagoya"/>
    <s v="Small Business"/>
    <x v="4"/>
    <x v="2"/>
    <s v="Networking"/>
    <s v="NET-7588"/>
    <n v="231.11"/>
    <n v="318.17"/>
    <n v="0.20100000000000001"/>
    <n v="60"/>
    <n v="15253.069799999999"/>
    <n v="13866.6"/>
    <n v="1386.4697999999989"/>
    <n v="9.0897754889969692E-2"/>
    <s v="Q1-2024"/>
    <s v="Asia → Japan → Nagoya"/>
    <s v="Low"/>
    <x v="0"/>
    <x v="2"/>
  </r>
  <r>
    <s v="ORD-2023-431328"/>
    <d v="2023-12-20T00:00:00"/>
    <d v="2024-01-14T00:00:00"/>
    <d v="2023-12-20T00:00:00"/>
    <d v="2024-01-14T00:00:00"/>
    <n v="25"/>
    <s v="12-2023"/>
    <s v="Asia"/>
    <x v="4"/>
    <s v="Mumbai"/>
    <s v="Non-Profit"/>
    <x v="2"/>
    <x v="4"/>
    <s v="Monitors"/>
    <s v="MON-1572"/>
    <n v="1085.6099999999999"/>
    <n v="1246.4100000000001"/>
    <n v="0.113"/>
    <n v="7"/>
    <n v="7738.9596900000006"/>
    <n v="7599.2699999999995"/>
    <n v="139.68969000000106"/>
    <n v="1.8050189637310417E-2"/>
    <s v="Q4-2023"/>
    <s v="Asia → India → Mumbai"/>
    <s v="Medium"/>
    <x v="1"/>
    <x v="3"/>
  </r>
  <r>
    <s v="ORD-2023-613317"/>
    <d v="2023-01-22T00:00:00"/>
    <d v="2023-01-21T00:00:00"/>
    <d v="2023-01-21T00:00:00"/>
    <d v="2023-01-22T00:00:00"/>
    <n v="1"/>
    <s v="1-2023"/>
    <s v="Europe"/>
    <x v="11"/>
    <s v="Munich"/>
    <s v="Corporate"/>
    <x v="4"/>
    <x v="9"/>
    <s v="Monitors"/>
    <s v="MON-2537"/>
    <n v="150.86000000000001"/>
    <n v="346.96"/>
    <n v="0.19600000000000001"/>
    <n v="8"/>
    <n v="2231.6467200000002"/>
    <n v="1206.8800000000001"/>
    <n v="1024.7667200000001"/>
    <n v="0.45919755614365343"/>
    <s v="Q1-2023"/>
    <s v="Europe → Germany → Munich"/>
    <s v="Low"/>
    <x v="1"/>
    <x v="4"/>
  </r>
  <r>
    <s v="ORD-2024-720756"/>
    <d v="2024-10-11T00:00:00"/>
    <d v="2024-11-09T00:00:00"/>
    <d v="2024-10-11T00:00:00"/>
    <d v="2024-11-09T00:00:00"/>
    <n v="29"/>
    <s v="10-2024"/>
    <s v="Asia"/>
    <x v="8"/>
    <s v="Shanghai"/>
    <s v="Non-Profit"/>
    <x v="1"/>
    <x v="9"/>
    <s v="Printers"/>
    <s v="PRN-5666"/>
    <n v="391.64"/>
    <n v="504.76"/>
    <n v="4.0000000000000001E-3"/>
    <n v="13"/>
    <n v="6535.6324800000002"/>
    <n v="5091.32"/>
    <n v="1444.3124800000005"/>
    <n v="0.22099046793402319"/>
    <s v="Q4-2024"/>
    <s v="Asia → China → Shanghai"/>
    <s v="Low"/>
    <x v="0"/>
    <x v="1"/>
  </r>
  <r>
    <s v="ORD-2024-499009"/>
    <d v="2024-01-25T00:00:00"/>
    <d v="2024-01-27T00:00:00"/>
    <d v="2024-01-25T00:00:00"/>
    <d v="2024-01-27T00:00:00"/>
    <n v="2"/>
    <s v="1-2024"/>
    <s v="Americas"/>
    <x v="5"/>
    <s v="São Paulo"/>
    <s v="Non-Profit"/>
    <x v="2"/>
    <x v="10"/>
    <s v="Laptops"/>
    <s v="LAP-7056"/>
    <n v="1410.97"/>
    <n v="1650.75"/>
    <n v="0.13500000000000001"/>
    <n v="6"/>
    <n v="8567.3924999999999"/>
    <n v="8465.82"/>
    <n v="101.57250000000022"/>
    <n v="1.1855707556295596E-2"/>
    <s v="Q1-2024"/>
    <s v="Americas → Brazil → São Paulo"/>
    <s v="Medium"/>
    <x v="0"/>
    <x v="4"/>
  </r>
  <r>
    <s v="ORD-2025-762212"/>
    <d v="2025-08-25T00:00:00"/>
    <d v="2025-09-24T00:00:00"/>
    <d v="2025-08-25T00:00:00"/>
    <d v="2025-09-24T00:00:00"/>
    <n v="30"/>
    <s v="8-2025"/>
    <s v="Africa"/>
    <x v="0"/>
    <s v="Nairobi"/>
    <s v="Consumer"/>
    <x v="4"/>
    <x v="5"/>
    <s v="Components"/>
    <s v="CMP-4970"/>
    <n v="589.14"/>
    <n v="1300.58"/>
    <n v="5.5E-2"/>
    <n v="11"/>
    <n v="13519.529099999998"/>
    <n v="6480.54"/>
    <n v="7038.989099999998"/>
    <n v="0.52065342275863724"/>
    <s v="Q3-2025"/>
    <s v="Africa → Kenya → Nairobi"/>
    <s v="Medium"/>
    <x v="2"/>
    <x v="11"/>
  </r>
  <r>
    <s v="ORD-2023-548874"/>
    <d v="2023-03-19T00:00:00"/>
    <d v="2023-04-09T00:00:00"/>
    <d v="2023-03-19T00:00:00"/>
    <d v="2023-04-09T00:00:00"/>
    <n v="21"/>
    <s v="3-2023"/>
    <s v="Europe"/>
    <x v="7"/>
    <s v="Manchester"/>
    <s v="Consumer"/>
    <x v="0"/>
    <x v="4"/>
    <s v="Accessories"/>
    <s v="ACC-9150"/>
    <n v="1082.17"/>
    <n v="1234.0999999999999"/>
    <n v="0.189"/>
    <n v="16"/>
    <n v="16013.681599999998"/>
    <n v="17314.72"/>
    <n v="-1301.0384000000031"/>
    <n v="-8.124542703534228E-2"/>
    <s v="Q1-2023"/>
    <s v="Europe → United Kingdom → Manchester"/>
    <s v="Medium"/>
    <x v="1"/>
    <x v="0"/>
  </r>
  <r>
    <s v="ORD-2023-713375"/>
    <d v="2023-08-26T00:00:00"/>
    <d v="2023-09-10T00:00:00"/>
    <d v="2023-08-26T00:00:00"/>
    <d v="2023-09-10T00:00:00"/>
    <n v="15"/>
    <s v="8-2023"/>
    <s v="Africa"/>
    <x v="10"/>
    <s v="Cape Town"/>
    <s v="Non-Profit"/>
    <x v="4"/>
    <x v="10"/>
    <s v="Components"/>
    <s v="CMP-7063"/>
    <n v="241.14"/>
    <n v="496.52"/>
    <n v="9.2999999999999999E-2"/>
    <n v="10"/>
    <n v="4503.4363999999996"/>
    <n v="2411.3999999999996"/>
    <n v="2092.0364"/>
    <n v="0.46454223268257994"/>
    <s v="Q3-2023"/>
    <s v="Africa → South Africa → Cape Town"/>
    <s v="Low"/>
    <x v="1"/>
    <x v="11"/>
  </r>
  <r>
    <s v="ORD-2025-678688"/>
    <d v="2025-07-16T00:00:00"/>
    <d v="2025-07-17T00:00:00"/>
    <d v="2025-07-16T00:00:00"/>
    <d v="2025-07-17T00:00:00"/>
    <n v="1"/>
    <s v="7-2025"/>
    <s v="Africa"/>
    <x v="10"/>
    <s v="Durban"/>
    <s v="Small Business"/>
    <x v="3"/>
    <x v="5"/>
    <s v="Networking"/>
    <s v="NET-1612"/>
    <n v="1198.9000000000001"/>
    <n v="2941.2"/>
    <n v="5.0999999999999997E-2"/>
    <n v="24"/>
    <n v="66988.771199999988"/>
    <n v="28773.600000000002"/>
    <n v="38215.171199999982"/>
    <n v="0.57047129713583977"/>
    <s v="Q3-2025"/>
    <s v="Africa → South Africa → Durban"/>
    <s v="High"/>
    <x v="2"/>
    <x v="6"/>
  </r>
  <r>
    <s v="ORD-2023-501220"/>
    <d v="2023-04-19T00:00:00"/>
    <d v="2023-05-07T00:00:00"/>
    <d v="2023-04-19T00:00:00"/>
    <d v="2023-05-07T00:00:00"/>
    <n v="18"/>
    <s v="4-2023"/>
    <s v="Europe"/>
    <x v="7"/>
    <s v="Birmingham"/>
    <s v="Enterprise"/>
    <x v="0"/>
    <x v="10"/>
    <s v="Laptops"/>
    <s v="LAP-9766"/>
    <n v="1089.1500000000001"/>
    <n v="1088.2"/>
    <n v="5.0999999999999997E-2"/>
    <n v="15"/>
    <n v="15490.527"/>
    <n v="16337.250000000002"/>
    <n v="-846.72300000000178"/>
    <n v="-5.4660696824582002E-2"/>
    <s v="Q2-2023"/>
    <s v="Europe → United Kingdom → Birmingham"/>
    <s v="Low"/>
    <x v="1"/>
    <x v="7"/>
  </r>
  <r>
    <s v="ORD-2024-206121"/>
    <d v="2024-02-18T00:00:00"/>
    <d v="2024-03-11T00:00:00"/>
    <d v="2024-02-18T00:00:00"/>
    <d v="2024-03-11T00:00:00"/>
    <n v="22"/>
    <s v="2-2024"/>
    <s v="Americas"/>
    <x v="5"/>
    <s v="São Paulo"/>
    <s v="Consumer"/>
    <x v="1"/>
    <x v="14"/>
    <s v="Components"/>
    <s v="CMP-9801"/>
    <n v="80.48"/>
    <n v="65.650000000000006"/>
    <n v="0.17599999999999999"/>
    <n v="13"/>
    <n v="703.2428000000001"/>
    <n v="1046.24"/>
    <n v="-342.99719999999991"/>
    <n v="-0.48773652570634191"/>
    <s v="Q1-2024"/>
    <s v="Americas → Brazil → São Paulo"/>
    <s v="Low"/>
    <x v="0"/>
    <x v="2"/>
  </r>
  <r>
    <s v="ORD-2023-290237"/>
    <d v="2023-07-30T00:00:00"/>
    <d v="2023-08-07T00:00:00"/>
    <d v="2023-07-30T00:00:00"/>
    <d v="2023-08-07T00:00:00"/>
    <n v="8"/>
    <s v="7-2023"/>
    <s v="Asia"/>
    <x v="2"/>
    <s v="Nagoya"/>
    <s v="Education"/>
    <x v="2"/>
    <x v="14"/>
    <s v="Networking"/>
    <s v="NET-1645"/>
    <n v="1352.44"/>
    <n v="2698.01"/>
    <n v="0.13100000000000001"/>
    <n v="13"/>
    <n v="30479.418970000002"/>
    <n v="17581.72"/>
    <n v="12897.698970000001"/>
    <n v="0.42316091992090887"/>
    <s v="Q3-2023"/>
    <s v="Asia → Japan → Nagoya"/>
    <s v="High"/>
    <x v="1"/>
    <x v="6"/>
  </r>
  <r>
    <s v="ORD-2024-210687"/>
    <d v="2024-01-28T00:00:00"/>
    <d v="2024-02-09T00:00:00"/>
    <d v="2024-01-28T00:00:00"/>
    <d v="2024-02-09T00:00:00"/>
    <n v="12"/>
    <s v="1-2024"/>
    <s v="Europe"/>
    <x v="11"/>
    <s v="Berlin"/>
    <s v="Corporate"/>
    <x v="1"/>
    <x v="3"/>
    <s v="Accessories"/>
    <s v="ACC-7938"/>
    <n v="644.16999999999996"/>
    <n v="700.12"/>
    <n v="6.0000000000000001E-3"/>
    <n v="23"/>
    <n v="16006.14344"/>
    <n v="14815.91"/>
    <n v="1190.23344"/>
    <n v="7.436103796405813E-2"/>
    <s v="Q1-2024"/>
    <s v="Europe → Germany → Berlin"/>
    <s v="Low"/>
    <x v="0"/>
    <x v="4"/>
  </r>
  <r>
    <s v="ORD-2025-289139"/>
    <d v="2025-08-10T00:00:00"/>
    <d v="2025-08-30T00:00:00"/>
    <d v="2025-08-10T00:00:00"/>
    <d v="2025-08-30T00:00:00"/>
    <n v="20"/>
    <s v="8-2025"/>
    <s v="Americas"/>
    <x v="9"/>
    <s v="San Francisco"/>
    <s v="Corporate"/>
    <x v="2"/>
    <x v="12"/>
    <s v="Printers"/>
    <s v="PRN-2098"/>
    <n v="933.29"/>
    <n v="1456.81"/>
    <n v="0.123"/>
    <n v="13"/>
    <n v="16609.090809999998"/>
    <n v="12132.77"/>
    <n v="4476.3208099999974"/>
    <n v="0.26951028573489977"/>
    <s v="Q3-2025"/>
    <s v="Americas → USA → San Francisco"/>
    <s v="Medium"/>
    <x v="2"/>
    <x v="11"/>
  </r>
  <r>
    <s v="ORD-2023-949710"/>
    <d v="2023-03-07T00:00:00"/>
    <d v="2023-04-01T00:00:00"/>
    <d v="2023-03-07T00:00:00"/>
    <d v="2023-04-01T00:00:00"/>
    <n v="25"/>
    <s v="3-2023"/>
    <s v="Africa"/>
    <x v="0"/>
    <s v="Nairobi"/>
    <s v="Consumer"/>
    <x v="2"/>
    <x v="8"/>
    <s v="Printers"/>
    <s v="PRN-7049"/>
    <n v="1024.0999999999999"/>
    <n v="918.19"/>
    <n v="0.189"/>
    <n v="10"/>
    <n v="7446.5209000000004"/>
    <n v="10241"/>
    <n v="-2794.4790999999996"/>
    <n v="-0.37527311579827827"/>
    <s v="Q1-2023"/>
    <s v="Africa → Kenya → Nairobi"/>
    <s v="Low"/>
    <x v="1"/>
    <x v="0"/>
  </r>
  <r>
    <s v="ORD-2023-603650"/>
    <d v="2023-05-23T00:00:00"/>
    <d v="2023-06-10T00:00:00"/>
    <d v="2023-05-23T00:00:00"/>
    <d v="2023-06-10T00:00:00"/>
    <n v="18"/>
    <s v="5-2023"/>
    <s v="Asia"/>
    <x v="8"/>
    <s v="Shanghai"/>
    <s v="Corporate"/>
    <x v="3"/>
    <x v="6"/>
    <s v="Components"/>
    <s v="CMP-6925"/>
    <n v="54.62"/>
    <n v="48.94"/>
    <n v="0.14799999999999999"/>
    <n v="16"/>
    <n v="667.15008"/>
    <n v="873.92"/>
    <n v="-206.76991999999996"/>
    <n v="-0.3099301434543783"/>
    <s v="Q2-2023"/>
    <s v="Asia → China → Shanghai"/>
    <s v="Low"/>
    <x v="1"/>
    <x v="5"/>
  </r>
  <r>
    <s v="ORD-2024-129345"/>
    <d v="2024-02-18T00:00:00"/>
    <d v="2024-03-03T00:00:00"/>
    <d v="2024-02-18T00:00:00"/>
    <d v="2024-03-03T00:00:00"/>
    <n v="14"/>
    <s v="2-2024"/>
    <s v="Americas"/>
    <x v="5"/>
    <s v="Unknown City"/>
    <s v="Enterprise"/>
    <x v="3"/>
    <x v="14"/>
    <s v="Printers"/>
    <s v="PRN-5384"/>
    <n v="624.23"/>
    <n v="1318.37"/>
    <n v="0.21"/>
    <n v="37"/>
    <n v="38535.955099999999"/>
    <n v="23096.510000000002"/>
    <n v="15439.445099999997"/>
    <n v="0.40065038118128793"/>
    <s v="Q1-2024"/>
    <s v="Americas → Brazil → Unknown City"/>
    <s v="Medium"/>
    <x v="0"/>
    <x v="2"/>
  </r>
  <r>
    <s v="ORD-2024-423853"/>
    <d v="2024-09-03T00:00:00"/>
    <d v="2024-09-08T00:00:00"/>
    <d v="2024-09-03T00:00:00"/>
    <d v="2024-09-08T00:00:00"/>
    <n v="5"/>
    <s v="9-2024"/>
    <s v="Africa"/>
    <x v="1"/>
    <s v="Lagos"/>
    <s v="Small Business"/>
    <x v="4"/>
    <x v="12"/>
    <s v="Printers"/>
    <s v="PRN-1141"/>
    <n v="197.63"/>
    <n v="325.79000000000002"/>
    <n v="0.11600000000000001"/>
    <n v="10"/>
    <n v="2879.9836"/>
    <n v="1976.3"/>
    <n v="903.68360000000007"/>
    <n v="0.31378081458519419"/>
    <s v="Q3-2024"/>
    <s v="Africa → Nigeria → Lagos"/>
    <s v="Low"/>
    <x v="0"/>
    <x v="8"/>
  </r>
  <r>
    <s v="ORD-2024-569164"/>
    <d v="2024-09-05T00:00:00"/>
    <d v="2024-09-25T00:00:00"/>
    <d v="2024-09-05T00:00:00"/>
    <d v="2024-09-25T00:00:00"/>
    <n v="20"/>
    <s v="9-2024"/>
    <s v="Asia"/>
    <x v="2"/>
    <s v="Osaka"/>
    <s v="Enterprise"/>
    <x v="3"/>
    <x v="8"/>
    <s v="Monitors"/>
    <s v="MON-5249"/>
    <n v="195.54"/>
    <n v="405.97"/>
    <n v="0.187"/>
    <n v="16"/>
    <n v="5280.8577599999999"/>
    <n v="3128.64"/>
    <n v="2152.21776"/>
    <n v="0.40755079152141377"/>
    <s v="Q3-2024"/>
    <s v="Asia → Japan → Osaka"/>
    <s v="Low"/>
    <x v="0"/>
    <x v="8"/>
  </r>
  <r>
    <s v="ORD-2023-946143"/>
    <d v="2023-03-14T00:00:00"/>
    <d v="2023-03-30T00:00:00"/>
    <d v="2023-03-14T00:00:00"/>
    <d v="2023-03-30T00:00:00"/>
    <n v="16"/>
    <s v="3-2023"/>
    <s v="Africa"/>
    <x v="10"/>
    <s v="Cape Town"/>
    <s v="Consumer"/>
    <x v="3"/>
    <x v="12"/>
    <s v="Components"/>
    <s v="CMP-8230"/>
    <n v="1309.77"/>
    <n v="1589.07"/>
    <n v="0.10199999999999999"/>
    <n v="10"/>
    <n v="14269.848599999999"/>
    <n v="13097.7"/>
    <n v="1172.1485999999986"/>
    <n v="8.2141628328137886E-2"/>
    <s v="Q1-2023"/>
    <s v="Africa → South Africa → Cape Town"/>
    <s v="Medium"/>
    <x v="1"/>
    <x v="0"/>
  </r>
  <r>
    <s v="ORD-2024-281211"/>
    <d v="2024-01-11T00:00:00"/>
    <d v="2024-02-02T00:00:00"/>
    <d v="2024-01-11T00:00:00"/>
    <d v="2024-02-02T00:00:00"/>
    <n v="22"/>
    <s v="1-2024"/>
    <s v="Asia"/>
    <x v="2"/>
    <s v="Nagoya"/>
    <s v="Small Business"/>
    <x v="1"/>
    <x v="15"/>
    <s v="Printers"/>
    <s v="PRN-7816"/>
    <n v="1237.68"/>
    <n v="1432.8"/>
    <n v="6.8000000000000005E-2"/>
    <n v="13"/>
    <n v="17359.804799999998"/>
    <n v="16089.84"/>
    <n v="1269.9647999999979"/>
    <n v="7.315547695559331E-2"/>
    <s v="Q1-2024"/>
    <s v="Asia → Japan → Nagoya"/>
    <s v="Medium"/>
    <x v="0"/>
    <x v="4"/>
  </r>
  <r>
    <s v="ORD-2024-805860"/>
    <d v="2024-09-13T00:00:00"/>
    <d v="2024-10-02T00:00:00"/>
    <d v="2024-09-13T00:00:00"/>
    <d v="2024-10-02T00:00:00"/>
    <n v="19"/>
    <s v="9-2024"/>
    <s v="Africa"/>
    <x v="0"/>
    <s v="Mombasa"/>
    <s v="Small Business"/>
    <x v="0"/>
    <x v="13"/>
    <s v="Phones"/>
    <s v="PHN-8804"/>
    <n v="1338.99"/>
    <n v="1765.76"/>
    <n v="0.126"/>
    <n v="24"/>
    <n v="37038.581760000001"/>
    <n v="32135.760000000002"/>
    <n v="4902.8217599999989"/>
    <n v="0.1323706666677725"/>
    <s v="Q3-2024"/>
    <s v="Africa → Kenya → Mombasa"/>
    <s v="Medium"/>
    <x v="0"/>
    <x v="8"/>
  </r>
  <r>
    <s v="ORD-2025-132174"/>
    <d v="2025-07-17T00:00:00"/>
    <d v="2025-07-23T00:00:00"/>
    <d v="2025-07-17T00:00:00"/>
    <d v="2025-07-23T00:00:00"/>
    <n v="6"/>
    <s v="7-2025"/>
    <s v="Americas"/>
    <x v="3"/>
    <s v="Vancouver"/>
    <s v="Consumer"/>
    <x v="1"/>
    <x v="11"/>
    <s v="Components"/>
    <s v="CMP-8851"/>
    <n v="1364.89"/>
    <n v="2757.54"/>
    <n v="0.17199999999999999"/>
    <n v="61"/>
    <n v="139277.83032000001"/>
    <n v="83258.290000000008"/>
    <n v="56019.54032"/>
    <n v="0.4022143379983118"/>
    <s v="Q3-2025"/>
    <s v="Americas → Canada → Vancouver"/>
    <s v="High"/>
    <x v="2"/>
    <x v="6"/>
  </r>
  <r>
    <s v="ORD-2023-964434"/>
    <d v="2023-11-28T00:00:00"/>
    <d v="2023-12-07T00:00:00"/>
    <d v="2023-11-28T00:00:00"/>
    <d v="2023-12-07T00:00:00"/>
    <n v="9"/>
    <s v="11-2023"/>
    <s v="Asia"/>
    <x v="4"/>
    <s v="Delhi"/>
    <s v="Enterprise"/>
    <x v="2"/>
    <x v="4"/>
    <s v="Phones"/>
    <s v="PHN-2447"/>
    <n v="699.33"/>
    <n v="873.75"/>
    <n v="0.23499999999999999"/>
    <n v="10"/>
    <n v="6684.1875"/>
    <n v="6993.3"/>
    <n v="-309.11250000000018"/>
    <n v="-4.6245336475076469E-2"/>
    <s v="Q4-2023"/>
    <s v="Asia → India → Delhi"/>
    <s v="Low"/>
    <x v="1"/>
    <x v="10"/>
  </r>
  <r>
    <s v="ORD-2024-897622"/>
    <d v="2024-03-30T00:00:00"/>
    <d v="2024-04-24T00:00:00"/>
    <d v="2024-03-30T00:00:00"/>
    <d v="2024-04-24T00:00:00"/>
    <n v="25"/>
    <s v="3-2024"/>
    <s v="Americas"/>
    <x v="9"/>
    <s v="Austin"/>
    <s v="Non-Profit"/>
    <x v="1"/>
    <x v="3"/>
    <s v="Laptops"/>
    <s v="LAP-2846"/>
    <n v="160.82"/>
    <n v="258.52"/>
    <n v="0.13"/>
    <n v="17"/>
    <n v="3823.5108"/>
    <n v="2733.94"/>
    <n v="1089.5708"/>
    <n v="0.28496605789631874"/>
    <s v="Q1-2024"/>
    <s v="Americas → USA → Austin"/>
    <s v="Low"/>
    <x v="0"/>
    <x v="0"/>
  </r>
  <r>
    <s v="ORD-2023-517216"/>
    <d v="2023-09-19T00:00:00"/>
    <d v="2023-10-08T00:00:00"/>
    <d v="2023-09-19T00:00:00"/>
    <d v="2023-10-08T00:00:00"/>
    <n v="19"/>
    <s v="9-2023"/>
    <s v="Asia"/>
    <x v="4"/>
    <s v="Bengaluru"/>
    <s v="Education"/>
    <x v="4"/>
    <x v="1"/>
    <s v="Printers"/>
    <s v="PRN-5005"/>
    <n v="385.32"/>
    <n v="606.76"/>
    <n v="8.5999999999999993E-2"/>
    <n v="8"/>
    <n v="4436.6291200000005"/>
    <n v="3082.56"/>
    <n v="1354.0691200000006"/>
    <n v="0.30520223425842735"/>
    <s v="Q3-2023"/>
    <s v="Asia → India → Bengaluru"/>
    <s v="Low"/>
    <x v="1"/>
    <x v="8"/>
  </r>
  <r>
    <s v="ORD-2025-509940"/>
    <d v="2025-05-16T00:00:00"/>
    <d v="2025-05-27T00:00:00"/>
    <d v="2025-05-16T00:00:00"/>
    <d v="2025-05-27T00:00:00"/>
    <n v="11"/>
    <s v="5-2025"/>
    <s v="Asia"/>
    <x v="8"/>
    <s v="Beijing"/>
    <s v="Enterprise"/>
    <x v="1"/>
    <x v="9"/>
    <s v="Phones"/>
    <s v="PHN-3800"/>
    <n v="918.12"/>
    <n v="1337.69"/>
    <n v="9.5000000000000001E-2"/>
    <n v="8"/>
    <n v="9684.8756000000012"/>
    <n v="7344.96"/>
    <n v="2339.9156000000012"/>
    <n v="0.24160512707050164"/>
    <s v="Q2-2025"/>
    <s v="Asia → China → Beijing"/>
    <s v="Medium"/>
    <x v="2"/>
    <x v="5"/>
  </r>
  <r>
    <s v="ORD-2025-646342"/>
    <d v="2025-08-02T00:00:00"/>
    <d v="2025-08-08T00:00:00"/>
    <d v="2025-08-02T00:00:00"/>
    <d v="2025-08-08T00:00:00"/>
    <n v="6"/>
    <s v="8-2025"/>
    <s v="Asia"/>
    <x v="2"/>
    <s v="Osaka"/>
    <s v="Consumer"/>
    <x v="4"/>
    <x v="10"/>
    <s v="Laptops"/>
    <s v="LAP-4828"/>
    <n v="1225.94"/>
    <n v="1793.08"/>
    <n v="0.13600000000000001"/>
    <n v="22"/>
    <n v="34082.864639999993"/>
    <n v="26970.68"/>
    <n v="7112.1846399999922"/>
    <n v="0.20867332353434462"/>
    <s v="Q3-2025"/>
    <s v="Asia → Japan → Osaka"/>
    <s v="Medium"/>
    <x v="2"/>
    <x v="11"/>
  </r>
  <r>
    <s v="ORD-2024-866535"/>
    <d v="2024-12-04T00:00:00"/>
    <d v="2024-12-12T00:00:00"/>
    <d v="2024-12-04T00:00:00"/>
    <d v="2024-12-12T00:00:00"/>
    <n v="8"/>
    <s v="12-2024"/>
    <s v="Europe"/>
    <x v="11"/>
    <s v="Frankfurt"/>
    <s v="Enterprise"/>
    <x v="2"/>
    <x v="5"/>
    <s v="Printers"/>
    <s v="PRN-5492"/>
    <n v="72.06"/>
    <n v="122.74"/>
    <n v="0.23799999999999999"/>
    <n v="8"/>
    <n v="748.22303999999997"/>
    <n v="576.48"/>
    <n v="171.74303999999995"/>
    <n v="0.22953455162246802"/>
    <s v="Q4-2024"/>
    <s v="Europe → Germany → Frankfurt"/>
    <s v="Low"/>
    <x v="0"/>
    <x v="3"/>
  </r>
  <r>
    <s v="ORD-2024-516704"/>
    <d v="2024-03-01T00:00:00"/>
    <d v="2024-02-29T00:00:00"/>
    <d v="2024-02-29T00:00:00"/>
    <d v="2024-03-01T00:00:00"/>
    <n v="1"/>
    <s v="2-2024"/>
    <s v="Americas"/>
    <x v="5"/>
    <s v="São Paulo"/>
    <s v="Non-Profit"/>
    <x v="4"/>
    <x v="2"/>
    <s v="Phones"/>
    <s v="PHN-7852"/>
    <n v="5.34"/>
    <n v="12.69"/>
    <n v="0.13200000000000001"/>
    <n v="10"/>
    <n v="110.14919999999999"/>
    <n v="53.4"/>
    <n v="56.749199999999995"/>
    <n v="0.51520301554618642"/>
    <s v="Q1-2024"/>
    <s v="Americas → Brazil → São Paulo"/>
    <s v="Low"/>
    <x v="0"/>
    <x v="2"/>
  </r>
  <r>
    <s v="ORD-2024-853298"/>
    <d v="2024-03-06T00:00:00"/>
    <d v="2024-03-26T00:00:00"/>
    <d v="2024-03-06T00:00:00"/>
    <d v="2024-03-26T00:00:00"/>
    <n v="20"/>
    <s v="3-2024"/>
    <s v="Africa"/>
    <x v="1"/>
    <s v="Port Harcourt"/>
    <s v="Consumer"/>
    <x v="2"/>
    <x v="2"/>
    <s v="Phones"/>
    <s v="PHN-4741"/>
    <n v="65.64"/>
    <n v="151.88"/>
    <n v="0.16700000000000001"/>
    <n v="23"/>
    <n v="2909.8689199999999"/>
    <n v="1509.72"/>
    <n v="1400.1489199999999"/>
    <n v="0.48117250587356353"/>
    <s v="Q1-2024"/>
    <s v="Africa → Nigeria → Port Harcourt"/>
    <s v="Low"/>
    <x v="0"/>
    <x v="0"/>
  </r>
  <r>
    <s v="ORD-2024-544865"/>
    <d v="2024-02-16T00:00:00"/>
    <d v="2024-03-04T00:00:00"/>
    <d v="2024-02-16T00:00:00"/>
    <d v="2024-03-04T00:00:00"/>
    <n v="17"/>
    <s v="2-2024"/>
    <s v="Americas"/>
    <x v="3"/>
    <s v="Montreal"/>
    <s v="Non-Profit"/>
    <x v="0"/>
    <x v="8"/>
    <s v="Laptops"/>
    <s v="LAP-2774"/>
    <n v="1350.98"/>
    <n v="2210.4"/>
    <n v="0.26300000000000001"/>
    <n v="6"/>
    <n v="9774.3888000000006"/>
    <n v="8105.88"/>
    <n v="1668.5088000000005"/>
    <n v="0.17070211080615091"/>
    <s v="Q1-2024"/>
    <s v="Americas → Canada → Montreal"/>
    <s v="High"/>
    <x v="0"/>
    <x v="2"/>
  </r>
  <r>
    <s v="ORD-2025-946490"/>
    <d v="2025-04-22T00:00:00"/>
    <d v="2025-05-02T00:00:00"/>
    <d v="2025-04-22T00:00:00"/>
    <d v="2025-05-02T00:00:00"/>
    <n v="10"/>
    <s v="4-2025"/>
    <s v="Europe"/>
    <x v="11"/>
    <s v="Berlin"/>
    <s v="Corporate"/>
    <x v="2"/>
    <x v="0"/>
    <s v="Monitors"/>
    <s v="MON-2842"/>
    <n v="20.149999999999999"/>
    <n v="39.74"/>
    <n v="0.151"/>
    <n v="18"/>
    <n v="607.30668000000003"/>
    <n v="362.7"/>
    <n v="244.60668000000004"/>
    <n v="0.4027729120318585"/>
    <s v="Q2-2025"/>
    <s v="Europe → Germany → Berlin"/>
    <s v="Low"/>
    <x v="2"/>
    <x v="7"/>
  </r>
  <r>
    <s v="ORD-2024-320972"/>
    <d v="2024-11-08T00:00:00"/>
    <d v="2024-11-08T00:00:00"/>
    <d v="2024-11-08T00:00:00"/>
    <d v="2024-11-08T00:00:00"/>
    <n v="0"/>
    <s v="11-2024"/>
    <s v="Africa"/>
    <x v="0"/>
    <s v="Nakuru"/>
    <s v="Enterprise"/>
    <x v="2"/>
    <x v="13"/>
    <s v="Networking"/>
    <s v="NET-2628"/>
    <n v="803.28"/>
    <n v="1009"/>
    <n v="0.11"/>
    <n v="4"/>
    <n v="3592.04"/>
    <n v="3213.12"/>
    <n v="378.92000000000007"/>
    <n v="0.10548880302001093"/>
    <s v="Q4-2024"/>
    <s v="Africa → Kenya → Nakuru"/>
    <s v="Low"/>
    <x v="0"/>
    <x v="10"/>
  </r>
  <r>
    <s v="ORD-2025-248586"/>
    <d v="2025-09-12T00:00:00"/>
    <d v="2025-09-30T00:00:00"/>
    <d v="2025-09-12T00:00:00"/>
    <d v="2025-09-30T00:00:00"/>
    <n v="18"/>
    <s v="9-2025"/>
    <s v="Asia"/>
    <x v="2"/>
    <s v="Nagoya"/>
    <s v="Non-Profit"/>
    <x v="2"/>
    <x v="9"/>
    <s v="Monitors"/>
    <s v="MON-2998"/>
    <n v="1212.99"/>
    <n v="1653.64"/>
    <n v="0.107"/>
    <n v="8"/>
    <n v="11813.604160000001"/>
    <n v="9703.92"/>
    <n v="2109.6841600000007"/>
    <n v="0.17858090819931455"/>
    <s v="Q3-2025"/>
    <s v="Asia → Japan → Nagoya"/>
    <s v="Medium"/>
    <x v="2"/>
    <x v="8"/>
  </r>
  <r>
    <s v="ORD-2024-664046"/>
    <d v="2024-09-02T00:00:00"/>
    <d v="2024-09-08T00:00:00"/>
    <d v="2024-09-02T00:00:00"/>
    <d v="2024-09-08T00:00:00"/>
    <n v="6"/>
    <s v="9-2024"/>
    <s v="Americas"/>
    <x v="9"/>
    <s v="Austin"/>
    <s v="Consumer"/>
    <x v="4"/>
    <x v="11"/>
    <s v="Components"/>
    <s v="CMP-7563"/>
    <n v="462.94"/>
    <n v="1015.7"/>
    <n v="0.14299999999999999"/>
    <n v="14"/>
    <n v="12186.368600000002"/>
    <n v="6481.16"/>
    <n v="5705.2086000000018"/>
    <n v="0.46816314090483041"/>
    <s v="Q3-2024"/>
    <s v="Americas → USA → Austin"/>
    <s v="Low"/>
    <x v="0"/>
    <x v="8"/>
  </r>
  <r>
    <s v="ORD-2023-276806"/>
    <d v="2023-03-04T00:00:00"/>
    <d v="2023-03-24T00:00:00"/>
    <d v="2023-03-04T00:00:00"/>
    <d v="2023-03-24T00:00:00"/>
    <n v="20"/>
    <s v="3-2023"/>
    <s v="Americas"/>
    <x v="3"/>
    <s v="Montreal"/>
    <s v="Consumer"/>
    <x v="3"/>
    <x v="2"/>
    <s v="Laptops"/>
    <s v="LAP-6160"/>
    <n v="481.71"/>
    <n v="912.45"/>
    <n v="0.20300000000000001"/>
    <n v="24"/>
    <n v="17453.3436"/>
    <n v="11561.039999999999"/>
    <n v="5892.3036000000011"/>
    <n v="0.33760313983619739"/>
    <s v="Q1-2023"/>
    <s v="Americas → Canada → Montreal"/>
    <s v="Low"/>
    <x v="1"/>
    <x v="0"/>
  </r>
  <r>
    <s v="ORD-2024-220234"/>
    <d v="2024-03-15T00:00:00"/>
    <d v="2024-04-09T00:00:00"/>
    <d v="2024-03-15T00:00:00"/>
    <d v="2024-04-09T00:00:00"/>
    <n v="25"/>
    <s v="3-2024"/>
    <s v="Americas"/>
    <x v="3"/>
    <s v="Vancouver"/>
    <s v="Consumer"/>
    <x v="1"/>
    <x v="9"/>
    <s v="Monitors"/>
    <s v="MON-4361"/>
    <n v="648.64"/>
    <n v="815.19"/>
    <n v="0.22500000000000001"/>
    <n v="28"/>
    <n v="17689.623"/>
    <n v="18161.919999999998"/>
    <n v="-472.29699999999866"/>
    <n v="-2.6699099240272032E-2"/>
    <s v="Q1-2024"/>
    <s v="Americas → Canada → Vancouver"/>
    <s v="Low"/>
    <x v="0"/>
    <x v="0"/>
  </r>
  <r>
    <s v="ORD-2024-301260"/>
    <d v="2024-07-29T00:00:00"/>
    <d v="2024-07-31T00:00:00"/>
    <d v="2024-07-29T00:00:00"/>
    <d v="2024-07-31T00:00:00"/>
    <n v="2"/>
    <s v="7-2024"/>
    <s v="Americas"/>
    <x v="9"/>
    <s v="New York"/>
    <s v="Education"/>
    <x v="2"/>
    <x v="2"/>
    <s v="Printers"/>
    <s v="PRN-2829"/>
    <n v="798.97"/>
    <n v="1814.06"/>
    <n v="0.122"/>
    <n v="16"/>
    <n v="25483.91488"/>
    <n v="12783.52"/>
    <n v="12700.39488"/>
    <n v="0.49836906691159061"/>
    <s v="Q3-2024"/>
    <s v="Americas → USA → New York"/>
    <s v="Medium"/>
    <x v="0"/>
    <x v="6"/>
  </r>
  <r>
    <s v="ORD-2024-350100"/>
    <d v="2024-10-27T00:00:00"/>
    <d v="2024-11-20T00:00:00"/>
    <d v="2024-10-27T00:00:00"/>
    <d v="2024-11-20T00:00:00"/>
    <n v="24"/>
    <s v="10-2024"/>
    <s v="Asia"/>
    <x v="2"/>
    <s v="Nagoya"/>
    <s v="Non-Profit"/>
    <x v="1"/>
    <x v="11"/>
    <s v="Monitors"/>
    <s v="MON-8939"/>
    <n v="317.25"/>
    <n v="758.92"/>
    <n v="5.2999999999999999E-2"/>
    <n v="9"/>
    <n v="6468.2751599999992"/>
    <n v="2855.25"/>
    <n v="3613.0251599999992"/>
    <n v="0.5585762928489888"/>
    <s v="Q4-2024"/>
    <s v="Asia → Japan → Nagoya"/>
    <s v="Low"/>
    <x v="0"/>
    <x v="1"/>
  </r>
  <r>
    <s v="ORD-2024-855600"/>
    <d v="2024-04-29T00:00:00"/>
    <d v="2024-05-19T00:00:00"/>
    <d v="2024-04-29T00:00:00"/>
    <d v="2024-05-19T00:00:00"/>
    <n v="20"/>
    <s v="4-2024"/>
    <s v="Europe"/>
    <x v="11"/>
    <s v="Frankfurt"/>
    <s v="Enterprise"/>
    <x v="2"/>
    <x v="0"/>
    <s v="Laptops"/>
    <s v="LAP-5009"/>
    <n v="668.97"/>
    <n v="1667.44"/>
    <n v="3.4000000000000002E-2"/>
    <n v="15"/>
    <n v="24161.205600000001"/>
    <n v="10034.550000000001"/>
    <n v="14126.6556"/>
    <n v="0.58468339013679016"/>
    <s v="Q2-2024"/>
    <s v="Europe → Germany → Frankfurt"/>
    <s v="Medium"/>
    <x v="0"/>
    <x v="7"/>
  </r>
  <r>
    <s v="ORD-2023-474313"/>
    <d v="2023-10-05T00:00:00"/>
    <d v="2023-10-06T00:00:00"/>
    <d v="2023-10-05T00:00:00"/>
    <d v="2023-10-06T00:00:00"/>
    <n v="1"/>
    <s v="10-2023"/>
    <s v="Asia"/>
    <x v="4"/>
    <s v="Bengaluru"/>
    <s v="Non-Profit"/>
    <x v="1"/>
    <x v="2"/>
    <s v="Components"/>
    <s v="CMP-4807"/>
    <n v="1470.26"/>
    <n v="2562.5500000000002"/>
    <n v="0.17299999999999999"/>
    <n v="9"/>
    <n v="19073.059649999999"/>
    <n v="13232.34"/>
    <n v="5840.7196499999991"/>
    <n v="0.30622877279157462"/>
    <s v="Q4-2023"/>
    <s v="Asia → India → Bengaluru"/>
    <s v="High"/>
    <x v="1"/>
    <x v="1"/>
  </r>
  <r>
    <s v="ORD-2023-256951"/>
    <d v="2023-04-19T00:00:00"/>
    <d v="2023-05-07T00:00:00"/>
    <d v="2023-04-19T00:00:00"/>
    <d v="2023-05-07T00:00:00"/>
    <n v="18"/>
    <s v="4-2023"/>
    <s v="Europe"/>
    <x v="7"/>
    <s v="London"/>
    <s v="Non-Profit"/>
    <x v="4"/>
    <x v="11"/>
    <s v="Networking"/>
    <s v="NET-2439"/>
    <n v="516.96"/>
    <n v="745.38"/>
    <n v="0.19700000000000001"/>
    <n v="4"/>
    <n v="2394.1605599999998"/>
    <n v="2067.84"/>
    <n v="326.32055999999966"/>
    <n v="0.13629852794835101"/>
    <s v="Q2-2023"/>
    <s v="Europe → United Kingdom → London"/>
    <s v="Low"/>
    <x v="1"/>
    <x v="7"/>
  </r>
  <r>
    <s v="ORD-2025-184754"/>
    <d v="2025-06-27T00:00:00"/>
    <d v="2025-07-05T00:00:00"/>
    <d v="2025-06-27T00:00:00"/>
    <d v="2025-07-05T00:00:00"/>
    <n v="8"/>
    <s v="6-2025"/>
    <s v="Europe"/>
    <x v="11"/>
    <s v="Munich"/>
    <s v="Small Business"/>
    <x v="4"/>
    <x v="3"/>
    <s v="Monitors"/>
    <s v="MON-7626"/>
    <n v="314.93"/>
    <n v="687.95"/>
    <n v="0.20499999999999999"/>
    <n v="8"/>
    <n v="4375.3620000000001"/>
    <n v="2519.44"/>
    <n v="1855.922"/>
    <n v="0.424175645352316"/>
    <s v="Q2-2025"/>
    <s v="Europe → Germany → Munich"/>
    <s v="Low"/>
    <x v="2"/>
    <x v="9"/>
  </r>
  <r>
    <s v="ORD-2024-219735"/>
    <d v="2024-04-03T00:00:00"/>
    <d v="2024-04-07T00:00:00"/>
    <d v="2024-04-03T00:00:00"/>
    <d v="2024-04-07T00:00:00"/>
    <n v="4"/>
    <s v="4-2024"/>
    <s v="Americas"/>
    <x v="5"/>
    <s v="Brasília"/>
    <s v="Non-Profit"/>
    <x v="4"/>
    <x v="10"/>
    <s v="Phones"/>
    <s v="PHN-5445"/>
    <n v="1023.27"/>
    <n v="1343.64"/>
    <n v="0.13300000000000001"/>
    <n v="7"/>
    <n v="8154.5511600000009"/>
    <n v="7162.8899999999994"/>
    <n v="991.66116000000147"/>
    <n v="0.12160830688810116"/>
    <s v="Q2-2024"/>
    <s v="Americas → Brazil → Brasília"/>
    <s v="Medium"/>
    <x v="0"/>
    <x v="7"/>
  </r>
  <r>
    <s v="ORD-2023-638181"/>
    <d v="2023-05-20T00:00:00"/>
    <d v="2023-06-07T00:00:00"/>
    <d v="2023-05-20T00:00:00"/>
    <d v="2023-06-07T00:00:00"/>
    <n v="18"/>
    <s v="5-2023"/>
    <s v="Africa"/>
    <x v="1"/>
    <s v="Port Harcourt"/>
    <s v="Enterprise"/>
    <x v="3"/>
    <x v="6"/>
    <s v="Components"/>
    <s v="CMP-4630"/>
    <n v="1120.06"/>
    <n v="2068.21"/>
    <n v="7.8E-2"/>
    <n v="12"/>
    <n v="22882.675440000003"/>
    <n v="13440.72"/>
    <n v="9441.9554400000034"/>
    <n v="0.41262462795303284"/>
    <s v="Q2-2023"/>
    <s v="Africa → Nigeria → Port Harcourt"/>
    <s v="High"/>
    <x v="1"/>
    <x v="5"/>
  </r>
  <r>
    <s v="ORD-2025-332931"/>
    <d v="2025-02-15T00:00:00"/>
    <d v="2025-03-01T00:00:00"/>
    <d v="2025-02-15T00:00:00"/>
    <d v="2025-03-01T00:00:00"/>
    <n v="14"/>
    <s v="2-2025"/>
    <s v="Africa"/>
    <x v="0"/>
    <s v="Mombasa"/>
    <s v="Education"/>
    <x v="4"/>
    <x v="4"/>
    <s v="Accessories"/>
    <s v="ACC-5144"/>
    <n v="1162.8599999999999"/>
    <n v="1447.68"/>
    <n v="8.6999999999999994E-2"/>
    <n v="12"/>
    <n v="15860.782080000001"/>
    <n v="13954.32"/>
    <n v="1906.4620800000012"/>
    <n v="0.12019975247021369"/>
    <s v="Q1-2025"/>
    <s v="Africa → Kenya → Mombasa"/>
    <s v="Medium"/>
    <x v="2"/>
    <x v="2"/>
  </r>
  <r>
    <s v="ORD-2024-510591"/>
    <d v="2024-04-03T00:00:00"/>
    <d v="2024-04-21T00:00:00"/>
    <d v="2024-04-03T00:00:00"/>
    <d v="2024-04-21T00:00:00"/>
    <n v="18"/>
    <s v="4-2024"/>
    <s v="Americas"/>
    <x v="5"/>
    <s v="Brasília"/>
    <s v="Small Business"/>
    <x v="3"/>
    <x v="5"/>
    <s v="Networking"/>
    <s v="NET-3850"/>
    <n v="1176.69"/>
    <n v="2201.54"/>
    <n v="0.17"/>
    <n v="27"/>
    <n v="49336.511399999996"/>
    <n v="31770.63"/>
    <n v="17565.881399999995"/>
    <n v="0.35604222717701106"/>
    <s v="Q2-2024"/>
    <s v="Americas → Brazil → Brasília"/>
    <s v="High"/>
    <x v="0"/>
    <x v="7"/>
  </r>
  <r>
    <s v="ORD-2025-908258"/>
    <d v="2025-06-21T00:00:00"/>
    <d v="2025-06-27T00:00:00"/>
    <d v="2025-06-21T00:00:00"/>
    <d v="2025-06-27T00:00:00"/>
    <n v="6"/>
    <s v="6-2025"/>
    <s v="Africa"/>
    <x v="10"/>
    <s v="Durban"/>
    <s v="Enterprise"/>
    <x v="3"/>
    <x v="10"/>
    <s v="Phones"/>
    <s v="PHN-3819"/>
    <n v="93.91"/>
    <n v="99.04"/>
    <n v="5.7000000000000002E-2"/>
    <n v="6"/>
    <n v="560.36831999999993"/>
    <n v="563.46"/>
    <n v="-3.0916800000001103"/>
    <n v="-5.5172283829323376E-3"/>
    <s v="Q2-2025"/>
    <s v="Africa → South Africa → Durban"/>
    <s v="Low"/>
    <x v="2"/>
    <x v="9"/>
  </r>
  <r>
    <s v="ORD-2025-440093"/>
    <d v="2025-04-16T00:00:00"/>
    <d v="2025-04-26T00:00:00"/>
    <d v="2025-04-16T00:00:00"/>
    <d v="2025-04-26T00:00:00"/>
    <n v="10"/>
    <s v="4-2025"/>
    <s v="Africa"/>
    <x v="1"/>
    <s v="Port Harcourt"/>
    <s v="Enterprise"/>
    <x v="2"/>
    <x v="9"/>
    <s v="Laptops"/>
    <s v="LAP-3490"/>
    <n v="1457.44"/>
    <n v="1996.81"/>
    <n v="0.126"/>
    <n v="23"/>
    <n v="40139.874619999995"/>
    <n v="33521.120000000003"/>
    <n v="6618.7546199999924"/>
    <n v="0.16489225944672353"/>
    <s v="Q2-2025"/>
    <s v="Africa → Nigeria → Port Harcourt"/>
    <s v="High"/>
    <x v="2"/>
    <x v="7"/>
  </r>
  <r>
    <s v="ORD-2025-898022"/>
    <d v="2025-09-02T00:00:00"/>
    <d v="2025-09-11T00:00:00"/>
    <d v="2025-09-02T00:00:00"/>
    <d v="2025-09-11T00:00:00"/>
    <n v="9"/>
    <s v="9-2025"/>
    <s v="Americas"/>
    <x v="3"/>
    <s v="Toronto"/>
    <s v="Corporate"/>
    <x v="3"/>
    <x v="13"/>
    <s v="Printers"/>
    <s v="PRN-1276"/>
    <n v="1207.6300000000001"/>
    <n v="921.68"/>
    <n v="0.19600000000000001"/>
    <n v="17"/>
    <n v="12597.52224"/>
    <n v="20529.710000000003"/>
    <n v="-7932.1877600000025"/>
    <n v="-0.62966253274897988"/>
    <s v="Q3-2025"/>
    <s v="Americas → Canada → Toronto"/>
    <s v="Low"/>
    <x v="2"/>
    <x v="8"/>
  </r>
  <r>
    <s v="ORD-2024-500511"/>
    <d v="2024-10-08T00:00:00"/>
    <d v="2024-10-08T00:00:00"/>
    <d v="2024-10-08T00:00:00"/>
    <d v="2024-10-08T00:00:00"/>
    <n v="0"/>
    <s v="10-2024"/>
    <s v="Europe"/>
    <x v="7"/>
    <s v="London"/>
    <s v="Corporate"/>
    <x v="1"/>
    <x v="6"/>
    <s v="Monitors"/>
    <s v="MON-9733"/>
    <n v="1108.1099999999999"/>
    <n v="2503.79"/>
    <n v="0.184"/>
    <n v="19"/>
    <n v="38818.760160000005"/>
    <n v="21054.089999999997"/>
    <n v="17764.670160000009"/>
    <n v="0.45763105485025896"/>
    <s v="Q4-2024"/>
    <s v="Europe → United Kingdom → London"/>
    <s v="High"/>
    <x v="0"/>
    <x v="1"/>
  </r>
  <r>
    <s v="ORD-2023-632893"/>
    <d v="2023-05-07T00:00:00"/>
    <d v="2023-05-05T00:00:00"/>
    <d v="2023-05-05T00:00:00"/>
    <d v="2023-05-07T00:00:00"/>
    <n v="2"/>
    <s v="5-2023"/>
    <s v="Africa"/>
    <x v="1"/>
    <s v="Port Harcourt"/>
    <s v="Non-Profit"/>
    <x v="2"/>
    <x v="14"/>
    <s v="Components"/>
    <s v="CMP-9392"/>
    <n v="1269.6500000000001"/>
    <n v="2462.77"/>
    <n v="0.107"/>
    <n v="8"/>
    <n v="17594.028880000002"/>
    <n v="10157.200000000001"/>
    <n v="7436.8288800000009"/>
    <n v="0.42269050089225502"/>
    <s v="Q2-2023"/>
    <s v="Africa → Nigeria → Port Harcourt"/>
    <s v="High"/>
    <x v="1"/>
    <x v="5"/>
  </r>
  <r>
    <s v="ORD-2024-503082"/>
    <d v="2024-05-19T00:00:00"/>
    <d v="2024-06-08T00:00:00"/>
    <d v="2024-05-19T00:00:00"/>
    <d v="2024-06-08T00:00:00"/>
    <n v="20"/>
    <s v="5-2024"/>
    <s v="Americas"/>
    <x v="5"/>
    <s v="Brasília"/>
    <s v="Small Business"/>
    <x v="0"/>
    <x v="6"/>
    <s v="Monitors"/>
    <s v="MON-4271"/>
    <n v="1075.9000000000001"/>
    <n v="1242.1500000000001"/>
    <n v="1.2E-2"/>
    <n v="7"/>
    <n v="8590.7094000000016"/>
    <n v="7531.3000000000011"/>
    <n v="1059.4094000000005"/>
    <n v="0.12332036280961853"/>
    <s v="Q2-2024"/>
    <s v="Americas → Brazil → Brasília"/>
    <s v="Medium"/>
    <x v="0"/>
    <x v="5"/>
  </r>
  <r>
    <s v="ORD-2024-885858"/>
    <d v="2024-01-10T00:00:00"/>
    <d v="2024-01-23T00:00:00"/>
    <d v="2024-01-10T00:00:00"/>
    <d v="2024-01-23T00:00:00"/>
    <n v="13"/>
    <s v="1-2024"/>
    <s v="Europe"/>
    <x v="6"/>
    <s v="Marseille"/>
    <s v="Corporate"/>
    <x v="4"/>
    <x v="14"/>
    <s v="Printers"/>
    <s v="PRN-6776"/>
    <n v="720"/>
    <n v="907.59"/>
    <n v="0.154"/>
    <n v="10"/>
    <n v="7678.2113999999992"/>
    <n v="7200"/>
    <n v="478.21139999999923"/>
    <n v="6.2281614179052078E-2"/>
    <s v="Q1-2024"/>
    <s v="Europe → France → Marseille"/>
    <s v="Low"/>
    <x v="0"/>
    <x v="4"/>
  </r>
  <r>
    <s v="ORD-2024-403664"/>
    <d v="2024-05-23T00:00:00"/>
    <d v="2024-06-06T00:00:00"/>
    <d v="2024-05-23T00:00:00"/>
    <d v="2024-06-06T00:00:00"/>
    <n v="14"/>
    <s v="5-2024"/>
    <s v="Americas"/>
    <x v="5"/>
    <s v="Rio de Janeiro"/>
    <s v="Non-Profit"/>
    <x v="1"/>
    <x v="2"/>
    <s v="Networking"/>
    <s v="NET-1166"/>
    <n v="51.13"/>
    <n v="57.53"/>
    <n v="4.4999999999999998E-2"/>
    <n v="16"/>
    <n v="879.05840000000001"/>
    <n v="818.08"/>
    <n v="60.978399999999965"/>
    <n v="6.9367859973808302E-2"/>
    <s v="Q2-2024"/>
    <s v="Americas → Brazil → Rio de Janeiro"/>
    <s v="Low"/>
    <x v="0"/>
    <x v="5"/>
  </r>
  <r>
    <s v="ORD-2025-484073"/>
    <d v="2025-02-19T00:00:00"/>
    <d v="2025-03-09T00:00:00"/>
    <d v="2025-02-19T00:00:00"/>
    <d v="2025-03-09T00:00:00"/>
    <n v="18"/>
    <s v="2-2025"/>
    <s v="Asia"/>
    <x v="4"/>
    <s v="Delhi"/>
    <s v="Small Business"/>
    <x v="4"/>
    <x v="7"/>
    <s v="Monitors"/>
    <s v="MON-1436"/>
    <n v="325.87"/>
    <n v="538.79"/>
    <n v="0.17399999999999999"/>
    <n v="16"/>
    <n v="7120.6486400000003"/>
    <n v="5213.92"/>
    <n v="1906.7286400000003"/>
    <n v="0.26777457172778013"/>
    <s v="Q1-2025"/>
    <s v="Asia → India → Delhi"/>
    <s v="Low"/>
    <x v="2"/>
    <x v="2"/>
  </r>
  <r>
    <s v="ORD-2024-745822"/>
    <d v="2024-03-31T00:00:00"/>
    <d v="2024-04-17T00:00:00"/>
    <d v="2024-03-31T00:00:00"/>
    <d v="2024-04-17T00:00:00"/>
    <n v="17"/>
    <s v="3-2024"/>
    <s v="Europe"/>
    <x v="11"/>
    <s v="Frankfurt"/>
    <s v="Education"/>
    <x v="4"/>
    <x v="11"/>
    <s v="Monitors"/>
    <s v="MON-8651"/>
    <n v="1025.51"/>
    <n v="1436.54"/>
    <n v="0.13900000000000001"/>
    <n v="28"/>
    <n v="34632.106319999999"/>
    <n v="28714.28"/>
    <n v="5917.8263200000001"/>
    <n v="0.17087688127656453"/>
    <s v="Q1-2024"/>
    <s v="Europe → Germany → Frankfurt"/>
    <s v="Medium"/>
    <x v="0"/>
    <x v="0"/>
  </r>
  <r>
    <s v="ORD-2023-369160"/>
    <d v="2023-07-24T00:00:00"/>
    <d v="2023-08-13T00:00:00"/>
    <d v="2023-07-24T00:00:00"/>
    <d v="2023-08-13T00:00:00"/>
    <n v="20"/>
    <s v="7-2023"/>
    <s v="Americas"/>
    <x v="3"/>
    <s v="Montreal"/>
    <s v="Education"/>
    <x v="4"/>
    <x v="0"/>
    <s v="Monitors"/>
    <s v="MON-3307"/>
    <n v="1082.3800000000001"/>
    <n v="1766.55"/>
    <n v="0.16400000000000001"/>
    <n v="20"/>
    <n v="29536.716"/>
    <n v="21647.600000000002"/>
    <n v="7889.1159999999982"/>
    <n v="0.26709523157550752"/>
    <s v="Q3-2023"/>
    <s v="Americas → Canada → Montreal"/>
    <s v="Medium"/>
    <x v="1"/>
    <x v="6"/>
  </r>
  <r>
    <s v="ORD-2024-834983"/>
    <d v="2024-03-16T00:00:00"/>
    <d v="2024-04-13T00:00:00"/>
    <d v="2024-03-16T00:00:00"/>
    <d v="2024-04-13T00:00:00"/>
    <n v="28"/>
    <s v="3-2024"/>
    <s v="Europe"/>
    <x v="6"/>
    <s v="Paris"/>
    <s v="Small Business"/>
    <x v="1"/>
    <x v="12"/>
    <s v="Printers"/>
    <s v="PRN-8758"/>
    <n v="287.61"/>
    <n v="628.54"/>
    <n v="0.13500000000000001"/>
    <n v="21"/>
    <n v="11417.429099999999"/>
    <n v="6039.81"/>
    <n v="5377.619099999999"/>
    <n v="0.47100087531964613"/>
    <s v="Q1-2024"/>
    <s v="Europe → France → Paris"/>
    <s v="Low"/>
    <x v="0"/>
    <x v="0"/>
  </r>
  <r>
    <s v="ORD-2023-488227"/>
    <d v="2023-09-08T00:00:00"/>
    <d v="2023-10-02T00:00:00"/>
    <d v="2023-09-08T00:00:00"/>
    <d v="2023-10-02T00:00:00"/>
    <n v="24"/>
    <s v="9-2023"/>
    <s v="Americas"/>
    <x v="3"/>
    <s v="Toronto"/>
    <s v="Education"/>
    <x v="4"/>
    <x v="14"/>
    <s v="Accessories"/>
    <s v="ACC-3415"/>
    <n v="1299.03"/>
    <n v="2451.2199999999998"/>
    <n v="0.20799999999999999"/>
    <n v="8"/>
    <n v="15530.929919999999"/>
    <n v="10392.24"/>
    <n v="5138.6899199999989"/>
    <n v="0.3308681416032041"/>
    <s v="Q3-2023"/>
    <s v="Americas → Canada → Toronto"/>
    <s v="High"/>
    <x v="1"/>
    <x v="8"/>
  </r>
  <r>
    <s v="ORD-2024-948800"/>
    <d v="2024-03-27T00:00:00"/>
    <d v="2024-04-11T00:00:00"/>
    <d v="2024-03-27T00:00:00"/>
    <d v="2024-04-11T00:00:00"/>
    <n v="15"/>
    <s v="3-2024"/>
    <s v="Americas"/>
    <x v="9"/>
    <s v="San Francisco"/>
    <s v="Small Business"/>
    <x v="4"/>
    <x v="7"/>
    <s v="Networking"/>
    <s v="NET-5523"/>
    <n v="1338.35"/>
    <n v="2247.14"/>
    <n v="0.115"/>
    <n v="40"/>
    <n v="79548.755999999994"/>
    <n v="53534"/>
    <n v="26014.755999999994"/>
    <n v="0.32702907384246205"/>
    <s v="Q1-2024"/>
    <s v="Americas → USA → San Francisco"/>
    <s v="High"/>
    <x v="0"/>
    <x v="0"/>
  </r>
  <r>
    <s v="ORD-2024-468501"/>
    <d v="2024-11-06T00:00:00"/>
    <d v="2024-11-22T00:00:00"/>
    <d v="2024-11-06T00:00:00"/>
    <d v="2024-11-22T00:00:00"/>
    <n v="16"/>
    <s v="11-2024"/>
    <s v="Americas"/>
    <x v="3"/>
    <s v="Toronto"/>
    <s v="Non-Profit"/>
    <x v="3"/>
    <x v="8"/>
    <s v="Accessories"/>
    <s v="ACC-6348"/>
    <n v="1454.11"/>
    <n v="2629.75"/>
    <n v="0.29199999999999998"/>
    <n v="8"/>
    <n v="14894.903999999999"/>
    <n v="11632.88"/>
    <n v="3262.0239999999994"/>
    <n v="0.21900268709351867"/>
    <s v="Q4-2024"/>
    <s v="Americas → Canada → Toronto"/>
    <s v="High"/>
    <x v="0"/>
    <x v="10"/>
  </r>
  <r>
    <s v="ORD-2024-580808"/>
    <d v="2024-06-16T00:00:00"/>
    <d v="2024-07-03T00:00:00"/>
    <d v="2024-06-16T00:00:00"/>
    <d v="2024-07-03T00:00:00"/>
    <n v="17"/>
    <s v="6-2024"/>
    <s v="Africa"/>
    <x v="10"/>
    <s v="Johannesburg"/>
    <s v="Enterprise"/>
    <x v="2"/>
    <x v="9"/>
    <s v="Phones"/>
    <s v="PHN-6832"/>
    <n v="1173.83"/>
    <n v="2328.9"/>
    <n v="0.12"/>
    <n v="17"/>
    <n v="34840.344000000005"/>
    <n v="19955.11"/>
    <n v="14885.234000000004"/>
    <n v="0.42724130393201637"/>
    <s v="Q2-2024"/>
    <s v="Africa → South Africa → Johannesburg"/>
    <s v="High"/>
    <x v="0"/>
    <x v="9"/>
  </r>
  <r>
    <s v="ORD-2023-211715"/>
    <d v="2023-10-30T00:00:00"/>
    <d v="2023-11-14T00:00:00"/>
    <d v="2023-10-30T00:00:00"/>
    <d v="2023-11-14T00:00:00"/>
    <n v="15"/>
    <s v="10-2023"/>
    <s v="Asia"/>
    <x v="4"/>
    <s v="Bengaluru"/>
    <s v="Corporate"/>
    <x v="1"/>
    <x v="9"/>
    <s v="Laptops"/>
    <s v="LAP-2378"/>
    <n v="953.46"/>
    <n v="2066.75"/>
    <n v="0.13800000000000001"/>
    <n v="5"/>
    <n v="8907.6924999999992"/>
    <n v="4767.3"/>
    <n v="4140.392499999999"/>
    <n v="0.46481089238318446"/>
    <s v="Q4-2023"/>
    <s v="Asia → India → Bengaluru"/>
    <s v="High"/>
    <x v="1"/>
    <x v="1"/>
  </r>
  <r>
    <s v="ORD-2023-715175"/>
    <d v="2023-06-15T00:00:00"/>
    <d v="2023-06-23T00:00:00"/>
    <d v="2023-06-15T00:00:00"/>
    <d v="2023-06-23T00:00:00"/>
    <n v="8"/>
    <s v="6-2023"/>
    <s v="Americas"/>
    <x v="9"/>
    <s v="San Francisco"/>
    <s v="Consumer"/>
    <x v="3"/>
    <x v="7"/>
    <s v="Monitors"/>
    <s v="MON-5424"/>
    <n v="1097.0899999999999"/>
    <n v="2182.31"/>
    <n v="0.112"/>
    <n v="9"/>
    <n v="17441.021520000002"/>
    <n v="9873.81"/>
    <n v="7567.2115200000026"/>
    <n v="0.43387432962699546"/>
    <s v="Q2-2023"/>
    <s v="Americas → USA → San Francisco"/>
    <s v="High"/>
    <x v="1"/>
    <x v="9"/>
  </r>
  <r>
    <s v="ORD-2025-685236"/>
    <d v="2025-03-14T00:00:00"/>
    <d v="2025-03-29T00:00:00"/>
    <d v="2025-03-14T00:00:00"/>
    <d v="2025-03-29T00:00:00"/>
    <n v="15"/>
    <s v="3-2025"/>
    <s v="Asia"/>
    <x v="2"/>
    <s v="Tokyo"/>
    <s v="Non-Profit"/>
    <x v="4"/>
    <x v="11"/>
    <s v="Networking"/>
    <s v="NET-8430"/>
    <n v="1106.96"/>
    <n v="2726.62"/>
    <n v="0.1186"/>
    <n v="7"/>
    <n v="16822.700076000001"/>
    <n v="7748.72"/>
    <n v="9073.9800759999998"/>
    <n v="0.53938904189020975"/>
    <s v="Q1-2025"/>
    <s v="Asia → Japan → Tokyo"/>
    <s v="High"/>
    <x v="2"/>
    <x v="0"/>
  </r>
  <r>
    <s v="ORD-2023-274037"/>
    <d v="2023-08-15T00:00:00"/>
    <d v="2023-08-25T00:00:00"/>
    <d v="2023-08-15T00:00:00"/>
    <d v="2023-08-25T00:00:00"/>
    <n v="10"/>
    <s v="8-2023"/>
    <s v="Africa"/>
    <x v="0"/>
    <s v="Nairobi"/>
    <s v="Small Business"/>
    <x v="0"/>
    <x v="10"/>
    <s v="Phones"/>
    <s v="PHN-1234"/>
    <n v="91.85"/>
    <n v="111.29"/>
    <n v="0"/>
    <n v="6"/>
    <n v="667.74"/>
    <n v="551.09999999999991"/>
    <n v="116.6400000000001"/>
    <n v="0.17467876718483258"/>
    <s v="Q3-2023"/>
    <s v="Africa → Kenya → Nairobi"/>
    <s v="Low"/>
    <x v="1"/>
    <x v="11"/>
  </r>
  <r>
    <s v="ORD-2025-983096"/>
    <d v="2025-05-17T00:00:00"/>
    <d v="2025-05-28T00:00:00"/>
    <d v="2025-05-17T00:00:00"/>
    <d v="2025-05-28T00:00:00"/>
    <n v="11"/>
    <s v="5-2025"/>
    <s v="Asia"/>
    <x v="4"/>
    <s v="Bengaluru"/>
    <s v="Corporate"/>
    <x v="3"/>
    <x v="5"/>
    <s v="Laptops"/>
    <s v="LAP-9016"/>
    <n v="623.4"/>
    <n v="1100.0899999999999"/>
    <n v="0.114"/>
    <n v="12"/>
    <n v="11696.156879999999"/>
    <n v="7480.7999999999993"/>
    <n v="4215.3568799999994"/>
    <n v="0.36040529579490388"/>
    <s v="Q2-2025"/>
    <s v="Asia → India → Bengaluru"/>
    <s v="Low"/>
    <x v="2"/>
    <x v="5"/>
  </r>
  <r>
    <s v="ORD-2024-366010"/>
    <d v="2024-01-13T00:00:00"/>
    <d v="2024-02-05T00:00:00"/>
    <d v="2024-01-13T00:00:00"/>
    <d v="2024-02-05T00:00:00"/>
    <n v="23"/>
    <s v="1-2024"/>
    <s v="Europe"/>
    <x v="11"/>
    <s v="Frankfurt"/>
    <s v="Education"/>
    <x v="4"/>
    <x v="5"/>
    <s v="Laptops"/>
    <s v="LAP-9931"/>
    <n v="1017.93"/>
    <n v="1529.14"/>
    <n v="0.155"/>
    <n v="12"/>
    <n v="15505.479600000001"/>
    <n v="12215.16"/>
    <n v="3290.3196000000007"/>
    <n v="0.21220366508366503"/>
    <s v="Q1-2024"/>
    <s v="Europe → Germany → Frankfurt"/>
    <s v="Medium"/>
    <x v="0"/>
    <x v="4"/>
  </r>
  <r>
    <s v="ORD-2023-610470"/>
    <d v="2023-06-24T00:00:00"/>
    <d v="2023-07-21T00:00:00"/>
    <d v="2023-06-24T00:00:00"/>
    <d v="2023-07-21T00:00:00"/>
    <n v="27"/>
    <s v="6-2023"/>
    <s v="Asia"/>
    <x v="2"/>
    <s v="Nagoya"/>
    <s v="Consumer"/>
    <x v="2"/>
    <x v="1"/>
    <s v="Phones"/>
    <s v="PHN-6818"/>
    <n v="554.76"/>
    <n v="728.69"/>
    <n v="0.22"/>
    <n v="7"/>
    <n v="3978.6474000000003"/>
    <n v="3883.3199999999997"/>
    <n v="95.32740000000058"/>
    <n v="2.395975074343119E-2"/>
    <s v="Q2-2023"/>
    <s v="Asia → Japan → Nagoya"/>
    <s v="Low"/>
    <x v="1"/>
    <x v="9"/>
  </r>
  <r>
    <s v="ORD-2025-541048"/>
    <d v="2025-04-04T00:00:00"/>
    <d v="2025-04-13T00:00:00"/>
    <d v="2025-04-04T00:00:00"/>
    <d v="2025-04-13T00:00:00"/>
    <n v="9"/>
    <s v="4-2025"/>
    <s v="Europe"/>
    <x v="11"/>
    <s v="Munich"/>
    <s v="Consumer"/>
    <x v="2"/>
    <x v="9"/>
    <s v="Phones"/>
    <s v="PHN-3803"/>
    <n v="7.02"/>
    <n v="6.28"/>
    <n v="0.13400000000000001"/>
    <n v="14"/>
    <n v="76.138720000000006"/>
    <n v="98.28"/>
    <n v="-22.141279999999995"/>
    <n v="-0.29080184169106066"/>
    <s v="Q2-2025"/>
    <s v="Europe → Germany → Munich"/>
    <s v="Low"/>
    <x v="2"/>
    <x v="7"/>
  </r>
  <r>
    <s v="ORD-2024-862371"/>
    <d v="2024-09-07T00:00:00"/>
    <d v="2024-09-07T00:00:00"/>
    <d v="2024-09-07T00:00:00"/>
    <d v="2024-09-07T00:00:00"/>
    <n v="0"/>
    <s v="9-2024"/>
    <s v="Asia"/>
    <x v="4"/>
    <s v="Mumbai"/>
    <s v="Education"/>
    <x v="3"/>
    <x v="5"/>
    <s v="Networking"/>
    <s v="NET-9835"/>
    <n v="1066.6500000000001"/>
    <n v="2569.77"/>
    <n v="0.13400000000000001"/>
    <n v="9"/>
    <n v="20028.787380000002"/>
    <n v="9599.85"/>
    <n v="10428.937380000001"/>
    <n v="0.52069739331368348"/>
    <s v="Q3-2024"/>
    <s v="Asia → India → Mumbai"/>
    <s v="High"/>
    <x v="0"/>
    <x v="8"/>
  </r>
  <r>
    <s v="ORD-2024-257550"/>
    <d v="2024-12-27T00:00:00"/>
    <d v="2024-12-29T00:00:00"/>
    <d v="2024-12-27T00:00:00"/>
    <d v="2024-12-29T00:00:00"/>
    <n v="2"/>
    <s v="12-2024"/>
    <s v="Americas"/>
    <x v="3"/>
    <s v="Vancouver"/>
    <s v="Enterprise"/>
    <x v="2"/>
    <x v="0"/>
    <s v="Accessories"/>
    <s v="ACC-8620"/>
    <n v="1146.72"/>
    <n v="2074.34"/>
    <n v="0.111"/>
    <n v="8"/>
    <n v="14752.706080000002"/>
    <n v="9173.76"/>
    <n v="5578.9460800000015"/>
    <n v="0.37816425337472737"/>
    <s v="Q4-2024"/>
    <s v="Americas → Canada → Vancouver"/>
    <s v="High"/>
    <x v="0"/>
    <x v="3"/>
  </r>
  <r>
    <s v="ORD-2023-369150"/>
    <d v="2023-07-18T00:00:00"/>
    <d v="2023-08-10T00:00:00"/>
    <d v="2023-07-18T00:00:00"/>
    <d v="2023-08-10T00:00:00"/>
    <n v="23"/>
    <s v="7-2023"/>
    <s v="Africa"/>
    <x v="10"/>
    <s v="Johannesburg"/>
    <s v="Small Business"/>
    <x v="0"/>
    <x v="4"/>
    <s v="Components"/>
    <s v="CMP-8659"/>
    <n v="1271.56"/>
    <n v="995.47"/>
    <n v="0.192"/>
    <n v="13"/>
    <n v="10456.416880000001"/>
    <n v="16530.28"/>
    <n v="-6073.8631199999982"/>
    <n v="-0.58087423155607754"/>
    <s v="Q3-2023"/>
    <s v="Africa → South Africa → Johannesburg"/>
    <s v="Low"/>
    <x v="1"/>
    <x v="6"/>
  </r>
  <r>
    <s v="ORD-2024-605629"/>
    <d v="2024-07-15T00:00:00"/>
    <d v="2024-07-15T00:00:00"/>
    <d v="2024-07-15T00:00:00"/>
    <d v="2024-07-15T00:00:00"/>
    <n v="0"/>
    <s v="7-2024"/>
    <s v="Asia"/>
    <x v="2"/>
    <s v="Tokyo"/>
    <s v="Small Business"/>
    <x v="2"/>
    <x v="3"/>
    <s v="Accessories"/>
    <s v="ACC-2735"/>
    <n v="801.77"/>
    <n v="1218.92"/>
    <n v="0.254"/>
    <n v="16"/>
    <n v="14549.029120000001"/>
    <n v="12828.32"/>
    <n v="1720.7091200000013"/>
    <n v="0.11826968698788344"/>
    <s v="Q3-2024"/>
    <s v="Asia → Japan → Tokyo"/>
    <s v="Medium"/>
    <x v="0"/>
    <x v="6"/>
  </r>
  <r>
    <s v="ORD-2025-486350"/>
    <d v="2025-05-27T00:00:00"/>
    <d v="2025-06-08T00:00:00"/>
    <d v="2025-05-27T00:00:00"/>
    <d v="2025-06-08T00:00:00"/>
    <n v="12"/>
    <s v="5-2025"/>
    <s v="Asia"/>
    <x v="2"/>
    <s v="Osaka"/>
    <s v="Corporate"/>
    <x v="0"/>
    <x v="11"/>
    <s v="Accessories"/>
    <s v="ACC-1249"/>
    <n v="653.6"/>
    <n v="842.09"/>
    <n v="9.8000000000000004E-2"/>
    <n v="19"/>
    <n v="14431.738420000001"/>
    <n v="12418.4"/>
    <n v="2013.3384200000019"/>
    <n v="0.13950768517324622"/>
    <s v="Q2-2025"/>
    <s v="Asia → Japan → Osaka"/>
    <s v="Low"/>
    <x v="2"/>
    <x v="5"/>
  </r>
  <r>
    <s v="ORD-2023-107265"/>
    <d v="2023-04-22T00:00:00"/>
    <d v="2023-05-14T00:00:00"/>
    <d v="2023-04-22T00:00:00"/>
    <d v="2023-05-14T00:00:00"/>
    <n v="22"/>
    <s v="4-2023"/>
    <s v="Asia"/>
    <x v="2"/>
    <s v="Nagoya"/>
    <s v="Enterprise"/>
    <x v="0"/>
    <x v="14"/>
    <s v="Accessories"/>
    <s v="ACC-7713"/>
    <n v="1209.22"/>
    <n v="1404.33"/>
    <n v="0.10299999999999999"/>
    <n v="11"/>
    <n v="13856.52411"/>
    <n v="13301.42"/>
    <n v="555.10411000000022"/>
    <n v="4.0060848275751328E-2"/>
    <s v="Q2-2023"/>
    <s v="Asia → Japan → Nagoya"/>
    <s v="Medium"/>
    <x v="1"/>
    <x v="7"/>
  </r>
  <r>
    <s v="ORD-2024-211453"/>
    <d v="2024-04-04T00:00:00"/>
    <d v="2024-04-24T00:00:00"/>
    <d v="2024-04-04T00:00:00"/>
    <d v="2024-04-24T00:00:00"/>
    <n v="20"/>
    <s v="4-2024"/>
    <s v="Europe"/>
    <x v="11"/>
    <s v="Frankfurt"/>
    <s v="Non-Profit"/>
    <x v="4"/>
    <x v="7"/>
    <s v="Accessories"/>
    <s v="ACC-6543"/>
    <n v="683.42"/>
    <n v="951.51"/>
    <n v="0"/>
    <n v="14"/>
    <n v="13321.14"/>
    <n v="9567.8799999999992"/>
    <n v="3753.26"/>
    <n v="0.28175216235247136"/>
    <s v="Q2-2024"/>
    <s v="Europe → Germany → Frankfurt"/>
    <s v="Low"/>
    <x v="0"/>
    <x v="7"/>
  </r>
  <r>
    <s v="ORD-2025-487025"/>
    <d v="2025-04-11T00:00:00"/>
    <d v="2025-05-04T00:00:00"/>
    <d v="2025-04-11T00:00:00"/>
    <d v="2025-05-04T00:00:00"/>
    <n v="23"/>
    <s v="4-2025"/>
    <s v="Asia"/>
    <x v="2"/>
    <s v="Osaka"/>
    <s v="Small Business"/>
    <x v="1"/>
    <x v="13"/>
    <s v="Components"/>
    <s v="CMP-3743"/>
    <n v="786.2"/>
    <n v="1075.3"/>
    <n v="0.08"/>
    <n v="9"/>
    <n v="8903.4839999999986"/>
    <n v="7075.8"/>
    <n v="1827.6839999999984"/>
    <n v="0.20527739478163815"/>
    <s v="Q2-2025"/>
    <s v="Asia → Japan → Osaka"/>
    <s v="Low"/>
    <x v="2"/>
    <x v="7"/>
  </r>
  <r>
    <s v="ORD-2025-398335"/>
    <d v="2025-06-01T00:00:00"/>
    <d v="2025-06-27T00:00:00"/>
    <d v="2025-06-01T00:00:00"/>
    <d v="2025-06-27T00:00:00"/>
    <n v="26"/>
    <s v="6-2025"/>
    <s v="Europe"/>
    <x v="11"/>
    <s v="Munich"/>
    <s v="Consumer"/>
    <x v="3"/>
    <x v="6"/>
    <s v="Laptops"/>
    <s v="LAP-1619"/>
    <n v="1362.31"/>
    <n v="3294.57"/>
    <n v="0.113"/>
    <n v="7"/>
    <n v="20455.985130000001"/>
    <n v="9536.17"/>
    <n v="10919.815130000001"/>
    <n v="0.5338200561157721"/>
    <s v="Q2-2025"/>
    <s v="Europe → Germany → Munich"/>
    <s v="High"/>
    <x v="2"/>
    <x v="9"/>
  </r>
  <r>
    <s v="ORD-2024-792137"/>
    <d v="2024-03-02T00:00:00"/>
    <d v="2024-03-16T00:00:00"/>
    <d v="2024-03-02T00:00:00"/>
    <d v="2024-03-16T00:00:00"/>
    <n v="14"/>
    <s v="3-2024"/>
    <s v="Americas"/>
    <x v="3"/>
    <s v="Vancouver"/>
    <s v="Non-Profit"/>
    <x v="4"/>
    <x v="7"/>
    <s v="Printers"/>
    <s v="PRN-7976"/>
    <n v="248.24"/>
    <n v="464.05"/>
    <n v="0.16900000000000001"/>
    <n v="11"/>
    <n v="4241.88105"/>
    <n v="2730.6400000000003"/>
    <n v="1511.2410499999996"/>
    <n v="0.3562667203975462"/>
    <s v="Q1-2024"/>
    <s v="Americas → Canada → Vancouver"/>
    <s v="Low"/>
    <x v="0"/>
    <x v="0"/>
  </r>
  <r>
    <s v="ORD-2023-602648"/>
    <d v="2023-06-20T00:00:00"/>
    <d v="2023-07-08T00:00:00"/>
    <d v="2023-06-20T00:00:00"/>
    <d v="2023-07-08T00:00:00"/>
    <n v="18"/>
    <s v="6-2023"/>
    <s v="Americas"/>
    <x v="9"/>
    <s v="Austin"/>
    <s v="Non-Profit"/>
    <x v="4"/>
    <x v="9"/>
    <s v="Monitors"/>
    <s v="MON-4326"/>
    <n v="337"/>
    <n v="511.03"/>
    <n v="0.108"/>
    <n v="7"/>
    <n v="3190.8713200000002"/>
    <n v="2359"/>
    <n v="831.8713200000002"/>
    <n v="0.26070349963219458"/>
    <s v="Q2-2023"/>
    <s v="Americas → USA → Austin"/>
    <s v="Low"/>
    <x v="1"/>
    <x v="9"/>
  </r>
  <r>
    <s v="ORD-2024-207096"/>
    <d v="2024-03-26T00:00:00"/>
    <d v="2024-04-05T00:00:00"/>
    <d v="2024-03-26T00:00:00"/>
    <d v="2024-04-05T00:00:00"/>
    <n v="10"/>
    <s v="3-2024"/>
    <s v="Americas"/>
    <x v="9"/>
    <s v="Austin"/>
    <s v="Consumer"/>
    <x v="4"/>
    <x v="1"/>
    <s v="Monitors"/>
    <s v="MON-5444"/>
    <n v="5.66"/>
    <n v="4.22"/>
    <n v="0.11899999999999999"/>
    <n v="18"/>
    <n v="66.920760000000001"/>
    <n v="101.88"/>
    <n v="-34.959239999999994"/>
    <n v="-0.52239753403876454"/>
    <s v="Q1-2024"/>
    <s v="Americas → USA → Austin"/>
    <s v="Low"/>
    <x v="0"/>
    <x v="0"/>
  </r>
  <r>
    <s v="ORD-2024-555229"/>
    <d v="2024-05-18T00:00:00"/>
    <d v="2024-05-22T00:00:00"/>
    <d v="2024-05-18T00:00:00"/>
    <d v="2024-05-22T00:00:00"/>
    <n v="4"/>
    <s v="5-2024"/>
    <s v="Africa"/>
    <x v="0"/>
    <s v="Nairobi"/>
    <s v="Corporate"/>
    <x v="4"/>
    <x v="11"/>
    <s v="Accessories"/>
    <s v="ACC-7354"/>
    <n v="857.42"/>
    <n v="1658.92"/>
    <n v="0.122"/>
    <n v="9"/>
    <n v="13108.78584"/>
    <n v="7716.78"/>
    <n v="5392.0058400000007"/>
    <n v="0.41132763215544305"/>
    <s v="Q2-2024"/>
    <s v="Africa → Kenya → Nairobi"/>
    <s v="Medium"/>
    <x v="0"/>
    <x v="5"/>
  </r>
  <r>
    <s v="ORD-2025-191328"/>
    <d v="2025-05-10T00:00:00"/>
    <d v="2025-05-27T00:00:00"/>
    <d v="2025-05-10T00:00:00"/>
    <d v="2025-05-27T00:00:00"/>
    <n v="17"/>
    <s v="5-2025"/>
    <s v="Americas"/>
    <x v="3"/>
    <s v="Vancouver"/>
    <s v="Education"/>
    <x v="4"/>
    <x v="0"/>
    <s v="Components"/>
    <s v="CMP-9307"/>
    <n v="862.89"/>
    <n v="1426.03"/>
    <n v="5.6000000000000001E-2"/>
    <n v="19"/>
    <n v="25577.274079999999"/>
    <n v="16394.91"/>
    <n v="9182.3640799999994"/>
    <n v="0.35900479665188778"/>
    <s v="Q2-2025"/>
    <s v="Americas → Canada → Vancouver"/>
    <s v="Medium"/>
    <x v="2"/>
    <x v="5"/>
  </r>
  <r>
    <s v="ORD-2023-166668"/>
    <d v="2023-10-05T00:00:00"/>
    <d v="2023-10-31T00:00:00"/>
    <d v="2023-10-05T00:00:00"/>
    <d v="2023-10-31T00:00:00"/>
    <n v="26"/>
    <s v="10-2023"/>
    <s v="Asia"/>
    <x v="8"/>
    <s v="Shanghai"/>
    <s v="Consumer"/>
    <x v="5"/>
    <x v="1"/>
    <s v="Printers"/>
    <s v="PRN-6520"/>
    <n v="649.91"/>
    <n v="1360.12"/>
    <n v="0.19400000000000001"/>
    <n v="9"/>
    <n v="9866.3104799999983"/>
    <n v="5849.19"/>
    <n v="4017.1204799999987"/>
    <n v="0.40715528749506769"/>
    <s v="Q4-2023"/>
    <s v="Asia → China → Shanghai"/>
    <s v="Medium"/>
    <x v="1"/>
    <x v="1"/>
  </r>
  <r>
    <s v="ORD-2024-202877"/>
    <d v="2024-07-13T00:00:00"/>
    <d v="2024-08-03T00:00:00"/>
    <d v="2024-07-13T00:00:00"/>
    <d v="2024-08-03T00:00:00"/>
    <n v="21"/>
    <s v="7-2024"/>
    <s v="Americas"/>
    <x v="5"/>
    <s v="Rio de Janeiro"/>
    <s v="Corporate"/>
    <x v="2"/>
    <x v="13"/>
    <s v="Monitors"/>
    <s v="MON-6287"/>
    <n v="702.98"/>
    <n v="1104.8"/>
    <n v="0.17499999999999999"/>
    <n v="12"/>
    <n v="10937.519999999999"/>
    <n v="8435.76"/>
    <n v="2501.7599999999984"/>
    <n v="0.22873192460448061"/>
    <s v="Q3-2024"/>
    <s v="Americas → Brazil → Rio de Janeiro"/>
    <s v="Low"/>
    <x v="0"/>
    <x v="6"/>
  </r>
  <r>
    <s v="ORD-2025-278048"/>
    <d v="2025-06-22T00:00:00"/>
    <d v="2025-07-08T00:00:00"/>
    <d v="2025-06-22T00:00:00"/>
    <d v="2025-07-08T00:00:00"/>
    <n v="16"/>
    <s v="6-2025"/>
    <s v="Europe"/>
    <x v="7"/>
    <s v="London"/>
    <s v="Education"/>
    <x v="4"/>
    <x v="14"/>
    <s v="Phones"/>
    <s v="PHN-5316"/>
    <n v="892.73"/>
    <n v="979.84"/>
    <n v="0.17399999999999999"/>
    <n v="10"/>
    <n v="8093.4784"/>
    <n v="8927.2999999999993"/>
    <n v="-833.82159999999931"/>
    <n v="-0.10302388649112838"/>
    <s v="Q2-2025"/>
    <s v="Europe → United Kingdom → London"/>
    <s v="Low"/>
    <x v="2"/>
    <x v="9"/>
  </r>
  <r>
    <s v="ORD-2024-878493"/>
    <d v="2024-06-19T00:00:00"/>
    <d v="2024-06-20T00:00:00"/>
    <d v="2024-06-19T00:00:00"/>
    <d v="2024-06-20T00:00:00"/>
    <n v="1"/>
    <s v="6-2024"/>
    <s v="Africa"/>
    <x v="0"/>
    <s v="Kisumu"/>
    <s v="Small Business"/>
    <x v="4"/>
    <x v="1"/>
    <s v="Laptops"/>
    <s v="LAP-4607"/>
    <n v="231.63"/>
    <n v="537.39"/>
    <n v="0.08"/>
    <n v="12"/>
    <n v="5932.7856000000002"/>
    <n v="2779.56"/>
    <n v="3153.2256000000002"/>
    <n v="0.53149158129024587"/>
    <s v="Q2-2024"/>
    <s v="Africa → Kenya → Kisumu"/>
    <s v="Low"/>
    <x v="0"/>
    <x v="9"/>
  </r>
  <r>
    <s v="ORD-2025-138578"/>
    <d v="2025-04-09T00:00:00"/>
    <d v="2025-04-12T00:00:00"/>
    <d v="2025-04-09T00:00:00"/>
    <d v="2025-04-12T00:00:00"/>
    <n v="3"/>
    <s v="4-2025"/>
    <s v="Europe"/>
    <x v="6"/>
    <s v="Lyon"/>
    <s v="Small Business"/>
    <x v="3"/>
    <x v="11"/>
    <s v="Monitors"/>
    <s v="MON-5276"/>
    <n v="86.68"/>
    <n v="213.32"/>
    <n v="3.7999999999999999E-2"/>
    <n v="8"/>
    <n v="1641.7107199999998"/>
    <n v="693.44"/>
    <n v="948.27071999999976"/>
    <n v="0.57761133459614611"/>
    <s v="Q2-2025"/>
    <s v="Europe → France → Lyon"/>
    <s v="Low"/>
    <x v="2"/>
    <x v="7"/>
  </r>
  <r>
    <s v="ORD-2025-939953"/>
    <d v="2025-01-22T00:00:00"/>
    <d v="2025-01-22T00:00:00"/>
    <d v="2025-01-22T00:00:00"/>
    <d v="2025-01-22T00:00:00"/>
    <n v="0"/>
    <s v="1-2025"/>
    <s v="Europe"/>
    <x v="6"/>
    <s v="Lyon"/>
    <s v="Small Business"/>
    <x v="1"/>
    <x v="5"/>
    <s v="Accessories"/>
    <s v="ACC-5422"/>
    <n v="591.72"/>
    <n v="577.24"/>
    <n v="0"/>
    <n v="22"/>
    <n v="12699.28"/>
    <n v="13017.84"/>
    <n v="-318.55999999999949"/>
    <n v="-2.5084886702238195E-2"/>
    <s v="Q1-2025"/>
    <s v="Europe → France → Lyon"/>
    <s v="Low"/>
    <x v="2"/>
    <x v="4"/>
  </r>
  <r>
    <s v="ORD-2025-364852"/>
    <d v="2025-05-18T00:00:00"/>
    <d v="2025-06-09T00:00:00"/>
    <d v="2025-05-18T00:00:00"/>
    <d v="2025-06-09T00:00:00"/>
    <n v="22"/>
    <s v="5-2025"/>
    <s v="Americas"/>
    <x v="9"/>
    <s v="New York"/>
    <s v="Consumer"/>
    <x v="0"/>
    <x v="11"/>
    <s v="Networking"/>
    <s v="NET-3749"/>
    <n v="382.96"/>
    <n v="552.84"/>
    <n v="0.17599999999999999"/>
    <n v="8"/>
    <n v="3644.3212800000006"/>
    <n v="3063.68"/>
    <n v="580.64128000000073"/>
    <n v="0.15932768693763483"/>
    <s v="Q2-2025"/>
    <s v="Americas → USA → New York"/>
    <s v="Low"/>
    <x v="2"/>
    <x v="5"/>
  </r>
  <r>
    <s v="ORD-2025-415018"/>
    <d v="2025-01-22T00:00:00"/>
    <d v="2025-02-04T00:00:00"/>
    <d v="2025-01-22T00:00:00"/>
    <d v="2025-02-04T00:00:00"/>
    <n v="13"/>
    <s v="1-2025"/>
    <s v="Asia"/>
    <x v="2"/>
    <s v="Tokyo"/>
    <s v="Small Business"/>
    <x v="3"/>
    <x v="4"/>
    <s v="Printers"/>
    <s v="PRN-2991"/>
    <n v="122.29"/>
    <n v="224.95"/>
    <n v="0.153"/>
    <n v="28"/>
    <n v="5334.9141999999993"/>
    <n v="3424.1200000000003"/>
    <n v="1910.7941999999989"/>
    <n v="0.3581677471026618"/>
    <s v="Q1-2025"/>
    <s v="Asia → Japan → Tokyo"/>
    <s v="Low"/>
    <x v="2"/>
    <x v="4"/>
  </r>
  <r>
    <s v="ORD-2023-884192"/>
    <d v="2023-01-10T00:00:00"/>
    <d v="2023-01-29T00:00:00"/>
    <d v="2023-01-10T00:00:00"/>
    <d v="2023-01-29T00:00:00"/>
    <n v="19"/>
    <s v="1-2023"/>
    <s v="Europe"/>
    <x v="6"/>
    <s v="Lyon"/>
    <s v="Non-Profit"/>
    <x v="4"/>
    <x v="8"/>
    <s v="Laptops"/>
    <s v="LAP-4551"/>
    <n v="401.66"/>
    <n v="772.09"/>
    <n v="8.8999999999999996E-2"/>
    <n v="14"/>
    <n v="9847.2358600000007"/>
    <n v="5623.2400000000007"/>
    <n v="4223.99586"/>
    <n v="0.42895244107619046"/>
    <s v="Q1-2023"/>
    <s v="Europe → France → Lyon"/>
    <s v="Low"/>
    <x v="1"/>
    <x v="4"/>
  </r>
  <r>
    <s v="ORD-2024-165942"/>
    <d v="2024-12-29T00:00:00"/>
    <d v="2025-01-12T00:00:00"/>
    <d v="2024-12-29T00:00:00"/>
    <d v="2025-01-12T00:00:00"/>
    <n v="14"/>
    <s v="12-2024"/>
    <s v="Europe"/>
    <x v="7"/>
    <s v="Manchester"/>
    <s v="Corporate"/>
    <x v="4"/>
    <x v="5"/>
    <s v="Monitors"/>
    <s v="MON-6310"/>
    <n v="1399.72"/>
    <n v="3149.21"/>
    <n v="0.185"/>
    <n v="12"/>
    <n v="30799.273800000003"/>
    <n v="16796.64"/>
    <n v="14002.633800000003"/>
    <n v="0.45464168703873797"/>
    <s v="Q4-2024"/>
    <s v="Europe → United Kingdom → Manchester"/>
    <s v="High"/>
    <x v="0"/>
    <x v="3"/>
  </r>
  <r>
    <s v="ORD-2024-585443"/>
    <d v="2024-08-17T00:00:00"/>
    <d v="2024-08-15T00:00:00"/>
    <d v="2024-08-15T00:00:00"/>
    <d v="2024-08-17T00:00:00"/>
    <n v="2"/>
    <s v="8-2024"/>
    <s v="Americas"/>
    <x v="5"/>
    <s v="Rio de Janeiro"/>
    <s v="Consumer"/>
    <x v="4"/>
    <x v="13"/>
    <s v="Monitors"/>
    <s v="MON-2849"/>
    <n v="165.3"/>
    <n v="275.07"/>
    <n v="0.13300000000000001"/>
    <n v="25"/>
    <n v="5962.1422499999999"/>
    <n v="4132.5"/>
    <n v="1829.6422499999999"/>
    <n v="0.30687665159280625"/>
    <s v="Q3-2024"/>
    <s v="Americas → Brazil → Rio de Janeiro"/>
    <s v="Low"/>
    <x v="0"/>
    <x v="11"/>
  </r>
  <r>
    <s v="ORD-2025-281062"/>
    <d v="2025-02-15T00:00:00"/>
    <d v="2025-02-27T00:00:00"/>
    <d v="2025-02-15T00:00:00"/>
    <d v="2025-02-27T00:00:00"/>
    <n v="12"/>
    <s v="2-2025"/>
    <s v="Europe"/>
    <x v="6"/>
    <s v="Lyon"/>
    <s v="Non-Profit"/>
    <x v="4"/>
    <x v="12"/>
    <s v="Accessories"/>
    <s v="ACC-1604"/>
    <n v="1027.26"/>
    <n v="2200.41"/>
    <n v="8.7999999999999995E-2"/>
    <n v="6"/>
    <n v="12040.64352"/>
    <n v="6163.5599999999995"/>
    <n v="5877.0835200000001"/>
    <n v="0.48810377204822358"/>
    <s v="Q1-2025"/>
    <s v="Europe → France → Lyon"/>
    <s v="High"/>
    <x v="2"/>
    <x v="2"/>
  </r>
  <r>
    <s v="ORD-2024-925626"/>
    <d v="2024-11-04T00:00:00"/>
    <d v="2024-11-05T00:00:00"/>
    <d v="2024-11-04T00:00:00"/>
    <d v="2024-11-05T00:00:00"/>
    <n v="1"/>
    <s v="11-2024"/>
    <s v="Europe"/>
    <x v="7"/>
    <s v="London"/>
    <s v="Corporate"/>
    <x v="0"/>
    <x v="13"/>
    <s v="Printers"/>
    <s v="PRN-2293"/>
    <n v="840.68"/>
    <n v="1493.53"/>
    <n v="0"/>
    <n v="27"/>
    <n v="40325.31"/>
    <n v="22698.359999999997"/>
    <n v="17626.95"/>
    <n v="0.43711877230454027"/>
    <s v="Q4-2024"/>
    <s v="Europe → United Kingdom → London"/>
    <s v="Medium"/>
    <x v="0"/>
    <x v="10"/>
  </r>
  <r>
    <s v="ORD-2024-427031"/>
    <d v="2024-06-08T00:00:00"/>
    <d v="2024-06-24T00:00:00"/>
    <d v="2024-06-08T00:00:00"/>
    <d v="2024-06-24T00:00:00"/>
    <n v="16"/>
    <s v="6-2024"/>
    <s v="Africa"/>
    <x v="10"/>
    <s v="Durban"/>
    <s v="Education"/>
    <x v="3"/>
    <x v="11"/>
    <s v="Monitors"/>
    <s v="MON-1389"/>
    <n v="597.85"/>
    <n v="741.92"/>
    <n v="3.1E-2"/>
    <n v="7"/>
    <n v="5032.4433599999993"/>
    <n v="4184.95"/>
    <n v="847.49335999999948"/>
    <n v="0.16840594108544515"/>
    <s v="Q2-2024"/>
    <s v="Africa → South Africa → Durban"/>
    <s v="Low"/>
    <x v="0"/>
    <x v="9"/>
  </r>
  <r>
    <s v="ORD-2025-231184"/>
    <d v="2025-06-01T00:00:00"/>
    <d v="2025-06-06T00:00:00"/>
    <d v="2025-06-01T00:00:00"/>
    <d v="2025-06-06T00:00:00"/>
    <n v="5"/>
    <s v="6-2025"/>
    <s v="Europe"/>
    <x v="6"/>
    <s v="Paris"/>
    <s v="Consumer"/>
    <x v="3"/>
    <x v="3"/>
    <s v="Components"/>
    <s v="CMP-4093"/>
    <n v="379.45"/>
    <n v="742.23"/>
    <n v="0.09"/>
    <n v="13"/>
    <n v="8780.5809000000008"/>
    <n v="4932.8499999999995"/>
    <n v="3847.7309000000014"/>
    <n v="0.43820915083192286"/>
    <s v="Q2-2025"/>
    <s v="Europe → France → Paris"/>
    <s v="Low"/>
    <x v="2"/>
    <x v="9"/>
  </r>
  <r>
    <s v="ORD-2023-363031"/>
    <d v="2023-05-06T00:00:00"/>
    <d v="2023-05-14T00:00:00"/>
    <d v="2023-05-06T00:00:00"/>
    <d v="2023-05-14T00:00:00"/>
    <n v="8"/>
    <s v="5-2023"/>
    <s v="Asia"/>
    <x v="2"/>
    <s v="Osaka"/>
    <s v="Enterprise"/>
    <x v="2"/>
    <x v="5"/>
    <s v="Phones"/>
    <s v="PHN-6131"/>
    <n v="291.18"/>
    <n v="479.54"/>
    <n v="0.14099999999999999"/>
    <n v="22"/>
    <n v="9062.34692"/>
    <n v="6405.96"/>
    <n v="2656.3869199999999"/>
    <n v="0.29312350801066001"/>
    <s v="Q2-2023"/>
    <s v="Asia → Japan → Osaka"/>
    <s v="Low"/>
    <x v="1"/>
    <x v="5"/>
  </r>
  <r>
    <s v="ORD-2024-578646"/>
    <d v="2024-05-27T00:00:00"/>
    <d v="2024-06-17T00:00:00"/>
    <d v="2024-05-27T00:00:00"/>
    <d v="2024-06-17T00:00:00"/>
    <n v="21"/>
    <s v="5-2024"/>
    <s v="Asia"/>
    <x v="4"/>
    <s v="Delhi"/>
    <s v="Small Business"/>
    <x v="1"/>
    <x v="11"/>
    <s v="Accessories"/>
    <s v="ACC-7240"/>
    <n v="465.02"/>
    <n v="651.55999999999995"/>
    <n v="4.2000000000000003E-2"/>
    <n v="19"/>
    <n v="11859.695119999998"/>
    <n v="8835.3799999999992"/>
    <n v="3024.3151199999993"/>
    <n v="0.25500783025187918"/>
    <s v="Q2-2024"/>
    <s v="Asia → India → Delhi"/>
    <s v="Low"/>
    <x v="0"/>
    <x v="5"/>
  </r>
  <r>
    <s v="ORD-2025-861401"/>
    <d v="2025-04-01T00:00:00"/>
    <d v="2025-04-27T00:00:00"/>
    <d v="2025-04-01T00:00:00"/>
    <d v="2025-04-27T00:00:00"/>
    <n v="26"/>
    <s v="4-2025"/>
    <s v="Americas"/>
    <x v="9"/>
    <s v="San Francisco"/>
    <s v="Corporate"/>
    <x v="4"/>
    <x v="2"/>
    <s v="Monitors"/>
    <s v="MON-9319"/>
    <n v="156.55000000000001"/>
    <n v="227.45"/>
    <n v="1.4E-2"/>
    <n v="13"/>
    <n v="2915.4540999999999"/>
    <n v="2035.15"/>
    <n v="880.30409999999983"/>
    <n v="0.3019440779396938"/>
    <s v="Q2-2025"/>
    <s v="Americas → USA → San Francisco"/>
    <s v="Low"/>
    <x v="2"/>
    <x v="7"/>
  </r>
  <r>
    <s v="ORD-2023-890605"/>
    <d v="2023-06-24T00:00:00"/>
    <d v="2023-06-22T00:00:00"/>
    <d v="2023-06-22T00:00:00"/>
    <d v="2023-06-24T00:00:00"/>
    <n v="2"/>
    <s v="6-2023"/>
    <s v="Americas"/>
    <x v="3"/>
    <s v="Toronto"/>
    <s v="Non-Profit"/>
    <x v="0"/>
    <x v="13"/>
    <s v="Accessories"/>
    <s v="ACC-2903"/>
    <n v="471.42"/>
    <n v="824.81"/>
    <n v="8.7999999999999995E-2"/>
    <n v="15"/>
    <n v="11283.400799999999"/>
    <n v="7071.3"/>
    <n v="4212.1007999999993"/>
    <n v="0.37330064531608231"/>
    <s v="Q2-2023"/>
    <s v="Americas → Canada → Toronto"/>
    <s v="Low"/>
    <x v="1"/>
    <x v="9"/>
  </r>
  <r>
    <s v="ORD-2024-819979"/>
    <d v="2024-05-28T00:00:00"/>
    <d v="2024-06-18T00:00:00"/>
    <d v="2024-05-28T00:00:00"/>
    <d v="2024-06-18T00:00:00"/>
    <n v="21"/>
    <s v="5-2024"/>
    <s v="Europe"/>
    <x v="11"/>
    <s v="Frankfurt"/>
    <s v="Small Business"/>
    <x v="1"/>
    <x v="6"/>
    <s v="Phones"/>
    <s v="PHN-9399"/>
    <n v="986.85"/>
    <n v="2422.1"/>
    <n v="7.5999999999999998E-2"/>
    <n v="10"/>
    <n v="22380.204000000002"/>
    <n v="9868.5"/>
    <n v="12511.704000000002"/>
    <n v="0.55905227673527913"/>
    <s v="Q2-2024"/>
    <s v="Europe → Germany → Frankfurt"/>
    <s v="High"/>
    <x v="0"/>
    <x v="5"/>
  </r>
  <r>
    <s v="ORD-2024-719055"/>
    <d v="2024-01-02T00:00:00"/>
    <d v="2024-01-01T00:00:00"/>
    <d v="2024-01-01T00:00:00"/>
    <d v="2024-01-02T00:00:00"/>
    <n v="1"/>
    <s v="1-2024"/>
    <s v="Americas"/>
    <x v="9"/>
    <s v="Chicago"/>
    <s v="Education"/>
    <x v="2"/>
    <x v="5"/>
    <s v="Networking"/>
    <s v="NET-4554"/>
    <n v="404.77"/>
    <n v="433.88"/>
    <n v="0.215"/>
    <n v="22"/>
    <n v="7493.1076000000012"/>
    <n v="8904.9399999999987"/>
    <n v="-1411.8323999999975"/>
    <n v="-0.18841747314558746"/>
    <s v="Q1-2024"/>
    <s v="Americas → USA → Chicago"/>
    <s v="Low"/>
    <x v="0"/>
    <x v="4"/>
  </r>
  <r>
    <s v="ORD-2023-888245"/>
    <d v="2023-02-28T00:00:00"/>
    <d v="2023-02-27T00:00:00"/>
    <d v="2023-02-27T00:00:00"/>
    <d v="2023-02-28T00:00:00"/>
    <n v="1"/>
    <s v="2-2023"/>
    <s v="Europe"/>
    <x v="6"/>
    <s v="Marseille"/>
    <s v="Corporate"/>
    <x v="0"/>
    <x v="12"/>
    <s v="Networking"/>
    <s v="NET-5195"/>
    <n v="1299.81"/>
    <n v="3149.13"/>
    <n v="0.10299999999999999"/>
    <n v="14"/>
    <n v="39546.774539999999"/>
    <n v="18197.34"/>
    <n v="21349.434539999998"/>
    <n v="0.53985273864511729"/>
    <s v="Q1-2023"/>
    <s v="Europe → France → Marseille"/>
    <s v="High"/>
    <x v="1"/>
    <x v="2"/>
  </r>
  <r>
    <s v="ORD-2024-500890"/>
    <d v="2024-09-09T00:00:00"/>
    <d v="2024-10-08T00:00:00"/>
    <d v="2024-09-09T00:00:00"/>
    <d v="2024-10-08T00:00:00"/>
    <n v="29"/>
    <s v="9-2024"/>
    <s v="Americas"/>
    <x v="5"/>
    <s v="São Paulo"/>
    <s v="Education"/>
    <x v="4"/>
    <x v="1"/>
    <s v="Components"/>
    <s v="CMP-3093"/>
    <n v="1010.33"/>
    <n v="2492.14"/>
    <n v="5.0999999999999997E-2"/>
    <n v="11"/>
    <n v="26015.449459999996"/>
    <n v="11113.630000000001"/>
    <n v="14901.819459999995"/>
    <n v="0.57280653493656752"/>
    <s v="Q3-2024"/>
    <s v="Americas → Brazil → São Paulo"/>
    <s v="High"/>
    <x v="0"/>
    <x v="8"/>
  </r>
  <r>
    <s v="ORD-2024-777623"/>
    <d v="2024-09-19T00:00:00"/>
    <d v="2024-10-14T00:00:00"/>
    <d v="2024-09-19T00:00:00"/>
    <d v="2024-10-14T00:00:00"/>
    <n v="25"/>
    <s v="9-2024"/>
    <s v="Americas"/>
    <x v="5"/>
    <s v="Rio de Janeiro"/>
    <s v="Small Business"/>
    <x v="0"/>
    <x v="12"/>
    <s v="Printers"/>
    <s v="PRN-2749"/>
    <n v="386.96"/>
    <n v="937.46"/>
    <n v="0.26600000000000001"/>
    <n v="41"/>
    <n v="28211.92124"/>
    <n v="15865.359999999999"/>
    <n v="12346.561240000001"/>
    <n v="0.43763631462626335"/>
    <s v="Q3-2024"/>
    <s v="Americas → Brazil → Rio de Janeiro"/>
    <s v="Low"/>
    <x v="0"/>
    <x v="8"/>
  </r>
  <r>
    <s v="ORD-2023-842488"/>
    <d v="2023-10-31T00:00:00"/>
    <d v="2023-11-02T00:00:00"/>
    <d v="2023-10-31T00:00:00"/>
    <d v="2023-11-02T00:00:00"/>
    <n v="2"/>
    <s v="10-2023"/>
    <s v="Africa"/>
    <x v="0"/>
    <s v="Kisumu"/>
    <s v="Education"/>
    <x v="0"/>
    <x v="7"/>
    <s v="Accessories"/>
    <s v="ACC-4124"/>
    <n v="867.89"/>
    <n v="1349.94"/>
    <n v="0.184"/>
    <n v="10"/>
    <n v="11015.510400000003"/>
    <n v="8678.9"/>
    <n v="2336.6104000000032"/>
    <n v="0.21212003031652557"/>
    <s v="Q4-2023"/>
    <s v="Africa → Kenya → Kisumu"/>
    <s v="Medium"/>
    <x v="1"/>
    <x v="1"/>
  </r>
  <r>
    <s v="ORD-2024-153053"/>
    <d v="2024-01-12T00:00:00"/>
    <d v="2024-01-29T00:00:00"/>
    <d v="2024-01-12T00:00:00"/>
    <d v="2024-01-29T00:00:00"/>
    <n v="17"/>
    <s v="1-2024"/>
    <s v="Asia"/>
    <x v="4"/>
    <s v="Hyderabad"/>
    <s v="Small Business"/>
    <x v="4"/>
    <x v="5"/>
    <s v="Components"/>
    <s v="CMP-5138"/>
    <n v="310.02"/>
    <n v="619.51"/>
    <n v="4.2000000000000003E-2"/>
    <n v="4"/>
    <n v="2373.9623200000001"/>
    <n v="1240.08"/>
    <n v="1133.8823200000002"/>
    <n v="0.47763282106347843"/>
    <s v="Q1-2024"/>
    <s v="Asia → India → Hyderabad"/>
    <s v="Low"/>
    <x v="0"/>
    <x v="4"/>
  </r>
  <r>
    <s v="ORD-2023-536542"/>
    <d v="2023-06-10T00:00:00"/>
    <d v="2023-06-18T00:00:00"/>
    <d v="2023-06-10T00:00:00"/>
    <d v="2023-06-18T00:00:00"/>
    <n v="8"/>
    <s v="6-2023"/>
    <s v="Africa"/>
    <x v="0"/>
    <s v="Nakuru"/>
    <s v="Enterprise"/>
    <x v="4"/>
    <x v="11"/>
    <s v="Phones"/>
    <s v="PHN-2337"/>
    <n v="894.23"/>
    <n v="1421.55"/>
    <n v="0.109"/>
    <n v="3"/>
    <n v="3799.8031499999997"/>
    <n v="2682.69"/>
    <n v="1117.1131499999997"/>
    <n v="0.29399237431549574"/>
    <s v="Q2-2023"/>
    <s v="Africa → Kenya → Nakuru"/>
    <s v="Medium"/>
    <x v="1"/>
    <x v="9"/>
  </r>
  <r>
    <s v="ORD-2024-444710"/>
    <d v="2024-09-22T00:00:00"/>
    <d v="2024-10-01T00:00:00"/>
    <d v="2024-09-22T00:00:00"/>
    <d v="2024-10-01T00:00:00"/>
    <n v="9"/>
    <s v="9-2024"/>
    <s v="Americas"/>
    <x v="5"/>
    <s v="São Paulo"/>
    <s v="Non-Profit"/>
    <x v="1"/>
    <x v="12"/>
    <s v="Monitors"/>
    <s v="MON-6341"/>
    <n v="1378.8"/>
    <n v="1952.04"/>
    <n v="0.159"/>
    <n v="19"/>
    <n v="31191.64716"/>
    <n v="26197.200000000001"/>
    <n v="4994.4471599999997"/>
    <n v="0.16012130216723058"/>
    <s v="Q3-2024"/>
    <s v="Americas → Brazil → São Paulo"/>
    <s v="High"/>
    <x v="0"/>
    <x v="8"/>
  </r>
  <r>
    <s v="ORD-2023-163610"/>
    <d v="2023-10-22T00:00:00"/>
    <d v="2023-11-16T00:00:00"/>
    <d v="2023-10-22T00:00:00"/>
    <d v="2023-11-16T00:00:00"/>
    <n v="25"/>
    <s v="10-2023"/>
    <s v="Americas"/>
    <x v="3"/>
    <s v="Toronto"/>
    <s v="Small Business"/>
    <x v="2"/>
    <x v="2"/>
    <s v="Laptops"/>
    <s v="LAP-9024"/>
    <n v="1373.31"/>
    <n v="3154.14"/>
    <n v="0.2"/>
    <n v="11"/>
    <n v="27756.432000000001"/>
    <n v="15106.41"/>
    <n v="12650.022000000001"/>
    <n v="0.45575101295440279"/>
    <s v="Q4-2023"/>
    <s v="Americas → Canada → Toronto"/>
    <s v="High"/>
    <x v="1"/>
    <x v="1"/>
  </r>
  <r>
    <s v="ORD-2025-653781"/>
    <d v="2025-01-11T00:00:00"/>
    <d v="2025-01-23T00:00:00"/>
    <d v="2025-01-11T00:00:00"/>
    <d v="2025-01-23T00:00:00"/>
    <n v="12"/>
    <s v="1-2025"/>
    <s v="Americas"/>
    <x v="9"/>
    <s v="Austin"/>
    <s v="Consumer"/>
    <x v="3"/>
    <x v="11"/>
    <s v="Phones"/>
    <s v="PHN-6307"/>
    <n v="100.69"/>
    <n v="226.14"/>
    <n v="6.5000000000000002E-2"/>
    <n v="12"/>
    <n v="2537.2908000000002"/>
    <n v="1208.28"/>
    <n v="1329.0108000000002"/>
    <n v="0.52379128162999689"/>
    <s v="Q1-2025"/>
    <s v="Americas → USA → Austin"/>
    <s v="Low"/>
    <x v="2"/>
    <x v="4"/>
  </r>
  <r>
    <s v="ORD-2025-737787"/>
    <d v="2025-09-14T00:00:00"/>
    <d v="2025-09-26T00:00:00"/>
    <d v="2025-09-14T00:00:00"/>
    <d v="2025-09-26T00:00:00"/>
    <n v="12"/>
    <s v="9-2025"/>
    <s v="Europe"/>
    <x v="7"/>
    <s v="London"/>
    <s v="Small Business"/>
    <x v="4"/>
    <x v="10"/>
    <s v="Networking"/>
    <s v="NET-9003"/>
    <n v="425.15"/>
    <n v="885.92"/>
    <n v="0.23899999999999999"/>
    <n v="13"/>
    <n v="8764.4065599999994"/>
    <n v="5526.95"/>
    <n v="3237.4565599999996"/>
    <n v="0.3693868532725848"/>
    <s v="Q3-2025"/>
    <s v="Europe → United Kingdom → London"/>
    <s v="Low"/>
    <x v="2"/>
    <x v="8"/>
  </r>
  <r>
    <s v="ORD-2025-580047"/>
    <d v="2025-06-14T00:00:00"/>
    <d v="2025-06-29T00:00:00"/>
    <d v="2025-06-14T00:00:00"/>
    <d v="2025-06-29T00:00:00"/>
    <n v="15"/>
    <s v="6-2025"/>
    <s v="Africa"/>
    <x v="1"/>
    <s v="Port Harcourt"/>
    <s v="Consumer"/>
    <x v="2"/>
    <x v="13"/>
    <s v="Accessories"/>
    <s v="ACC-3961"/>
    <n v="730.99"/>
    <n v="1242.8399999999999"/>
    <n v="0.12"/>
    <n v="10"/>
    <n v="10936.992"/>
    <n v="7309.9"/>
    <n v="3627.0920000000006"/>
    <n v="0.33163524303574515"/>
    <s v="Q2-2025"/>
    <s v="Africa → Nigeria → Port Harcourt"/>
    <s v="Medium"/>
    <x v="2"/>
    <x v="9"/>
  </r>
  <r>
    <s v="ORD-2024-655710"/>
    <d v="2024-11-30T00:00:00"/>
    <d v="2024-12-10T00:00:00"/>
    <d v="2024-11-30T00:00:00"/>
    <d v="2024-12-10T00:00:00"/>
    <n v="10"/>
    <s v="11-2024"/>
    <s v="Asia"/>
    <x v="4"/>
    <s v="Hyderabad"/>
    <s v="Small Business"/>
    <x v="0"/>
    <x v="9"/>
    <s v="Accessories"/>
    <s v="ACC-1075"/>
    <n v="851.49"/>
    <n v="901.79"/>
    <n v="0.245"/>
    <n v="16"/>
    <n v="10893.6232"/>
    <n v="13623.84"/>
    <n v="-2730.2168000000001"/>
    <n v="-0.25062522816100341"/>
    <s v="Q4-2024"/>
    <s v="Asia → India → Hyderabad"/>
    <s v="Low"/>
    <x v="0"/>
    <x v="10"/>
  </r>
  <r>
    <s v="ORD-2025-323492"/>
    <d v="2025-04-27T00:00:00"/>
    <d v="2025-05-27T00:00:00"/>
    <d v="2025-04-27T00:00:00"/>
    <d v="2025-05-27T00:00:00"/>
    <n v="30"/>
    <s v="4-2025"/>
    <s v="Asia"/>
    <x v="4"/>
    <s v="Unknown City"/>
    <s v="Enterprise"/>
    <x v="2"/>
    <x v="11"/>
    <s v="Phones"/>
    <s v="PHN-3854"/>
    <n v="481.32"/>
    <n v="1135.99"/>
    <n v="0.14499999999999999"/>
    <n v="5"/>
    <n v="4856.35725"/>
    <n v="2406.6"/>
    <n v="2449.7572500000001"/>
    <n v="0.50444337677175621"/>
    <s v="Q2-2025"/>
    <s v="Asia → India → Unknown City"/>
    <s v="Low"/>
    <x v="2"/>
    <x v="7"/>
  </r>
  <r>
    <s v="ORD-2024-332076"/>
    <d v="2024-04-09T00:00:00"/>
    <d v="2024-04-18T00:00:00"/>
    <d v="2024-04-09T00:00:00"/>
    <d v="2024-04-18T00:00:00"/>
    <n v="9"/>
    <s v="4-2024"/>
    <s v="Europe"/>
    <x v="6"/>
    <s v="Lyon"/>
    <s v="Consumer"/>
    <x v="1"/>
    <x v="6"/>
    <s v="Printers"/>
    <s v="PRN-1086"/>
    <n v="1288.8499999999999"/>
    <n v="2751.84"/>
    <n v="0.158"/>
    <n v="7"/>
    <n v="16219.34496"/>
    <n v="9021.9499999999989"/>
    <n v="7197.3949600000014"/>
    <n v="0.44375373837538756"/>
    <s v="Q2-2024"/>
    <s v="Europe → France → Lyon"/>
    <s v="High"/>
    <x v="0"/>
    <x v="7"/>
  </r>
  <r>
    <s v="ORD-2024-571797"/>
    <d v="2024-07-11T00:00:00"/>
    <d v="2024-07-31T00:00:00"/>
    <d v="2024-07-11T00:00:00"/>
    <d v="2024-07-31T00:00:00"/>
    <n v="20"/>
    <s v="7-2024"/>
    <s v="Asia"/>
    <x v="8"/>
    <s v="Shenzhen"/>
    <s v="Consumer"/>
    <x v="1"/>
    <x v="3"/>
    <s v="Phones"/>
    <s v="PHN-7815"/>
    <n v="647.26"/>
    <n v="1374.72"/>
    <n v="6.6000000000000003E-2"/>
    <n v="22"/>
    <n v="28247.74656"/>
    <n v="14239.72"/>
    <n v="14008.02656"/>
    <n v="0.49589890401508901"/>
    <s v="Q3-2024"/>
    <s v="Asia → China → Shenzhen"/>
    <s v="Medium"/>
    <x v="0"/>
    <x v="6"/>
  </r>
  <r>
    <s v="ORD-2024-588972"/>
    <d v="2024-11-02T00:00:00"/>
    <d v="2024-11-29T00:00:00"/>
    <d v="2024-11-02T00:00:00"/>
    <d v="2024-11-29T00:00:00"/>
    <n v="27"/>
    <s v="11-2024"/>
    <s v="Americas"/>
    <x v="5"/>
    <s v="Brasília"/>
    <s v="Small Business"/>
    <x v="4"/>
    <x v="2"/>
    <s v="Networking"/>
    <s v="NET-8561"/>
    <n v="1363.51"/>
    <n v="1433.9"/>
    <n v="5.7000000000000002E-2"/>
    <n v="8"/>
    <n v="10817.3416"/>
    <n v="10908.08"/>
    <n v="-90.738400000000183"/>
    <n v="-8.3882346842037592E-3"/>
    <s v="Q4-2024"/>
    <s v="Americas → Brazil → Brasília"/>
    <s v="Medium"/>
    <x v="0"/>
    <x v="10"/>
  </r>
  <r>
    <s v="ORD-2025-649633"/>
    <d v="2025-07-19T00:00:00"/>
    <d v="2025-07-31T00:00:00"/>
    <d v="2025-07-19T00:00:00"/>
    <d v="2025-07-31T00:00:00"/>
    <n v="12"/>
    <s v="7-2025"/>
    <s v="Africa"/>
    <x v="0"/>
    <s v="Nairobi"/>
    <s v="Small Business"/>
    <x v="2"/>
    <x v="7"/>
    <s v="Accessories"/>
    <s v="ACC-1028"/>
    <n v="619.64"/>
    <n v="861.16"/>
    <n v="0.113"/>
    <n v="14"/>
    <n v="10693.88488"/>
    <n v="8674.9599999999991"/>
    <n v="2018.9248800000005"/>
    <n v="0.18879246435276761"/>
    <s v="Q3-2025"/>
    <s v="Africa → Kenya → Nairobi"/>
    <s v="Low"/>
    <x v="2"/>
    <x v="6"/>
  </r>
  <r>
    <s v="ORD-2023-825084"/>
    <d v="2023-07-14T00:00:00"/>
    <d v="2023-07-21T00:00:00"/>
    <d v="2023-07-14T00:00:00"/>
    <d v="2023-07-21T00:00:00"/>
    <n v="7"/>
    <s v="7-2023"/>
    <s v="Africa"/>
    <x v="10"/>
    <s v="Durban"/>
    <s v="Enterprise"/>
    <x v="2"/>
    <x v="15"/>
    <s v="Monitors"/>
    <s v="MON-1018"/>
    <n v="620.74"/>
    <n v="1330.07"/>
    <n v="0.29899999999999999"/>
    <n v="28"/>
    <n v="26106.613960000002"/>
    <n v="17380.72"/>
    <n v="8725.8939600000012"/>
    <n v="0.33424073965967516"/>
    <s v="Q3-2023"/>
    <s v="Africa → South Africa → Durban"/>
    <s v="Medium"/>
    <x v="1"/>
    <x v="6"/>
  </r>
  <r>
    <s v="ORD-2024-287210"/>
    <d v="2024-03-18T00:00:00"/>
    <d v="2024-03-21T00:00:00"/>
    <d v="2024-03-18T00:00:00"/>
    <d v="2024-03-21T00:00:00"/>
    <n v="3"/>
    <s v="3-2024"/>
    <s v="Europe"/>
    <x v="11"/>
    <s v="Munich"/>
    <s v="Small Business"/>
    <x v="1"/>
    <x v="13"/>
    <s v="Accessories"/>
    <s v="ACC-2761"/>
    <n v="910.63"/>
    <n v="1269.4000000000001"/>
    <n v="6.8000000000000005E-2"/>
    <n v="9"/>
    <n v="10647.727199999999"/>
    <n v="8195.67"/>
    <n v="2452.0571999999993"/>
    <n v="0.23028925834989455"/>
    <s v="Q1-2024"/>
    <s v="Europe → Germany → Munich"/>
    <s v="Medium"/>
    <x v="0"/>
    <x v="0"/>
  </r>
  <r>
    <s v="ORD-2023-766015"/>
    <d v="2023-04-13T00:00:00"/>
    <d v="2023-04-11T00:00:00"/>
    <d v="2023-04-11T00:00:00"/>
    <d v="2023-04-13T00:00:00"/>
    <n v="2"/>
    <s v="4-2023"/>
    <s v="Americas"/>
    <x v="9"/>
    <s v="San Francisco"/>
    <s v="Education"/>
    <x v="2"/>
    <x v="3"/>
    <s v="Networking"/>
    <s v="NET-1816"/>
    <n v="32.1"/>
    <n v="70.599999999999994"/>
    <n v="0.28199999999999997"/>
    <n v="22"/>
    <n v="1115.1975999999997"/>
    <n v="706.2"/>
    <n v="408.99759999999969"/>
    <n v="0.36674899587301818"/>
    <s v="Q2-2023"/>
    <s v="Americas → USA → San Francisco"/>
    <s v="Low"/>
    <x v="1"/>
    <x v="7"/>
  </r>
  <r>
    <s v="ORD-2024-333192"/>
    <d v="2024-10-29T00:00:00"/>
    <d v="2024-11-04T00:00:00"/>
    <d v="2024-10-29T00:00:00"/>
    <d v="2024-11-04T00:00:00"/>
    <n v="6"/>
    <s v="10-2024"/>
    <s v="Africa"/>
    <x v="0"/>
    <s v="Nairobi"/>
    <s v="Corporate"/>
    <x v="3"/>
    <x v="13"/>
    <s v="Printers"/>
    <s v="PRN-4893"/>
    <n v="805.81"/>
    <n v="1823.04"/>
    <n v="0"/>
    <n v="11"/>
    <n v="20053.439999999999"/>
    <n v="8863.91"/>
    <n v="11189.529999999999"/>
    <n v="0.55798556257679477"/>
    <s v="Q4-2024"/>
    <s v="Africa → Kenya → Nairobi"/>
    <s v="Medium"/>
    <x v="0"/>
    <x v="1"/>
  </r>
  <r>
    <s v="ORD-2024-647473"/>
    <d v="2024-02-17T00:00:00"/>
    <d v="2024-03-04T00:00:00"/>
    <d v="2024-02-17T00:00:00"/>
    <d v="2024-03-04T00:00:00"/>
    <n v="16"/>
    <s v="2-2024"/>
    <s v="Asia"/>
    <x v="4"/>
    <s v="Delhi"/>
    <s v="Small Business"/>
    <x v="2"/>
    <x v="9"/>
    <s v="Phones"/>
    <s v="PHN-1717"/>
    <n v="1231.8"/>
    <n v="2015.99"/>
    <n v="0.26100000000000001"/>
    <n v="6"/>
    <n v="8938.8996600000009"/>
    <n v="7390.7999999999993"/>
    <n v="1548.0996600000017"/>
    <n v="0.17318682599464391"/>
    <s v="Q1-2024"/>
    <s v="Asia → India → Delhi"/>
    <s v="High"/>
    <x v="0"/>
    <x v="2"/>
  </r>
  <r>
    <s v="ORD-2024-892908"/>
    <d v="2024-07-13T00:00:00"/>
    <d v="2024-07-12T00:00:00"/>
    <d v="2024-07-12T00:00:00"/>
    <d v="2024-07-13T00:00:00"/>
    <n v="1"/>
    <s v="7-2024"/>
    <s v="Asia"/>
    <x v="2"/>
    <s v="Nagoya"/>
    <s v="Small Business"/>
    <x v="2"/>
    <x v="9"/>
    <s v="Networking"/>
    <s v="NET-9575"/>
    <n v="105.13"/>
    <n v="244.13"/>
    <n v="7.0999999999999994E-2"/>
    <n v="14"/>
    <n v="3175.1547799999998"/>
    <n v="1471.82"/>
    <n v="1703.3347799999999"/>
    <n v="0.53645724319618837"/>
    <s v="Q3-2024"/>
    <s v="Asia → Japan → Nagoya"/>
    <s v="Low"/>
    <x v="0"/>
    <x v="6"/>
  </r>
  <r>
    <s v="ORD-2023-573146"/>
    <d v="2023-12-01T00:00:00"/>
    <d v="2023-12-18T00:00:00"/>
    <d v="2023-12-01T00:00:00"/>
    <d v="2023-12-18T00:00:00"/>
    <n v="17"/>
    <s v="12-2023"/>
    <s v="Asia"/>
    <x v="2"/>
    <s v="Nagoya"/>
    <s v="Small Business"/>
    <x v="4"/>
    <x v="10"/>
    <s v="Laptops"/>
    <s v="LAP-3604"/>
    <n v="1495.79"/>
    <n v="2783.12"/>
    <n v="0.02"/>
    <n v="5"/>
    <n v="13637.287999999999"/>
    <n v="7478.95"/>
    <n v="6158.3379999999988"/>
    <n v="0.45158084217331185"/>
    <s v="Q4-2023"/>
    <s v="Asia → Japan → Nagoya"/>
    <s v="High"/>
    <x v="1"/>
    <x v="3"/>
  </r>
  <r>
    <s v="ORD-2023-399631"/>
    <d v="2023-06-22T00:00:00"/>
    <d v="2023-07-21T00:00:00"/>
    <d v="2023-06-22T00:00:00"/>
    <d v="2023-07-21T00:00:00"/>
    <n v="29"/>
    <s v="6-2023"/>
    <s v="Europe"/>
    <x v="6"/>
    <s v="Lyon"/>
    <s v="Corporate"/>
    <x v="0"/>
    <x v="1"/>
    <s v="Accessories"/>
    <s v="ACC-3385"/>
    <n v="734.34"/>
    <n v="887.9"/>
    <n v="2.5000000000000001E-2"/>
    <n v="12"/>
    <n v="10388.429999999998"/>
    <n v="8812.08"/>
    <n v="1576.3499999999985"/>
    <n v="0.15174092716608753"/>
    <s v="Q2-2023"/>
    <s v="Europe → France → Lyon"/>
    <s v="Low"/>
    <x v="1"/>
    <x v="9"/>
  </r>
  <r>
    <s v="ORD-2023-898009"/>
    <d v="2023-05-04T00:00:00"/>
    <d v="2023-05-16T00:00:00"/>
    <d v="2023-05-04T00:00:00"/>
    <d v="2023-05-16T00:00:00"/>
    <n v="12"/>
    <s v="5-2023"/>
    <s v="Africa"/>
    <x v="1"/>
    <s v="Abuja"/>
    <s v="Small Business"/>
    <x v="2"/>
    <x v="1"/>
    <s v="Phones"/>
    <s v="PHN-1670"/>
    <n v="77.739999999999995"/>
    <n v="147.12"/>
    <n v="0"/>
    <n v="15"/>
    <n v="2206.8000000000002"/>
    <n v="1166.0999999999999"/>
    <n v="1040.7000000000003"/>
    <n v="0.47158781946710177"/>
    <s v="Q2-2023"/>
    <s v="Africa → Nigeria → Abuja"/>
    <s v="Low"/>
    <x v="1"/>
    <x v="5"/>
  </r>
  <r>
    <s v="ORD-2023-208944"/>
    <d v="2023-12-21T00:00:00"/>
    <d v="2024-01-06T00:00:00"/>
    <d v="2023-12-21T00:00:00"/>
    <d v="2024-01-06T00:00:00"/>
    <n v="16"/>
    <s v="12-2023"/>
    <s v="Africa"/>
    <x v="1"/>
    <s v="Unknown City"/>
    <s v="Corporate"/>
    <x v="2"/>
    <x v="12"/>
    <s v="Components"/>
    <s v="CMP-4792"/>
    <n v="932.61"/>
    <n v="1982.98"/>
    <n v="0.14399999999999999"/>
    <n v="16"/>
    <n v="27158.894079999998"/>
    <n v="14921.76"/>
    <n v="12237.134079999998"/>
    <n v="0.45057556629345635"/>
    <s v="Q4-2023"/>
    <s v="Africa → Nigeria → Unknown City"/>
    <s v="High"/>
    <x v="1"/>
    <x v="3"/>
  </r>
  <r>
    <s v="ORD-2025-480172"/>
    <d v="2025-06-17T00:00:00"/>
    <d v="2025-07-05T00:00:00"/>
    <d v="2025-06-17T00:00:00"/>
    <d v="2025-07-05T00:00:00"/>
    <n v="18"/>
    <s v="6-2025"/>
    <s v="Asia"/>
    <x v="4"/>
    <s v="Delhi"/>
    <s v="Consumer"/>
    <x v="2"/>
    <x v="4"/>
    <s v="Laptops"/>
    <s v="LAP-1990"/>
    <n v="982.93"/>
    <n v="2299.3000000000002"/>
    <n v="0.113"/>
    <n v="6"/>
    <n v="12236.874600000001"/>
    <n v="5897.58"/>
    <n v="6339.2946000000011"/>
    <n v="0.51804850562087157"/>
    <s v="Q2-2025"/>
    <s v="Asia → India → Delhi"/>
    <s v="High"/>
    <x v="2"/>
    <x v="9"/>
  </r>
  <r>
    <s v="ORD-2023-735274"/>
    <d v="2023-02-23T00:00:00"/>
    <d v="2023-03-08T00:00:00"/>
    <d v="2023-02-23T00:00:00"/>
    <d v="2023-03-08T00:00:00"/>
    <n v="13"/>
    <s v="2-2023"/>
    <s v="Europe"/>
    <x v="7"/>
    <s v="Manchester"/>
    <s v="Small Business"/>
    <x v="4"/>
    <x v="0"/>
    <s v="Printers"/>
    <s v="PRN-7410"/>
    <n v="307.37"/>
    <n v="462.61"/>
    <n v="0.188"/>
    <n v="11"/>
    <n v="4132.0325200000007"/>
    <n v="3381.07"/>
    <n v="750.9625200000005"/>
    <n v="0.18174167709599739"/>
    <s v="Q1-2023"/>
    <s v="Europe → United Kingdom → Manchester"/>
    <s v="Low"/>
    <x v="1"/>
    <x v="2"/>
  </r>
  <r>
    <s v="ORD-2023-212701"/>
    <d v="2023-12-02T00:00:00"/>
    <d v="2023-12-16T00:00:00"/>
    <d v="2023-12-02T00:00:00"/>
    <d v="2023-12-16T00:00:00"/>
    <n v="14"/>
    <s v="12-2023"/>
    <s v="Europe"/>
    <x v="11"/>
    <s v="Frankfurt"/>
    <s v="Education"/>
    <x v="4"/>
    <x v="10"/>
    <s v="Monitors"/>
    <s v="MON-4278"/>
    <n v="879.08"/>
    <n v="1093.3900000000001"/>
    <n v="0.113"/>
    <n v="17"/>
    <n v="16487.22781"/>
    <n v="14944.36"/>
    <n v="1542.8678099999997"/>
    <n v="9.3579577341935186E-2"/>
    <s v="Q4-2023"/>
    <s v="Europe → Germany → Frankfurt"/>
    <s v="Low"/>
    <x v="1"/>
    <x v="3"/>
  </r>
  <r>
    <s v="ORD-2025-766923"/>
    <d v="2025-02-15T00:00:00"/>
    <d v="2025-02-15T00:00:00"/>
    <d v="2025-02-15T00:00:00"/>
    <d v="2025-02-15T00:00:00"/>
    <n v="0"/>
    <s v="2-2025"/>
    <s v="Europe"/>
    <x v="11"/>
    <s v="Frankfurt"/>
    <s v="Small Business"/>
    <x v="2"/>
    <x v="4"/>
    <s v="Accessories"/>
    <s v="ACC-3989"/>
    <n v="815.83"/>
    <n v="1982.18"/>
    <n v="0.127"/>
    <n v="6"/>
    <n v="10382.65884"/>
    <n v="4894.9800000000005"/>
    <n v="5487.6788399999996"/>
    <n v="0.52854272923408507"/>
    <s v="Q1-2025"/>
    <s v="Europe → Germany → Frankfurt"/>
    <s v="High"/>
    <x v="2"/>
    <x v="2"/>
  </r>
  <r>
    <s v="ORD-2024-915495"/>
    <d v="2024-08-08T00:00:00"/>
    <d v="2024-08-20T00:00:00"/>
    <d v="2024-08-08T00:00:00"/>
    <d v="2024-08-20T00:00:00"/>
    <n v="12"/>
    <s v="8-2024"/>
    <s v="Asia"/>
    <x v="2"/>
    <s v="Osaka"/>
    <s v="Small Business"/>
    <x v="0"/>
    <x v="11"/>
    <s v="Networking"/>
    <s v="NET-8957"/>
    <n v="1233.3599999999999"/>
    <n v="2120.4"/>
    <n v="0.17899999999999999"/>
    <n v="20"/>
    <n v="34816.968000000001"/>
    <n v="24667.199999999997"/>
    <n v="10149.768000000004"/>
    <n v="0.29151785991244278"/>
    <s v="Q3-2024"/>
    <s v="Asia → Japan → Osaka"/>
    <s v="High"/>
    <x v="0"/>
    <x v="11"/>
  </r>
  <r>
    <s v="ORD-2024-225829"/>
    <d v="2024-11-07T00:00:00"/>
    <d v="2024-11-26T00:00:00"/>
    <d v="2024-11-07T00:00:00"/>
    <d v="2024-11-26T00:00:00"/>
    <n v="19"/>
    <s v="11-2024"/>
    <s v="Americas"/>
    <x v="5"/>
    <s v="Rio de Janeiro"/>
    <s v="Non-Profit"/>
    <x v="3"/>
    <x v="1"/>
    <s v="Printers"/>
    <s v="PRN-9960"/>
    <n v="55.35"/>
    <n v="128.68"/>
    <n v="0.128"/>
    <n v="10"/>
    <n v="1122.0896000000002"/>
    <n v="553.5"/>
    <n v="568.58960000000025"/>
    <n v="0.50672388372550647"/>
    <s v="Q4-2024"/>
    <s v="Americas → Brazil → Rio de Janeiro"/>
    <s v="Low"/>
    <x v="0"/>
    <x v="10"/>
  </r>
  <r>
    <s v="ORD-2023-144816"/>
    <d v="2023-05-07T00:00:00"/>
    <d v="2023-05-29T00:00:00"/>
    <d v="2023-05-07T00:00:00"/>
    <d v="2023-05-29T00:00:00"/>
    <n v="22"/>
    <s v="5-2023"/>
    <s v="Africa"/>
    <x v="10"/>
    <s v="Durban"/>
    <s v="Education"/>
    <x v="3"/>
    <x v="12"/>
    <s v="Accessories"/>
    <s v="ACC-2364"/>
    <n v="653.86"/>
    <n v="931.84"/>
    <n v="0.121"/>
    <n v="12"/>
    <n v="9829.0483199999999"/>
    <n v="7846.32"/>
    <n v="1982.7283200000002"/>
    <n v="0.20172129136506273"/>
    <s v="Q2-2023"/>
    <s v="Africa → South Africa → Durban"/>
    <s v="Low"/>
    <x v="1"/>
    <x v="5"/>
  </r>
  <r>
    <s v="ORD-2025-149156"/>
    <d v="2025-01-10T00:00:00"/>
    <d v="2025-02-06T00:00:00"/>
    <d v="2025-01-10T00:00:00"/>
    <d v="2025-02-06T00:00:00"/>
    <n v="27"/>
    <s v="1-2025"/>
    <s v="Americas"/>
    <x v="5"/>
    <s v="Brasília"/>
    <s v="Non-Profit"/>
    <x v="0"/>
    <x v="5"/>
    <s v="Laptops"/>
    <s v="LAP-7353"/>
    <n v="725.62"/>
    <n v="1559.19"/>
    <n v="0.19"/>
    <n v="12"/>
    <n v="15155.326800000001"/>
    <n v="8707.44"/>
    <n v="6447.8868000000002"/>
    <n v="0.42545349797405885"/>
    <s v="Q1-2025"/>
    <s v="Americas → Brazil → Brasília"/>
    <s v="Medium"/>
    <x v="2"/>
    <x v="4"/>
  </r>
  <r>
    <s v="ORD-2025-909340"/>
    <d v="2025-01-20T00:00:00"/>
    <d v="2025-02-03T00:00:00"/>
    <d v="2025-01-20T00:00:00"/>
    <d v="2025-02-03T00:00:00"/>
    <n v="14"/>
    <s v="1-2025"/>
    <s v="Americas"/>
    <x v="5"/>
    <s v="Brasília"/>
    <s v="Enterprise"/>
    <x v="2"/>
    <x v="9"/>
    <s v="Components"/>
    <s v="CMP-8658"/>
    <n v="974.11"/>
    <n v="880.99"/>
    <n v="0.111"/>
    <n v="10"/>
    <n v="7832.0010999999995"/>
    <n v="9741.1"/>
    <n v="-1909.0989000000009"/>
    <n v="-0.2437562093805121"/>
    <s v="Q1-2025"/>
    <s v="Americas → Brazil → Brasília"/>
    <s v="Low"/>
    <x v="2"/>
    <x v="4"/>
  </r>
  <r>
    <s v="ORD-2023-727290"/>
    <d v="2023-04-03T00:00:00"/>
    <d v="2023-04-16T00:00:00"/>
    <d v="2023-04-03T00:00:00"/>
    <d v="2023-04-16T00:00:00"/>
    <n v="13"/>
    <s v="4-2023"/>
    <s v="Europe"/>
    <x v="6"/>
    <s v="Marseille"/>
    <s v="Non-Profit"/>
    <x v="2"/>
    <x v="13"/>
    <s v="Accessories"/>
    <s v="ACC-4815"/>
    <n v="790.54"/>
    <n v="601.49"/>
    <n v="0"/>
    <n v="15"/>
    <n v="9022.35"/>
    <n v="11858.099999999999"/>
    <n v="-2835.7499999999982"/>
    <n v="-0.31430281467688553"/>
    <s v="Q2-2023"/>
    <s v="Europe → France → Marseille"/>
    <s v="Low"/>
    <x v="1"/>
    <x v="7"/>
  </r>
  <r>
    <s v="ORD-2024-892173"/>
    <d v="2024-01-18T00:00:00"/>
    <d v="2024-02-03T00:00:00"/>
    <d v="2024-01-18T00:00:00"/>
    <d v="2024-02-03T00:00:00"/>
    <n v="16"/>
    <s v="1-2024"/>
    <s v="Africa"/>
    <x v="10"/>
    <s v="Cape Town"/>
    <s v="Non-Profit"/>
    <x v="3"/>
    <x v="4"/>
    <s v="Printers"/>
    <s v="PRN-6660"/>
    <n v="666.23"/>
    <n v="1382.91"/>
    <n v="0.17599999999999999"/>
    <n v="13"/>
    <n v="14813.731920000002"/>
    <n v="8660.99"/>
    <n v="6152.7419200000022"/>
    <n v="0.41534043907553048"/>
    <s v="Q1-2024"/>
    <s v="Africa → South Africa → Cape Town"/>
    <s v="Medium"/>
    <x v="0"/>
    <x v="4"/>
  </r>
  <r>
    <s v="ORD-2023-406606"/>
    <d v="2023-10-25T00:00:00"/>
    <d v="2023-10-28T00:00:00"/>
    <d v="2023-10-25T00:00:00"/>
    <d v="2023-10-28T00:00:00"/>
    <n v="3"/>
    <s v="10-2023"/>
    <s v="Americas"/>
    <x v="5"/>
    <s v="Brasília"/>
    <s v="Corporate"/>
    <x v="3"/>
    <x v="4"/>
    <s v="Accessories"/>
    <s v="ACC-2867"/>
    <n v="509.31"/>
    <n v="1145.9000000000001"/>
    <n v="5.7000000000000002E-2"/>
    <n v="8"/>
    <n v="8644.6696000000011"/>
    <n v="4074.48"/>
    <n v="4570.1896000000015"/>
    <n v="0.52867140231709964"/>
    <s v="Q4-2023"/>
    <s v="Americas → Brazil → Brasília"/>
    <s v="Low"/>
    <x v="1"/>
    <x v="1"/>
  </r>
  <r>
    <s v="ORD-2025-591006"/>
    <d v="2025-06-25T00:00:00"/>
    <d v="2025-07-10T00:00:00"/>
    <d v="2025-06-25T00:00:00"/>
    <d v="2025-07-10T00:00:00"/>
    <n v="15"/>
    <s v="6-2025"/>
    <s v="Europe"/>
    <x v="7"/>
    <s v="Birmingham"/>
    <s v="Non-Profit"/>
    <x v="2"/>
    <x v="8"/>
    <s v="Phones"/>
    <s v="PHN-5383"/>
    <n v="546.83000000000004"/>
    <n v="400.84"/>
    <n v="7.8E-2"/>
    <n v="13"/>
    <n v="4804.4682400000002"/>
    <n v="7108.7900000000009"/>
    <n v="-2304.3217600000007"/>
    <n v="-0.47962056254533608"/>
    <s v="Q2-2025"/>
    <s v="Europe → United Kingdom → Birmingham"/>
    <s v="Low"/>
    <x v="2"/>
    <x v="9"/>
  </r>
  <r>
    <s v="ORD-2023-159821"/>
    <d v="2023-07-01T00:00:00"/>
    <d v="2023-07-08T00:00:00"/>
    <d v="2023-07-01T00:00:00"/>
    <d v="2023-07-08T00:00:00"/>
    <n v="7"/>
    <s v="7-2023"/>
    <s v="Africa"/>
    <x v="1"/>
    <s v="Port Harcourt"/>
    <s v="Corporate"/>
    <x v="0"/>
    <x v="14"/>
    <s v="Laptops"/>
    <s v="LAP-3904"/>
    <n v="834.26"/>
    <n v="1780.56"/>
    <n v="1.4E-2"/>
    <n v="47"/>
    <n v="82514.711519999997"/>
    <n v="39210.22"/>
    <n v="43304.491519999996"/>
    <n v="0.5248093427497933"/>
    <s v="Q3-2023"/>
    <s v="Africa → Nigeria → Port Harcourt"/>
    <s v="Medium"/>
    <x v="1"/>
    <x v="6"/>
  </r>
  <r>
    <s v="ORD-2024-343877"/>
    <d v="2024-03-09T00:00:00"/>
    <d v="2024-03-26T00:00:00"/>
    <d v="2024-03-09T00:00:00"/>
    <d v="2024-03-26T00:00:00"/>
    <n v="17"/>
    <s v="3-2024"/>
    <s v="Asia"/>
    <x v="8"/>
    <s v="Shenzhen"/>
    <s v="Enterprise"/>
    <x v="1"/>
    <x v="12"/>
    <s v="Monitors"/>
    <s v="MON-5749"/>
    <n v="1029.67"/>
    <n v="1118.43"/>
    <n v="0.27200000000000002"/>
    <n v="9"/>
    <n v="7327.9533600000004"/>
    <n v="9267.0300000000007"/>
    <n v="-1939.0766400000002"/>
    <n v="-0.26461367106736061"/>
    <s v="Q1-2024"/>
    <s v="Asia → China → Shenzhen"/>
    <s v="Low"/>
    <x v="0"/>
    <x v="0"/>
  </r>
  <r>
    <s v="ORD-2023-386663"/>
    <d v="2023-06-05T00:00:00"/>
    <d v="2023-06-28T00:00:00"/>
    <d v="2023-06-05T00:00:00"/>
    <d v="2023-06-28T00:00:00"/>
    <n v="23"/>
    <s v="6-2023"/>
    <s v="Europe"/>
    <x v="7"/>
    <s v="Birmingham"/>
    <s v="Corporate"/>
    <x v="4"/>
    <x v="12"/>
    <s v="Printers"/>
    <s v="PRN-3690"/>
    <n v="605.82000000000005"/>
    <n v="771.12"/>
    <n v="0.13200000000000001"/>
    <n v="19"/>
    <n v="12717.311040000001"/>
    <n v="11510.580000000002"/>
    <n v="1206.7310399999988"/>
    <n v="9.4888851597986767E-2"/>
    <s v="Q2-2023"/>
    <s v="Europe → United Kingdom → Birmingham"/>
    <s v="Low"/>
    <x v="1"/>
    <x v="9"/>
  </r>
  <r>
    <s v="ORD-2025-125517"/>
    <d v="2025-03-21T00:00:00"/>
    <d v="2025-04-09T00:00:00"/>
    <d v="2025-03-21T00:00:00"/>
    <d v="2025-04-09T00:00:00"/>
    <n v="19"/>
    <s v="3-2025"/>
    <s v="Asia"/>
    <x v="2"/>
    <s v="Tokyo"/>
    <s v="Small Business"/>
    <x v="3"/>
    <x v="6"/>
    <s v="Components"/>
    <s v="CMP-7055"/>
    <n v="1055.45"/>
    <n v="1210.04"/>
    <n v="8.9999999999999993E-3"/>
    <n v="18"/>
    <n v="21584.693520000001"/>
    <n v="18998.100000000002"/>
    <n v="2586.5935199999985"/>
    <n v="0.1198346188053727"/>
    <s v="Q1-2025"/>
    <s v="Asia → Japan → Tokyo"/>
    <s v="Medium"/>
    <x v="2"/>
    <x v="0"/>
  </r>
  <r>
    <s v="ORD-2024-819778"/>
    <d v="2024-06-02T00:00:00"/>
    <d v="2024-06-15T00:00:00"/>
    <d v="2024-06-02T00:00:00"/>
    <d v="2024-06-15T00:00:00"/>
    <n v="13"/>
    <s v="6-2024"/>
    <s v="Africa"/>
    <x v="0"/>
    <s v="Mombasa"/>
    <s v="Education"/>
    <x v="1"/>
    <x v="7"/>
    <s v="Phones"/>
    <s v="PHN-6866"/>
    <n v="1295.18"/>
    <n v="3024.03"/>
    <n v="0.192"/>
    <n v="8"/>
    <n v="19547.329920000004"/>
    <n v="10361.44"/>
    <n v="9185.8899200000033"/>
    <n v="0.46993067378483178"/>
    <s v="Q2-2024"/>
    <s v="Africa → Kenya → Mombasa"/>
    <s v="High"/>
    <x v="0"/>
    <x v="9"/>
  </r>
  <r>
    <s v="ORD-2025-624006"/>
    <d v="2025-03-15T00:00:00"/>
    <d v="2025-03-29T00:00:00"/>
    <d v="2025-03-15T00:00:00"/>
    <d v="2025-03-29T00:00:00"/>
    <n v="14"/>
    <s v="3-2025"/>
    <s v="Asia"/>
    <x v="4"/>
    <s v="Mumbai"/>
    <s v="Enterprise"/>
    <x v="4"/>
    <x v="0"/>
    <s v="Components"/>
    <s v="CMP-3259"/>
    <n v="935.83"/>
    <n v="2303.46"/>
    <n v="0.105"/>
    <n v="9"/>
    <n v="18554.370299999999"/>
    <n v="8422.4700000000012"/>
    <n v="10131.900299999998"/>
    <n v="0.54606543559174292"/>
    <s v="Q1-2025"/>
    <s v="Asia → India → Mumbai"/>
    <s v="High"/>
    <x v="2"/>
    <x v="0"/>
  </r>
  <r>
    <s v="ORD-2023-132101"/>
    <d v="2023-09-25T00:00:00"/>
    <d v="2023-10-09T00:00:00"/>
    <d v="2023-09-25T00:00:00"/>
    <d v="2023-10-09T00:00:00"/>
    <n v="14"/>
    <s v="9-2023"/>
    <s v="Americas"/>
    <x v="9"/>
    <s v="New York"/>
    <s v="Small Business"/>
    <x v="2"/>
    <x v="1"/>
    <s v="Laptops"/>
    <s v="LAP-6750"/>
    <n v="1279.56"/>
    <n v="3083.8"/>
    <n v="0.106"/>
    <n v="5"/>
    <n v="13784.586000000001"/>
    <n v="6397.7999999999993"/>
    <n v="7386.7860000000019"/>
    <n v="0.53587289455047848"/>
    <s v="Q3-2023"/>
    <s v="Americas → USA → New York"/>
    <s v="High"/>
    <x v="1"/>
    <x v="8"/>
  </r>
  <r>
    <s v="ORD-2025-306903"/>
    <d v="2025-06-24T00:00:00"/>
    <d v="2025-07-23T00:00:00"/>
    <d v="2025-06-24T00:00:00"/>
    <d v="2025-07-23T00:00:00"/>
    <n v="29"/>
    <s v="6-2025"/>
    <s v="Americas"/>
    <x v="3"/>
    <s v="Vancouver"/>
    <s v="Non-Profit"/>
    <x v="2"/>
    <x v="2"/>
    <s v="Printers"/>
    <s v="PRN-3775"/>
    <n v="255.4"/>
    <n v="322.70999999999998"/>
    <n v="0.115"/>
    <n v="16"/>
    <n v="4569.5735999999997"/>
    <n v="4086.4"/>
    <n v="483.17359999999962"/>
    <n v="0.10573713048412212"/>
    <s v="Q2-2025"/>
    <s v="Americas → Canada → Vancouver"/>
    <s v="Low"/>
    <x v="2"/>
    <x v="9"/>
  </r>
  <r>
    <s v="ORD-2023-813340"/>
    <d v="2023-12-26T00:00:00"/>
    <d v="2024-01-03T00:00:00"/>
    <d v="2023-12-26T00:00:00"/>
    <d v="2024-01-03T00:00:00"/>
    <n v="8"/>
    <s v="12-2023"/>
    <s v="Europe"/>
    <x v="6"/>
    <s v="Lyon"/>
    <s v="Small Business"/>
    <x v="0"/>
    <x v="13"/>
    <s v="Laptops"/>
    <s v="LAP-2942"/>
    <n v="492.75"/>
    <n v="731.29"/>
    <n v="5.8000000000000003E-2"/>
    <n v="6"/>
    <n v="4133.25108"/>
    <n v="2956.5"/>
    <n v="1176.75108"/>
    <n v="0.28470350753528384"/>
    <s v="Q4-2023"/>
    <s v="Europe → France → Lyon"/>
    <s v="Low"/>
    <x v="1"/>
    <x v="3"/>
  </r>
  <r>
    <s v="ORD-2023-855675"/>
    <d v="2023-02-05T00:00:00"/>
    <d v="2023-02-28T00:00:00"/>
    <d v="2023-02-05T00:00:00"/>
    <d v="2023-02-28T00:00:00"/>
    <n v="23"/>
    <s v="2-2023"/>
    <s v="Americas"/>
    <x v="9"/>
    <s v="Austin"/>
    <s v="Non-Profit"/>
    <x v="3"/>
    <x v="4"/>
    <s v="Phones"/>
    <s v="PHN-2036"/>
    <n v="1214.49"/>
    <n v="1533.95"/>
    <n v="0"/>
    <n v="11"/>
    <n v="16873.45"/>
    <n v="13359.39"/>
    <n v="3514.0600000000013"/>
    <n v="0.20825972163369086"/>
    <s v="Q1-2023"/>
    <s v="Americas → USA → Austin"/>
    <s v="Medium"/>
    <x v="1"/>
    <x v="2"/>
  </r>
  <r>
    <s v="ORD-2023-545150"/>
    <d v="2023-04-06T00:00:00"/>
    <d v="2023-04-08T00:00:00"/>
    <d v="2023-04-06T00:00:00"/>
    <d v="2023-04-08T00:00:00"/>
    <n v="2"/>
    <s v="4-2023"/>
    <s v="Africa"/>
    <x v="1"/>
    <s v="Abuja"/>
    <s v="Small Business"/>
    <x v="2"/>
    <x v="12"/>
    <s v="Monitors"/>
    <s v="MON-4373"/>
    <n v="720.35"/>
    <n v="1571.66"/>
    <n v="0.107"/>
    <n v="23"/>
    <n v="32280.32474"/>
    <n v="16568.05"/>
    <n v="15712.274740000001"/>
    <n v="0.4867446305622265"/>
    <s v="Q2-2023"/>
    <s v="Africa → Nigeria → Abuja"/>
    <s v="Medium"/>
    <x v="1"/>
    <x v="7"/>
  </r>
  <r>
    <s v="ORD-2025-269934"/>
    <d v="2025-04-04T00:00:00"/>
    <d v="2025-04-10T00:00:00"/>
    <d v="2025-04-04T00:00:00"/>
    <d v="2025-04-10T00:00:00"/>
    <n v="6"/>
    <s v="4-2025"/>
    <s v="Europe"/>
    <x v="7"/>
    <s v="Birmingham"/>
    <s v="Non-Profit"/>
    <x v="4"/>
    <x v="10"/>
    <s v="Printers"/>
    <s v="PRN-8657"/>
    <n v="290.14"/>
    <n v="250.73"/>
    <n v="3.4000000000000002E-2"/>
    <n v="17"/>
    <n v="4117.4880599999997"/>
    <n v="4932.38"/>
    <n v="-814.89194000000043"/>
    <n v="-0.19790997038131072"/>
    <s v="Q2-2025"/>
    <s v="Europe → United Kingdom → Birmingham"/>
    <s v="Low"/>
    <x v="2"/>
    <x v="7"/>
  </r>
  <r>
    <s v="ORD-2024-690270"/>
    <d v="2024-05-17T00:00:00"/>
    <d v="2024-05-27T00:00:00"/>
    <d v="2024-05-17T00:00:00"/>
    <d v="2024-05-27T00:00:00"/>
    <n v="10"/>
    <s v="5-2024"/>
    <s v="Americas"/>
    <x v="9"/>
    <s v="Austin"/>
    <s v="Non-Profit"/>
    <x v="1"/>
    <x v="0"/>
    <s v="Phones"/>
    <s v="PHN-7974"/>
    <n v="1484.23"/>
    <n v="3472.81"/>
    <n v="0.25600000000000001"/>
    <n v="12"/>
    <n v="31005.24768"/>
    <n v="17810.760000000002"/>
    <n v="13194.487679999998"/>
    <n v="0.42555659661803413"/>
    <s v="Q2-2024"/>
    <s v="Americas → USA → Austin"/>
    <s v="High"/>
    <x v="0"/>
    <x v="5"/>
  </r>
  <r>
    <s v="ORD-2024-868223"/>
    <d v="2024-03-03T00:00:00"/>
    <d v="2024-03-19T00:00:00"/>
    <d v="2024-03-03T00:00:00"/>
    <d v="2024-03-19T00:00:00"/>
    <n v="16"/>
    <s v="3-2024"/>
    <s v="Asia"/>
    <x v="8"/>
    <s v="Beijing"/>
    <s v="Consumer"/>
    <x v="3"/>
    <x v="3"/>
    <s v="Phones"/>
    <s v="PHN-4915"/>
    <n v="988.83"/>
    <n v="1206.04"/>
    <n v="6.3E-2"/>
    <n v="34"/>
    <n v="38422.022320000004"/>
    <n v="33620.22"/>
    <n v="4801.8023200000025"/>
    <n v="0.12497526236406606"/>
    <s v="Q1-2024"/>
    <s v="Asia → China → Beijing"/>
    <s v="Medium"/>
    <x v="0"/>
    <x v="0"/>
  </r>
  <r>
    <s v="ORD-2025-188059"/>
    <d v="2025-06-27T00:00:00"/>
    <d v="2025-07-11T00:00:00"/>
    <d v="2025-06-27T00:00:00"/>
    <d v="2025-07-11T00:00:00"/>
    <n v="14"/>
    <s v="6-2025"/>
    <s v="Asia"/>
    <x v="8"/>
    <s v="Shanghai"/>
    <s v="Small Business"/>
    <x v="2"/>
    <x v="4"/>
    <s v="Networking"/>
    <s v="NET-3535"/>
    <n v="1227.7"/>
    <n v="2197.23"/>
    <n v="9.9000000000000005E-2"/>
    <n v="22"/>
    <n v="43553.493060000001"/>
    <n v="27009.4"/>
    <n v="16544.093059999999"/>
    <n v="0.37985685871873898"/>
    <s v="Q2-2025"/>
    <s v="Asia → China → Shanghai"/>
    <s v="High"/>
    <x v="2"/>
    <x v="9"/>
  </r>
  <r>
    <s v="ORD-2023-281890"/>
    <d v="2023-03-13T00:00:00"/>
    <d v="2023-04-04T00:00:00"/>
    <d v="2023-03-13T00:00:00"/>
    <d v="2023-04-04T00:00:00"/>
    <n v="22"/>
    <s v="3-2023"/>
    <s v="Africa"/>
    <x v="10"/>
    <s v="Durban"/>
    <s v="Small Business"/>
    <x v="0"/>
    <x v="14"/>
    <s v="Components"/>
    <s v="CMP-2574"/>
    <n v="1113.7"/>
    <n v="1620.6"/>
    <n v="0.13900000000000001"/>
    <n v="11"/>
    <n v="15348.702599999999"/>
    <n v="12250.7"/>
    <n v="3098.002599999998"/>
    <n v="0.20184133348182787"/>
    <s v="Q1-2023"/>
    <s v="Africa → South Africa → Durban"/>
    <s v="Medium"/>
    <x v="1"/>
    <x v="0"/>
  </r>
  <r>
    <s v="ORD-2025-636162"/>
    <d v="2025-01-07T00:00:00"/>
    <d v="2025-01-20T00:00:00"/>
    <d v="2025-01-07T00:00:00"/>
    <d v="2025-01-20T00:00:00"/>
    <n v="13"/>
    <s v="1-2025"/>
    <s v="Africa"/>
    <x v="10"/>
    <s v="Cape Town"/>
    <s v="Corporate"/>
    <x v="4"/>
    <x v="12"/>
    <s v="Networking"/>
    <s v="NET-7901"/>
    <n v="432.13"/>
    <n v="1034.6600000000001"/>
    <n v="9.1999999999999998E-2"/>
    <n v="7"/>
    <n v="6576.298960000001"/>
    <n v="3024.91"/>
    <n v="3551.3889600000011"/>
    <n v="0.54002851476204794"/>
    <s v="Q1-2025"/>
    <s v="Africa → South Africa → Cape Town"/>
    <s v="Low"/>
    <x v="2"/>
    <x v="4"/>
  </r>
  <r>
    <s v="ORD-2025-915869"/>
    <d v="2025-02-06T00:00:00"/>
    <d v="2025-02-15T00:00:00"/>
    <d v="2025-02-06T00:00:00"/>
    <d v="2025-02-15T00:00:00"/>
    <n v="9"/>
    <s v="2-2025"/>
    <s v="Americas"/>
    <x v="5"/>
    <s v="São Paulo"/>
    <s v="Non-Profit"/>
    <x v="3"/>
    <x v="9"/>
    <s v="Networking"/>
    <s v="NET-5482"/>
    <n v="837.39"/>
    <n v="1905.42"/>
    <n v="3.2000000000000001E-2"/>
    <n v="18"/>
    <n v="33200.038079999998"/>
    <n v="15073.02"/>
    <n v="18127.018079999998"/>
    <n v="0.54599389423350919"/>
    <s v="Q1-2025"/>
    <s v="Americas → Brazil → São Paulo"/>
    <s v="Medium"/>
    <x v="2"/>
    <x v="2"/>
  </r>
  <r>
    <s v="ORD-2025-192876"/>
    <d v="2025-01-31T00:00:00"/>
    <d v="2025-02-17T00:00:00"/>
    <d v="2025-01-31T00:00:00"/>
    <d v="2025-02-17T00:00:00"/>
    <n v="17"/>
    <s v="1-2025"/>
    <s v="Europe"/>
    <x v="7"/>
    <s v="London"/>
    <s v="Enterprise"/>
    <x v="0"/>
    <x v="11"/>
    <s v="Components"/>
    <s v="CMP-5820"/>
    <n v="378.26"/>
    <n v="541.55999999999995"/>
    <n v="0.16300000000000001"/>
    <n v="25"/>
    <n v="11332.142999999998"/>
    <n v="9456.5"/>
    <n v="1875.6429999999982"/>
    <n v="0.16551529573885526"/>
    <s v="Q1-2025"/>
    <s v="Europe → United Kingdom → London"/>
    <s v="Low"/>
    <x v="2"/>
    <x v="4"/>
  </r>
  <r>
    <s v="ORD-2025-822030"/>
    <d v="2025-08-07T00:00:00"/>
    <d v="2025-09-06T00:00:00"/>
    <d v="2025-08-07T00:00:00"/>
    <d v="2025-09-06T00:00:00"/>
    <n v="30"/>
    <s v="8-2025"/>
    <s v="Americas"/>
    <x v="3"/>
    <s v="Montreal"/>
    <s v="Education"/>
    <x v="4"/>
    <x v="13"/>
    <s v="Networking"/>
    <s v="NET-1336"/>
    <n v="833.73"/>
    <n v="1116.5999999999999"/>
    <n v="0.17599999999999999"/>
    <n v="14"/>
    <n v="12881.097599999999"/>
    <n v="11672.220000000001"/>
    <n v="1208.877599999998"/>
    <n v="9.3848958958279924E-2"/>
    <s v="Q3-2025"/>
    <s v="Americas → Canada → Montreal"/>
    <s v="Low"/>
    <x v="2"/>
    <x v="11"/>
  </r>
  <r>
    <s v="ORD-2025-789245"/>
    <d v="2025-07-23T00:00:00"/>
    <d v="2025-08-17T00:00:00"/>
    <d v="2025-07-23T00:00:00"/>
    <d v="2025-08-17T00:00:00"/>
    <n v="25"/>
    <s v="7-2025"/>
    <s v="Europe"/>
    <x v="7"/>
    <s v="Birmingham"/>
    <s v="Education"/>
    <x v="1"/>
    <x v="2"/>
    <s v="Printers"/>
    <s v="PRN-5876"/>
    <n v="1142.06"/>
    <n v="1455"/>
    <n v="7.8E-2"/>
    <n v="28"/>
    <n v="37562.28"/>
    <n v="31977.68"/>
    <n v="5584.5999999999985"/>
    <n v="0.1486757459877302"/>
    <s v="Q3-2025"/>
    <s v="Europe → United Kingdom → Birmingham"/>
    <s v="Medium"/>
    <x v="2"/>
    <x v="6"/>
  </r>
  <r>
    <s v="ORD-2023-594955"/>
    <d v="2023-06-20T00:00:00"/>
    <d v="2023-07-08T00:00:00"/>
    <d v="2023-06-20T00:00:00"/>
    <d v="2023-07-08T00:00:00"/>
    <n v="18"/>
    <s v="6-2023"/>
    <s v="Americas"/>
    <x v="9"/>
    <s v="New York"/>
    <s v="Consumer"/>
    <x v="2"/>
    <x v="7"/>
    <s v="Networking"/>
    <s v="NET-3828"/>
    <n v="1145.53"/>
    <n v="1278.3"/>
    <n v="0.09"/>
    <n v="41"/>
    <n v="47693.373"/>
    <n v="46966.729999999996"/>
    <n v="726.64300000000367"/>
    <n v="1.5235722581416158E-2"/>
    <s v="Q2-2023"/>
    <s v="Americas → USA → New York"/>
    <s v="Medium"/>
    <x v="1"/>
    <x v="9"/>
  </r>
  <r>
    <s v="ORD-2024-398783"/>
    <d v="2024-07-18T00:00:00"/>
    <d v="2024-08-07T00:00:00"/>
    <d v="2024-07-18T00:00:00"/>
    <d v="2024-08-07T00:00:00"/>
    <n v="20"/>
    <s v="7-2024"/>
    <s v="Europe"/>
    <x v="6"/>
    <s v="Marseille"/>
    <s v="Corporate"/>
    <x v="0"/>
    <x v="9"/>
    <s v="Monitors"/>
    <s v="MON-7622"/>
    <n v="941.35"/>
    <n v="899.83"/>
    <n v="5.8000000000000003E-2"/>
    <n v="18"/>
    <n v="15257.51748"/>
    <n v="16944.3"/>
    <n v="-1686.7825199999988"/>
    <n v="-0.11055419220139073"/>
    <s v="Q3-2024"/>
    <s v="Europe → France → Marseille"/>
    <s v="Low"/>
    <x v="0"/>
    <x v="6"/>
  </r>
  <r>
    <s v="ORD-2023-676553"/>
    <d v="2023-05-20T00:00:00"/>
    <d v="2023-06-19T00:00:00"/>
    <d v="2023-05-20T00:00:00"/>
    <d v="2023-06-19T00:00:00"/>
    <n v="30"/>
    <s v="5-2023"/>
    <s v="Asia"/>
    <x v="4"/>
    <s v="Delhi"/>
    <s v="Non-Profit"/>
    <x v="2"/>
    <x v="11"/>
    <s v="Laptops"/>
    <s v="LAP-2806"/>
    <n v="1161.2"/>
    <n v="878.73"/>
    <n v="0.19"/>
    <n v="31"/>
    <n v="22064.910300000003"/>
    <n v="35997.200000000004"/>
    <n v="-13932.289700000001"/>
    <n v="-0.63142290227212028"/>
    <s v="Q2-2023"/>
    <s v="Asia → India → Delhi"/>
    <s v="Low"/>
    <x v="1"/>
    <x v="5"/>
  </r>
  <r>
    <s v="ORD-2025-866565"/>
    <d v="2025-05-12T00:00:00"/>
    <d v="2025-05-26T00:00:00"/>
    <d v="2025-05-12T00:00:00"/>
    <d v="2025-05-26T00:00:00"/>
    <n v="14"/>
    <s v="5-2025"/>
    <s v="Asia"/>
    <x v="4"/>
    <s v="Hyderabad"/>
    <s v="Corporate"/>
    <x v="2"/>
    <x v="3"/>
    <s v="Printers"/>
    <s v="PRN-8850"/>
    <n v="320.12"/>
    <n v="594.41999999999996"/>
    <n v="0.104"/>
    <n v="18"/>
    <n v="9586.8057599999993"/>
    <n v="5762.16"/>
    <n v="3824.6457599999994"/>
    <n v="0.39894891538931104"/>
    <s v="Q2-2025"/>
    <s v="Asia → India → Hyderabad"/>
    <s v="Low"/>
    <x v="2"/>
    <x v="5"/>
  </r>
  <r>
    <s v="ORD-2024-527858"/>
    <d v="2024-05-07T00:00:00"/>
    <d v="2024-05-12T00:00:00"/>
    <d v="2024-05-07T00:00:00"/>
    <d v="2024-05-12T00:00:00"/>
    <n v="5"/>
    <s v="5-2024"/>
    <s v="Africa"/>
    <x v="1"/>
    <s v="Abuja"/>
    <s v="Non-Profit"/>
    <x v="3"/>
    <x v="4"/>
    <s v="Laptops"/>
    <s v="LAP-9100"/>
    <n v="1163.99"/>
    <n v="1617.85"/>
    <n v="0.127"/>
    <n v="14"/>
    <n v="19773.362699999998"/>
    <n v="16295.86"/>
    <n v="3477.5026999999973"/>
    <n v="0.17586804797749436"/>
    <s v="Q2-2024"/>
    <s v="Africa → Nigeria → Abuja"/>
    <s v="Medium"/>
    <x v="0"/>
    <x v="5"/>
  </r>
  <r>
    <s v="ORD-2023-619385"/>
    <d v="2023-09-30T00:00:00"/>
    <d v="2023-10-03T00:00:00"/>
    <d v="2023-09-30T00:00:00"/>
    <d v="2023-10-03T00:00:00"/>
    <n v="3"/>
    <s v="9-2023"/>
    <s v="Asia"/>
    <x v="8"/>
    <s v="Beijing"/>
    <s v="Non-Profit"/>
    <x v="0"/>
    <x v="1"/>
    <s v="Laptops"/>
    <s v="LAP-5763"/>
    <n v="1019.36"/>
    <n v="972.91"/>
    <n v="0.14699999999999999"/>
    <n v="17"/>
    <n v="14108.16791"/>
    <n v="17329.12"/>
    <n v="-3220.9520899999989"/>
    <n v="-0.22830406545678819"/>
    <s v="Q3-2023"/>
    <s v="Asia → China → Beijing"/>
    <s v="Low"/>
    <x v="1"/>
    <x v="8"/>
  </r>
  <r>
    <s v="ORD-2023-835226"/>
    <d v="2023-10-26T00:00:00"/>
    <d v="2023-11-05T00:00:00"/>
    <d v="2023-10-26T00:00:00"/>
    <d v="2023-11-05T00:00:00"/>
    <n v="10"/>
    <s v="10-2023"/>
    <s v="Africa"/>
    <x v="10"/>
    <s v="Cape Town"/>
    <s v="Non-Profit"/>
    <x v="1"/>
    <x v="2"/>
    <s v="Laptops"/>
    <s v="LAP-7320"/>
    <n v="20.38"/>
    <n v="42.56"/>
    <n v="7.1999999999999995E-2"/>
    <n v="11"/>
    <n v="434.45248000000004"/>
    <n v="224.17999999999998"/>
    <n v="210.27248000000006"/>
    <n v="0.48399419885921713"/>
    <s v="Q4-2023"/>
    <s v="Africa → South Africa → Cape Town"/>
    <s v="Low"/>
    <x v="1"/>
    <x v="1"/>
  </r>
  <r>
    <s v="ORD-2025-485946"/>
    <d v="2025-06-15T00:00:00"/>
    <d v="2025-06-30T00:00:00"/>
    <d v="2025-06-15T00:00:00"/>
    <d v="2025-06-30T00:00:00"/>
    <n v="15"/>
    <s v="6-2025"/>
    <s v="Africa"/>
    <x v="10"/>
    <s v="Johannesburg"/>
    <s v="Small Business"/>
    <x v="4"/>
    <x v="0"/>
    <s v="Monitors"/>
    <s v="MON-5891"/>
    <n v="1487.59"/>
    <n v="1480.83"/>
    <n v="8.9999999999999993E-3"/>
    <n v="11"/>
    <n v="16142.527829999999"/>
    <n v="16363.49"/>
    <n v="-220.9621700000007"/>
    <n v="-1.3688201273492908E-2"/>
    <s v="Q2-2025"/>
    <s v="Africa → South Africa → Johannesburg"/>
    <s v="Medium"/>
    <x v="2"/>
    <x v="9"/>
  </r>
  <r>
    <s v="ORD-2024-307849"/>
    <d v="2024-08-10T00:00:00"/>
    <d v="2024-09-07T00:00:00"/>
    <d v="2024-08-10T00:00:00"/>
    <d v="2024-09-07T00:00:00"/>
    <n v="28"/>
    <s v="8-2024"/>
    <s v="Europe"/>
    <x v="6"/>
    <s v="Marseille"/>
    <s v="Non-Profit"/>
    <x v="4"/>
    <x v="9"/>
    <s v="Printers"/>
    <s v="PRN-1183"/>
    <n v="229.96"/>
    <n v="564.26"/>
    <n v="0.105"/>
    <n v="5"/>
    <n v="2525.0635000000002"/>
    <n v="1149.8"/>
    <n v="1375.2635000000002"/>
    <n v="0.54464511486542821"/>
    <s v="Q3-2024"/>
    <s v="Europe → France → Marseille"/>
    <s v="Low"/>
    <x v="0"/>
    <x v="11"/>
  </r>
  <r>
    <s v="ORD-2023-368449"/>
    <d v="2023-10-09T00:00:00"/>
    <d v="2023-10-26T00:00:00"/>
    <d v="2023-10-09T00:00:00"/>
    <d v="2023-10-26T00:00:00"/>
    <n v="17"/>
    <s v="10-2023"/>
    <s v="Asia"/>
    <x v="8"/>
    <s v="Shanghai"/>
    <s v="Consumer"/>
    <x v="2"/>
    <x v="0"/>
    <s v="Components"/>
    <s v="CMP-2096"/>
    <n v="1132.03"/>
    <n v="2137.21"/>
    <n v="0.1186"/>
    <n v="35"/>
    <n v="65930.791290000008"/>
    <n v="39621.049999999996"/>
    <n v="26309.741290000013"/>
    <n v="0.39905089526796744"/>
    <s v="Q4-2023"/>
    <s v="Asia → China → Shanghai"/>
    <s v="High"/>
    <x v="1"/>
    <x v="1"/>
  </r>
  <r>
    <s v="ORD-2024-251426"/>
    <d v="2024-03-09T00:00:00"/>
    <d v="2024-03-26T00:00:00"/>
    <d v="2024-03-09T00:00:00"/>
    <d v="2024-03-26T00:00:00"/>
    <n v="17"/>
    <s v="3-2024"/>
    <s v="Americas"/>
    <x v="9"/>
    <s v="San Francisco"/>
    <s v="Education"/>
    <x v="4"/>
    <x v="2"/>
    <s v="Phones"/>
    <s v="PHN-3398"/>
    <n v="1137.4100000000001"/>
    <n v="1680.93"/>
    <n v="0.254"/>
    <n v="9"/>
    <n v="11285.764020000001"/>
    <n v="10236.69"/>
    <n v="1049.07402"/>
    <n v="9.2955516183121464E-2"/>
    <s v="Q1-2024"/>
    <s v="Americas → USA → San Francisco"/>
    <s v="Medium"/>
    <x v="0"/>
    <x v="0"/>
  </r>
  <r>
    <s v="ORD-2023-927385"/>
    <d v="2023-05-29T00:00:00"/>
    <d v="2023-06-20T00:00:00"/>
    <d v="2023-05-29T00:00:00"/>
    <d v="2023-06-20T00:00:00"/>
    <n v="22"/>
    <s v="5-2023"/>
    <s v="Europe"/>
    <x v="7"/>
    <s v="London"/>
    <s v="Small Business"/>
    <x v="4"/>
    <x v="12"/>
    <s v="Components"/>
    <s v="CMP-8545"/>
    <n v="1295.3900000000001"/>
    <n v="2905.06"/>
    <n v="0.14799999999999999"/>
    <n v="8"/>
    <n v="19800.88896"/>
    <n v="10363.120000000001"/>
    <n v="9437.7689599999994"/>
    <n v="0.47663359857556614"/>
    <s v="Q2-2023"/>
    <s v="Europe → United Kingdom → London"/>
    <s v="High"/>
    <x v="1"/>
    <x v="5"/>
  </r>
  <r>
    <s v="ORD-2024-215294"/>
    <d v="2024-06-30T00:00:00"/>
    <d v="2024-07-14T00:00:00"/>
    <d v="2024-06-30T00:00:00"/>
    <d v="2024-07-14T00:00:00"/>
    <n v="14"/>
    <s v="6-2024"/>
    <s v="Americas"/>
    <x v="5"/>
    <s v="Brasília"/>
    <s v="Education"/>
    <x v="0"/>
    <x v="0"/>
    <s v="Accessories"/>
    <s v="ACC-8683"/>
    <n v="1491.85"/>
    <n v="2583.02"/>
    <n v="0.16800000000000001"/>
    <n v="4"/>
    <n v="8596.2905599999995"/>
    <n v="5967.4"/>
    <n v="2628.8905599999998"/>
    <n v="0.30581685689321325"/>
    <s v="Q2-2024"/>
    <s v="Americas → Brazil → Brasília"/>
    <s v="High"/>
    <x v="0"/>
    <x v="9"/>
  </r>
  <r>
    <s v="ORD-2025-677880"/>
    <d v="2025-08-21T00:00:00"/>
    <d v="2025-09-14T00:00:00"/>
    <d v="2025-08-21T00:00:00"/>
    <d v="2025-09-14T00:00:00"/>
    <n v="24"/>
    <s v="8-2025"/>
    <s v="Europe"/>
    <x v="11"/>
    <s v="Berlin"/>
    <s v="Non-Profit"/>
    <x v="1"/>
    <x v="14"/>
    <s v="Monitors"/>
    <s v="MON-9662"/>
    <n v="1397.67"/>
    <n v="3131.37"/>
    <n v="0.10299999999999999"/>
    <n v="20"/>
    <n v="56176.777799999996"/>
    <n v="27953.4"/>
    <n v="28223.377799999995"/>
    <n v="0.50240293062874808"/>
    <s v="Q3-2025"/>
    <s v="Europe → Germany → Berlin"/>
    <s v="High"/>
    <x v="2"/>
    <x v="11"/>
  </r>
  <r>
    <s v="ORD-2024-102866"/>
    <d v="2024-12-12T00:00:00"/>
    <d v="2024-12-20T00:00:00"/>
    <d v="2024-12-12T00:00:00"/>
    <d v="2024-12-20T00:00:00"/>
    <n v="8"/>
    <s v="12-2024"/>
    <s v="Asia"/>
    <x v="2"/>
    <s v="Tokyo"/>
    <s v="Corporate"/>
    <x v="0"/>
    <x v="5"/>
    <s v="Laptops"/>
    <s v="LAP-8347"/>
    <n v="1202.47"/>
    <n v="1444.72"/>
    <n v="0.24099999999999999"/>
    <n v="17"/>
    <n v="18641.222160000001"/>
    <n v="20441.990000000002"/>
    <n v="-1800.7678400000004"/>
    <n v="-9.6601382921343834E-2"/>
    <s v="Q4-2024"/>
    <s v="Asia → Japan → Tokyo"/>
    <s v="Medium"/>
    <x v="0"/>
    <x v="3"/>
  </r>
  <r>
    <s v="ORD-2025-588029"/>
    <d v="2025-09-14T00:00:00"/>
    <d v="2025-09-23T00:00:00"/>
    <d v="2025-09-14T00:00:00"/>
    <d v="2025-09-23T00:00:00"/>
    <n v="9"/>
    <s v="9-2025"/>
    <s v="Africa"/>
    <x v="10"/>
    <s v="Durban"/>
    <s v="Non-Profit"/>
    <x v="1"/>
    <x v="8"/>
    <s v="Components"/>
    <s v="CMP-6898"/>
    <n v="1310.3"/>
    <n v="2875.8"/>
    <n v="8.3000000000000004E-2"/>
    <n v="5"/>
    <n v="13185.543"/>
    <n v="6551.5"/>
    <n v="6634.0429999999997"/>
    <n v="0.50313005691157353"/>
    <s v="Q3-2025"/>
    <s v="Africa → South Africa → Durban"/>
    <s v="High"/>
    <x v="2"/>
    <x v="8"/>
  </r>
  <r>
    <s v="ORD-2024-972999"/>
    <d v="2024-09-06T00:00:00"/>
    <d v="2024-10-04T00:00:00"/>
    <d v="2024-09-06T00:00:00"/>
    <d v="2024-10-04T00:00:00"/>
    <n v="28"/>
    <s v="9-2024"/>
    <s v="Africa"/>
    <x v="10"/>
    <s v="Cape Town"/>
    <s v="Corporate"/>
    <x v="2"/>
    <x v="8"/>
    <s v="Monitors"/>
    <s v="MON-3504"/>
    <n v="1174.17"/>
    <n v="1641.61"/>
    <n v="0.122"/>
    <n v="9"/>
    <n v="12972.00222"/>
    <n v="10567.53"/>
    <n v="2404.4722199999997"/>
    <n v="0.18535860380079394"/>
    <s v="Q3-2024"/>
    <s v="Africa → South Africa → Cape Town"/>
    <s v="Medium"/>
    <x v="0"/>
    <x v="8"/>
  </r>
  <r>
    <s v="ORD-2025-608069"/>
    <d v="2025-04-12T00:00:00"/>
    <d v="2025-04-30T00:00:00"/>
    <d v="2025-04-12T00:00:00"/>
    <d v="2025-04-30T00:00:00"/>
    <n v="18"/>
    <s v="4-2025"/>
    <s v="Africa"/>
    <x v="0"/>
    <s v="Kisumu"/>
    <s v="Corporate"/>
    <x v="2"/>
    <x v="9"/>
    <s v="Networking"/>
    <s v="NET-3432"/>
    <n v="1119.04"/>
    <n v="1299.02"/>
    <n v="2.5000000000000001E-2"/>
    <n v="14"/>
    <n v="17731.623"/>
    <n v="15666.56"/>
    <n v="2065.0630000000001"/>
    <n v="0.11646215352085933"/>
    <s v="Q2-2025"/>
    <s v="Africa → Kenya → Kisumu"/>
    <s v="Medium"/>
    <x v="2"/>
    <x v="7"/>
  </r>
  <r>
    <s v="ORD-2024-626750"/>
    <d v="2024-08-12T00:00:00"/>
    <d v="2024-08-15T00:00:00"/>
    <d v="2024-08-12T00:00:00"/>
    <d v="2024-08-15T00:00:00"/>
    <n v="3"/>
    <s v="8-2024"/>
    <s v="Americas"/>
    <x v="9"/>
    <s v="Chicago"/>
    <s v="Corporate"/>
    <x v="2"/>
    <x v="8"/>
    <s v="Printers"/>
    <s v="PRN-5591"/>
    <n v="850.7"/>
    <n v="1118.56"/>
    <n v="0.18"/>
    <n v="19"/>
    <n v="17427.164800000002"/>
    <n v="16163.300000000001"/>
    <n v="1263.8648000000012"/>
    <n v="7.2522685962090688E-2"/>
    <s v="Q3-2024"/>
    <s v="Americas → USA → Chicago"/>
    <s v="Low"/>
    <x v="0"/>
    <x v="11"/>
  </r>
  <r>
    <s v="ORD-2024-170021"/>
    <d v="2024-11-05T00:00:00"/>
    <d v="2024-11-08T00:00:00"/>
    <d v="2024-11-05T00:00:00"/>
    <d v="2024-11-08T00:00:00"/>
    <n v="3"/>
    <s v="11-2024"/>
    <s v="Americas"/>
    <x v="3"/>
    <s v="Toronto"/>
    <s v="Education"/>
    <x v="2"/>
    <x v="7"/>
    <s v="Components"/>
    <s v="CMP-2015"/>
    <n v="1020.4"/>
    <n v="1184.71"/>
    <n v="0.106"/>
    <n v="16"/>
    <n v="16946.091840000001"/>
    <n v="16326.4"/>
    <n v="619.69184000000132"/>
    <n v="3.6568422138328345E-2"/>
    <s v="Q4-2024"/>
    <s v="Americas → Canada → Toronto"/>
    <s v="Low"/>
    <x v="0"/>
    <x v="10"/>
  </r>
  <r>
    <s v="ORD-2024-678110"/>
    <d v="2024-07-24T00:00:00"/>
    <d v="2024-08-08T00:00:00"/>
    <d v="2024-07-24T00:00:00"/>
    <d v="2024-08-08T00:00:00"/>
    <n v="15"/>
    <s v="7-2024"/>
    <s v="Europe"/>
    <x v="6"/>
    <s v="Marseille"/>
    <s v="Enterprise"/>
    <x v="2"/>
    <x v="11"/>
    <s v="Laptops"/>
    <s v="LAP-9901"/>
    <n v="501.5"/>
    <n v="1201.47"/>
    <n v="0.126"/>
    <n v="5"/>
    <n v="5250.4239000000007"/>
    <n v="2507.5"/>
    <n v="2742.9239000000007"/>
    <n v="0.52241951359394057"/>
    <s v="Q3-2024"/>
    <s v="Europe → France → Marseille"/>
    <s v="Medium"/>
    <x v="0"/>
    <x v="6"/>
  </r>
  <r>
    <s v="ORD-2025-931538"/>
    <d v="2025-02-09T00:00:00"/>
    <d v="2025-03-01T00:00:00"/>
    <d v="2025-02-09T00:00:00"/>
    <d v="2025-03-01T00:00:00"/>
    <n v="20"/>
    <s v="2-2025"/>
    <s v="Americas"/>
    <x v="5"/>
    <s v="São Paulo"/>
    <s v="Corporate"/>
    <x v="3"/>
    <x v="5"/>
    <s v="Laptops"/>
    <s v="LAP-6989"/>
    <n v="1154.6400000000001"/>
    <n v="2794.13"/>
    <n v="3.5000000000000003E-2"/>
    <n v="11"/>
    <n v="29659.68995"/>
    <n v="12701.04"/>
    <n v="16958.649949999999"/>
    <n v="0.57177435025749479"/>
    <s v="Q1-2025"/>
    <s v="Americas → Brazil → São Paulo"/>
    <s v="High"/>
    <x v="2"/>
    <x v="2"/>
  </r>
  <r>
    <s v="ORD-2023-854471"/>
    <d v="2023-03-06T00:00:00"/>
    <d v="2023-04-04T00:00:00"/>
    <d v="2023-03-06T00:00:00"/>
    <d v="2023-04-04T00:00:00"/>
    <n v="29"/>
    <s v="3-2023"/>
    <s v="Asia"/>
    <x v="8"/>
    <s v="Beijing"/>
    <s v="Small Business"/>
    <x v="4"/>
    <x v="0"/>
    <s v="Monitors"/>
    <s v="MON-2073"/>
    <n v="1126.29"/>
    <n v="2050.87"/>
    <n v="6.4000000000000001E-2"/>
    <n v="7"/>
    <n v="13437.300239999999"/>
    <n v="7884.03"/>
    <n v="5553.2702399999989"/>
    <n v="0.41327276616690373"/>
    <s v="Q1-2023"/>
    <s v="Asia → China → Beijing"/>
    <s v="High"/>
    <x v="1"/>
    <x v="0"/>
  </r>
  <r>
    <s v="ORD-2024-390951"/>
    <d v="2024-12-20T00:00:00"/>
    <d v="2025-01-14T00:00:00"/>
    <d v="2024-12-20T00:00:00"/>
    <d v="2025-01-14T00:00:00"/>
    <n v="25"/>
    <s v="12-2024"/>
    <s v="Asia"/>
    <x v="4"/>
    <s v="Delhi"/>
    <s v="Small Business"/>
    <x v="0"/>
    <x v="13"/>
    <s v="Printers"/>
    <s v="PRN-9378"/>
    <n v="1361.34"/>
    <n v="1737.9"/>
    <n v="7.6999999999999999E-2"/>
    <n v="14"/>
    <n v="22457.143800000002"/>
    <n v="19058.759999999998"/>
    <n v="3398.3838000000032"/>
    <n v="0.15132751654731813"/>
    <s v="Q4-2024"/>
    <s v="Asia → India → Delhi"/>
    <s v="Medium"/>
    <x v="0"/>
    <x v="3"/>
  </r>
  <r>
    <s v="ORD-2025-881624"/>
    <d v="2025-02-21T00:00:00"/>
    <d v="2025-03-21T00:00:00"/>
    <d v="2025-02-21T00:00:00"/>
    <d v="2025-03-21T00:00:00"/>
    <n v="28"/>
    <s v="2-2025"/>
    <s v="Africa"/>
    <x v="1"/>
    <s v="Abuja"/>
    <s v="Enterprise"/>
    <x v="2"/>
    <x v="2"/>
    <s v="Phones"/>
    <s v="PHN-5887"/>
    <n v="1437.39"/>
    <n v="1388.31"/>
    <n v="0.13800000000000001"/>
    <n v="18"/>
    <n v="21541.017959999997"/>
    <n v="25873.02"/>
    <n v="-4332.002040000003"/>
    <n v="-0.20110479681341872"/>
    <s v="Q1-2025"/>
    <s v="Africa → Nigeria → Abuja"/>
    <s v="Medium"/>
    <x v="2"/>
    <x v="2"/>
  </r>
  <r>
    <s v="ORD-2025-512310"/>
    <d v="2025-03-08T00:00:00"/>
    <d v="2025-03-15T00:00:00"/>
    <d v="2025-03-08T00:00:00"/>
    <d v="2025-03-15T00:00:00"/>
    <n v="7"/>
    <s v="3-2025"/>
    <s v="Asia"/>
    <x v="4"/>
    <s v="Bengaluru"/>
    <s v="Corporate"/>
    <x v="3"/>
    <x v="12"/>
    <s v="Laptops"/>
    <s v="LAP-8119"/>
    <n v="475.66"/>
    <n v="529.14"/>
    <n v="0.19600000000000001"/>
    <n v="11"/>
    <n v="4679.7141600000004"/>
    <n v="5232.26"/>
    <n v="-552.54583999999977"/>
    <n v="-0.11807256193613323"/>
    <s v="Q1-2025"/>
    <s v="Asia → India → Bengaluru"/>
    <s v="Low"/>
    <x v="2"/>
    <x v="0"/>
  </r>
  <r>
    <s v="ORD-2025-856556"/>
    <d v="2025-06-15T00:00:00"/>
    <d v="2025-07-12T00:00:00"/>
    <d v="2025-06-15T00:00:00"/>
    <d v="2025-07-12T00:00:00"/>
    <n v="27"/>
    <s v="6-2025"/>
    <s v="Europe"/>
    <x v="6"/>
    <s v="Marseille"/>
    <s v="Consumer"/>
    <x v="4"/>
    <x v="0"/>
    <s v="Accessories"/>
    <s v="ACC-7906"/>
    <n v="318.83"/>
    <n v="699.5"/>
    <n v="0.08"/>
    <n v="13"/>
    <n v="8366.02"/>
    <n v="4144.79"/>
    <n v="4221.2300000000005"/>
    <n v="0.50456848059172699"/>
    <s v="Q2-2025"/>
    <s v="Europe → France → Marseille"/>
    <s v="Low"/>
    <x v="2"/>
    <x v="9"/>
  </r>
  <r>
    <s v="ORD-2024-542244"/>
    <d v="2024-08-30T00:00:00"/>
    <d v="2024-09-05T00:00:00"/>
    <d v="2024-08-30T00:00:00"/>
    <d v="2024-09-05T00:00:00"/>
    <n v="6"/>
    <s v="8-2024"/>
    <s v="Asia"/>
    <x v="2"/>
    <s v="Nagoya"/>
    <s v="Education"/>
    <x v="1"/>
    <x v="10"/>
    <s v="Laptops"/>
    <s v="LAP-7009"/>
    <n v="466.16"/>
    <n v="876.81"/>
    <n v="0.24099999999999999"/>
    <n v="8"/>
    <n v="5323.9903199999999"/>
    <n v="3729.28"/>
    <n v="1594.7103199999997"/>
    <n v="0.29953291124691594"/>
    <s v="Q3-2024"/>
    <s v="Asia → Japan → Nagoya"/>
    <s v="Low"/>
    <x v="0"/>
    <x v="11"/>
  </r>
  <r>
    <s v="ORD-2024-375848"/>
    <d v="2024-05-18T00:00:00"/>
    <d v="2024-05-21T00:00:00"/>
    <d v="2024-05-18T00:00:00"/>
    <d v="2024-05-21T00:00:00"/>
    <n v="3"/>
    <s v="5-2024"/>
    <s v="Europe"/>
    <x v="6"/>
    <s v="Marseille"/>
    <s v="Non-Profit"/>
    <x v="2"/>
    <x v="8"/>
    <s v="Printers"/>
    <s v="PRN-1725"/>
    <n v="663.66"/>
    <n v="824.26"/>
    <n v="0.23899999999999999"/>
    <n v="11"/>
    <n v="6899.8804600000003"/>
    <n v="7300.2599999999993"/>
    <n v="-400.379539999999"/>
    <n v="-5.8027025587048933E-2"/>
    <s v="Q2-2024"/>
    <s v="Europe → France → Marseille"/>
    <s v="Low"/>
    <x v="0"/>
    <x v="5"/>
  </r>
  <r>
    <s v="ORD-2023-933238"/>
    <d v="2023-03-17T00:00:00"/>
    <d v="2023-04-06T00:00:00"/>
    <d v="2023-03-17T00:00:00"/>
    <d v="2023-04-06T00:00:00"/>
    <n v="20"/>
    <s v="3-2023"/>
    <s v="Europe"/>
    <x v="11"/>
    <s v="Munich"/>
    <s v="Consumer"/>
    <x v="0"/>
    <x v="7"/>
    <s v="Phones"/>
    <s v="PHN-8483"/>
    <n v="692.18"/>
    <n v="1159.3499999999999"/>
    <n v="0.112"/>
    <n v="2"/>
    <n v="2059.0056"/>
    <n v="1384.36"/>
    <n v="674.64560000000006"/>
    <n v="0.32765602968734037"/>
    <s v="Q1-2023"/>
    <s v="Europe → Germany → Munich"/>
    <s v="Low"/>
    <x v="1"/>
    <x v="0"/>
  </r>
  <r>
    <s v="ORD-2023-732585"/>
    <d v="2023-08-25T00:00:00"/>
    <d v="2023-09-16T00:00:00"/>
    <d v="2023-08-25T00:00:00"/>
    <d v="2023-09-16T00:00:00"/>
    <n v="22"/>
    <s v="8-2023"/>
    <s v="Africa"/>
    <x v="1"/>
    <s v="Abuja"/>
    <s v="Corporate"/>
    <x v="2"/>
    <x v="4"/>
    <s v="Phones"/>
    <s v="PHN-3971"/>
    <n v="1196.83"/>
    <n v="2513.5100000000002"/>
    <n v="8.3000000000000004E-2"/>
    <n v="7"/>
    <n v="16134.22069"/>
    <n v="8377.81"/>
    <n v="7756.4106900000006"/>
    <n v="0.48074281609445374"/>
    <s v="Q3-2023"/>
    <s v="Africa → Nigeria → Abuja"/>
    <s v="High"/>
    <x v="1"/>
    <x v="11"/>
  </r>
  <r>
    <s v="ORD-2024-465898"/>
    <d v="2024-06-06T00:00:00"/>
    <d v="2024-06-24T00:00:00"/>
    <d v="2024-06-06T00:00:00"/>
    <d v="2024-06-24T00:00:00"/>
    <n v="18"/>
    <s v="6-2024"/>
    <s v="Asia"/>
    <x v="4"/>
    <s v="Bengaluru"/>
    <s v="Small Business"/>
    <x v="4"/>
    <x v="11"/>
    <s v="Networking"/>
    <s v="NET-6578"/>
    <n v="1253.25"/>
    <n v="3087.13"/>
    <n v="7.1999999999999995E-2"/>
    <n v="11"/>
    <n v="31513.423040000001"/>
    <n v="13785.75"/>
    <n v="17727.673040000001"/>
    <n v="0.562543555408064"/>
    <s v="Q2-2024"/>
    <s v="Asia → India → Bengaluru"/>
    <s v="High"/>
    <x v="0"/>
    <x v="9"/>
  </r>
  <r>
    <s v="ORD-2023-987081"/>
    <d v="2023-08-29T00:00:00"/>
    <d v="2023-09-13T00:00:00"/>
    <d v="2023-08-29T00:00:00"/>
    <d v="2023-09-13T00:00:00"/>
    <n v="15"/>
    <s v="8-2023"/>
    <s v="Americas"/>
    <x v="3"/>
    <s v="Vancouver"/>
    <s v="Small Business"/>
    <x v="2"/>
    <x v="7"/>
    <s v="Printers"/>
    <s v="PRN-9975"/>
    <n v="1287.6400000000001"/>
    <n v="2717.15"/>
    <n v="3.2000000000000001E-2"/>
    <n v="7"/>
    <n v="18411.4084"/>
    <n v="9013.4800000000014"/>
    <n v="9397.9283999999989"/>
    <n v="0.51044049405802105"/>
    <s v="Q3-2023"/>
    <s v="Americas → Canada → Vancouver"/>
    <s v="High"/>
    <x v="1"/>
    <x v="11"/>
  </r>
  <r>
    <s v="ORD-2025-411385"/>
    <d v="2025-06-05T00:00:00"/>
    <d v="2025-06-14T00:00:00"/>
    <d v="2025-06-05T00:00:00"/>
    <d v="2025-06-14T00:00:00"/>
    <n v="9"/>
    <s v="6-2025"/>
    <s v="Asia"/>
    <x v="4"/>
    <s v="Delhi"/>
    <s v="Non-Profit"/>
    <x v="0"/>
    <x v="14"/>
    <s v="Accessories"/>
    <s v="ACC-2902"/>
    <n v="618.69000000000005"/>
    <n v="796.15"/>
    <n v="0.09"/>
    <n v="11"/>
    <n v="7969.4615000000003"/>
    <n v="6805.59"/>
    <n v="1163.8715000000002"/>
    <n v="0.14604142325049191"/>
    <s v="Q2-2025"/>
    <s v="Asia → India → Delhi"/>
    <s v="Low"/>
    <x v="2"/>
    <x v="9"/>
  </r>
  <r>
    <s v="ORD-2023-653343"/>
    <d v="2023-11-10T00:00:00"/>
    <d v="2023-11-28T00:00:00"/>
    <d v="2023-11-10T00:00:00"/>
    <d v="2023-11-28T00:00:00"/>
    <n v="18"/>
    <s v="11-2023"/>
    <s v="Americas"/>
    <x v="5"/>
    <s v="Brasília"/>
    <s v="Education"/>
    <x v="2"/>
    <x v="4"/>
    <s v="Accessories"/>
    <s v="ACC-5260"/>
    <n v="388.51"/>
    <n v="776.46"/>
    <n v="0.157"/>
    <n v="12"/>
    <n v="7854.6693599999999"/>
    <n v="4662.12"/>
    <n v="3192.54936"/>
    <n v="0.40645241876864946"/>
    <s v="Q4-2023"/>
    <s v="Americas → Brazil → Brasília"/>
    <s v="Low"/>
    <x v="1"/>
    <x v="10"/>
  </r>
  <r>
    <s v="ORD-2025-222035"/>
    <d v="2025-03-14T00:00:00"/>
    <d v="2025-04-08T00:00:00"/>
    <d v="2025-03-14T00:00:00"/>
    <d v="2025-04-08T00:00:00"/>
    <n v="25"/>
    <s v="3-2025"/>
    <s v="Asia"/>
    <x v="8"/>
    <s v="Unknown City"/>
    <s v="Corporate"/>
    <x v="3"/>
    <x v="8"/>
    <s v="Printers"/>
    <s v="PRN-5815"/>
    <n v="80.59"/>
    <n v="157.82"/>
    <n v="0.217"/>
    <n v="6"/>
    <n v="741.43835999999999"/>
    <n v="483.54"/>
    <n v="257.89835999999997"/>
    <n v="0.34783519967863541"/>
    <s v="Q1-2025"/>
    <s v="Asia → China → Unknown City"/>
    <s v="Low"/>
    <x v="2"/>
    <x v="0"/>
  </r>
  <r>
    <s v="ORD-2024-749242"/>
    <d v="2024-01-16T00:00:00"/>
    <d v="2024-02-11T00:00:00"/>
    <d v="2024-01-16T00:00:00"/>
    <d v="2024-02-11T00:00:00"/>
    <n v="26"/>
    <s v="1-2024"/>
    <s v="Europe"/>
    <x v="11"/>
    <s v="Frankfurt"/>
    <s v="Non-Profit"/>
    <x v="3"/>
    <x v="6"/>
    <s v="Monitors"/>
    <s v="MON-4195"/>
    <n v="504.93"/>
    <n v="819.06"/>
    <n v="0.22600000000000001"/>
    <n v="15"/>
    <n v="9509.2865999999995"/>
    <n v="7573.95"/>
    <n v="1935.3365999999996"/>
    <n v="0.20352069312959814"/>
    <s v="Q1-2024"/>
    <s v="Europe → Germany → Frankfurt"/>
    <s v="Low"/>
    <x v="0"/>
    <x v="4"/>
  </r>
  <r>
    <s v="ORD-2023-623293"/>
    <d v="2023-10-12T00:00:00"/>
    <d v="2023-10-29T00:00:00"/>
    <d v="2023-10-12T00:00:00"/>
    <d v="2023-10-29T00:00:00"/>
    <n v="17"/>
    <s v="10-2023"/>
    <s v="Asia"/>
    <x v="2"/>
    <s v="Nagoya"/>
    <s v="Non-Profit"/>
    <x v="4"/>
    <x v="11"/>
    <s v="Phones"/>
    <s v="PHN-8478"/>
    <n v="1102.19"/>
    <n v="1711.16"/>
    <n v="0.151"/>
    <n v="10"/>
    <n v="14527.748400000002"/>
    <n v="11021.900000000001"/>
    <n v="3505.8484000000008"/>
    <n v="0.24132083675127525"/>
    <s v="Q4-2023"/>
    <s v="Asia → Japan → Nagoya"/>
    <s v="Medium"/>
    <x v="1"/>
    <x v="1"/>
  </r>
  <r>
    <s v="ORD-2025-276968"/>
    <d v="2025-02-25T00:00:00"/>
    <d v="2025-03-17T00:00:00"/>
    <d v="2025-02-25T00:00:00"/>
    <d v="2025-03-17T00:00:00"/>
    <n v="20"/>
    <s v="2-2025"/>
    <s v="Americas"/>
    <x v="9"/>
    <s v="San Francisco"/>
    <s v="Non-Profit"/>
    <x v="2"/>
    <x v="11"/>
    <s v="Phones"/>
    <s v="PHN-1044"/>
    <n v="1205.26"/>
    <n v="1696.35"/>
    <n v="1.9E-2"/>
    <n v="6"/>
    <n v="9984.7160999999978"/>
    <n v="7231.5599999999995"/>
    <n v="2753.1560999999983"/>
    <n v="0.27573704374028213"/>
    <s v="Q1-2025"/>
    <s v="Americas → USA → San Francisco"/>
    <s v="Medium"/>
    <x v="2"/>
    <x v="2"/>
  </r>
  <r>
    <s v="ORD-2025-650841"/>
    <d v="2025-07-03T00:00:00"/>
    <d v="2025-07-06T00:00:00"/>
    <d v="2025-07-03T00:00:00"/>
    <d v="2025-07-06T00:00:00"/>
    <n v="3"/>
    <s v="7-2025"/>
    <s v="Africa"/>
    <x v="1"/>
    <s v="Lagos"/>
    <s v="Consumer"/>
    <x v="1"/>
    <x v="15"/>
    <s v="Laptops"/>
    <s v="LAP-8910"/>
    <n v="1313.3"/>
    <n v="2884.34"/>
    <n v="0.157"/>
    <n v="42"/>
    <n v="102122.94203999999"/>
    <n v="55158.6"/>
    <n v="46964.342039999996"/>
    <n v="0.45988042551305253"/>
    <s v="Q3-2025"/>
    <s v="Africa → Nigeria → Lagos"/>
    <s v="High"/>
    <x v="2"/>
    <x v="6"/>
  </r>
  <r>
    <s v="ORD-2025-831576"/>
    <d v="2025-09-15T00:00:00"/>
    <d v="2025-09-25T00:00:00"/>
    <d v="2025-09-15T00:00:00"/>
    <d v="2025-09-25T00:00:00"/>
    <n v="10"/>
    <s v="9-2025"/>
    <s v="Asia"/>
    <x v="4"/>
    <s v="Delhi"/>
    <s v="Consumer"/>
    <x v="0"/>
    <x v="14"/>
    <s v="Phones"/>
    <s v="PHN-2859"/>
    <n v="1488.91"/>
    <n v="1483.74"/>
    <n v="0.16800000000000001"/>
    <n v="24"/>
    <n v="29627.320319999999"/>
    <n v="35733.840000000004"/>
    <n v="-6106.5196800000049"/>
    <n v="-0.20611110333450519"/>
    <s v="Q3-2025"/>
    <s v="Asia → India → Delhi"/>
    <s v="Medium"/>
    <x v="2"/>
    <x v="8"/>
  </r>
  <r>
    <s v="ORD-2024-468655"/>
    <d v="2024-02-19T00:00:00"/>
    <d v="2024-03-06T00:00:00"/>
    <d v="2024-02-19T00:00:00"/>
    <d v="2024-03-06T00:00:00"/>
    <n v="16"/>
    <s v="2-2024"/>
    <s v="Asia"/>
    <x v="8"/>
    <s v="Beijing"/>
    <s v="Education"/>
    <x v="2"/>
    <x v="7"/>
    <s v="Printers"/>
    <s v="PRN-6308"/>
    <n v="1477.84"/>
    <n v="3197.47"/>
    <n v="0.24299999999999999"/>
    <n v="24"/>
    <n v="58091.634960000003"/>
    <n v="35468.159999999996"/>
    <n v="22623.474960000007"/>
    <n v="0.38944462443823091"/>
    <s v="Q1-2024"/>
    <s v="Asia → China → Beijing"/>
    <s v="High"/>
    <x v="0"/>
    <x v="2"/>
  </r>
  <r>
    <s v="ORD-2024-515105"/>
    <d v="2024-02-27T00:00:00"/>
    <d v="2024-03-26T00:00:00"/>
    <d v="2024-02-27T00:00:00"/>
    <d v="2024-03-26T00:00:00"/>
    <n v="28"/>
    <s v="2-2024"/>
    <s v="Asia"/>
    <x v="4"/>
    <s v="Mumbai"/>
    <s v="Education"/>
    <x v="2"/>
    <x v="3"/>
    <s v="Laptops"/>
    <s v="LAP-8469"/>
    <n v="1035.19"/>
    <n v="2322.6999999999998"/>
    <n v="0.17299999999999999"/>
    <n v="8"/>
    <n v="15366.983199999999"/>
    <n v="8281.52"/>
    <n v="7085.4631999999983"/>
    <n v="0.46108355217047409"/>
    <s v="Q1-2024"/>
    <s v="Asia → India → Mumbai"/>
    <s v="High"/>
    <x v="0"/>
    <x v="2"/>
  </r>
  <r>
    <s v="ORD-2025-803803"/>
    <d v="2025-08-28T00:00:00"/>
    <d v="2025-09-05T00:00:00"/>
    <d v="2025-08-28T00:00:00"/>
    <d v="2025-09-05T00:00:00"/>
    <n v="8"/>
    <s v="8-2025"/>
    <s v="Africa"/>
    <x v="1"/>
    <s v="Port Harcourt"/>
    <s v="Small Business"/>
    <x v="2"/>
    <x v="6"/>
    <s v="Laptops"/>
    <s v="LAP-7553"/>
    <n v="1271.0999999999999"/>
    <n v="1932.42"/>
    <n v="0.25"/>
    <n v="21"/>
    <n v="30435.614999999998"/>
    <n v="26693.1"/>
    <n v="3742.5149999999994"/>
    <n v="0.12296498690760807"/>
    <s v="Q3-2025"/>
    <s v="Africa → Nigeria → Port Harcourt"/>
    <s v="High"/>
    <x v="2"/>
    <x v="11"/>
  </r>
  <r>
    <s v="ORD-2024-993481"/>
    <d v="2024-08-18T00:00:00"/>
    <d v="2024-09-12T00:00:00"/>
    <d v="2024-08-18T00:00:00"/>
    <d v="2024-09-12T00:00:00"/>
    <n v="25"/>
    <s v="8-2024"/>
    <s v="Asia"/>
    <x v="4"/>
    <s v="Mumbai"/>
    <s v="Consumer"/>
    <x v="2"/>
    <x v="0"/>
    <s v="Phones"/>
    <s v="PHN-3077"/>
    <n v="1154.03"/>
    <n v="1590.36"/>
    <n v="0.1186"/>
    <n v="18"/>
    <n v="25231.379471999997"/>
    <n v="20772.54"/>
    <n v="4458.839471999996"/>
    <n v="0.17671802197529871"/>
    <s v="Q3-2024"/>
    <s v="Asia → India → Mumbai"/>
    <s v="Medium"/>
    <x v="0"/>
    <x v="11"/>
  </r>
  <r>
    <s v="ORD-2024-811752"/>
    <d v="2024-02-25T00:00:00"/>
    <d v="2024-03-09T00:00:00"/>
    <d v="2024-02-25T00:00:00"/>
    <d v="2024-03-09T00:00:00"/>
    <n v="13"/>
    <s v="2-2024"/>
    <s v="Europe"/>
    <x v="6"/>
    <s v="Marseille"/>
    <s v="Small Business"/>
    <x v="3"/>
    <x v="6"/>
    <s v="Monitors"/>
    <s v="MON-3350"/>
    <n v="322.44"/>
    <n v="395.61"/>
    <n v="0"/>
    <n v="34"/>
    <n v="13450.74"/>
    <n v="10962.96"/>
    <n v="2487.7800000000007"/>
    <n v="0.18495487980586947"/>
    <s v="Q1-2024"/>
    <s v="Europe → France → Marseille"/>
    <s v="Low"/>
    <x v="0"/>
    <x v="2"/>
  </r>
  <r>
    <s v="ORD-2025-673091"/>
    <d v="2025-05-07T00:00:00"/>
    <d v="2025-05-13T00:00:00"/>
    <d v="2025-05-07T00:00:00"/>
    <d v="2025-05-13T00:00:00"/>
    <n v="6"/>
    <s v="5-2025"/>
    <s v="Asia"/>
    <x v="4"/>
    <s v="Bengaluru"/>
    <s v="Enterprise"/>
    <x v="4"/>
    <x v="1"/>
    <s v="Phones"/>
    <s v="PHN-5683"/>
    <n v="935.98"/>
    <n v="2077.69"/>
    <n v="0.17499999999999999"/>
    <n v="24"/>
    <n v="41138.261999999995"/>
    <n v="22463.52"/>
    <n v="18674.741999999995"/>
    <n v="0.45395067978321491"/>
    <s v="Q2-2025"/>
    <s v="Asia → India → Bengaluru"/>
    <s v="High"/>
    <x v="2"/>
    <x v="5"/>
  </r>
  <r>
    <s v="ORD-2024-381197"/>
    <d v="2024-11-01T00:00:00"/>
    <d v="2024-11-12T00:00:00"/>
    <d v="2024-11-01T00:00:00"/>
    <d v="2024-11-12T00:00:00"/>
    <n v="11"/>
    <s v="11-2024"/>
    <s v="Europe"/>
    <x v="11"/>
    <s v="Frankfurt"/>
    <s v="Consumer"/>
    <x v="1"/>
    <x v="5"/>
    <s v="Printers"/>
    <s v="PRN-2409"/>
    <n v="599.84"/>
    <n v="1330.85"/>
    <n v="0.115"/>
    <n v="11"/>
    <n v="12955.824749999998"/>
    <n v="6598.2400000000007"/>
    <n v="6357.5847499999973"/>
    <n v="0.49071246892252063"/>
    <s v="Q4-2024"/>
    <s v="Europe → Germany → Frankfurt"/>
    <s v="Medium"/>
    <x v="0"/>
    <x v="10"/>
  </r>
  <r>
    <s v="ORD-2024-651852"/>
    <d v="2024-12-28T00:00:00"/>
    <d v="2025-01-08T00:00:00"/>
    <d v="2024-12-28T00:00:00"/>
    <d v="2025-01-08T00:00:00"/>
    <n v="11"/>
    <s v="12-2024"/>
    <s v="Asia"/>
    <x v="8"/>
    <s v="Shenzhen"/>
    <s v="Enterprise"/>
    <x v="1"/>
    <x v="12"/>
    <s v="Laptops"/>
    <s v="LAP-8825"/>
    <n v="1201.31"/>
    <n v="2764.65"/>
    <n v="0"/>
    <n v="21"/>
    <n v="58057.65"/>
    <n v="25227.51"/>
    <n v="32830.14"/>
    <n v="0.56547483406579491"/>
    <s v="Q4-2024"/>
    <s v="Asia → China → Shenzhen"/>
    <s v="High"/>
    <x v="0"/>
    <x v="3"/>
  </r>
  <r>
    <s v="ORD-2023-659070"/>
    <d v="2023-10-21T00:00:00"/>
    <d v="2023-10-21T00:00:00"/>
    <d v="2023-10-21T00:00:00"/>
    <d v="2023-10-21T00:00:00"/>
    <n v="0"/>
    <s v="10-2023"/>
    <s v="Europe"/>
    <x v="7"/>
    <s v="Manchester"/>
    <s v="Enterprise"/>
    <x v="3"/>
    <x v="1"/>
    <s v="Monitors"/>
    <s v="MON-8697"/>
    <n v="384.19"/>
    <n v="278.35000000000002"/>
    <n v="5.6000000000000001E-2"/>
    <n v="10"/>
    <n v="2627.6239999999998"/>
    <n v="3841.9"/>
    <n v="-1214.2760000000003"/>
    <n v="-0.46211938998882657"/>
    <s v="Q4-2023"/>
    <s v="Europe → United Kingdom → Manchester"/>
    <s v="Low"/>
    <x v="1"/>
    <x v="1"/>
  </r>
  <r>
    <s v="ORD-2024-837651"/>
    <d v="2024-12-10T00:00:00"/>
    <d v="2024-12-19T00:00:00"/>
    <d v="2024-12-10T00:00:00"/>
    <d v="2024-12-19T00:00:00"/>
    <n v="9"/>
    <s v="12-2024"/>
    <s v="Africa"/>
    <x v="1"/>
    <s v="Lagos"/>
    <s v="Corporate"/>
    <x v="0"/>
    <x v="7"/>
    <s v="Monitors"/>
    <s v="MON-4789"/>
    <n v="488.68"/>
    <n v="984.36"/>
    <n v="5.8999999999999997E-2"/>
    <n v="14"/>
    <n v="12967.958640000001"/>
    <n v="6841.52"/>
    <n v="6126.4386400000003"/>
    <n v="0.47242891576649876"/>
    <s v="Q4-2024"/>
    <s v="Africa → Nigeria → Lagos"/>
    <s v="Low"/>
    <x v="0"/>
    <x v="3"/>
  </r>
  <r>
    <s v="ORD-2024-581530"/>
    <d v="2024-09-07T00:00:00"/>
    <d v="2024-09-18T00:00:00"/>
    <d v="2024-09-07T00:00:00"/>
    <d v="2024-09-18T00:00:00"/>
    <n v="11"/>
    <s v="9-2024"/>
    <s v="Asia"/>
    <x v="8"/>
    <s v="Beijing"/>
    <s v="Consumer"/>
    <x v="3"/>
    <x v="7"/>
    <s v="Networking"/>
    <s v="NET-7998"/>
    <n v="181.74"/>
    <n v="190.84"/>
    <n v="0.214"/>
    <n v="13"/>
    <n v="1950.0031200000001"/>
    <n v="2362.62"/>
    <n v="-412.61687999999981"/>
    <n v="-0.21159806144310159"/>
    <s v="Q3-2024"/>
    <s v="Asia → China → Beijing"/>
    <s v="Low"/>
    <x v="0"/>
    <x v="8"/>
  </r>
  <r>
    <s v="ORD-2023-378104"/>
    <d v="2023-10-18T00:00:00"/>
    <d v="2023-10-20T00:00:00"/>
    <d v="2023-10-18T00:00:00"/>
    <d v="2023-10-20T00:00:00"/>
    <n v="2"/>
    <s v="10-2023"/>
    <s v="Africa"/>
    <x v="0"/>
    <s v="Kisumu"/>
    <s v="Consumer"/>
    <x v="0"/>
    <x v="1"/>
    <s v="Phones"/>
    <s v="PHN-8891"/>
    <n v="774.12"/>
    <n v="908.3"/>
    <n v="0"/>
    <n v="30"/>
    <n v="27249"/>
    <n v="23223.599999999999"/>
    <n v="4025.4000000000015"/>
    <n v="0.14772652207420461"/>
    <s v="Q4-2023"/>
    <s v="Africa → Kenya → Kisumu"/>
    <s v="Low"/>
    <x v="1"/>
    <x v="1"/>
  </r>
  <r>
    <s v="ORD-2024-972318"/>
    <d v="2024-12-24T00:00:00"/>
    <d v="2025-01-13T00:00:00"/>
    <d v="2024-12-24T00:00:00"/>
    <d v="2025-01-13T00:00:00"/>
    <n v="20"/>
    <s v="12-2024"/>
    <s v="Asia"/>
    <x v="4"/>
    <s v="Bengaluru"/>
    <s v="Corporate"/>
    <x v="2"/>
    <x v="8"/>
    <s v="Networking"/>
    <s v="NET-9832"/>
    <n v="126.15"/>
    <n v="284.23"/>
    <n v="0.113"/>
    <n v="22"/>
    <n v="5546.4642200000008"/>
    <n v="2775.3"/>
    <n v="2771.1642200000006"/>
    <n v="0.49962716968541088"/>
    <s v="Q4-2024"/>
    <s v="Asia → India → Bengaluru"/>
    <s v="Low"/>
    <x v="0"/>
    <x v="3"/>
  </r>
  <r>
    <s v="ORD-2023-752962"/>
    <d v="2023-04-21T00:00:00"/>
    <d v="2023-04-19T00:00:00"/>
    <d v="2023-04-19T00:00:00"/>
    <d v="2023-04-21T00:00:00"/>
    <n v="2"/>
    <s v="4-2023"/>
    <s v="Asia"/>
    <x v="2"/>
    <s v="Nagoya"/>
    <s v="Small Business"/>
    <x v="4"/>
    <x v="13"/>
    <s v="Components"/>
    <s v="CMP-8604"/>
    <n v="607.04"/>
    <n v="1229.3399999999999"/>
    <n v="0.14699999999999999"/>
    <n v="7"/>
    <n v="7340.3891399999993"/>
    <n v="4249.28"/>
    <n v="3091.1091399999996"/>
    <n v="0.42110970972310058"/>
    <s v="Q2-2023"/>
    <s v="Asia → Japan → Nagoya"/>
    <s v="Medium"/>
    <x v="1"/>
    <x v="7"/>
  </r>
  <r>
    <s v="ORD-2025-898843"/>
    <d v="2025-02-02T00:00:00"/>
    <d v="2025-03-04T00:00:00"/>
    <d v="2025-02-02T00:00:00"/>
    <d v="2025-03-04T00:00:00"/>
    <n v="30"/>
    <s v="2-2025"/>
    <s v="Asia"/>
    <x v="2"/>
    <s v="Osaka"/>
    <s v="Education"/>
    <x v="3"/>
    <x v="4"/>
    <s v="Accessories"/>
    <s v="ACC-9591"/>
    <n v="766.59"/>
    <n v="1912.8"/>
    <n v="0.19600000000000001"/>
    <n v="5"/>
    <n v="7689.4560000000001"/>
    <n v="3832.9500000000003"/>
    <n v="3856.5059999999999"/>
    <n v="0.50153170783472845"/>
    <s v="Q1-2025"/>
    <s v="Asia → Japan → Osaka"/>
    <s v="High"/>
    <x v="2"/>
    <x v="2"/>
  </r>
  <r>
    <s v="ORD-2023-156396"/>
    <d v="2023-02-21T00:00:00"/>
    <d v="2023-03-12T00:00:00"/>
    <d v="2023-02-21T00:00:00"/>
    <d v="2023-03-12T00:00:00"/>
    <n v="19"/>
    <s v="2-2023"/>
    <s v="Africa"/>
    <x v="0"/>
    <s v="Nakuru"/>
    <s v="Corporate"/>
    <x v="1"/>
    <x v="9"/>
    <s v="Networking"/>
    <s v="NET-2499"/>
    <n v="352.65"/>
    <n v="485.86"/>
    <n v="4.1000000000000002E-2"/>
    <n v="6"/>
    <n v="2795.6384399999997"/>
    <n v="2115.8999999999996"/>
    <n v="679.73844000000008"/>
    <n v="0.24314247159943908"/>
    <s v="Q1-2023"/>
    <s v="Africa → Kenya → Nakuru"/>
    <s v="Low"/>
    <x v="1"/>
    <x v="2"/>
  </r>
  <r>
    <s v="ORD-2023-184577"/>
    <d v="2023-05-17T00:00:00"/>
    <d v="2023-06-03T00:00:00"/>
    <d v="2023-05-17T00:00:00"/>
    <d v="2023-06-03T00:00:00"/>
    <n v="17"/>
    <s v="5-2023"/>
    <s v="Asia"/>
    <x v="8"/>
    <s v="Beijing"/>
    <s v="Non-Profit"/>
    <x v="3"/>
    <x v="13"/>
    <s v="Printers"/>
    <s v="PRN-1923"/>
    <n v="979.59"/>
    <n v="2210.94"/>
    <n v="0.15"/>
    <n v="11"/>
    <n v="20672.289000000001"/>
    <n v="10775.49"/>
    <n v="9896.7990000000009"/>
    <n v="0.47874712858358359"/>
    <s v="Q2-2023"/>
    <s v="Asia → China → Beijing"/>
    <s v="High"/>
    <x v="1"/>
    <x v="5"/>
  </r>
  <r>
    <s v="ORD-2024-446030"/>
    <d v="2024-03-23T00:00:00"/>
    <d v="2024-03-26T00:00:00"/>
    <d v="2024-03-23T00:00:00"/>
    <d v="2024-03-26T00:00:00"/>
    <n v="3"/>
    <s v="3-2024"/>
    <s v="Asia"/>
    <x v="4"/>
    <s v="Bengaluru"/>
    <s v="Education"/>
    <x v="4"/>
    <x v="3"/>
    <s v="Phones"/>
    <s v="PHN-4346"/>
    <n v="382.21"/>
    <n v="571.89"/>
    <n v="0.14799999999999999"/>
    <n v="26"/>
    <n v="12668.50728"/>
    <n v="9937.4599999999991"/>
    <n v="2731.0472800000007"/>
    <n v="0.2155776698578809"/>
    <s v="Q1-2024"/>
    <s v="Asia → India → Bengaluru"/>
    <s v="Low"/>
    <x v="0"/>
    <x v="0"/>
  </r>
  <r>
    <s v="ORD-2025-840976"/>
    <d v="2025-09-01T00:00:00"/>
    <d v="2025-09-30T00:00:00"/>
    <d v="2025-09-01T00:00:00"/>
    <d v="2025-09-30T00:00:00"/>
    <n v="29"/>
    <s v="9-2025"/>
    <s v="Americas"/>
    <x v="5"/>
    <s v="Brasília"/>
    <s v="Education"/>
    <x v="0"/>
    <x v="12"/>
    <s v="Accessories"/>
    <s v="ACC-1663"/>
    <n v="780.59"/>
    <n v="631.57000000000005"/>
    <n v="0"/>
    <n v="12"/>
    <n v="7578.84"/>
    <n v="9367.08"/>
    <n v="-1788.2399999999998"/>
    <n v="-0.23595167598207639"/>
    <s v="Q3-2025"/>
    <s v="Americas → Brazil → Brasília"/>
    <s v="Low"/>
    <x v="2"/>
    <x v="8"/>
  </r>
  <r>
    <s v="ORD-2024-745424"/>
    <d v="2024-08-22T00:00:00"/>
    <d v="2024-09-04T00:00:00"/>
    <d v="2024-08-22T00:00:00"/>
    <d v="2024-09-04T00:00:00"/>
    <n v="13"/>
    <s v="8-2024"/>
    <s v="Europe"/>
    <x v="11"/>
    <s v="Frankfurt"/>
    <s v="Non-Profit"/>
    <x v="0"/>
    <x v="4"/>
    <s v="Printers"/>
    <s v="PRN-4892"/>
    <n v="90.04"/>
    <n v="194.62"/>
    <n v="4.2999999999999997E-2"/>
    <n v="32"/>
    <n v="5960.04288"/>
    <n v="2881.28"/>
    <n v="3078.7628799999998"/>
    <n v="0.51656723650954672"/>
    <s v="Q3-2024"/>
    <s v="Europe → Germany → Frankfurt"/>
    <s v="Low"/>
    <x v="0"/>
    <x v="11"/>
  </r>
  <r>
    <s v="ORD-2024-510520"/>
    <d v="2024-09-25T00:00:00"/>
    <d v="2024-10-03T00:00:00"/>
    <d v="2024-09-25T00:00:00"/>
    <d v="2024-10-03T00:00:00"/>
    <n v="8"/>
    <s v="9-2024"/>
    <s v="Americas"/>
    <x v="3"/>
    <s v="Toronto"/>
    <s v="Consumer"/>
    <x v="1"/>
    <x v="6"/>
    <s v="Printers"/>
    <s v="PRN-9557"/>
    <n v="558.19000000000005"/>
    <n v="1031.6400000000001"/>
    <n v="0"/>
    <n v="21"/>
    <n v="21664.440000000002"/>
    <n v="11721.990000000002"/>
    <n v="9942.4500000000007"/>
    <n v="0.45892947152107322"/>
    <s v="Q3-2024"/>
    <s v="Americas → Canada → Toronto"/>
    <s v="Low"/>
    <x v="0"/>
    <x v="8"/>
  </r>
  <r>
    <s v="ORD-2023-769774"/>
    <d v="2023-06-13T00:00:00"/>
    <d v="2023-06-24T00:00:00"/>
    <d v="2023-06-13T00:00:00"/>
    <d v="2023-06-24T00:00:00"/>
    <n v="11"/>
    <s v="6-2023"/>
    <s v="Americas"/>
    <x v="3"/>
    <s v="Toronto"/>
    <s v="Corporate"/>
    <x v="1"/>
    <x v="0"/>
    <s v="Printers"/>
    <s v="PRN-8008"/>
    <n v="247.07"/>
    <n v="495.19"/>
    <n v="2.8000000000000001E-2"/>
    <n v="4"/>
    <n v="1925.29872"/>
    <n v="988.28"/>
    <n v="937.01872000000003"/>
    <n v="0.48668744764968214"/>
    <s v="Q2-2023"/>
    <s v="Americas → Canada → Toronto"/>
    <s v="Low"/>
    <x v="1"/>
    <x v="9"/>
  </r>
  <r>
    <s v="ORD-2023-580751"/>
    <d v="2023-12-24T00:00:00"/>
    <d v="2024-01-13T00:00:00"/>
    <d v="2023-12-24T00:00:00"/>
    <d v="2024-01-13T00:00:00"/>
    <n v="20"/>
    <s v="12-2023"/>
    <s v="Asia"/>
    <x v="2"/>
    <s v="Nagoya"/>
    <s v="Education"/>
    <x v="4"/>
    <x v="5"/>
    <s v="Laptops"/>
    <s v="LAP-1946"/>
    <n v="625.37"/>
    <n v="1319.04"/>
    <n v="7.3999999999999996E-2"/>
    <n v="8"/>
    <n v="9771.4483199999995"/>
    <n v="5002.96"/>
    <n v="4768.4883199999995"/>
    <n v="0.48800220436513547"/>
    <s v="Q4-2023"/>
    <s v="Asia → Japan → Nagoya"/>
    <s v="Medium"/>
    <x v="1"/>
    <x v="3"/>
  </r>
  <r>
    <s v="ORD-2025-473192"/>
    <d v="2025-03-30T00:00:00"/>
    <d v="2025-04-29T00:00:00"/>
    <d v="2025-03-30T00:00:00"/>
    <d v="2025-04-29T00:00:00"/>
    <n v="30"/>
    <s v="3-2025"/>
    <s v="Africa"/>
    <x v="10"/>
    <s v="Durban"/>
    <s v="Consumer"/>
    <x v="2"/>
    <x v="1"/>
    <s v="Monitors"/>
    <s v="MON-7106"/>
    <n v="194.6"/>
    <n v="314.87"/>
    <n v="0.29299999999999998"/>
    <n v="25"/>
    <n v="5565.3272500000003"/>
    <n v="4865"/>
    <n v="700.32725000000028"/>
    <n v="0.1258375686712763"/>
    <s v="Q1-2025"/>
    <s v="Africa → South Africa → Durban"/>
    <s v="Low"/>
    <x v="2"/>
    <x v="0"/>
  </r>
  <r>
    <s v="ORD-2024-886939"/>
    <d v="2024-06-03T00:00:00"/>
    <d v="2024-06-24T00:00:00"/>
    <d v="2024-06-03T00:00:00"/>
    <d v="2024-06-24T00:00:00"/>
    <n v="21"/>
    <s v="6-2024"/>
    <s v="Americas"/>
    <x v="3"/>
    <s v="Toronto"/>
    <s v="Small Business"/>
    <x v="4"/>
    <x v="3"/>
    <s v="Monitors"/>
    <s v="MON-5386"/>
    <n v="1205.5"/>
    <n v="2210.17"/>
    <n v="0.104"/>
    <n v="23"/>
    <n v="45547.183360000003"/>
    <n v="27726.5"/>
    <n v="17820.683360000003"/>
    <n v="0.39125763758314652"/>
    <s v="Q2-2024"/>
    <s v="Americas → Canada → Toronto"/>
    <s v="High"/>
    <x v="0"/>
    <x v="9"/>
  </r>
  <r>
    <s v="ORD-2024-566589"/>
    <d v="2024-06-11T00:00:00"/>
    <d v="2024-07-09T00:00:00"/>
    <d v="2024-06-11T00:00:00"/>
    <d v="2024-07-09T00:00:00"/>
    <n v="28"/>
    <s v="6-2024"/>
    <s v="Africa"/>
    <x v="1"/>
    <s v="Port Harcourt"/>
    <s v="Corporate"/>
    <x v="2"/>
    <x v="2"/>
    <s v="Phones"/>
    <s v="PHN-2436"/>
    <n v="895.54"/>
    <n v="1045"/>
    <n v="0.216"/>
    <n v="15"/>
    <n v="12289.2"/>
    <n v="13433.099999999999"/>
    <n v="-1143.8999999999978"/>
    <n v="-9.3081730299775234E-2"/>
    <s v="Q2-2024"/>
    <s v="Africa → Nigeria → Port Harcourt"/>
    <s v="Low"/>
    <x v="0"/>
    <x v="9"/>
  </r>
  <r>
    <s v="ORD-2023-109927"/>
    <d v="2023-07-22T00:00:00"/>
    <d v="2023-07-21T00:00:00"/>
    <d v="2023-07-21T00:00:00"/>
    <d v="2023-07-22T00:00:00"/>
    <n v="1"/>
    <s v="7-2023"/>
    <s v="Asia"/>
    <x v="4"/>
    <s v="Delhi"/>
    <s v="Small Business"/>
    <x v="3"/>
    <x v="6"/>
    <s v="Printers"/>
    <s v="PRN-2301"/>
    <n v="946.99"/>
    <n v="2132.19"/>
    <n v="0.16500000000000001"/>
    <n v="7"/>
    <n v="12462.65055"/>
    <n v="6628.93"/>
    <n v="5833.72055"/>
    <n v="0.46809629513362228"/>
    <s v="Q3-2023"/>
    <s v="Asia → India → Delhi"/>
    <s v="High"/>
    <x v="1"/>
    <x v="6"/>
  </r>
  <r>
    <s v="ORD-2023-888140"/>
    <d v="2023-10-11T00:00:00"/>
    <d v="2023-10-13T00:00:00"/>
    <d v="2023-10-11T00:00:00"/>
    <d v="2023-10-13T00:00:00"/>
    <n v="2"/>
    <s v="10-2023"/>
    <s v="Americas"/>
    <x v="5"/>
    <s v="Brasília"/>
    <s v="Consumer"/>
    <x v="3"/>
    <x v="15"/>
    <s v="Accessories"/>
    <s v="ACC-3567"/>
    <n v="715.94"/>
    <n v="550.07000000000005"/>
    <n v="0.14000000000000001"/>
    <n v="16"/>
    <n v="7568.9632000000001"/>
    <n v="11455.04"/>
    <n v="-3886.0768000000007"/>
    <n v="-0.51342260456491595"/>
    <s v="Q4-2023"/>
    <s v="Americas → Brazil → Brasília"/>
    <s v="Low"/>
    <x v="1"/>
    <x v="1"/>
  </r>
  <r>
    <s v="ORD-2024-851993"/>
    <d v="2024-05-01T00:00:00"/>
    <d v="2024-05-16T00:00:00"/>
    <d v="2024-05-01T00:00:00"/>
    <d v="2024-05-16T00:00:00"/>
    <n v="15"/>
    <s v="5-2024"/>
    <s v="Asia"/>
    <x v="4"/>
    <s v="Bengaluru"/>
    <s v="Small Business"/>
    <x v="0"/>
    <x v="4"/>
    <s v="Components"/>
    <s v="CMP-6811"/>
    <n v="901.19"/>
    <n v="2125.44"/>
    <n v="7.0999999999999994E-2"/>
    <n v="12"/>
    <n v="23694.405119999999"/>
    <n v="10814.28"/>
    <n v="12880.125119999999"/>
    <n v="0.54359352154100415"/>
    <s v="Q2-2024"/>
    <s v="Asia → India → Bengaluru"/>
    <s v="High"/>
    <x v="0"/>
    <x v="5"/>
  </r>
  <r>
    <s v="ORD-2025-417942"/>
    <d v="2025-06-09T00:00:00"/>
    <d v="2025-06-24T00:00:00"/>
    <d v="2025-06-09T00:00:00"/>
    <d v="2025-06-24T00:00:00"/>
    <n v="15"/>
    <s v="6-2025"/>
    <s v="Asia"/>
    <x v="2"/>
    <s v="Nagoya"/>
    <s v="Corporate"/>
    <x v="4"/>
    <x v="5"/>
    <s v="Phones"/>
    <s v="PHN-5675"/>
    <n v="400.39"/>
    <n v="712.75"/>
    <n v="0.115"/>
    <n v="19"/>
    <n v="11984.891250000001"/>
    <n v="7607.41"/>
    <n v="4377.4812500000007"/>
    <n v="0.36524997671547504"/>
    <s v="Q2-2025"/>
    <s v="Asia → Japan → Nagoya"/>
    <s v="Low"/>
    <x v="2"/>
    <x v="9"/>
  </r>
  <r>
    <s v="ORD-2023-172095"/>
    <d v="2023-05-24T00:00:00"/>
    <d v="2023-06-21T00:00:00"/>
    <d v="2023-05-24T00:00:00"/>
    <d v="2023-06-21T00:00:00"/>
    <n v="28"/>
    <s v="5-2023"/>
    <s v="Americas"/>
    <x v="9"/>
    <s v="Austin"/>
    <s v="Small Business"/>
    <x v="2"/>
    <x v="3"/>
    <s v="Monitors"/>
    <s v="MON-6882"/>
    <n v="813.97"/>
    <n v="1568.83"/>
    <n v="1.7000000000000001E-2"/>
    <n v="15"/>
    <n v="23132.398349999996"/>
    <n v="12209.550000000001"/>
    <n v="10922.848349999995"/>
    <n v="0.4721883215364911"/>
    <s v="Q2-2023"/>
    <s v="Americas → USA → Austin"/>
    <s v="Medium"/>
    <x v="1"/>
    <x v="5"/>
  </r>
  <r>
    <s v="ORD-2025-703623"/>
    <d v="2025-07-23T00:00:00"/>
    <d v="2025-08-19T00:00:00"/>
    <d v="2025-07-23T00:00:00"/>
    <d v="2025-08-19T00:00:00"/>
    <n v="27"/>
    <s v="7-2025"/>
    <s v="Asia"/>
    <x v="2"/>
    <s v="Nagoya"/>
    <s v="Consumer"/>
    <x v="2"/>
    <x v="5"/>
    <s v="Accessories"/>
    <s v="ACC-1596"/>
    <n v="896.09"/>
    <n v="744.27"/>
    <n v="8.3000000000000004E-2"/>
    <n v="11"/>
    <n v="7507.4514899999995"/>
    <n v="9856.99"/>
    <n v="-2349.5385100000003"/>
    <n v="-0.31296086469950679"/>
    <s v="Q3-2025"/>
    <s v="Asia → Japan → Nagoya"/>
    <s v="Low"/>
    <x v="2"/>
    <x v="6"/>
  </r>
  <r>
    <s v="ORD-2025-650719"/>
    <d v="2025-02-12T00:00:00"/>
    <d v="2025-02-28T00:00:00"/>
    <d v="2025-02-12T00:00:00"/>
    <d v="2025-02-28T00:00:00"/>
    <n v="16"/>
    <s v="2-2025"/>
    <s v="Americas"/>
    <x v="5"/>
    <s v="São Paulo"/>
    <s v="Non-Profit"/>
    <x v="4"/>
    <x v="5"/>
    <s v="Monitors"/>
    <s v="MON-5179"/>
    <n v="414.95"/>
    <n v="1027.73"/>
    <n v="6.3E-2"/>
    <n v="8"/>
    <n v="7703.8640800000003"/>
    <n v="3319.6"/>
    <n v="4384.2640800000008"/>
    <n v="0.56909935513815568"/>
    <s v="Q1-2025"/>
    <s v="Americas → Brazil → São Paulo"/>
    <s v="Low"/>
    <x v="2"/>
    <x v="2"/>
  </r>
  <r>
    <s v="ORD-2023-880296"/>
    <d v="2023-05-02T00:00:00"/>
    <d v="2023-05-19T00:00:00"/>
    <d v="2023-05-02T00:00:00"/>
    <d v="2023-05-19T00:00:00"/>
    <n v="17"/>
    <s v="5-2023"/>
    <s v="Asia"/>
    <x v="8"/>
    <s v="Shanghai"/>
    <s v="Non-Profit"/>
    <x v="4"/>
    <x v="1"/>
    <s v="Monitors"/>
    <s v="MON-5086"/>
    <n v="714.28"/>
    <n v="757.59"/>
    <n v="0.13600000000000001"/>
    <n v="12"/>
    <n v="7854.6931199999999"/>
    <n v="8571.36"/>
    <n v="-716.66688000000067"/>
    <n v="-9.1240595787910383E-2"/>
    <s v="Q2-2023"/>
    <s v="Asia → China → Shanghai"/>
    <s v="Low"/>
    <x v="1"/>
    <x v="5"/>
  </r>
  <r>
    <s v="ORD-2023-191563"/>
    <d v="2023-11-30T00:00:00"/>
    <d v="2023-12-10T00:00:00"/>
    <d v="2023-11-30T00:00:00"/>
    <d v="2023-12-10T00:00:00"/>
    <n v="10"/>
    <s v="11-2023"/>
    <s v="Europe"/>
    <x v="11"/>
    <s v="Munich"/>
    <s v="Small Business"/>
    <x v="4"/>
    <x v="9"/>
    <s v="Laptops"/>
    <s v="LAP-4899"/>
    <n v="174.74"/>
    <n v="415.96"/>
    <n v="0.125"/>
    <n v="21"/>
    <n v="7643.2649999999994"/>
    <n v="3669.54"/>
    <n v="3973.7249999999995"/>
    <n v="0.51989889137691803"/>
    <s v="Q4-2023"/>
    <s v="Europe → Germany → Munich"/>
    <s v="Low"/>
    <x v="1"/>
    <x v="10"/>
  </r>
  <r>
    <s v="ORD-2024-202166"/>
    <d v="2024-05-05T00:00:00"/>
    <d v="2024-05-18T00:00:00"/>
    <d v="2024-05-05T00:00:00"/>
    <d v="2024-05-18T00:00:00"/>
    <n v="13"/>
    <s v="5-2024"/>
    <s v="Europe"/>
    <x v="6"/>
    <s v="Marseille"/>
    <s v="Corporate"/>
    <x v="2"/>
    <x v="14"/>
    <s v="Components"/>
    <s v="CMP-3313"/>
    <n v="1264.04"/>
    <n v="1870.89"/>
    <n v="0"/>
    <n v="13"/>
    <n v="24321.57"/>
    <n v="16432.52"/>
    <n v="7889.0499999999993"/>
    <n v="0.32436433996653996"/>
    <s v="Q2-2024"/>
    <s v="Europe → France → Marseille"/>
    <s v="Medium"/>
    <x v="0"/>
    <x v="5"/>
  </r>
  <r>
    <s v="ORD-2023-539967"/>
    <d v="2023-07-09T00:00:00"/>
    <d v="2023-07-19T00:00:00"/>
    <d v="2023-07-09T00:00:00"/>
    <d v="2023-07-19T00:00:00"/>
    <n v="10"/>
    <s v="7-2023"/>
    <s v="Asia"/>
    <x v="2"/>
    <s v="Tokyo"/>
    <s v="Enterprise"/>
    <x v="3"/>
    <x v="10"/>
    <s v="Components"/>
    <s v="CMP-6649"/>
    <n v="141.26"/>
    <n v="206.88"/>
    <n v="0.107"/>
    <n v="9"/>
    <n v="1662.6945600000001"/>
    <n v="1271.3399999999999"/>
    <n v="391.35456000000022"/>
    <n v="0.23537369365062469"/>
    <s v="Q3-2023"/>
    <s v="Asia → Japan → Tokyo"/>
    <s v="Low"/>
    <x v="1"/>
    <x v="6"/>
  </r>
  <r>
    <s v="ORD-2023-375011"/>
    <d v="2023-08-23T00:00:00"/>
    <d v="2023-09-22T00:00:00"/>
    <d v="2023-08-23T00:00:00"/>
    <d v="2023-09-22T00:00:00"/>
    <n v="30"/>
    <s v="8-2023"/>
    <s v="Europe"/>
    <x v="7"/>
    <s v="London"/>
    <s v="Consumer"/>
    <x v="3"/>
    <x v="7"/>
    <s v="Accessories"/>
    <s v="ACC-1492"/>
    <n v="209.81"/>
    <n v="523"/>
    <n v="5.8999999999999997E-2"/>
    <n v="15"/>
    <n v="7382.1450000000004"/>
    <n v="3147.15"/>
    <n v="4234.9950000000008"/>
    <n v="0.57368082041195356"/>
    <s v="Q3-2023"/>
    <s v="Europe → United Kingdom → London"/>
    <s v="Low"/>
    <x v="1"/>
    <x v="11"/>
  </r>
  <r>
    <s v="ORD-2024-356812"/>
    <d v="2024-03-07T00:00:00"/>
    <d v="2024-04-03T00:00:00"/>
    <d v="2024-03-07T00:00:00"/>
    <d v="2024-04-03T00:00:00"/>
    <n v="27"/>
    <s v="3-2024"/>
    <s v="Europe"/>
    <x v="11"/>
    <s v="Frankfurt"/>
    <s v="Corporate"/>
    <x v="4"/>
    <x v="13"/>
    <s v="Printers"/>
    <s v="PRN-6911"/>
    <n v="738.16"/>
    <n v="956.49"/>
    <n v="0.152"/>
    <n v="5"/>
    <n v="4055.5175999999997"/>
    <n v="3690.7999999999997"/>
    <n v="364.71759999999995"/>
    <n v="8.9931208780847108E-2"/>
    <s v="Q1-2024"/>
    <s v="Europe → Germany → Frankfurt"/>
    <s v="Low"/>
    <x v="0"/>
    <x v="0"/>
  </r>
  <r>
    <s v="ORD-2025-306251"/>
    <d v="2025-04-10T00:00:00"/>
    <d v="2025-04-19T00:00:00"/>
    <d v="2025-04-10T00:00:00"/>
    <d v="2025-04-19T00:00:00"/>
    <n v="9"/>
    <s v="4-2025"/>
    <s v="Africa"/>
    <x v="10"/>
    <s v="Durban"/>
    <s v="Enterprise"/>
    <x v="5"/>
    <x v="3"/>
    <s v="Networking"/>
    <s v="NET-5270"/>
    <n v="113.74"/>
    <n v="165.7"/>
    <n v="0.124"/>
    <n v="13"/>
    <n v="1886.9915999999998"/>
    <n v="1478.62"/>
    <n v="408.37159999999994"/>
    <n v="0.21641410592394794"/>
    <s v="Q2-2025"/>
    <s v="Africa → South Africa → Durban"/>
    <s v="Low"/>
    <x v="2"/>
    <x v="7"/>
  </r>
  <r>
    <s v="ORD-2025-496178"/>
    <d v="2025-07-27T00:00:00"/>
    <d v="2025-08-15T00:00:00"/>
    <d v="2025-07-27T00:00:00"/>
    <d v="2025-08-15T00:00:00"/>
    <n v="19"/>
    <s v="7-2025"/>
    <s v="Asia"/>
    <x v="2"/>
    <s v="Tokyo"/>
    <s v="Small Business"/>
    <x v="2"/>
    <x v="1"/>
    <s v="Components"/>
    <s v="CMP-5658"/>
    <n v="275.43"/>
    <n v="608.36"/>
    <n v="0.25700000000000001"/>
    <n v="4"/>
    <n v="1808.04592"/>
    <n v="1101.72"/>
    <n v="706.32592"/>
    <n v="0.39065706915231446"/>
    <s v="Q3-2025"/>
    <s v="Asia → Japan → Tokyo"/>
    <s v="Low"/>
    <x v="2"/>
    <x v="6"/>
  </r>
  <r>
    <s v="ORD-2024-508213"/>
    <d v="2024-11-22T00:00:00"/>
    <d v="2024-12-15T00:00:00"/>
    <d v="2024-11-22T00:00:00"/>
    <d v="2024-12-15T00:00:00"/>
    <n v="23"/>
    <s v="11-2024"/>
    <s v="Africa"/>
    <x v="0"/>
    <s v="Mombasa"/>
    <s v="Non-Profit"/>
    <x v="3"/>
    <x v="0"/>
    <s v="Components"/>
    <s v="CMP-3938"/>
    <n v="1335.76"/>
    <n v="2665.91"/>
    <n v="0.21099999999999999"/>
    <n v="40"/>
    <n v="84136.119600000005"/>
    <n v="53430.400000000001"/>
    <n v="30705.719600000004"/>
    <n v="0.36495288522909253"/>
    <s v="Q4-2024"/>
    <s v="Africa → Kenya → Mombasa"/>
    <s v="High"/>
    <x v="0"/>
    <x v="10"/>
  </r>
  <r>
    <s v="ORD-2023-253245"/>
    <d v="2023-08-03T00:00:00"/>
    <d v="2023-08-14T00:00:00"/>
    <d v="2023-08-03T00:00:00"/>
    <d v="2023-08-14T00:00:00"/>
    <n v="11"/>
    <s v="8-2023"/>
    <s v="Americas"/>
    <x v="5"/>
    <s v="Brasília"/>
    <s v="Corporate"/>
    <x v="4"/>
    <x v="1"/>
    <s v="Accessories"/>
    <s v="ACC-3951"/>
    <n v="232.73"/>
    <n v="334.19"/>
    <n v="0.13400000000000001"/>
    <n v="25"/>
    <n v="7235.2134999999998"/>
    <n v="5818.25"/>
    <n v="1416.9634999999998"/>
    <n v="0.1958426658729559"/>
    <s v="Q3-2023"/>
    <s v="Americas → Brazil → Brasília"/>
    <s v="Low"/>
    <x v="1"/>
    <x v="11"/>
  </r>
  <r>
    <s v="ORD-2023-728177"/>
    <d v="2023-12-18T00:00:00"/>
    <d v="2024-01-14T00:00:00"/>
    <d v="2023-12-18T00:00:00"/>
    <d v="2024-01-14T00:00:00"/>
    <n v="27"/>
    <s v="12-2023"/>
    <s v="Asia"/>
    <x v="4"/>
    <s v="Mumbai"/>
    <s v="Consumer"/>
    <x v="3"/>
    <x v="8"/>
    <s v="Networking"/>
    <s v="NET-6014"/>
    <n v="1408.3"/>
    <n v="2193.13"/>
    <n v="7.0999999999999994E-2"/>
    <n v="7"/>
    <n v="14261.92439"/>
    <n v="9858.1"/>
    <n v="4403.8243899999998"/>
    <n v="0.30878191957656281"/>
    <s v="Q4-2023"/>
    <s v="Asia → India → Mumbai"/>
    <s v="High"/>
    <x v="1"/>
    <x v="3"/>
  </r>
  <r>
    <s v="ORD-2025-795385"/>
    <d v="2025-06-01T00:00:00"/>
    <d v="2025-06-05T00:00:00"/>
    <d v="2025-06-01T00:00:00"/>
    <d v="2025-06-05T00:00:00"/>
    <n v="4"/>
    <s v="6-2025"/>
    <s v="Europe"/>
    <x v="11"/>
    <s v="Munich"/>
    <s v="Enterprise"/>
    <x v="4"/>
    <x v="13"/>
    <s v="Components"/>
    <s v="CMP-4159"/>
    <n v="1171.42"/>
    <n v="2187.8000000000002"/>
    <n v="0.23"/>
    <n v="15"/>
    <n v="25269.09"/>
    <n v="17571.300000000003"/>
    <n v="7697.7899999999972"/>
    <n v="0.30463265594447592"/>
    <s v="Q2-2025"/>
    <s v="Europe → Germany → Munich"/>
    <s v="High"/>
    <x v="2"/>
    <x v="9"/>
  </r>
  <r>
    <s v="ORD-2025-947929"/>
    <d v="2025-03-23T00:00:00"/>
    <d v="2025-04-02T00:00:00"/>
    <d v="2025-03-23T00:00:00"/>
    <d v="2025-04-02T00:00:00"/>
    <n v="10"/>
    <s v="3-2025"/>
    <s v="Europe"/>
    <x v="11"/>
    <s v="Berlin"/>
    <s v="Enterprise"/>
    <x v="1"/>
    <x v="6"/>
    <s v="Printers"/>
    <s v="PRN-3159"/>
    <n v="663.61"/>
    <n v="1002.11"/>
    <n v="4.5999999999999999E-2"/>
    <n v="17"/>
    <n v="16252.219979999998"/>
    <n v="11281.37"/>
    <n v="4970.8499799999972"/>
    <n v="0.30585667595670812"/>
    <s v="Q1-2025"/>
    <s v="Europe → Germany → Berlin"/>
    <s v="Low"/>
    <x v="2"/>
    <x v="0"/>
  </r>
  <r>
    <s v="ORD-2023-931633"/>
    <d v="2023-05-14T00:00:00"/>
    <d v="2023-05-22T00:00:00"/>
    <d v="2023-05-14T00:00:00"/>
    <d v="2023-05-22T00:00:00"/>
    <n v="8"/>
    <s v="5-2023"/>
    <s v="Africa"/>
    <x v="0"/>
    <s v="Mombasa"/>
    <s v="Small Business"/>
    <x v="3"/>
    <x v="9"/>
    <s v="Printers"/>
    <s v="PRN-9488"/>
    <n v="432.01"/>
    <n v="913.78"/>
    <n v="4.9000000000000002E-2"/>
    <n v="12"/>
    <n v="10428.057360000001"/>
    <n v="5184.12"/>
    <n v="5243.9373600000008"/>
    <n v="0.50286809699711899"/>
    <s v="Q2-2023"/>
    <s v="Africa → Kenya → Mombasa"/>
    <s v="Low"/>
    <x v="1"/>
    <x v="5"/>
  </r>
  <r>
    <s v="ORD-2023-243704"/>
    <d v="2023-08-29T00:00:00"/>
    <d v="2023-09-19T00:00:00"/>
    <d v="2023-08-29T00:00:00"/>
    <d v="2023-09-19T00:00:00"/>
    <n v="21"/>
    <s v="8-2023"/>
    <s v="Europe"/>
    <x v="6"/>
    <s v="Lyon"/>
    <s v="Small Business"/>
    <x v="4"/>
    <x v="5"/>
    <s v="Printers"/>
    <s v="PRN-7079"/>
    <n v="784.46"/>
    <n v="1843.51"/>
    <n v="0.13800000000000001"/>
    <n v="23"/>
    <n v="36549.429260000004"/>
    <n v="18042.580000000002"/>
    <n v="18506.849260000003"/>
    <n v="0.50635125184441798"/>
    <s v="Q3-2023"/>
    <s v="Europe → France → Lyon"/>
    <s v="Medium"/>
    <x v="1"/>
    <x v="11"/>
  </r>
  <r>
    <s v="ORD-2025-779659"/>
    <d v="2025-07-03T00:00:00"/>
    <d v="2025-07-23T00:00:00"/>
    <d v="2025-07-03T00:00:00"/>
    <d v="2025-07-23T00:00:00"/>
    <n v="20"/>
    <s v="7-2025"/>
    <s v="Asia"/>
    <x v="8"/>
    <s v="Beijing"/>
    <s v="Small Business"/>
    <x v="1"/>
    <x v="13"/>
    <s v="Components"/>
    <s v="CMP-1220"/>
    <n v="647.36"/>
    <n v="1383.6"/>
    <n v="7.3999999999999996E-2"/>
    <n v="12"/>
    <n v="15374.563199999999"/>
    <n v="7768.32"/>
    <n v="7606.243199999999"/>
    <n v="0.49472906000997802"/>
    <s v="Q3-2025"/>
    <s v="Asia → China → Beijing"/>
    <s v="Medium"/>
    <x v="2"/>
    <x v="6"/>
  </r>
  <r>
    <s v="ORD-2024-647571"/>
    <d v="2024-02-06T00:00:00"/>
    <d v="2024-02-28T00:00:00"/>
    <d v="2024-02-06T00:00:00"/>
    <d v="2024-02-28T00:00:00"/>
    <n v="22"/>
    <s v="2-2024"/>
    <s v="Africa"/>
    <x v="0"/>
    <s v="Kisumu"/>
    <s v="Non-Profit"/>
    <x v="1"/>
    <x v="12"/>
    <s v="Monitors"/>
    <s v="MON-2462"/>
    <n v="834.93"/>
    <n v="1588.53"/>
    <n v="0.126"/>
    <n v="6"/>
    <n v="8330.2513199999994"/>
    <n v="5009.58"/>
    <n v="3320.6713199999995"/>
    <n v="0.39862798761274343"/>
    <s v="Q1-2024"/>
    <s v="Africa → Kenya → Kisumu"/>
    <s v="Medium"/>
    <x v="0"/>
    <x v="2"/>
  </r>
  <r>
    <s v="ORD-2025-683043"/>
    <d v="2025-08-13T00:00:00"/>
    <d v="2025-09-03T00:00:00"/>
    <d v="2025-08-13T00:00:00"/>
    <d v="2025-09-03T00:00:00"/>
    <n v="21"/>
    <s v="8-2025"/>
    <s v="Europe"/>
    <x v="6"/>
    <s v="Paris"/>
    <s v="Education"/>
    <x v="0"/>
    <x v="2"/>
    <s v="Phones"/>
    <s v="PHN-9465"/>
    <n v="603.47"/>
    <n v="1344.05"/>
    <n v="0.20499999999999999"/>
    <n v="18"/>
    <n v="19233.355499999998"/>
    <n v="10862.460000000001"/>
    <n v="8370.8954999999969"/>
    <n v="0.43522803392262976"/>
    <s v="Q3-2025"/>
    <s v="Europe → France → Paris"/>
    <s v="Medium"/>
    <x v="2"/>
    <x v="11"/>
  </r>
  <r>
    <s v="ORD-2025-487261"/>
    <d v="2025-03-06T00:00:00"/>
    <d v="2025-03-31T00:00:00"/>
    <d v="2025-03-06T00:00:00"/>
    <d v="2025-03-31T00:00:00"/>
    <n v="25"/>
    <s v="3-2025"/>
    <s v="Americas"/>
    <x v="5"/>
    <s v="Brasília"/>
    <s v="Non-Profit"/>
    <x v="1"/>
    <x v="1"/>
    <s v="Components"/>
    <s v="CMP-3693"/>
    <n v="331.57"/>
    <n v="548.4"/>
    <n v="9.4E-2"/>
    <n v="10"/>
    <n v="4968.5039999999999"/>
    <n v="3315.7"/>
    <n v="1652.8040000000001"/>
    <n v="0.33265626836568918"/>
    <s v="Q1-2025"/>
    <s v="Americas → Brazil → Brasília"/>
    <s v="Low"/>
    <x v="2"/>
    <x v="0"/>
  </r>
  <r>
    <s v="ORD-2024-641220"/>
    <d v="2024-05-10T00:00:00"/>
    <d v="2024-05-16T00:00:00"/>
    <d v="2024-05-10T00:00:00"/>
    <d v="2024-05-16T00:00:00"/>
    <n v="6"/>
    <s v="5-2024"/>
    <s v="Europe"/>
    <x v="7"/>
    <s v="Birmingham"/>
    <s v="Non-Profit"/>
    <x v="4"/>
    <x v="3"/>
    <s v="Laptops"/>
    <s v="LAP-1066"/>
    <n v="210.76"/>
    <n v="221.58"/>
    <n v="8.8999999999999996E-2"/>
    <n v="5"/>
    <n v="1009.2969000000002"/>
    <n v="1053.8"/>
    <n v="-44.50309999999979"/>
    <n v="-4.4093170205912434E-2"/>
    <s v="Q2-2024"/>
    <s v="Europe → United Kingdom → Birmingham"/>
    <s v="Low"/>
    <x v="0"/>
    <x v="5"/>
  </r>
  <r>
    <s v="ORD-2023-799597"/>
    <d v="2023-03-14T00:00:00"/>
    <d v="2023-03-18T00:00:00"/>
    <d v="2023-03-14T00:00:00"/>
    <d v="2023-03-18T00:00:00"/>
    <n v="4"/>
    <s v="3-2023"/>
    <s v="Europe"/>
    <x v="11"/>
    <s v="Frankfurt"/>
    <s v="Enterprise"/>
    <x v="4"/>
    <x v="14"/>
    <s v="Components"/>
    <s v="CMP-8675"/>
    <n v="472.33"/>
    <n v="360.34"/>
    <n v="0.16500000000000001"/>
    <n v="14"/>
    <n v="4212.3745999999992"/>
    <n v="6612.62"/>
    <n v="-2400.2454000000007"/>
    <n v="-0.56980815523861561"/>
    <s v="Q1-2023"/>
    <s v="Europe → Germany → Frankfurt"/>
    <s v="Low"/>
    <x v="1"/>
    <x v="0"/>
  </r>
  <r>
    <s v="ORD-2023-569862"/>
    <d v="2023-07-16T00:00:00"/>
    <d v="2023-08-13T00:00:00"/>
    <d v="2023-07-16T00:00:00"/>
    <d v="2023-08-13T00:00:00"/>
    <n v="28"/>
    <s v="7-2023"/>
    <s v="Europe"/>
    <x v="7"/>
    <s v="Manchester"/>
    <s v="Non-Profit"/>
    <x v="1"/>
    <x v="1"/>
    <s v="Laptops"/>
    <s v="LAP-1178"/>
    <n v="1039.03"/>
    <n v="2545.81"/>
    <n v="0.216"/>
    <n v="21"/>
    <n v="41914.215840000004"/>
    <n v="21819.63"/>
    <n v="20094.585840000003"/>
    <n v="0.47942172929364774"/>
    <s v="Q3-2023"/>
    <s v="Europe → United Kingdom → Manchester"/>
    <s v="High"/>
    <x v="1"/>
    <x v="6"/>
  </r>
  <r>
    <s v="ORD-2023-944052"/>
    <d v="2023-08-30T00:00:00"/>
    <d v="2023-09-03T00:00:00"/>
    <d v="2023-08-30T00:00:00"/>
    <d v="2023-09-03T00:00:00"/>
    <n v="4"/>
    <s v="8-2023"/>
    <s v="Asia"/>
    <x v="4"/>
    <s v="Delhi"/>
    <s v="Small Business"/>
    <x v="2"/>
    <x v="4"/>
    <s v="Accessories"/>
    <s v="ACC-3068"/>
    <n v="1082.25"/>
    <n v="2433.34"/>
    <n v="0.27"/>
    <n v="4"/>
    <n v="7105.3528000000006"/>
    <n v="4329"/>
    <n v="2776.3528000000006"/>
    <n v="0.3907410199251472"/>
    <s v="Q3-2023"/>
    <s v="Asia → India → Delhi"/>
    <s v="High"/>
    <x v="1"/>
    <x v="11"/>
  </r>
  <r>
    <s v="ORD-2024-105586"/>
    <d v="2024-01-02T00:00:00"/>
    <d v="2024-01-15T00:00:00"/>
    <d v="2024-01-02T00:00:00"/>
    <d v="2024-01-15T00:00:00"/>
    <n v="13"/>
    <s v="1-2024"/>
    <s v="Asia"/>
    <x v="2"/>
    <s v="Nagoya"/>
    <s v="Small Business"/>
    <x v="2"/>
    <x v="3"/>
    <s v="Networking"/>
    <s v="NET-1893"/>
    <n v="1219.06"/>
    <n v="2738.69"/>
    <n v="7.5999999999999998E-2"/>
    <n v="16"/>
    <n v="40488.792960000006"/>
    <n v="19504.96"/>
    <n v="20983.832960000007"/>
    <n v="0.51826274447673737"/>
    <s v="Q1-2024"/>
    <s v="Asia → Japan → Nagoya"/>
    <s v="High"/>
    <x v="0"/>
    <x v="4"/>
  </r>
  <r>
    <s v="ORD-2024-207792"/>
    <d v="2024-09-03T00:00:00"/>
    <d v="2024-09-07T00:00:00"/>
    <d v="2024-09-03T00:00:00"/>
    <d v="2024-09-07T00:00:00"/>
    <n v="4"/>
    <s v="9-2024"/>
    <s v="Asia"/>
    <x v="2"/>
    <s v="Tokyo"/>
    <s v="Small Business"/>
    <x v="3"/>
    <x v="10"/>
    <s v="Printers"/>
    <s v="PRN-3917"/>
    <n v="43.23"/>
    <n v="94.78"/>
    <n v="9.0999999999999998E-2"/>
    <n v="55"/>
    <n v="4738.5261"/>
    <n v="2377.6499999999996"/>
    <n v="2360.8761000000004"/>
    <n v="0.49823005090127082"/>
    <s v="Q3-2024"/>
    <s v="Asia → Japan → Tokyo"/>
    <s v="Low"/>
    <x v="0"/>
    <x v="8"/>
  </r>
  <r>
    <s v="ORD-2025-417336"/>
    <d v="2025-08-30T00:00:00"/>
    <d v="2025-09-03T00:00:00"/>
    <d v="2025-08-30T00:00:00"/>
    <d v="2025-09-03T00:00:00"/>
    <n v="4"/>
    <s v="8-2025"/>
    <s v="Europe"/>
    <x v="6"/>
    <s v="Marseille"/>
    <s v="Small Business"/>
    <x v="2"/>
    <x v="1"/>
    <s v="Laptops"/>
    <s v="LAP-3220"/>
    <n v="1286.56"/>
    <n v="2777.35"/>
    <n v="0.13200000000000001"/>
    <n v="15"/>
    <n v="36161.097000000002"/>
    <n v="19298.399999999998"/>
    <n v="16862.697000000004"/>
    <n v="0.46632150014696744"/>
    <s v="Q3-2025"/>
    <s v="Europe → France → Marseille"/>
    <s v="High"/>
    <x v="2"/>
    <x v="11"/>
  </r>
  <r>
    <s v="ORD-2025-252117"/>
    <d v="2025-04-28T00:00:00"/>
    <d v="2025-05-19T00:00:00"/>
    <d v="2025-04-28T00:00:00"/>
    <d v="2025-05-19T00:00:00"/>
    <n v="21"/>
    <s v="4-2025"/>
    <s v="Europe"/>
    <x v="11"/>
    <s v="Berlin"/>
    <s v="Corporate"/>
    <x v="3"/>
    <x v="5"/>
    <s v="Phones"/>
    <s v="PHN-2462"/>
    <n v="350.76"/>
    <n v="492.18"/>
    <n v="5.2999999999999999E-2"/>
    <n v="11"/>
    <n v="5127.0390600000001"/>
    <n v="3858.3599999999997"/>
    <n v="1268.6790600000004"/>
    <n v="0.24744868239798437"/>
    <s v="Q2-2025"/>
    <s v="Europe → Germany → Berlin"/>
    <s v="Low"/>
    <x v="2"/>
    <x v="7"/>
  </r>
  <r>
    <s v="ORD-2025-680118"/>
    <d v="2025-03-10T00:00:00"/>
    <d v="2025-03-27T00:00:00"/>
    <d v="2025-03-10T00:00:00"/>
    <d v="2025-03-27T00:00:00"/>
    <n v="17"/>
    <s v="3-2025"/>
    <s v="Americas"/>
    <x v="5"/>
    <s v="Rio de Janeiro"/>
    <s v="Enterprise"/>
    <x v="4"/>
    <x v="9"/>
    <s v="Networking"/>
    <s v="NET-6269"/>
    <n v="996.73"/>
    <n v="1217.43"/>
    <n v="7.0000000000000007E-2"/>
    <n v="9"/>
    <n v="10189.8891"/>
    <n v="8970.57"/>
    <n v="1219.3191000000006"/>
    <n v="0.11965970267527255"/>
    <s v="Q1-2025"/>
    <s v="Americas → Brazil → Rio de Janeiro"/>
    <s v="Medium"/>
    <x v="2"/>
    <x v="0"/>
  </r>
  <r>
    <s v="ORD-2024-382152"/>
    <d v="2024-12-08T00:00:00"/>
    <d v="2024-12-08T00:00:00"/>
    <d v="2024-12-08T00:00:00"/>
    <d v="2024-12-08T00:00:00"/>
    <n v="0"/>
    <s v="12-2024"/>
    <s v="Europe"/>
    <x v="6"/>
    <s v="Lyon"/>
    <s v="Enterprise"/>
    <x v="0"/>
    <x v="11"/>
    <s v="Components"/>
    <s v="CMP-2335"/>
    <n v="257.44"/>
    <n v="290.33"/>
    <n v="9.1999999999999998E-2"/>
    <n v="23"/>
    <n v="6063.2517199999993"/>
    <n v="5921.12"/>
    <n v="142.1317199999994"/>
    <n v="2.3441500792581216E-2"/>
    <s v="Q4-2024"/>
    <s v="Europe → France → Lyon"/>
    <s v="Low"/>
    <x v="0"/>
    <x v="3"/>
  </r>
  <r>
    <s v="ORD-2023-597666"/>
    <d v="2023-10-25T00:00:00"/>
    <d v="2023-11-24T00:00:00"/>
    <d v="2023-10-25T00:00:00"/>
    <d v="2023-11-24T00:00:00"/>
    <n v="30"/>
    <s v="10-2023"/>
    <s v="Europe"/>
    <x v="6"/>
    <s v="Paris"/>
    <s v="Enterprise"/>
    <x v="3"/>
    <x v="0"/>
    <s v="Phones"/>
    <s v="PHN-5938"/>
    <n v="287.85000000000002"/>
    <n v="602.91999999999996"/>
    <n v="0.222"/>
    <n v="11"/>
    <n v="5159.7893599999998"/>
    <n v="3166.3500000000004"/>
    <n v="1993.4393599999994"/>
    <n v="0.38634122847216373"/>
    <s v="Q4-2023"/>
    <s v="Europe → France → Paris"/>
    <s v="Low"/>
    <x v="1"/>
    <x v="1"/>
  </r>
  <r>
    <s v="ORD-2024-371409"/>
    <d v="2024-11-17T00:00:00"/>
    <d v="2024-11-28T00:00:00"/>
    <d v="2024-11-17T00:00:00"/>
    <d v="2024-11-28T00:00:00"/>
    <n v="11"/>
    <s v="11-2024"/>
    <s v="Americas"/>
    <x v="3"/>
    <s v="Unknown City"/>
    <s v="Consumer"/>
    <x v="3"/>
    <x v="14"/>
    <s v="Printers"/>
    <s v="PRN-1371"/>
    <n v="1008.16"/>
    <n v="2077.5"/>
    <n v="7.3999999999999996E-2"/>
    <n v="15"/>
    <n v="28856.475000000002"/>
    <n v="15122.4"/>
    <n v="13734.075000000003"/>
    <n v="0.47594430712691005"/>
    <s v="Q4-2024"/>
    <s v="Americas → Canada → Unknown City"/>
    <s v="High"/>
    <x v="0"/>
    <x v="10"/>
  </r>
  <r>
    <s v="ORD-2024-973420"/>
    <d v="2024-05-12T00:00:00"/>
    <d v="2024-05-24T00:00:00"/>
    <d v="2024-05-12T00:00:00"/>
    <d v="2024-05-24T00:00:00"/>
    <n v="12"/>
    <s v="5-2024"/>
    <s v="Europe"/>
    <x v="7"/>
    <s v="Manchester"/>
    <s v="Education"/>
    <x v="2"/>
    <x v="12"/>
    <s v="Printers"/>
    <s v="PRN-5813"/>
    <n v="111.02"/>
    <n v="172.88"/>
    <n v="0.19700000000000001"/>
    <n v="29"/>
    <n v="4025.8565599999993"/>
    <n v="3219.58"/>
    <n v="806.27655999999934"/>
    <n v="0.20027453735212053"/>
    <s v="Q2-2024"/>
    <s v="Europe → United Kingdom → Manchester"/>
    <s v="Low"/>
    <x v="0"/>
    <x v="5"/>
  </r>
  <r>
    <s v="ORD-2025-254721"/>
    <d v="2025-05-15T00:00:00"/>
    <d v="2025-06-05T00:00:00"/>
    <d v="2025-05-15T00:00:00"/>
    <d v="2025-06-05T00:00:00"/>
    <n v="21"/>
    <s v="5-2025"/>
    <s v="Asia"/>
    <x v="2"/>
    <s v="Osaka"/>
    <s v="Enterprise"/>
    <x v="4"/>
    <x v="11"/>
    <s v="Phones"/>
    <s v="PHN-6480"/>
    <n v="1466.5"/>
    <n v="2778.74"/>
    <n v="0.13500000000000001"/>
    <n v="4"/>
    <n v="9614.4403999999995"/>
    <n v="5866"/>
    <n v="3748.4403999999995"/>
    <n v="0.38987608680792279"/>
    <s v="Q2-2025"/>
    <s v="Asia → Japan → Osaka"/>
    <s v="High"/>
    <x v="2"/>
    <x v="5"/>
  </r>
  <r>
    <s v="ORD-2023-173313"/>
    <d v="2023-06-15T00:00:00"/>
    <d v="2023-07-12T00:00:00"/>
    <d v="2023-06-15T00:00:00"/>
    <d v="2023-07-12T00:00:00"/>
    <n v="27"/>
    <s v="6-2023"/>
    <s v="Europe"/>
    <x v="7"/>
    <s v="Manchester"/>
    <s v="Consumer"/>
    <x v="4"/>
    <x v="2"/>
    <s v="Accessories"/>
    <s v="ACC-3833"/>
    <n v="751.28"/>
    <n v="1111.8800000000001"/>
    <n v="0.13500000000000001"/>
    <n v="7"/>
    <n v="6732.4334000000008"/>
    <n v="5258.96"/>
    <n v="1473.4734000000008"/>
    <n v="0.21886193482433863"/>
    <s v="Q2-2023"/>
    <s v="Europe → United Kingdom → Manchester"/>
    <s v="Low"/>
    <x v="1"/>
    <x v="9"/>
  </r>
  <r>
    <s v="ORD-2024-792353"/>
    <d v="2024-08-19T00:00:00"/>
    <d v="2024-09-07T00:00:00"/>
    <d v="2024-08-19T00:00:00"/>
    <d v="2024-09-07T00:00:00"/>
    <n v="19"/>
    <s v="8-2024"/>
    <s v="Europe"/>
    <x v="6"/>
    <s v="Lyon"/>
    <s v="Corporate"/>
    <x v="4"/>
    <x v="1"/>
    <s v="Components"/>
    <s v="CMP-5435"/>
    <n v="297.58999999999997"/>
    <n v="666.41"/>
    <n v="0"/>
    <n v="10"/>
    <n v="6664.0999999999995"/>
    <n v="2975.8999999999996"/>
    <n v="3688.2"/>
    <n v="0.55344307558409989"/>
    <s v="Q3-2024"/>
    <s v="Europe → France → Lyon"/>
    <s v="Low"/>
    <x v="0"/>
    <x v="11"/>
  </r>
  <r>
    <s v="ORD-2025-678328"/>
    <d v="2025-06-24T00:00:00"/>
    <d v="2025-07-14T00:00:00"/>
    <d v="2025-06-24T00:00:00"/>
    <d v="2025-07-14T00:00:00"/>
    <n v="20"/>
    <s v="6-2025"/>
    <s v="Europe"/>
    <x v="11"/>
    <s v="Berlin"/>
    <s v="Corporate"/>
    <x v="4"/>
    <x v="7"/>
    <s v="Accessories"/>
    <s v="ACC-8094"/>
    <n v="385.08"/>
    <n v="893.19"/>
    <n v="0.151"/>
    <n v="8"/>
    <n v="6066.54648"/>
    <n v="3080.64"/>
    <n v="2985.9064800000001"/>
    <n v="0.49219213762621666"/>
    <s v="Q2-2025"/>
    <s v="Europe → Germany → Berlin"/>
    <s v="Low"/>
    <x v="2"/>
    <x v="9"/>
  </r>
  <r>
    <s v="ORD-2025-752845"/>
    <d v="2025-03-30T00:00:00"/>
    <d v="2025-04-07T00:00:00"/>
    <d v="2025-03-30T00:00:00"/>
    <d v="2025-04-07T00:00:00"/>
    <n v="8"/>
    <s v="3-2025"/>
    <s v="Americas"/>
    <x v="5"/>
    <s v="São Paulo"/>
    <s v="Non-Profit"/>
    <x v="4"/>
    <x v="4"/>
    <s v="Printers"/>
    <s v="PRN-8763"/>
    <n v="71.62"/>
    <n v="118.37"/>
    <n v="0.156"/>
    <n v="11"/>
    <n v="1098.9470800000001"/>
    <n v="787.82"/>
    <n v="311.12708000000009"/>
    <n v="0.28311379652603474"/>
    <s v="Q1-2025"/>
    <s v="Americas → Brazil → São Paulo"/>
    <s v="Low"/>
    <x v="2"/>
    <x v="0"/>
  </r>
  <r>
    <s v="ORD-2024-478165"/>
    <d v="2024-12-05T00:00:00"/>
    <d v="2024-12-28T00:00:00"/>
    <d v="2024-12-05T00:00:00"/>
    <d v="2024-12-28T00:00:00"/>
    <n v="23"/>
    <s v="12-2024"/>
    <s v="Americas"/>
    <x v="3"/>
    <s v="Vancouver"/>
    <s v="Corporate"/>
    <x v="4"/>
    <x v="9"/>
    <s v="Accessories"/>
    <s v="ACC-2386"/>
    <n v="107.03"/>
    <n v="242.29"/>
    <n v="0.18"/>
    <n v="30"/>
    <n v="5960.3340000000007"/>
    <n v="3210.9"/>
    <n v="2749.4340000000007"/>
    <n v="0.46128857879440988"/>
    <s v="Q4-2024"/>
    <s v="Americas → Canada → Vancouver"/>
    <s v="Low"/>
    <x v="0"/>
    <x v="3"/>
  </r>
  <r>
    <s v="ORD-2024-433936"/>
    <d v="2024-08-04T00:00:00"/>
    <d v="2024-08-17T00:00:00"/>
    <d v="2024-08-04T00:00:00"/>
    <d v="2024-08-17T00:00:00"/>
    <n v="13"/>
    <s v="8-2024"/>
    <s v="Americas"/>
    <x v="9"/>
    <s v="Austin"/>
    <s v="Consumer"/>
    <x v="0"/>
    <x v="8"/>
    <s v="Monitors"/>
    <s v="MON-8867"/>
    <n v="352.79"/>
    <n v="754.22"/>
    <n v="0.113"/>
    <n v="7"/>
    <n v="4682.9519799999998"/>
    <n v="2469.5300000000002"/>
    <n v="2213.4219799999996"/>
    <n v="0.47265528014233443"/>
    <s v="Q3-2024"/>
    <s v="Americas → USA → Austin"/>
    <s v="Low"/>
    <x v="0"/>
    <x v="11"/>
  </r>
  <r>
    <s v="ORD-2025-765220"/>
    <d v="2025-04-06T00:00:00"/>
    <d v="2025-04-30T00:00:00"/>
    <d v="2025-04-06T00:00:00"/>
    <d v="2025-04-30T00:00:00"/>
    <n v="24"/>
    <s v="4-2025"/>
    <s v="Americas"/>
    <x v="5"/>
    <s v="Brasília"/>
    <s v="Education"/>
    <x v="1"/>
    <x v="12"/>
    <s v="Monitors"/>
    <s v="MON-4925"/>
    <n v="855.78"/>
    <n v="977.38"/>
    <n v="0.14699999999999999"/>
    <n v="38"/>
    <n v="31680.795320000001"/>
    <n v="32519.64"/>
    <n v="-838.84467999999833"/>
    <n v="-2.6478018355506307E-2"/>
    <s v="Q2-2025"/>
    <s v="Americas → Brazil → Brasília"/>
    <s v="Low"/>
    <x v="2"/>
    <x v="7"/>
  </r>
  <r>
    <s v="ORD-2024-728474"/>
    <d v="2024-09-09T00:00:00"/>
    <d v="2024-09-13T00:00:00"/>
    <d v="2024-09-09T00:00:00"/>
    <d v="2024-09-13T00:00:00"/>
    <n v="4"/>
    <s v="9-2024"/>
    <s v="Europe"/>
    <x v="7"/>
    <s v="London"/>
    <s v="Consumer"/>
    <x v="2"/>
    <x v="9"/>
    <s v="Networking"/>
    <s v="NET-1145"/>
    <n v="1133.08"/>
    <n v="976.17"/>
    <n v="4.2000000000000003E-2"/>
    <n v="27"/>
    <n v="25249.613219999999"/>
    <n v="30593.159999999996"/>
    <n v="-5343.5467799999969"/>
    <n v="-0.21162885678452373"/>
    <s v="Q3-2024"/>
    <s v="Europe → United Kingdom → London"/>
    <s v="Low"/>
    <x v="0"/>
    <x v="8"/>
  </r>
  <r>
    <s v="ORD-2025-640677"/>
    <d v="2025-04-09T00:00:00"/>
    <d v="2025-05-06T00:00:00"/>
    <d v="2025-04-09T00:00:00"/>
    <d v="2025-05-06T00:00:00"/>
    <n v="27"/>
    <s v="4-2025"/>
    <s v="Americas"/>
    <x v="5"/>
    <s v="Brasília"/>
    <s v="Enterprise"/>
    <x v="2"/>
    <x v="9"/>
    <s v="Laptops"/>
    <s v="LAP-4517"/>
    <n v="264.19"/>
    <n v="620.92999999999995"/>
    <n v="0.14199999999999999"/>
    <n v="12"/>
    <n v="6393.0952799999995"/>
    <n v="3170.2799999999997"/>
    <n v="3222.8152799999998"/>
    <n v="0.50410875152794532"/>
    <s v="Q2-2025"/>
    <s v="Americas → Brazil → Brasília"/>
    <s v="Low"/>
    <x v="2"/>
    <x v="7"/>
  </r>
  <r>
    <s v="ORD-2025-246692"/>
    <d v="2025-04-17T00:00:00"/>
    <d v="2025-04-17T00:00:00"/>
    <d v="2025-04-17T00:00:00"/>
    <d v="2025-04-17T00:00:00"/>
    <n v="0"/>
    <s v="4-2025"/>
    <s v="Americas"/>
    <x v="5"/>
    <s v="São Paulo"/>
    <s v="Corporate"/>
    <x v="3"/>
    <x v="4"/>
    <s v="Phones"/>
    <s v="PHN-4566"/>
    <n v="719.41"/>
    <n v="1125.99"/>
    <n v="4.1000000000000002E-2"/>
    <n v="21"/>
    <n v="22676.312610000001"/>
    <n v="15107.609999999999"/>
    <n v="7568.7026100000021"/>
    <n v="0.33377131194876403"/>
    <s v="Q2-2025"/>
    <s v="Americas → Brazil → São Paulo"/>
    <s v="Low"/>
    <x v="2"/>
    <x v="7"/>
  </r>
  <r>
    <s v="ORD-2023-573656"/>
    <d v="2023-05-02T00:00:00"/>
    <d v="2023-05-16T00:00:00"/>
    <d v="2023-05-02T00:00:00"/>
    <d v="2023-05-16T00:00:00"/>
    <n v="14"/>
    <s v="5-2023"/>
    <s v="Asia"/>
    <x v="4"/>
    <s v="Bengaluru"/>
    <s v="Non-Profit"/>
    <x v="0"/>
    <x v="4"/>
    <s v="Monitors"/>
    <s v="MON-4830"/>
    <n v="475.37"/>
    <n v="963.73"/>
    <n v="4.1000000000000002E-2"/>
    <n v="22"/>
    <n v="20332.775539999999"/>
    <n v="10458.14"/>
    <n v="9874.6355399999993"/>
    <n v="0.48565113604750881"/>
    <s v="Q2-2023"/>
    <s v="Asia → India → Bengaluru"/>
    <s v="Low"/>
    <x v="1"/>
    <x v="5"/>
  </r>
  <r>
    <s v="ORD-2024-567435"/>
    <d v="2024-04-26T00:00:00"/>
    <d v="2024-04-24T00:00:00"/>
    <d v="2024-04-24T00:00:00"/>
    <d v="2024-04-26T00:00:00"/>
    <n v="2"/>
    <s v="4-2024"/>
    <s v="Europe"/>
    <x v="7"/>
    <s v="London"/>
    <s v="Non-Profit"/>
    <x v="3"/>
    <x v="10"/>
    <s v="Phones"/>
    <s v="PHN-9107"/>
    <n v="1232.77"/>
    <n v="891.73"/>
    <n v="0.16700000000000001"/>
    <n v="10"/>
    <n v="7428.1108999999988"/>
    <n v="12327.7"/>
    <n v="-4899.589100000002"/>
    <n v="-0.65960096260813805"/>
    <s v="Q2-2024"/>
    <s v="Europe → United Kingdom → London"/>
    <s v="Low"/>
    <x v="0"/>
    <x v="7"/>
  </r>
  <r>
    <s v="ORD-2023-744942"/>
    <d v="2023-02-23T00:00:00"/>
    <d v="2023-03-18T00:00:00"/>
    <d v="2023-02-23T00:00:00"/>
    <d v="2023-03-18T00:00:00"/>
    <n v="23"/>
    <s v="2-2023"/>
    <s v="Asia"/>
    <x v="8"/>
    <s v="Beijing"/>
    <s v="Education"/>
    <x v="3"/>
    <x v="12"/>
    <s v="Printers"/>
    <s v="PRN-1060"/>
    <n v="770.11"/>
    <n v="1667.82"/>
    <n v="6.9000000000000006E-2"/>
    <n v="7"/>
    <n v="10869.182940000001"/>
    <n v="5390.77"/>
    <n v="5478.4129400000002"/>
    <n v="0.50403171703355287"/>
    <s v="Q1-2023"/>
    <s v="Asia → China → Beijing"/>
    <s v="Medium"/>
    <x v="1"/>
    <x v="2"/>
  </r>
  <r>
    <s v="ORD-2025-331237"/>
    <d v="2025-03-24T00:00:00"/>
    <d v="2025-03-25T00:00:00"/>
    <d v="2025-03-24T00:00:00"/>
    <d v="2025-03-25T00:00:00"/>
    <n v="1"/>
    <s v="3-2025"/>
    <s v="Asia"/>
    <x v="8"/>
    <s v="Beijing"/>
    <s v="Non-Profit"/>
    <x v="1"/>
    <x v="3"/>
    <s v="Networking"/>
    <s v="NET-8329"/>
    <n v="1133.03"/>
    <n v="1921.51"/>
    <n v="0.10100000000000001"/>
    <n v="5"/>
    <n v="8637.1874499999994"/>
    <n v="5665.15"/>
    <n v="2972.0374499999998"/>
    <n v="0.3440978289755654"/>
    <s v="Q1-2025"/>
    <s v="Asia → China → Beijing"/>
    <s v="High"/>
    <x v="2"/>
    <x v="0"/>
  </r>
  <r>
    <s v="ORD-2025-907040"/>
    <d v="2025-04-17T00:00:00"/>
    <d v="2025-05-03T00:00:00"/>
    <d v="2025-04-17T00:00:00"/>
    <d v="2025-05-03T00:00:00"/>
    <n v="16"/>
    <s v="4-2025"/>
    <s v="Americas"/>
    <x v="5"/>
    <s v="Rio de Janeiro"/>
    <s v="Consumer"/>
    <x v="2"/>
    <x v="1"/>
    <s v="Networking"/>
    <s v="NET-8610"/>
    <n v="168.68"/>
    <n v="413.34"/>
    <n v="0.186"/>
    <n v="7"/>
    <n v="2355.2113199999999"/>
    <n v="1180.76"/>
    <n v="1174.4513199999999"/>
    <n v="0.49866069767361682"/>
    <s v="Q2-2025"/>
    <s v="Americas → Brazil → Rio de Janeiro"/>
    <s v="Low"/>
    <x v="2"/>
    <x v="7"/>
  </r>
  <r>
    <s v="ORD-2024-310809"/>
    <d v="2024-04-05T00:00:00"/>
    <d v="2024-04-09T00:00:00"/>
    <d v="2024-04-05T00:00:00"/>
    <d v="2024-04-09T00:00:00"/>
    <n v="4"/>
    <s v="4-2024"/>
    <s v="Africa"/>
    <x v="1"/>
    <s v="Lagos"/>
    <s v="Non-Profit"/>
    <x v="4"/>
    <x v="12"/>
    <s v="Components"/>
    <s v="CMP-6529"/>
    <n v="395.07"/>
    <n v="970.27"/>
    <n v="0.123"/>
    <n v="38"/>
    <n v="32335.21802"/>
    <n v="15012.66"/>
    <n v="17322.55802"/>
    <n v="0.53571799049833657"/>
    <s v="Q2-2024"/>
    <s v="Africa → Nigeria → Lagos"/>
    <s v="Low"/>
    <x v="0"/>
    <x v="7"/>
  </r>
  <r>
    <s v="ORD-2025-474368"/>
    <d v="2025-04-27T00:00:00"/>
    <d v="2025-05-17T00:00:00"/>
    <d v="2025-04-27T00:00:00"/>
    <d v="2025-05-17T00:00:00"/>
    <n v="20"/>
    <s v="4-2025"/>
    <s v="Americas"/>
    <x v="9"/>
    <s v="Austin"/>
    <s v="Corporate"/>
    <x v="4"/>
    <x v="10"/>
    <s v="Phones"/>
    <s v="PHN-8776"/>
    <n v="932.26"/>
    <n v="1624.67"/>
    <n v="0.23499999999999999"/>
    <n v="28"/>
    <n v="34800.431400000001"/>
    <n v="26103.279999999999"/>
    <n v="8697.1514000000025"/>
    <n v="0.24991504559337163"/>
    <s v="Q2-2025"/>
    <s v="Americas → USA → Austin"/>
    <s v="Medium"/>
    <x v="2"/>
    <x v="7"/>
  </r>
  <r>
    <s v="ORD-2024-732543"/>
    <d v="2024-10-24T00:00:00"/>
    <d v="2024-10-28T00:00:00"/>
    <d v="2024-10-24T00:00:00"/>
    <d v="2024-10-28T00:00:00"/>
    <n v="4"/>
    <s v="10-2024"/>
    <s v="Asia"/>
    <x v="8"/>
    <s v="Shanghai"/>
    <s v="Small Business"/>
    <x v="3"/>
    <x v="2"/>
    <s v="Networking"/>
    <s v="NET-3728"/>
    <n v="1331.77"/>
    <n v="2606.11"/>
    <n v="0.02"/>
    <n v="6"/>
    <n v="15323.926799999999"/>
    <n v="7990.62"/>
    <n v="7333.3067999999994"/>
    <n v="0.47855271665745619"/>
    <s v="Q4-2024"/>
    <s v="Asia → China → Shanghai"/>
    <s v="High"/>
    <x v="0"/>
    <x v="1"/>
  </r>
  <r>
    <s v="ORD-2023-867166"/>
    <d v="2023-04-13T00:00:00"/>
    <d v="2023-04-20T00:00:00"/>
    <d v="2023-04-13T00:00:00"/>
    <d v="2023-04-20T00:00:00"/>
    <n v="7"/>
    <s v="4-2023"/>
    <s v="Europe"/>
    <x v="6"/>
    <s v="Lyon"/>
    <s v="Small Business"/>
    <x v="1"/>
    <x v="14"/>
    <s v="Laptops"/>
    <s v="LAP-3565"/>
    <n v="227.02"/>
    <n v="434.72"/>
    <n v="9.8000000000000004E-2"/>
    <n v="10"/>
    <n v="3921.1744000000008"/>
    <n v="2270.2000000000003"/>
    <n v="1650.9744000000005"/>
    <n v="0.42104079838938052"/>
    <s v="Q2-2023"/>
    <s v="Europe → France → Lyon"/>
    <s v="Low"/>
    <x v="1"/>
    <x v="7"/>
  </r>
  <r>
    <s v="ORD-2024-776337"/>
    <d v="2024-11-12T00:00:00"/>
    <d v="2024-11-21T00:00:00"/>
    <d v="2024-11-12T00:00:00"/>
    <d v="2024-11-21T00:00:00"/>
    <n v="9"/>
    <s v="11-2024"/>
    <s v="Asia"/>
    <x v="4"/>
    <s v="Mumbai"/>
    <s v="Corporate"/>
    <x v="4"/>
    <x v="11"/>
    <s v="Laptops"/>
    <s v="LAP-5078"/>
    <n v="903.41"/>
    <n v="1860.41"/>
    <n v="0.108"/>
    <n v="5"/>
    <n v="8297.4286000000011"/>
    <n v="4517.05"/>
    <n v="3780.3786000000009"/>
    <n v="0.455608451996803"/>
    <s v="Q4-2024"/>
    <s v="Asia → India → Mumbai"/>
    <s v="Medium"/>
    <x v="0"/>
    <x v="10"/>
  </r>
  <r>
    <s v="ORD-2023-913592"/>
    <d v="2023-05-10T00:00:00"/>
    <d v="2023-05-14T00:00:00"/>
    <d v="2023-05-10T00:00:00"/>
    <d v="2023-05-14T00:00:00"/>
    <n v="4"/>
    <s v="5-2023"/>
    <s v="Asia"/>
    <x v="4"/>
    <s v="Delhi"/>
    <s v="Non-Profit"/>
    <x v="3"/>
    <x v="0"/>
    <s v="Monitors"/>
    <s v="MON-2465"/>
    <n v="622.6"/>
    <n v="833.69"/>
    <n v="0.20899999999999999"/>
    <n v="14"/>
    <n v="9232.2830599999998"/>
    <n v="8716.4"/>
    <n v="515.88306000000011"/>
    <n v="5.5878167582959715E-2"/>
    <s v="Q2-2023"/>
    <s v="Asia → India → Delhi"/>
    <s v="Low"/>
    <x v="1"/>
    <x v="5"/>
  </r>
  <r>
    <s v="ORD-2024-961501"/>
    <d v="2024-03-02T00:00:00"/>
    <d v="2024-03-23T00:00:00"/>
    <d v="2024-03-02T00:00:00"/>
    <d v="2024-03-23T00:00:00"/>
    <n v="21"/>
    <s v="3-2024"/>
    <s v="Americas"/>
    <x v="9"/>
    <s v="Chicago"/>
    <s v="Small Business"/>
    <x v="1"/>
    <x v="9"/>
    <s v="Components"/>
    <s v="CMP-3223"/>
    <n v="225.01"/>
    <n v="333.48"/>
    <n v="0.11899999999999999"/>
    <n v="12"/>
    <n v="3525.5505600000001"/>
    <n v="2700.12"/>
    <n v="825.43056000000024"/>
    <n v="0.23412813004729685"/>
    <s v="Q1-2024"/>
    <s v="Americas → USA → Chicago"/>
    <s v="Low"/>
    <x v="0"/>
    <x v="0"/>
  </r>
  <r>
    <s v="ORD-2024-964950"/>
    <d v="2024-10-10T00:00:00"/>
    <d v="2024-10-11T00:00:00"/>
    <d v="2024-10-10T00:00:00"/>
    <d v="2024-10-11T00:00:00"/>
    <n v="1"/>
    <s v="10-2024"/>
    <s v="Europe"/>
    <x v="7"/>
    <s v="Manchester"/>
    <s v="Non-Profit"/>
    <x v="3"/>
    <x v="4"/>
    <s v="Components"/>
    <s v="CMP-8127"/>
    <n v="1389.46"/>
    <n v="1784.7"/>
    <n v="0.14599999999999999"/>
    <n v="33"/>
    <n v="50296.415399999998"/>
    <n v="45852.18"/>
    <n v="4444.2353999999978"/>
    <n v="8.8360877503011831E-2"/>
    <s v="Q4-2024"/>
    <s v="Europe → United Kingdom → Manchester"/>
    <s v="Medium"/>
    <x v="0"/>
    <x v="1"/>
  </r>
  <r>
    <s v="ORD-2023-349264"/>
    <d v="2023-06-01T00:00:00"/>
    <d v="2023-06-08T00:00:00"/>
    <d v="2023-06-01T00:00:00"/>
    <d v="2023-06-08T00:00:00"/>
    <n v="7"/>
    <s v="6-2023"/>
    <s v="Europe"/>
    <x v="11"/>
    <s v="Frankfurt"/>
    <s v="Consumer"/>
    <x v="1"/>
    <x v="14"/>
    <s v="Phones"/>
    <s v="PHN-1924"/>
    <n v="804.17"/>
    <n v="1072.29"/>
    <n v="3.2000000000000001E-2"/>
    <n v="5"/>
    <n v="5189.8836000000001"/>
    <n v="4020.85"/>
    <n v="1169.0336000000002"/>
    <n v="0.2252523736755869"/>
    <s v="Q2-2023"/>
    <s v="Europe → Germany → Frankfurt"/>
    <s v="Low"/>
    <x v="1"/>
    <x v="9"/>
  </r>
  <r>
    <s v="ORD-2025-137394"/>
    <d v="2025-01-04T00:00:00"/>
    <d v="2025-01-05T00:00:00"/>
    <d v="2025-01-04T00:00:00"/>
    <d v="2025-01-05T00:00:00"/>
    <n v="1"/>
    <s v="1-2025"/>
    <s v="Asia"/>
    <x v="4"/>
    <s v="Delhi"/>
    <s v="Education"/>
    <x v="0"/>
    <x v="2"/>
    <s v="Components"/>
    <s v="CMP-1156"/>
    <n v="1428.33"/>
    <n v="3028.05"/>
    <n v="0"/>
    <n v="11"/>
    <n v="33308.550000000003"/>
    <n v="15711.63"/>
    <n v="17596.920000000006"/>
    <n v="0.52830039134096207"/>
    <s v="Q1-2025"/>
    <s v="Asia → India → Delhi"/>
    <s v="High"/>
    <x v="2"/>
    <x v="4"/>
  </r>
  <r>
    <s v="ORD-2025-635337"/>
    <d v="2025-08-05T00:00:00"/>
    <d v="2025-08-28T00:00:00"/>
    <d v="2025-08-05T00:00:00"/>
    <d v="2025-08-28T00:00:00"/>
    <n v="23"/>
    <s v="8-2025"/>
    <s v="Asia"/>
    <x v="4"/>
    <s v="Mumbai"/>
    <s v="Non-Profit"/>
    <x v="3"/>
    <x v="10"/>
    <s v="Laptops"/>
    <s v="LAP-3905"/>
    <n v="638.54"/>
    <n v="987.24"/>
    <n v="0"/>
    <n v="11"/>
    <n v="10859.64"/>
    <n v="7023.94"/>
    <n v="3835.7"/>
    <n v="0.35320692030306716"/>
    <s v="Q3-2025"/>
    <s v="Asia → India → Mumbai"/>
    <s v="Low"/>
    <x v="2"/>
    <x v="11"/>
  </r>
  <r>
    <s v="ORD-2023-568013"/>
    <d v="2023-09-30T00:00:00"/>
    <d v="2023-10-30T00:00:00"/>
    <d v="2023-09-30T00:00:00"/>
    <d v="2023-10-30T00:00:00"/>
    <n v="30"/>
    <s v="9-2023"/>
    <s v="Asia"/>
    <x v="2"/>
    <s v="Tokyo"/>
    <s v="Enterprise"/>
    <x v="1"/>
    <x v="8"/>
    <s v="Printers"/>
    <s v="PRN-1786"/>
    <n v="649.13"/>
    <n v="975.43"/>
    <n v="0.157"/>
    <n v="27"/>
    <n v="22201.762229999997"/>
    <n v="17526.509999999998"/>
    <n v="4675.2522299999982"/>
    <n v="0.21058023149543473"/>
    <s v="Q3-2023"/>
    <s v="Asia → Japan → Tokyo"/>
    <s v="Low"/>
    <x v="1"/>
    <x v="8"/>
  </r>
  <r>
    <s v="ORD-2023-181257"/>
    <d v="2023-11-15T00:00:00"/>
    <d v="2023-12-06T00:00:00"/>
    <d v="2023-11-15T00:00:00"/>
    <d v="2023-12-06T00:00:00"/>
    <n v="21"/>
    <s v="11-2023"/>
    <s v="Europe"/>
    <x v="7"/>
    <s v="Manchester"/>
    <s v="Education"/>
    <x v="4"/>
    <x v="11"/>
    <s v="Accessories"/>
    <s v="ACC-1060"/>
    <n v="1184.99"/>
    <n v="1154.3399999999999"/>
    <n v="2.8000000000000001E-2"/>
    <n v="5"/>
    <n v="5610.0923999999995"/>
    <n v="5924.95"/>
    <n v="-314.85760000000028"/>
    <n v="-5.6123424990290764E-2"/>
    <s v="Q4-2023"/>
    <s v="Europe → United Kingdom → Manchester"/>
    <s v="Low"/>
    <x v="1"/>
    <x v="10"/>
  </r>
  <r>
    <s v="ORD-2024-402240"/>
    <d v="2024-05-01T00:00:00"/>
    <d v="2024-05-26T00:00:00"/>
    <d v="2024-05-01T00:00:00"/>
    <d v="2024-05-26T00:00:00"/>
    <n v="25"/>
    <s v="5-2024"/>
    <s v="Europe"/>
    <x v="11"/>
    <s v="Berlin"/>
    <s v="Non-Profit"/>
    <x v="0"/>
    <x v="5"/>
    <s v="Networking"/>
    <s v="NET-4228"/>
    <n v="930.71"/>
    <n v="1625.42"/>
    <n v="0.13800000000000001"/>
    <n v="7"/>
    <n v="9807.7842799999999"/>
    <n v="6514.97"/>
    <n v="3292.8142799999996"/>
    <n v="0.33573477821231196"/>
    <s v="Q2-2024"/>
    <s v="Europe → Germany → Berlin"/>
    <s v="Medium"/>
    <x v="0"/>
    <x v="5"/>
  </r>
  <r>
    <s v="ORD-2023-125739"/>
    <d v="2023-05-01T00:00:00"/>
    <d v="2023-05-18T00:00:00"/>
    <d v="2023-05-01T00:00:00"/>
    <d v="2023-05-18T00:00:00"/>
    <n v="17"/>
    <s v="5-2023"/>
    <s v="Africa"/>
    <x v="1"/>
    <s v="Port Harcourt"/>
    <s v="Corporate"/>
    <x v="4"/>
    <x v="9"/>
    <s v="Components"/>
    <s v="CMP-5633"/>
    <n v="327.97"/>
    <n v="299.94"/>
    <n v="4.9000000000000002E-2"/>
    <n v="3"/>
    <n v="855.72881999999993"/>
    <n v="983.91000000000008"/>
    <n v="-128.18118000000015"/>
    <n v="-0.14979182306843442"/>
    <s v="Q2-2023"/>
    <s v="Africa → Nigeria → Port Harcourt"/>
    <s v="Low"/>
    <x v="1"/>
    <x v="5"/>
  </r>
  <r>
    <s v="ORD-2024-892879"/>
    <d v="2024-07-09T00:00:00"/>
    <d v="2024-08-08T00:00:00"/>
    <d v="2024-07-09T00:00:00"/>
    <d v="2024-08-08T00:00:00"/>
    <n v="30"/>
    <s v="7-2024"/>
    <s v="Europe"/>
    <x v="6"/>
    <s v="Marseille"/>
    <s v="Corporate"/>
    <x v="4"/>
    <x v="1"/>
    <s v="Components"/>
    <s v="CMP-5825"/>
    <n v="1062.3800000000001"/>
    <n v="1503.96"/>
    <n v="0.18"/>
    <n v="6"/>
    <n v="7399.4832000000006"/>
    <n v="6374.2800000000007"/>
    <n v="1025.2031999999999"/>
    <n v="0.13855064905073369"/>
    <s v="Q3-2024"/>
    <s v="Europe → France → Marseille"/>
    <s v="Medium"/>
    <x v="0"/>
    <x v="6"/>
  </r>
  <r>
    <s v="ORD-2023-472050"/>
    <d v="2023-05-10T00:00:00"/>
    <d v="2023-05-27T00:00:00"/>
    <d v="2023-05-10T00:00:00"/>
    <d v="2023-05-27T00:00:00"/>
    <n v="17"/>
    <s v="5-2023"/>
    <s v="Asia"/>
    <x v="4"/>
    <s v="Mumbai"/>
    <s v="Consumer"/>
    <x v="0"/>
    <x v="13"/>
    <s v="Laptops"/>
    <s v="LAP-6499"/>
    <n v="1286.1600000000001"/>
    <n v="3101.11"/>
    <n v="0.1"/>
    <n v="23"/>
    <n v="64192.976999999999"/>
    <n v="29581.68"/>
    <n v="34611.296999999999"/>
    <n v="0.53917575749758417"/>
    <s v="Q2-2023"/>
    <s v="Asia → India → Mumbai"/>
    <s v="High"/>
    <x v="1"/>
    <x v="5"/>
  </r>
  <r>
    <s v="ORD-2023-302041"/>
    <d v="2023-10-04T00:00:00"/>
    <d v="2023-10-29T00:00:00"/>
    <d v="2023-10-04T00:00:00"/>
    <d v="2023-10-29T00:00:00"/>
    <n v="25"/>
    <s v="10-2023"/>
    <s v="Americas"/>
    <x v="9"/>
    <s v="San Francisco"/>
    <s v="Small Business"/>
    <x v="3"/>
    <x v="7"/>
    <s v="Accessories"/>
    <s v="ACC-5079"/>
    <n v="1239.8399999999999"/>
    <n v="1482.75"/>
    <n v="6.7000000000000004E-2"/>
    <n v="4"/>
    <n v="5533.6230000000005"/>
    <n v="4959.3599999999997"/>
    <n v="574.26300000000083"/>
    <n v="0.10377703721413634"/>
    <s v="Q4-2023"/>
    <s v="Americas → USA → San Francisco"/>
    <s v="Medium"/>
    <x v="1"/>
    <x v="1"/>
  </r>
  <r>
    <s v="ORD-2024-833375"/>
    <d v="2024-04-24T00:00:00"/>
    <d v="2024-05-10T00:00:00"/>
    <d v="2024-04-24T00:00:00"/>
    <d v="2024-05-10T00:00:00"/>
    <n v="16"/>
    <s v="4-2024"/>
    <s v="Africa"/>
    <x v="0"/>
    <s v="Kisumu"/>
    <s v="Non-Profit"/>
    <x v="1"/>
    <x v="10"/>
    <s v="Monitors"/>
    <s v="MON-6190"/>
    <n v="513.30999999999995"/>
    <n v="1186.26"/>
    <n v="9.4E-2"/>
    <n v="15"/>
    <n v="16121.273400000002"/>
    <n v="7699.65"/>
    <n v="8421.6234000000022"/>
    <n v="0.52239194702820446"/>
    <s v="Q2-2024"/>
    <s v="Africa → Kenya → Kisumu"/>
    <s v="Low"/>
    <x v="0"/>
    <x v="7"/>
  </r>
  <r>
    <s v="ORD-2024-206311"/>
    <d v="2024-01-13T00:00:00"/>
    <d v="2024-01-15T00:00:00"/>
    <d v="2024-01-13T00:00:00"/>
    <d v="2024-01-15T00:00:00"/>
    <n v="2"/>
    <s v="1-2024"/>
    <s v="Americas"/>
    <x v="9"/>
    <s v="San Francisco"/>
    <s v="Non-Profit"/>
    <x v="4"/>
    <x v="6"/>
    <s v="Components"/>
    <s v="CMP-2410"/>
    <n v="1061.3699999999999"/>
    <n v="1938.33"/>
    <n v="0.17"/>
    <n v="4"/>
    <n v="6435.2555999999995"/>
    <n v="4245.4799999999996"/>
    <n v="2189.7755999999999"/>
    <n v="0.34027795259600879"/>
    <s v="Q1-2024"/>
    <s v="Americas → USA → San Francisco"/>
    <s v="High"/>
    <x v="0"/>
    <x v="4"/>
  </r>
  <r>
    <s v="ORD-2024-364080"/>
    <d v="2024-04-16T00:00:00"/>
    <d v="2024-04-27T00:00:00"/>
    <d v="2024-04-16T00:00:00"/>
    <d v="2024-04-27T00:00:00"/>
    <n v="11"/>
    <s v="4-2024"/>
    <s v="Africa"/>
    <x v="0"/>
    <s v="Nakuru"/>
    <s v="Enterprise"/>
    <x v="1"/>
    <x v="8"/>
    <s v="Printers"/>
    <s v="PRN-2641"/>
    <n v="401.3"/>
    <n v="826.47"/>
    <n v="0.22500000000000001"/>
    <n v="13"/>
    <n v="8326.6852500000005"/>
    <n v="5216.9000000000005"/>
    <n v="3109.7852499999999"/>
    <n v="0.37347217489696755"/>
    <s v="Q2-2024"/>
    <s v="Africa → Kenya → Nakuru"/>
    <s v="Low"/>
    <x v="0"/>
    <x v="7"/>
  </r>
  <r>
    <s v="ORD-2025-460466"/>
    <d v="2025-02-07T00:00:00"/>
    <d v="2025-02-16T00:00:00"/>
    <d v="2025-02-07T00:00:00"/>
    <d v="2025-02-16T00:00:00"/>
    <n v="9"/>
    <s v="2-2025"/>
    <s v="Africa"/>
    <x v="1"/>
    <s v="Lagos"/>
    <s v="Small Business"/>
    <x v="3"/>
    <x v="0"/>
    <s v="Printers"/>
    <s v="PRN-1882"/>
    <n v="90.68"/>
    <n v="118.17"/>
    <n v="0.13500000000000001"/>
    <n v="21"/>
    <n v="2146.5580500000001"/>
    <n v="1904.2800000000002"/>
    <n v="242.27804999999989"/>
    <n v="0.11286815653552899"/>
    <s v="Q1-2025"/>
    <s v="Africa → Nigeria → Lagos"/>
    <s v="Low"/>
    <x v="2"/>
    <x v="2"/>
  </r>
  <r>
    <s v="ORD-2023-700699"/>
    <d v="2023-01-12T00:00:00"/>
    <d v="2023-01-26T00:00:00"/>
    <d v="2023-01-12T00:00:00"/>
    <d v="2023-01-26T00:00:00"/>
    <n v="14"/>
    <s v="1-2023"/>
    <s v="Asia"/>
    <x v="8"/>
    <s v="Shenzhen"/>
    <s v="Non-Profit"/>
    <x v="0"/>
    <x v="13"/>
    <s v="Printers"/>
    <s v="PRN-1641"/>
    <n v="1083.0899999999999"/>
    <n v="1425.87"/>
    <n v="0"/>
    <n v="8"/>
    <n v="11406.96"/>
    <n v="8664.7199999999993"/>
    <n v="2742.24"/>
    <n v="0.24040059752992909"/>
    <s v="Q1-2023"/>
    <s v="Asia → China → Shenzhen"/>
    <s v="Medium"/>
    <x v="1"/>
    <x v="4"/>
  </r>
  <r>
    <s v="ORD-2024-713332"/>
    <d v="2024-06-05T00:00:00"/>
    <d v="2024-06-23T00:00:00"/>
    <d v="2024-06-05T00:00:00"/>
    <d v="2024-06-23T00:00:00"/>
    <n v="18"/>
    <s v="6-2024"/>
    <s v="Africa"/>
    <x v="0"/>
    <s v="Nairobi"/>
    <s v="Consumer"/>
    <x v="3"/>
    <x v="8"/>
    <s v="Laptops"/>
    <s v="LAP-1739"/>
    <n v="1208.74"/>
    <n v="1594.78"/>
    <n v="5.8999999999999997E-2"/>
    <n v="39"/>
    <n v="58526.83122"/>
    <n v="47140.86"/>
    <n v="11385.971219999999"/>
    <n v="0.1945427589817838"/>
    <s v="Q2-2024"/>
    <s v="Africa → Kenya → Nairobi"/>
    <s v="Medium"/>
    <x v="0"/>
    <x v="9"/>
  </r>
  <r>
    <s v="ORD-2023-640022"/>
    <d v="2023-08-24T00:00:00"/>
    <d v="2023-09-20T00:00:00"/>
    <d v="2023-08-24T00:00:00"/>
    <d v="2023-09-20T00:00:00"/>
    <n v="27"/>
    <s v="8-2023"/>
    <s v="Africa"/>
    <x v="10"/>
    <s v="Durban"/>
    <s v="Small Business"/>
    <x v="2"/>
    <x v="13"/>
    <s v="Printers"/>
    <s v="PRN-4732"/>
    <n v="1399.64"/>
    <n v="3342.11"/>
    <n v="0"/>
    <n v="10"/>
    <n v="33421.1"/>
    <n v="13996.400000000001"/>
    <n v="19424.699999999997"/>
    <n v="0.58121067229983447"/>
    <s v="Q3-2023"/>
    <s v="Africa → South Africa → Durban"/>
    <s v="High"/>
    <x v="1"/>
    <x v="11"/>
  </r>
  <r>
    <s v="ORD-2024-532184"/>
    <d v="2024-01-25T00:00:00"/>
    <d v="2024-02-08T00:00:00"/>
    <d v="2024-01-25T00:00:00"/>
    <d v="2024-02-08T00:00:00"/>
    <n v="14"/>
    <s v="1-2024"/>
    <s v="Asia"/>
    <x v="2"/>
    <s v="Osaka"/>
    <s v="Consumer"/>
    <x v="2"/>
    <x v="2"/>
    <s v="Networking"/>
    <s v="NET-9569"/>
    <n v="937.16"/>
    <n v="1069.77"/>
    <n v="3.7999999999999999E-2"/>
    <n v="9"/>
    <n v="9262.0686600000008"/>
    <n v="8434.44"/>
    <n v="827.62866000000031"/>
    <n v="8.9356783066645962E-2"/>
    <s v="Q1-2024"/>
    <s v="Asia → Japan → Osaka"/>
    <s v="Low"/>
    <x v="0"/>
    <x v="4"/>
  </r>
  <r>
    <s v="ORD-2025-926547"/>
    <d v="2025-03-11T00:00:00"/>
    <d v="2025-03-26T00:00:00"/>
    <d v="2025-03-11T00:00:00"/>
    <d v="2025-03-26T00:00:00"/>
    <n v="15"/>
    <s v="3-2025"/>
    <s v="Europe"/>
    <x v="11"/>
    <s v="Berlin"/>
    <s v="Small Business"/>
    <x v="1"/>
    <x v="2"/>
    <s v="Phones"/>
    <s v="PHN-3007"/>
    <n v="116.97"/>
    <n v="140.82"/>
    <n v="0.122"/>
    <n v="5"/>
    <n v="618.19979999999987"/>
    <n v="584.85"/>
    <n v="33.349799999999846"/>
    <n v="5.3946636669891926E-2"/>
    <s v="Q1-2025"/>
    <s v="Europe → Germany → Berlin"/>
    <s v="Low"/>
    <x v="2"/>
    <x v="0"/>
  </r>
  <r>
    <s v="ORD-2025-778145"/>
    <d v="2025-04-22T00:00:00"/>
    <d v="2025-05-12T00:00:00"/>
    <d v="2025-04-22T00:00:00"/>
    <d v="2025-05-12T00:00:00"/>
    <n v="20"/>
    <s v="4-2025"/>
    <s v="Europe"/>
    <x v="6"/>
    <s v="Lyon"/>
    <s v="Enterprise"/>
    <x v="2"/>
    <x v="12"/>
    <s v="Monitors"/>
    <s v="MON-9216"/>
    <n v="59.51"/>
    <n v="67.040000000000006"/>
    <n v="0.114"/>
    <n v="9"/>
    <n v="534.57695999999999"/>
    <n v="535.59"/>
    <n v="-1.0130400000000463"/>
    <n v="-1.8950311663264469E-3"/>
    <s v="Q2-2025"/>
    <s v="Europe → France → Lyon"/>
    <s v="Low"/>
    <x v="2"/>
    <x v="7"/>
  </r>
  <r>
    <s v="ORD-2023-525643"/>
    <d v="2023-08-17T00:00:00"/>
    <d v="2023-09-03T00:00:00"/>
    <d v="2023-08-17T00:00:00"/>
    <d v="2023-09-03T00:00:00"/>
    <n v="17"/>
    <s v="8-2023"/>
    <s v="Africa"/>
    <x v="10"/>
    <s v="Durban"/>
    <s v="Enterprise"/>
    <x v="0"/>
    <x v="14"/>
    <s v="Phones"/>
    <s v="PHN-8072"/>
    <n v="676.37"/>
    <n v="1276.67"/>
    <n v="6.6000000000000003E-2"/>
    <n v="10"/>
    <n v="11924.0978"/>
    <n v="6763.7"/>
    <n v="5160.3977999999997"/>
    <n v="0.4327705027712872"/>
    <s v="Q3-2023"/>
    <s v="Africa → South Africa → Durban"/>
    <s v="Medium"/>
    <x v="1"/>
    <x v="11"/>
  </r>
  <r>
    <s v="ORD-2025-312803"/>
    <d v="2025-06-24T00:00:00"/>
    <d v="2025-07-14T00:00:00"/>
    <d v="2025-06-24T00:00:00"/>
    <d v="2025-07-14T00:00:00"/>
    <n v="20"/>
    <s v="6-2025"/>
    <s v="Africa"/>
    <x v="10"/>
    <s v="Johannesburg"/>
    <s v="Enterprise"/>
    <x v="2"/>
    <x v="1"/>
    <s v="Laptops"/>
    <s v="LAP-1308"/>
    <n v="1151.06"/>
    <n v="2821.36"/>
    <n v="0.248"/>
    <n v="20"/>
    <n v="42433.254400000005"/>
    <n v="23021.199999999997"/>
    <n v="19412.054400000008"/>
    <n v="0.45747267501594235"/>
    <s v="Q2-2025"/>
    <s v="Africa → South Africa → Johannesburg"/>
    <s v="High"/>
    <x v="2"/>
    <x v="9"/>
  </r>
  <r>
    <s v="ORD-2025-757957"/>
    <d v="2025-04-24T00:00:00"/>
    <d v="2025-05-06T00:00:00"/>
    <d v="2025-04-24T00:00:00"/>
    <d v="2025-05-06T00:00:00"/>
    <n v="12"/>
    <s v="4-2025"/>
    <s v="Americas"/>
    <x v="5"/>
    <s v="Brasília"/>
    <s v="Consumer"/>
    <x v="1"/>
    <x v="0"/>
    <s v="Phones"/>
    <s v="PHN-2787"/>
    <n v="394.13"/>
    <n v="932.29"/>
    <n v="0.109"/>
    <n v="7"/>
    <n v="5814.6927299999998"/>
    <n v="2758.91"/>
    <n v="3055.7827299999999"/>
    <n v="0.5255278089303268"/>
    <s v="Q2-2025"/>
    <s v="Americas → Brazil → Brasília"/>
    <s v="Low"/>
    <x v="2"/>
    <x v="7"/>
  </r>
  <r>
    <s v="ORD-2023-215819"/>
    <d v="2023-07-01T00:00:00"/>
    <d v="2023-07-11T00:00:00"/>
    <d v="2023-07-01T00:00:00"/>
    <d v="2023-07-11T00:00:00"/>
    <n v="10"/>
    <s v="7-2023"/>
    <s v="Europe"/>
    <x v="6"/>
    <s v="Paris"/>
    <s v="Corporate"/>
    <x v="4"/>
    <x v="9"/>
    <s v="Networking"/>
    <s v="NET-6533"/>
    <n v="479.5"/>
    <n v="656.66"/>
    <n v="0.14899999999999999"/>
    <n v="14"/>
    <n v="7823.4472399999995"/>
    <n v="6713"/>
    <n v="1110.4472399999995"/>
    <n v="0.14193835606412289"/>
    <s v="Q3-2023"/>
    <s v="Europe → France → Paris"/>
    <s v="Low"/>
    <x v="1"/>
    <x v="6"/>
  </r>
  <r>
    <s v="ORD-2024-353078"/>
    <d v="2024-08-16T00:00:00"/>
    <d v="2024-08-26T00:00:00"/>
    <d v="2024-08-16T00:00:00"/>
    <d v="2024-08-26T00:00:00"/>
    <n v="10"/>
    <s v="8-2024"/>
    <s v="Americas"/>
    <x v="9"/>
    <s v="Chicago"/>
    <s v="Corporate"/>
    <x v="3"/>
    <x v="4"/>
    <s v="Laptops"/>
    <s v="LAP-5763"/>
    <n v="1291.7"/>
    <n v="2657.84"/>
    <n v="8.6999999999999994E-2"/>
    <n v="21"/>
    <n v="50958.766320000002"/>
    <n v="27125.7"/>
    <n v="23833.066320000002"/>
    <n v="0.46769315745083367"/>
    <s v="Q3-2024"/>
    <s v="Americas → USA → Chicago"/>
    <s v="High"/>
    <x v="0"/>
    <x v="11"/>
  </r>
  <r>
    <s v="ORD-2024-289089"/>
    <d v="2024-12-17T00:00:00"/>
    <d v="2024-12-18T00:00:00"/>
    <d v="2024-12-17T00:00:00"/>
    <d v="2024-12-18T00:00:00"/>
    <n v="1"/>
    <s v="12-2024"/>
    <s v="Europe"/>
    <x v="11"/>
    <s v="Munich"/>
    <s v="Education"/>
    <x v="0"/>
    <x v="4"/>
    <s v="Accessories"/>
    <s v="ACC-5780"/>
    <n v="346.82"/>
    <n v="701.95"/>
    <n v="0.14699999999999999"/>
    <n v="8"/>
    <n v="4790.1068000000005"/>
    <n v="2774.56"/>
    <n v="2015.5468000000005"/>
    <n v="0.42077283120284509"/>
    <s v="Q4-2024"/>
    <s v="Europe → Germany → Munich"/>
    <s v="Low"/>
    <x v="0"/>
    <x v="3"/>
  </r>
  <r>
    <s v="ORD-2023-974506"/>
    <d v="2023-12-28T00:00:00"/>
    <d v="2024-01-01T00:00:00"/>
    <d v="2023-12-28T00:00:00"/>
    <d v="2024-01-01T00:00:00"/>
    <n v="4"/>
    <s v="12-2023"/>
    <s v="Africa"/>
    <x v="10"/>
    <s v="Cape Town"/>
    <s v="Education"/>
    <x v="3"/>
    <x v="14"/>
    <s v="Printers"/>
    <s v="PRN-1654"/>
    <n v="1141.8"/>
    <n v="2318.7399999999998"/>
    <n v="0.107"/>
    <n v="32"/>
    <n v="66260.314239999992"/>
    <n v="36537.599999999999"/>
    <n v="29722.714239999994"/>
    <n v="0.44857490612468304"/>
    <s v="Q4-2023"/>
    <s v="Africa → South Africa → Cape Town"/>
    <s v="High"/>
    <x v="1"/>
    <x v="3"/>
  </r>
  <r>
    <s v="ORD-2023-811823"/>
    <d v="2023-01-26T00:00:00"/>
    <d v="2023-02-15T00:00:00"/>
    <d v="2023-01-26T00:00:00"/>
    <d v="2023-02-15T00:00:00"/>
    <n v="20"/>
    <s v="1-2023"/>
    <s v="Europe"/>
    <x v="11"/>
    <s v="Berlin"/>
    <s v="Small Business"/>
    <x v="1"/>
    <x v="7"/>
    <s v="Networking"/>
    <s v="NET-8787"/>
    <n v="492.62"/>
    <n v="366.7"/>
    <n v="8.8999999999999996E-2"/>
    <n v="10"/>
    <n v="3340.6370000000002"/>
    <n v="4926.2"/>
    <n v="-1585.5629999999996"/>
    <n v="-0.47462894052840809"/>
    <s v="Q1-2023"/>
    <s v="Europe → Germany → Berlin"/>
    <s v="Low"/>
    <x v="1"/>
    <x v="4"/>
  </r>
  <r>
    <s v="ORD-2023-286720"/>
    <d v="2023-07-08T00:00:00"/>
    <d v="2023-07-09T00:00:00"/>
    <d v="2023-07-08T00:00:00"/>
    <d v="2023-07-09T00:00:00"/>
    <n v="1"/>
    <s v="7-2023"/>
    <s v="Africa"/>
    <x v="0"/>
    <s v="Nairobi"/>
    <s v="Consumer"/>
    <x v="1"/>
    <x v="8"/>
    <s v="Laptops"/>
    <s v="LAP-1989"/>
    <n v="1258.72"/>
    <n v="2797.41"/>
    <n v="0"/>
    <n v="7"/>
    <n v="19581.87"/>
    <n v="8811.0400000000009"/>
    <n v="10770.829999999998"/>
    <n v="0.55004093071805704"/>
    <s v="Q3-2023"/>
    <s v="Africa → Kenya → Nairobi"/>
    <s v="High"/>
    <x v="1"/>
    <x v="6"/>
  </r>
  <r>
    <s v="ORD-2024-626925"/>
    <d v="2024-06-07T00:00:00"/>
    <d v="2024-06-09T00:00:00"/>
    <d v="2024-06-07T00:00:00"/>
    <d v="2024-06-09T00:00:00"/>
    <n v="2"/>
    <s v="6-2024"/>
    <s v="Asia"/>
    <x v="8"/>
    <s v="Shanghai"/>
    <s v="Corporate"/>
    <x v="0"/>
    <x v="7"/>
    <s v="Monitors"/>
    <s v="MON-8688"/>
    <n v="1370.28"/>
    <n v="2209.66"/>
    <n v="0.13300000000000001"/>
    <n v="16"/>
    <n v="30652.403519999996"/>
    <n v="21924.48"/>
    <n v="8727.9235199999966"/>
    <n v="0.28473863442079589"/>
    <s v="Q2-2024"/>
    <s v="Asia → China → Shanghai"/>
    <s v="High"/>
    <x v="0"/>
    <x v="9"/>
  </r>
  <r>
    <s v="ORD-2023-960380"/>
    <d v="2023-02-11T00:00:00"/>
    <d v="2023-02-12T00:00:00"/>
    <d v="2023-02-11T00:00:00"/>
    <d v="2023-02-12T00:00:00"/>
    <n v="1"/>
    <s v="2-2023"/>
    <s v="Africa"/>
    <x v="1"/>
    <s v="Port Harcourt"/>
    <s v="Non-Profit"/>
    <x v="4"/>
    <x v="8"/>
    <s v="Accessories"/>
    <s v="ACC-8242"/>
    <n v="944.61"/>
    <n v="839.04"/>
    <n v="5.8999999999999997E-2"/>
    <n v="6"/>
    <n v="4737.2198399999997"/>
    <n v="5667.66"/>
    <n v="-930.44016000000011"/>
    <n v="-0.19641059343363726"/>
    <s v="Q1-2023"/>
    <s v="Africa → Nigeria → Port Harcourt"/>
    <s v="Low"/>
    <x v="1"/>
    <x v="2"/>
  </r>
  <r>
    <s v="ORD-2023-453699"/>
    <d v="2023-07-01T00:00:00"/>
    <d v="2023-07-08T00:00:00"/>
    <d v="2023-07-01T00:00:00"/>
    <d v="2023-07-08T00:00:00"/>
    <n v="7"/>
    <s v="7-2023"/>
    <s v="Europe"/>
    <x v="11"/>
    <s v="Frankfurt"/>
    <s v="Small Business"/>
    <x v="3"/>
    <x v="10"/>
    <s v="Laptops"/>
    <s v="LAP-4666"/>
    <n v="460.21"/>
    <n v="1139.1500000000001"/>
    <n v="0.115"/>
    <n v="14"/>
    <n v="14114.068500000001"/>
    <n v="6442.94"/>
    <n v="7671.1285000000016"/>
    <n v="0.54350937151821255"/>
    <s v="Q3-2023"/>
    <s v="Europe → Germany → Frankfurt"/>
    <s v="Low"/>
    <x v="1"/>
    <x v="6"/>
  </r>
  <r>
    <s v="ORD-2025-960931"/>
    <d v="2025-08-20T00:00:00"/>
    <d v="2025-08-26T00:00:00"/>
    <d v="2025-08-20T00:00:00"/>
    <d v="2025-08-26T00:00:00"/>
    <n v="6"/>
    <s v="8-2025"/>
    <s v="Americas"/>
    <x v="9"/>
    <s v="New York"/>
    <s v="Corporate"/>
    <x v="0"/>
    <x v="13"/>
    <s v="Networking"/>
    <s v="NET-5196"/>
    <n v="1304.95"/>
    <n v="1712.03"/>
    <n v="0.21199999999999999"/>
    <n v="8"/>
    <n v="10792.637119999999"/>
    <n v="10439.6"/>
    <n v="353.03711999999905"/>
    <n v="3.2710922833287949E-2"/>
    <s v="Q3-2025"/>
    <s v="Americas → USA → New York"/>
    <s v="Medium"/>
    <x v="2"/>
    <x v="11"/>
  </r>
  <r>
    <s v="ORD-2024-419248"/>
    <d v="2024-03-04T00:00:00"/>
    <d v="2024-03-16T00:00:00"/>
    <d v="2024-03-04T00:00:00"/>
    <d v="2024-03-16T00:00:00"/>
    <n v="12"/>
    <s v="3-2024"/>
    <s v="Africa"/>
    <x v="10"/>
    <s v="Johannesburg"/>
    <s v="Enterprise"/>
    <x v="3"/>
    <x v="13"/>
    <s v="Monitors"/>
    <s v="MON-8422"/>
    <n v="441.08"/>
    <n v="1054.29"/>
    <n v="0.23699999999999999"/>
    <n v="6"/>
    <n v="4826.5396199999996"/>
    <n v="2646.48"/>
    <n v="2180.0596199999995"/>
    <n v="0.45168169985932899"/>
    <s v="Q1-2024"/>
    <s v="Africa → South Africa → Johannesburg"/>
    <s v="Low"/>
    <x v="0"/>
    <x v="0"/>
  </r>
  <r>
    <s v="ORD-2023-868460"/>
    <d v="2023-06-01T00:00:00"/>
    <d v="2023-06-01T00:00:00"/>
    <d v="2023-06-01T00:00:00"/>
    <d v="2023-06-01T00:00:00"/>
    <n v="0"/>
    <s v="6-2023"/>
    <s v="Asia"/>
    <x v="4"/>
    <s v="Bengaluru"/>
    <s v="Corporate"/>
    <x v="0"/>
    <x v="6"/>
    <s v="Accessories"/>
    <s v="ACC-4587"/>
    <n v="669.37"/>
    <n v="997.2"/>
    <n v="8.2000000000000003E-2"/>
    <n v="5"/>
    <n v="4577.1480000000001"/>
    <n v="3346.85"/>
    <n v="1230.2980000000002"/>
    <n v="0.26879139586484863"/>
    <s v="Q2-2023"/>
    <s v="Asia → India → Bengaluru"/>
    <s v="Low"/>
    <x v="1"/>
    <x v="9"/>
  </r>
  <r>
    <s v="ORD-2023-472078"/>
    <d v="2023-02-28T00:00:00"/>
    <d v="2023-03-06T00:00:00"/>
    <d v="2023-02-28T00:00:00"/>
    <d v="2023-03-06T00:00:00"/>
    <n v="6"/>
    <s v="2-2023"/>
    <s v="Europe"/>
    <x v="11"/>
    <s v="Frankfurt"/>
    <s v="Small Business"/>
    <x v="2"/>
    <x v="8"/>
    <s v="Printers"/>
    <s v="PRN-9624"/>
    <n v="880.02"/>
    <n v="1251.21"/>
    <n v="0.123"/>
    <n v="29"/>
    <n v="31822.023930000003"/>
    <n v="25520.579999999998"/>
    <n v="6301.4439300000049"/>
    <n v="0.19802146915172672"/>
    <s v="Q1-2023"/>
    <s v="Europe → Germany → Frankfurt"/>
    <s v="Medium"/>
    <x v="1"/>
    <x v="2"/>
  </r>
  <r>
    <s v="ORD-2025-779530"/>
    <d v="2025-05-19T00:00:00"/>
    <d v="2025-05-17T00:00:00"/>
    <d v="2025-05-17T00:00:00"/>
    <d v="2025-05-19T00:00:00"/>
    <n v="2"/>
    <s v="5-2025"/>
    <s v="Americas"/>
    <x v="5"/>
    <s v="São Paulo"/>
    <s v="Small Business"/>
    <x v="3"/>
    <x v="4"/>
    <s v="Monitors"/>
    <s v="MON-2993"/>
    <n v="383.77"/>
    <n v="952.56"/>
    <n v="0.1186"/>
    <n v="10"/>
    <n v="8395.8638399999982"/>
    <n v="3837.7"/>
    <n v="4558.1638399999983"/>
    <n v="0.54290587923588807"/>
    <s v="Q2-2025"/>
    <s v="Americas → Brazil → São Paulo"/>
    <s v="Low"/>
    <x v="2"/>
    <x v="5"/>
  </r>
  <r>
    <s v="ORD-2024-140633"/>
    <d v="2024-12-07T00:00:00"/>
    <d v="2024-12-26T00:00:00"/>
    <d v="2024-12-07T00:00:00"/>
    <d v="2024-12-26T00:00:00"/>
    <n v="19"/>
    <s v="12-2024"/>
    <s v="Europe"/>
    <x v="7"/>
    <s v="London"/>
    <s v="Enterprise"/>
    <x v="1"/>
    <x v="8"/>
    <s v="Networking"/>
    <s v="NET-4491"/>
    <n v="1035.24"/>
    <n v="2383.41"/>
    <n v="0.17"/>
    <n v="15"/>
    <n v="29673.454499999993"/>
    <n v="15528.6"/>
    <n v="14144.854499999992"/>
    <n v="0.47668378145860962"/>
    <s v="Q4-2024"/>
    <s v="Europe → United Kingdom → London"/>
    <s v="High"/>
    <x v="0"/>
    <x v="3"/>
  </r>
  <r>
    <s v="ORD-2025-997421"/>
    <d v="2025-05-21T00:00:00"/>
    <d v="2025-06-09T00:00:00"/>
    <d v="2025-05-21T00:00:00"/>
    <d v="2025-06-09T00:00:00"/>
    <n v="19"/>
    <s v="5-2025"/>
    <s v="Americas"/>
    <x v="5"/>
    <s v="São Paulo"/>
    <s v="Non-Profit"/>
    <x v="1"/>
    <x v="14"/>
    <s v="Components"/>
    <s v="CMP-3731"/>
    <n v="1331.38"/>
    <n v="2309.56"/>
    <n v="0.14899999999999999"/>
    <n v="31"/>
    <n v="60928.502359999999"/>
    <n v="41272.780000000006"/>
    <n v="19655.722359999992"/>
    <n v="0.32260307735553528"/>
    <s v="Q2-2025"/>
    <s v="Americas → Brazil → São Paulo"/>
    <s v="High"/>
    <x v="2"/>
    <x v="5"/>
  </r>
  <r>
    <s v="ORD-2023-139236"/>
    <d v="2023-03-03T00:00:00"/>
    <d v="2023-03-20T00:00:00"/>
    <d v="2023-03-03T00:00:00"/>
    <d v="2023-03-20T00:00:00"/>
    <n v="17"/>
    <s v="3-2023"/>
    <s v="Asia"/>
    <x v="2"/>
    <s v="Nagoya"/>
    <s v="Small Business"/>
    <x v="1"/>
    <x v="8"/>
    <s v="Networking"/>
    <s v="NET-7349"/>
    <n v="1171.17"/>
    <n v="2030.64"/>
    <n v="0.157"/>
    <n v="11"/>
    <n v="18830.12472"/>
    <n v="12882.87"/>
    <n v="5947.254719999999"/>
    <n v="0.31583724528830415"/>
    <s v="Q1-2023"/>
    <s v="Asia → Japan → Nagoya"/>
    <s v="High"/>
    <x v="1"/>
    <x v="0"/>
  </r>
  <r>
    <s v="ORD-2025-762301"/>
    <d v="2025-05-02T00:00:00"/>
    <d v="2025-05-13T00:00:00"/>
    <d v="2025-05-02T00:00:00"/>
    <d v="2025-05-13T00:00:00"/>
    <n v="11"/>
    <s v="5-2025"/>
    <s v="Africa"/>
    <x v="0"/>
    <s v="Nakuru"/>
    <s v="Small Business"/>
    <x v="1"/>
    <x v="14"/>
    <s v="Accessories"/>
    <s v="ACC-2252"/>
    <n v="1057.5999999999999"/>
    <n v="1437.06"/>
    <n v="0.20499999999999999"/>
    <n v="4"/>
    <n v="4569.8508000000002"/>
    <n v="4230.3999999999996"/>
    <n v="339.45080000000053"/>
    <n v="7.4280499485891424E-2"/>
    <s v="Q2-2025"/>
    <s v="Africa → Kenya → Nakuru"/>
    <s v="Medium"/>
    <x v="2"/>
    <x v="5"/>
  </r>
  <r>
    <s v="ORD-2025-501927"/>
    <d v="2025-03-03T00:00:00"/>
    <d v="2025-03-24T00:00:00"/>
    <d v="2025-03-03T00:00:00"/>
    <d v="2025-03-24T00:00:00"/>
    <n v="21"/>
    <s v="3-2025"/>
    <s v="Africa"/>
    <x v="1"/>
    <s v="Abuja"/>
    <s v="Enterprise"/>
    <x v="4"/>
    <x v="11"/>
    <s v="Accessories"/>
    <s v="ACC-4056"/>
    <n v="555.95000000000005"/>
    <n v="468.09"/>
    <n v="0.14199999999999999"/>
    <n v="11"/>
    <n v="4417.8334199999999"/>
    <n v="6115.4500000000007"/>
    <n v="-1697.6165800000008"/>
    <n v="-0.38426450674095375"/>
    <s v="Q1-2025"/>
    <s v="Africa → Nigeria → Abuja"/>
    <s v="Low"/>
    <x v="2"/>
    <x v="0"/>
  </r>
  <r>
    <s v="ORD-2024-536442"/>
    <d v="2024-08-31T00:00:00"/>
    <d v="2024-09-26T00:00:00"/>
    <d v="2024-08-31T00:00:00"/>
    <d v="2024-09-26T00:00:00"/>
    <n v="26"/>
    <s v="8-2024"/>
    <s v="Asia"/>
    <x v="2"/>
    <s v="Tokyo"/>
    <s v="Education"/>
    <x v="1"/>
    <x v="2"/>
    <s v="Phones"/>
    <s v="PHN-6111"/>
    <n v="1189.03"/>
    <n v="2949.62"/>
    <n v="0.125"/>
    <n v="13"/>
    <n v="33551.927499999998"/>
    <n v="15457.39"/>
    <n v="18094.537499999999"/>
    <n v="0.53929949330034765"/>
    <s v="Q3-2024"/>
    <s v="Asia → Japan → Tokyo"/>
    <s v="High"/>
    <x v="0"/>
    <x v="11"/>
  </r>
  <r>
    <s v="ORD-2024-961756"/>
    <d v="2024-11-25T00:00:00"/>
    <d v="2024-12-07T00:00:00"/>
    <d v="2024-11-25T00:00:00"/>
    <d v="2024-12-07T00:00:00"/>
    <n v="12"/>
    <s v="11-2024"/>
    <s v="Asia"/>
    <x v="8"/>
    <s v="Shanghai"/>
    <s v="Corporate"/>
    <x v="3"/>
    <x v="14"/>
    <s v="Accessories"/>
    <s v="ACC-7047"/>
    <n v="769.9"/>
    <n v="814.36"/>
    <n v="0"/>
    <n v="5"/>
    <n v="4071.8"/>
    <n v="3849.5"/>
    <n v="222.30000000000018"/>
    <n v="5.4595019401738831E-2"/>
    <s v="Q4-2024"/>
    <s v="Asia → China → Shanghai"/>
    <s v="Low"/>
    <x v="0"/>
    <x v="10"/>
  </r>
  <r>
    <s v="ORD-2025-874124"/>
    <d v="2025-05-14T00:00:00"/>
    <d v="2025-05-12T00:00:00"/>
    <d v="2025-05-12T00:00:00"/>
    <d v="2025-05-14T00:00:00"/>
    <n v="2"/>
    <s v="5-2025"/>
    <s v="Americas"/>
    <x v="3"/>
    <s v="Vancouver"/>
    <s v="Non-Profit"/>
    <x v="3"/>
    <x v="9"/>
    <s v="Printers"/>
    <s v="PRN-2407"/>
    <n v="883.5"/>
    <n v="1978.91"/>
    <n v="5.3999999999999999E-2"/>
    <n v="27"/>
    <n v="50545.319219999998"/>
    <n v="23854.5"/>
    <n v="26690.819219999998"/>
    <n v="0.52805718970390547"/>
    <s v="Q2-2025"/>
    <s v="Americas → Canada → Vancouver"/>
    <s v="High"/>
    <x v="2"/>
    <x v="5"/>
  </r>
  <r>
    <s v="ORD-2024-687073"/>
    <d v="2024-03-11T00:00:00"/>
    <d v="2024-03-29T00:00:00"/>
    <d v="2024-03-11T00:00:00"/>
    <d v="2024-03-29T00:00:00"/>
    <n v="18"/>
    <s v="3-2024"/>
    <s v="Americas"/>
    <x v="9"/>
    <s v="New York"/>
    <s v="Corporate"/>
    <x v="0"/>
    <x v="13"/>
    <s v="Monitors"/>
    <s v="MON-7099"/>
    <n v="710.98"/>
    <n v="1481.45"/>
    <n v="0.21099999999999999"/>
    <n v="9"/>
    <n v="10519.776450000001"/>
    <n v="6398.82"/>
    <n v="4120.9564500000015"/>
    <n v="0.39173422264120461"/>
    <s v="Q1-2024"/>
    <s v="Americas → USA → New York"/>
    <s v="Medium"/>
    <x v="0"/>
    <x v="0"/>
  </r>
  <r>
    <s v="ORD-2023-660608"/>
    <d v="2023-07-25T00:00:00"/>
    <d v="2023-08-10T00:00:00"/>
    <d v="2023-07-25T00:00:00"/>
    <d v="2023-08-10T00:00:00"/>
    <n v="16"/>
    <s v="7-2023"/>
    <s v="Africa"/>
    <x v="1"/>
    <s v="Port Harcourt"/>
    <s v="Corporate"/>
    <x v="3"/>
    <x v="2"/>
    <s v="Accessories"/>
    <s v="ACC-8178"/>
    <n v="506.83"/>
    <n v="441.74"/>
    <n v="0.24"/>
    <n v="9"/>
    <n v="3021.5016000000001"/>
    <n v="4561.47"/>
    <n v="-1539.9684000000002"/>
    <n v="-0.50966989393618067"/>
    <s v="Q3-2023"/>
    <s v="Africa → Nigeria → Port Harcourt"/>
    <s v="Low"/>
    <x v="1"/>
    <x v="6"/>
  </r>
  <r>
    <s v="ORD-2024-872291"/>
    <d v="2024-01-08T00:00:00"/>
    <d v="2024-01-12T00:00:00"/>
    <d v="2024-01-08T00:00:00"/>
    <d v="2024-01-12T00:00:00"/>
    <n v="4"/>
    <s v="1-2024"/>
    <s v="Asia"/>
    <x v="4"/>
    <s v="Bengaluru"/>
    <s v="Corporate"/>
    <x v="4"/>
    <x v="6"/>
    <s v="Printers"/>
    <s v="PRN-6585"/>
    <n v="802.32"/>
    <n v="602.34"/>
    <n v="0.12"/>
    <n v="25"/>
    <n v="13251.48"/>
    <n v="20058"/>
    <n v="-6806.52"/>
    <n v="-0.51364224977134632"/>
    <s v="Q1-2024"/>
    <s v="Asia → India → Bengaluru"/>
    <s v="Low"/>
    <x v="0"/>
    <x v="4"/>
  </r>
  <r>
    <s v="ORD-2024-250862"/>
    <d v="2024-10-25T00:00:00"/>
    <d v="2024-11-05T00:00:00"/>
    <d v="2024-10-25T00:00:00"/>
    <d v="2024-11-05T00:00:00"/>
    <n v="11"/>
    <s v="10-2024"/>
    <s v="Americas"/>
    <x v="9"/>
    <s v="New York"/>
    <s v="Corporate"/>
    <x v="3"/>
    <x v="10"/>
    <s v="Components"/>
    <s v="CMP-9498"/>
    <n v="446.66"/>
    <n v="527.64"/>
    <n v="0.14499999999999999"/>
    <n v="15"/>
    <n v="6766.9829999999993"/>
    <n v="6699.9000000000005"/>
    <n v="67.082999999998719"/>
    <n v="9.9132804087137105E-3"/>
    <s v="Q4-2024"/>
    <s v="Americas → USA → New York"/>
    <s v="Low"/>
    <x v="0"/>
    <x v="1"/>
  </r>
  <r>
    <s v="ORD-2024-331226"/>
    <d v="2024-11-30T00:00:00"/>
    <d v="2024-12-19T00:00:00"/>
    <d v="2024-11-30T00:00:00"/>
    <d v="2024-12-19T00:00:00"/>
    <n v="19"/>
    <s v="11-2024"/>
    <s v="Africa"/>
    <x v="0"/>
    <s v="Kisumu"/>
    <s v="Corporate"/>
    <x v="1"/>
    <x v="4"/>
    <s v="Phones"/>
    <s v="PHN-1919"/>
    <n v="1195.98"/>
    <n v="1841.9"/>
    <n v="5.5E-2"/>
    <n v="19"/>
    <n v="33071.3145"/>
    <n v="22723.62"/>
    <n v="10347.694500000001"/>
    <n v="0.31289032977506842"/>
    <s v="Q4-2024"/>
    <s v="Africa → Kenya → Kisumu"/>
    <s v="Medium"/>
    <x v="0"/>
    <x v="10"/>
  </r>
  <r>
    <s v="ORD-2023-356427"/>
    <d v="2023-04-13T00:00:00"/>
    <d v="2023-05-02T00:00:00"/>
    <d v="2023-04-13T00:00:00"/>
    <d v="2023-05-02T00:00:00"/>
    <n v="19"/>
    <s v="4-2023"/>
    <s v="Americas"/>
    <x v="3"/>
    <s v="Montreal"/>
    <s v="Consumer"/>
    <x v="3"/>
    <x v="6"/>
    <s v="Monitors"/>
    <s v="MON-6053"/>
    <n v="671.05"/>
    <n v="1645.48"/>
    <n v="0.13700000000000001"/>
    <n v="6"/>
    <n v="8520.2954399999999"/>
    <n v="4026.2999999999997"/>
    <n v="4493.9954400000006"/>
    <n v="0.52744596377517172"/>
    <s v="Q2-2023"/>
    <s v="Americas → Canada → Montreal"/>
    <s v="Medium"/>
    <x v="1"/>
    <x v="7"/>
  </r>
  <r>
    <s v="ORD-2025-659650"/>
    <d v="2025-02-04T00:00:00"/>
    <d v="2025-02-08T00:00:00"/>
    <d v="2025-02-04T00:00:00"/>
    <d v="2025-02-08T00:00:00"/>
    <n v="4"/>
    <s v="2-2025"/>
    <s v="Europe"/>
    <x v="7"/>
    <s v="Manchester"/>
    <s v="Enterprise"/>
    <x v="2"/>
    <x v="4"/>
    <s v="Networking"/>
    <s v="NET-2502"/>
    <n v="586.21"/>
    <n v="727.22"/>
    <n v="6.8000000000000005E-2"/>
    <n v="15"/>
    <n v="10166.535600000001"/>
    <n v="8793.1500000000015"/>
    <n v="1373.3855999999996"/>
    <n v="0.13508884973559721"/>
    <s v="Q1-2025"/>
    <s v="Europe → United Kingdom → Manchester"/>
    <s v="Low"/>
    <x v="2"/>
    <x v="2"/>
  </r>
  <r>
    <s v="ORD-2024-207669"/>
    <d v="2024-01-24T00:00:00"/>
    <d v="2024-02-04T00:00:00"/>
    <d v="2024-01-24T00:00:00"/>
    <d v="2024-02-04T00:00:00"/>
    <n v="11"/>
    <s v="1-2024"/>
    <s v="Europe"/>
    <x v="7"/>
    <s v="Manchester"/>
    <s v="Consumer"/>
    <x v="0"/>
    <x v="5"/>
    <s v="Laptops"/>
    <s v="LAP-5689"/>
    <n v="525.34"/>
    <n v="1233.79"/>
    <n v="0.14299999999999999"/>
    <n v="4"/>
    <n v="4229.4321199999995"/>
    <n v="2101.36"/>
    <n v="2128.0721199999994"/>
    <n v="0.50315788494082736"/>
    <s v="Q1-2024"/>
    <s v="Europe → United Kingdom → Manchester"/>
    <s v="Medium"/>
    <x v="0"/>
    <x v="4"/>
  </r>
  <r>
    <s v="ORD-2024-979401"/>
    <d v="2024-02-08T00:00:00"/>
    <d v="2024-02-09T00:00:00"/>
    <d v="2024-02-08T00:00:00"/>
    <d v="2024-02-09T00:00:00"/>
    <n v="1"/>
    <s v="2-2024"/>
    <s v="Africa"/>
    <x v="0"/>
    <s v="Mombasa"/>
    <s v="Corporate"/>
    <x v="4"/>
    <x v="9"/>
    <s v="Components"/>
    <s v="CMP-5911"/>
    <n v="1233.52"/>
    <n v="1543.76"/>
    <n v="0.126"/>
    <n v="13"/>
    <n v="17540.201120000002"/>
    <n v="16035.76"/>
    <n v="1504.4411200000013"/>
    <n v="8.5771030201277493E-2"/>
    <s v="Q1-2024"/>
    <s v="Africa → Kenya → Mombasa"/>
    <s v="Medium"/>
    <x v="0"/>
    <x v="2"/>
  </r>
  <r>
    <s v="ORD-2025-929414"/>
    <d v="2025-06-26T00:00:00"/>
    <d v="2025-07-11T00:00:00"/>
    <d v="2025-06-26T00:00:00"/>
    <d v="2025-07-11T00:00:00"/>
    <n v="15"/>
    <s v="6-2025"/>
    <s v="Africa"/>
    <x v="1"/>
    <s v="Port Harcourt"/>
    <s v="Small Business"/>
    <x v="1"/>
    <x v="14"/>
    <s v="Laptops"/>
    <s v="LAP-7523"/>
    <n v="1170.1500000000001"/>
    <n v="2115.19"/>
    <n v="9.1999999999999998E-2"/>
    <n v="23"/>
    <n v="44173.627960000005"/>
    <n v="26913.45"/>
    <n v="17260.177960000005"/>
    <n v="0.39073489674946776"/>
    <s v="Q2-2025"/>
    <s v="Africa → Nigeria → Port Harcourt"/>
    <s v="High"/>
    <x v="2"/>
    <x v="9"/>
  </r>
  <r>
    <s v="ORD-2024-766980"/>
    <d v="2024-11-04T00:00:00"/>
    <d v="2024-11-07T00:00:00"/>
    <d v="2024-11-04T00:00:00"/>
    <d v="2024-11-07T00:00:00"/>
    <n v="3"/>
    <s v="11-2024"/>
    <s v="Europe"/>
    <x v="6"/>
    <s v="Lyon"/>
    <s v="Corporate"/>
    <x v="1"/>
    <x v="7"/>
    <s v="Monitors"/>
    <s v="MON-1118"/>
    <n v="740.68"/>
    <n v="1837.19"/>
    <n v="0.19700000000000001"/>
    <n v="17"/>
    <n v="25079.480689999997"/>
    <n v="12591.56"/>
    <n v="12487.920689999997"/>
    <n v="0.4979337827748298"/>
    <s v="Q4-2024"/>
    <s v="Europe → France → Lyon"/>
    <s v="Medium"/>
    <x v="0"/>
    <x v="10"/>
  </r>
  <r>
    <s v="ORD-2024-437164"/>
    <d v="2024-02-20T00:00:00"/>
    <d v="2024-02-20T00:00:00"/>
    <d v="2024-02-20T00:00:00"/>
    <d v="2024-02-20T00:00:00"/>
    <n v="0"/>
    <s v="2-2024"/>
    <s v="Americas"/>
    <x v="9"/>
    <s v="New York"/>
    <s v="Enterprise"/>
    <x v="1"/>
    <x v="0"/>
    <s v="Networking"/>
    <s v="NET-9177"/>
    <n v="1407.05"/>
    <n v="2858.93"/>
    <n v="0"/>
    <n v="12"/>
    <n v="34307.159999999996"/>
    <n v="16884.599999999999"/>
    <n v="17422.559999999998"/>
    <n v="0.50784034586366222"/>
    <s v="Q1-2024"/>
    <s v="Americas → USA → New York"/>
    <s v="High"/>
    <x v="0"/>
    <x v="2"/>
  </r>
  <r>
    <s v="ORD-2025-169093"/>
    <d v="2025-04-13T00:00:00"/>
    <d v="2025-04-14T00:00:00"/>
    <d v="2025-04-13T00:00:00"/>
    <d v="2025-04-14T00:00:00"/>
    <n v="1"/>
    <s v="4-2025"/>
    <s v="Asia"/>
    <x v="2"/>
    <s v="Osaka"/>
    <s v="Enterprise"/>
    <x v="1"/>
    <x v="3"/>
    <s v="Components"/>
    <s v="CMP-6495"/>
    <n v="138.9"/>
    <n v="289.92"/>
    <n v="2.9000000000000001E-2"/>
    <n v="12"/>
    <n v="3378.1478400000001"/>
    <n v="1666.8000000000002"/>
    <n v="1711.3478399999999"/>
    <n v="0.50659353025828491"/>
    <s v="Q2-2025"/>
    <s v="Asia → Japan → Osaka"/>
    <s v="Low"/>
    <x v="2"/>
    <x v="7"/>
  </r>
  <r>
    <s v="ORD-2024-787018"/>
    <d v="2024-06-23T00:00:00"/>
    <d v="2024-06-28T00:00:00"/>
    <d v="2024-06-23T00:00:00"/>
    <d v="2024-06-28T00:00:00"/>
    <n v="5"/>
    <s v="6-2024"/>
    <s v="Africa"/>
    <x v="1"/>
    <s v="Port Harcourt"/>
    <s v="Non-Profit"/>
    <x v="4"/>
    <x v="13"/>
    <s v="Accessories"/>
    <s v="ACC-7671"/>
    <n v="242.31"/>
    <n v="587.95000000000005"/>
    <n v="0.22900000000000001"/>
    <n v="6"/>
    <n v="2719.8567000000003"/>
    <n v="1453.8600000000001"/>
    <n v="1265.9967000000001"/>
    <n v="0.46546448568411714"/>
    <s v="Q2-2024"/>
    <s v="Africa → Nigeria → Port Harcourt"/>
    <s v="Low"/>
    <x v="0"/>
    <x v="9"/>
  </r>
  <r>
    <s v="ORD-2025-177994"/>
    <d v="2025-03-24T00:00:00"/>
    <d v="2025-04-04T00:00:00"/>
    <d v="2025-03-24T00:00:00"/>
    <d v="2025-04-04T00:00:00"/>
    <n v="11"/>
    <s v="3-2025"/>
    <s v="Asia"/>
    <x v="4"/>
    <s v="Mumbai"/>
    <s v="Education"/>
    <x v="2"/>
    <x v="1"/>
    <s v="Phones"/>
    <s v="PHN-4395"/>
    <n v="23.83"/>
    <n v="47.29"/>
    <n v="6.4000000000000001E-2"/>
    <n v="19"/>
    <n v="841.00536"/>
    <n v="452.77"/>
    <n v="388.23536000000001"/>
    <n v="0.46163244429262618"/>
    <s v="Q1-2025"/>
    <s v="Asia → India → Mumbai"/>
    <s v="Low"/>
    <x v="2"/>
    <x v="0"/>
  </r>
  <r>
    <s v="ORD-2024-355095"/>
    <d v="2024-01-02T00:00:00"/>
    <d v="2024-01-02T00:00:00"/>
    <d v="2024-01-02T00:00:00"/>
    <d v="2024-01-02T00:00:00"/>
    <n v="0"/>
    <s v="1-2024"/>
    <s v="Americas"/>
    <x v="3"/>
    <s v="Vancouver"/>
    <s v="Education"/>
    <x v="4"/>
    <x v="14"/>
    <s v="Laptops"/>
    <s v="LAP-3581"/>
    <n v="444.41"/>
    <n v="754.24"/>
    <n v="0.20699999999999999"/>
    <n v="32"/>
    <n v="19139.594240000002"/>
    <n v="14221.12"/>
    <n v="4918.4742400000014"/>
    <n v="0.25697902360546598"/>
    <s v="Q1-2024"/>
    <s v="Americas → Canada → Vancouver"/>
    <s v="Low"/>
    <x v="0"/>
    <x v="4"/>
  </r>
  <r>
    <s v="ORD-2023-126505"/>
    <d v="2023-12-19T00:00:00"/>
    <d v="2024-01-01T00:00:00"/>
    <d v="2023-12-19T00:00:00"/>
    <d v="2024-01-01T00:00:00"/>
    <n v="13"/>
    <s v="12-2023"/>
    <s v="Americas"/>
    <x v="3"/>
    <s v="Toronto"/>
    <s v="Enterprise"/>
    <x v="0"/>
    <x v="12"/>
    <s v="Monitors"/>
    <s v="MON-6065"/>
    <n v="856.1"/>
    <n v="901.48"/>
    <n v="5.6000000000000001E-2"/>
    <n v="17"/>
    <n v="14466.95104"/>
    <n v="14553.7"/>
    <n v="-86.748960000000807"/>
    <n v="-5.9963540182134192E-3"/>
    <s v="Q4-2023"/>
    <s v="Americas → Canada → Toronto"/>
    <s v="Low"/>
    <x v="1"/>
    <x v="3"/>
  </r>
  <r>
    <s v="ORD-2023-340056"/>
    <d v="2023-04-26T00:00:00"/>
    <d v="2023-04-26T00:00:00"/>
    <d v="2023-04-26T00:00:00"/>
    <d v="2023-04-26T00:00:00"/>
    <n v="0"/>
    <s v="4-2023"/>
    <s v="Europe"/>
    <x v="6"/>
    <s v="Marseille"/>
    <s v="Consumer"/>
    <x v="4"/>
    <x v="13"/>
    <s v="Components"/>
    <s v="CMP-4945"/>
    <n v="81.489999999999995"/>
    <n v="113.08"/>
    <n v="0.121"/>
    <n v="5"/>
    <n v="496.98660000000001"/>
    <n v="407.45"/>
    <n v="89.536600000000021"/>
    <n v="0.18015898215364362"/>
    <s v="Q2-2023"/>
    <s v="Europe → France → Marseille"/>
    <s v="Low"/>
    <x v="1"/>
    <x v="7"/>
  </r>
  <r>
    <s v="ORD-2025-281413"/>
    <d v="2025-08-03T00:00:00"/>
    <d v="2025-08-16T00:00:00"/>
    <d v="2025-08-03T00:00:00"/>
    <d v="2025-08-16T00:00:00"/>
    <n v="13"/>
    <s v="8-2025"/>
    <s v="Americas"/>
    <x v="3"/>
    <s v="Montreal"/>
    <s v="Enterprise"/>
    <x v="3"/>
    <x v="7"/>
    <s v="Networking"/>
    <s v="NET-3785"/>
    <n v="698.66"/>
    <n v="868.62"/>
    <n v="7.1999999999999995E-2"/>
    <n v="15"/>
    <n v="12091.190399999999"/>
    <n v="10479.9"/>
    <n v="1611.2903999999999"/>
    <n v="0.13326151906432637"/>
    <s v="Q3-2025"/>
    <s v="Americas → Canada → Montreal"/>
    <s v="Low"/>
    <x v="2"/>
    <x v="11"/>
  </r>
  <r>
    <s v="ORD-2023-713614"/>
    <d v="2023-08-02T00:00:00"/>
    <d v="2023-08-19T00:00:00"/>
    <d v="2023-08-02T00:00:00"/>
    <d v="2023-08-19T00:00:00"/>
    <n v="17"/>
    <s v="8-2023"/>
    <s v="Americas"/>
    <x v="3"/>
    <s v="Vancouver"/>
    <s v="Corporate"/>
    <x v="1"/>
    <x v="9"/>
    <s v="Networking"/>
    <s v="NET-3689"/>
    <n v="175.38"/>
    <n v="347.9"/>
    <n v="7.1999999999999995E-2"/>
    <n v="43"/>
    <n v="13882.6016"/>
    <n v="7541.34"/>
    <n v="6341.2615999999998"/>
    <n v="0.45677761148169804"/>
    <s v="Q3-2023"/>
    <s v="Americas → Canada → Vancouver"/>
    <s v="Low"/>
    <x v="1"/>
    <x v="11"/>
  </r>
  <r>
    <s v="ORD-2025-649239"/>
    <d v="2025-01-17T00:00:00"/>
    <d v="2025-01-24T00:00:00"/>
    <d v="2025-01-17T00:00:00"/>
    <d v="2025-01-24T00:00:00"/>
    <n v="7"/>
    <s v="1-2025"/>
    <s v="Americas"/>
    <x v="9"/>
    <s v="Austin"/>
    <s v="Enterprise"/>
    <x v="1"/>
    <x v="3"/>
    <s v="Accessories"/>
    <s v="ACC-4511"/>
    <n v="142.09"/>
    <n v="218.5"/>
    <n v="0.11899999999999999"/>
    <n v="11"/>
    <n v="2117.4834999999998"/>
    <n v="1562.99"/>
    <n v="554.49349999999981"/>
    <n v="0.26186437816398561"/>
    <s v="Q1-2025"/>
    <s v="Americas → USA → Austin"/>
    <s v="Low"/>
    <x v="2"/>
    <x v="4"/>
  </r>
  <r>
    <s v="ORD-2024-496601"/>
    <d v="2024-11-11T00:00:00"/>
    <d v="2024-11-24T00:00:00"/>
    <d v="2024-11-11T00:00:00"/>
    <d v="2024-11-24T00:00:00"/>
    <n v="13"/>
    <s v="11-2024"/>
    <s v="Europe"/>
    <x v="7"/>
    <s v="London"/>
    <s v="Corporate"/>
    <x v="0"/>
    <x v="6"/>
    <s v="Networking"/>
    <s v="NET-2932"/>
    <n v="164.53"/>
    <n v="327.72"/>
    <n v="6.7000000000000004E-2"/>
    <n v="14"/>
    <n v="4280.6786400000001"/>
    <n v="2303.42"/>
    <n v="1977.25864"/>
    <n v="0.46190307805960412"/>
    <s v="Q4-2024"/>
    <s v="Europe → United Kingdom → London"/>
    <s v="Low"/>
    <x v="0"/>
    <x v="10"/>
  </r>
  <r>
    <s v="ORD-2025-155182"/>
    <d v="2025-07-11T00:00:00"/>
    <d v="2025-08-03T00:00:00"/>
    <d v="2025-07-11T00:00:00"/>
    <d v="2025-08-03T00:00:00"/>
    <n v="23"/>
    <s v="7-2025"/>
    <s v="Africa"/>
    <x v="0"/>
    <s v="Nakuru"/>
    <s v="Small Business"/>
    <x v="0"/>
    <x v="0"/>
    <s v="Phones"/>
    <s v="PHN-7636"/>
    <n v="389.93"/>
    <n v="486.13"/>
    <n v="0.13200000000000001"/>
    <n v="17"/>
    <n v="7173.3342799999991"/>
    <n v="6628.81"/>
    <n v="544.52427999999873"/>
    <n v="7.5909508569562828E-2"/>
    <s v="Q3-2025"/>
    <s v="Africa → Kenya → Nakuru"/>
    <s v="Low"/>
    <x v="2"/>
    <x v="6"/>
  </r>
  <r>
    <s v="ORD-2024-247032"/>
    <d v="2024-04-21T00:00:00"/>
    <d v="2024-05-19T00:00:00"/>
    <d v="2024-04-21T00:00:00"/>
    <d v="2024-05-19T00:00:00"/>
    <n v="28"/>
    <s v="4-2024"/>
    <s v="Africa"/>
    <x v="1"/>
    <s v="Lagos"/>
    <s v="Corporate"/>
    <x v="3"/>
    <x v="14"/>
    <s v="Accessories"/>
    <s v="ACC-2990"/>
    <n v="187.22"/>
    <n v="309.47000000000003"/>
    <n v="0"/>
    <n v="5"/>
    <n v="1547.3500000000001"/>
    <n v="936.1"/>
    <n v="611.25000000000011"/>
    <n v="0.39503021294471197"/>
    <s v="Q2-2024"/>
    <s v="Africa → Nigeria → Lagos"/>
    <s v="Low"/>
    <x v="0"/>
    <x v="7"/>
  </r>
  <r>
    <s v="ORD-2025-419532"/>
    <d v="2025-08-06T00:00:00"/>
    <d v="2025-08-23T00:00:00"/>
    <d v="2025-08-06T00:00:00"/>
    <d v="2025-08-23T00:00:00"/>
    <n v="17"/>
    <s v="8-2025"/>
    <s v="Americas"/>
    <x v="5"/>
    <s v="Brasília"/>
    <s v="Consumer"/>
    <x v="3"/>
    <x v="14"/>
    <s v="Monitors"/>
    <s v="MON-4317"/>
    <n v="86.64"/>
    <n v="213.06"/>
    <n v="0.21199999999999999"/>
    <n v="11"/>
    <n v="1846.8040799999999"/>
    <n v="953.04"/>
    <n v="893.76407999999992"/>
    <n v="0.48395175735154322"/>
    <s v="Q3-2025"/>
    <s v="Americas → Brazil → Brasília"/>
    <s v="Low"/>
    <x v="2"/>
    <x v="11"/>
  </r>
  <r>
    <s v="ORD-2024-594527"/>
    <d v="2024-09-06T00:00:00"/>
    <d v="2024-09-04T00:00:00"/>
    <d v="2024-09-04T00:00:00"/>
    <d v="2024-09-06T00:00:00"/>
    <n v="2"/>
    <s v="9-2024"/>
    <s v="Asia"/>
    <x v="2"/>
    <s v="Osaka"/>
    <s v="Corporate"/>
    <x v="4"/>
    <x v="14"/>
    <s v="Laptops"/>
    <s v="LAP-4483"/>
    <n v="1368.17"/>
    <n v="2307.75"/>
    <n v="0.16300000000000001"/>
    <n v="21"/>
    <n v="40563.321749999996"/>
    <n v="28731.57"/>
    <n v="11831.751749999996"/>
    <n v="0.29168596750831921"/>
    <s v="Q3-2024"/>
    <s v="Asia → Japan → Osaka"/>
    <s v="High"/>
    <x v="0"/>
    <x v="8"/>
  </r>
  <r>
    <s v="ORD-2024-689872"/>
    <d v="2024-08-03T00:00:00"/>
    <d v="2024-08-09T00:00:00"/>
    <d v="2024-08-03T00:00:00"/>
    <d v="2024-08-09T00:00:00"/>
    <n v="6"/>
    <s v="8-2024"/>
    <s v="Africa"/>
    <x v="0"/>
    <s v="Mombasa"/>
    <s v="Consumer"/>
    <x v="2"/>
    <x v="11"/>
    <s v="Laptops"/>
    <s v="LAP-1969"/>
    <n v="643.21"/>
    <n v="1112.81"/>
    <n v="0.14099999999999999"/>
    <n v="4"/>
    <n v="3823.6151599999998"/>
    <n v="2572.84"/>
    <n v="1250.7751599999997"/>
    <n v="0.32711847496702562"/>
    <s v="Q3-2024"/>
    <s v="Africa → Kenya → Mombasa"/>
    <s v="Low"/>
    <x v="0"/>
    <x v="11"/>
  </r>
  <r>
    <s v="ORD-2025-949776"/>
    <d v="2025-08-14T00:00:00"/>
    <d v="2025-09-11T00:00:00"/>
    <d v="2025-08-14T00:00:00"/>
    <d v="2025-09-11T00:00:00"/>
    <n v="28"/>
    <s v="8-2025"/>
    <s v="Americas"/>
    <x v="5"/>
    <s v="São Paulo"/>
    <s v="Non-Profit"/>
    <x v="4"/>
    <x v="9"/>
    <s v="Printers"/>
    <s v="PRN-9490"/>
    <n v="1203.02"/>
    <n v="2439.33"/>
    <n v="0"/>
    <n v="18"/>
    <n v="43907.94"/>
    <n v="21654.36"/>
    <n v="22253.58"/>
    <n v="0.50682359500354612"/>
    <s v="Q3-2025"/>
    <s v="Americas → Brazil → São Paulo"/>
    <s v="High"/>
    <x v="2"/>
    <x v="11"/>
  </r>
  <r>
    <s v="ORD-2023-378676"/>
    <d v="2023-05-03T00:00:00"/>
    <d v="2023-05-16T00:00:00"/>
    <d v="2023-05-03T00:00:00"/>
    <d v="2023-05-16T00:00:00"/>
    <n v="13"/>
    <s v="5-2023"/>
    <s v="Americas"/>
    <x v="9"/>
    <s v="New York"/>
    <s v="Corporate"/>
    <x v="2"/>
    <x v="4"/>
    <s v="Phones"/>
    <s v="PHN-5366"/>
    <n v="64.5"/>
    <n v="123.62"/>
    <n v="0"/>
    <n v="3"/>
    <n v="370.86"/>
    <n v="193.5"/>
    <n v="177.36"/>
    <n v="0.47823976702798904"/>
    <s v="Q2-2023"/>
    <s v="Americas → USA → New York"/>
    <s v="Low"/>
    <x v="1"/>
    <x v="5"/>
  </r>
  <r>
    <s v="ORD-2024-243988"/>
    <d v="2024-03-13T00:00:00"/>
    <d v="2024-04-06T00:00:00"/>
    <d v="2024-03-13T00:00:00"/>
    <d v="2024-04-06T00:00:00"/>
    <n v="24"/>
    <s v="3-2024"/>
    <s v="Africa"/>
    <x v="1"/>
    <s v="Abuja"/>
    <s v="Consumer"/>
    <x v="3"/>
    <x v="4"/>
    <s v="Components"/>
    <s v="CMP-9001"/>
    <n v="1232.78"/>
    <n v="1731.75"/>
    <n v="9.2999999999999999E-2"/>
    <n v="16"/>
    <n v="25131.155999999999"/>
    <n v="19724.48"/>
    <n v="5406.6759999999995"/>
    <n v="0.21513837246484005"/>
    <s v="Q1-2024"/>
    <s v="Africa → Nigeria → Abuja"/>
    <s v="Medium"/>
    <x v="0"/>
    <x v="0"/>
  </r>
  <r>
    <s v="ORD-2024-572312"/>
    <d v="2024-06-16T00:00:00"/>
    <d v="2024-06-21T00:00:00"/>
    <d v="2024-06-16T00:00:00"/>
    <d v="2024-06-21T00:00:00"/>
    <n v="5"/>
    <s v="6-2024"/>
    <s v="Asia"/>
    <x v="2"/>
    <s v="Tokyo"/>
    <s v="Small Business"/>
    <x v="3"/>
    <x v="9"/>
    <s v="Phones"/>
    <s v="PHN-9677"/>
    <n v="1367.13"/>
    <n v="3062.01"/>
    <n v="0.10299999999999999"/>
    <n v="25"/>
    <n v="68665.574250000005"/>
    <n v="34178.25"/>
    <n v="34487.324250000005"/>
    <n v="0.50225057645971705"/>
    <s v="Q2-2024"/>
    <s v="Asia → Japan → Tokyo"/>
    <s v="High"/>
    <x v="0"/>
    <x v="9"/>
  </r>
  <r>
    <s v="ORD-2024-232632"/>
    <d v="2024-02-14T00:00:00"/>
    <d v="2024-02-14T00:00:00"/>
    <d v="2024-02-14T00:00:00"/>
    <d v="2024-02-14T00:00:00"/>
    <n v="0"/>
    <s v="2-2024"/>
    <s v="Asia"/>
    <x v="8"/>
    <s v="Beijing"/>
    <s v="Corporate"/>
    <x v="3"/>
    <x v="4"/>
    <s v="Accessories"/>
    <s v="ACC-1021"/>
    <n v="65.930000000000007"/>
    <n v="84.9"/>
    <n v="0.25900000000000001"/>
    <n v="23"/>
    <n v="1446.9507000000001"/>
    <n v="1516.39"/>
    <n v="-69.439300000000003"/>
    <n v="-4.7990093926489688E-2"/>
    <s v="Q1-2024"/>
    <s v="Asia → China → Beijing"/>
    <s v="Low"/>
    <x v="0"/>
    <x v="2"/>
  </r>
  <r>
    <s v="ORD-2023-755337"/>
    <d v="2023-09-08T00:00:00"/>
    <d v="2023-09-14T00:00:00"/>
    <d v="2023-09-08T00:00:00"/>
    <d v="2023-09-14T00:00:00"/>
    <n v="6"/>
    <s v="9-2023"/>
    <s v="Africa"/>
    <x v="0"/>
    <s v="Nakuru"/>
    <s v="Education"/>
    <x v="4"/>
    <x v="2"/>
    <s v="Accessories"/>
    <s v="ACC-4766"/>
    <n v="251.03"/>
    <n v="411.48"/>
    <n v="0.16500000000000001"/>
    <n v="3"/>
    <n v="1030.7574"/>
    <n v="753.09"/>
    <n v="277.66739999999993"/>
    <n v="0.26938191275658069"/>
    <s v="Q3-2023"/>
    <s v="Africa → Kenya → Nakuru"/>
    <s v="Low"/>
    <x v="1"/>
    <x v="8"/>
  </r>
  <r>
    <s v="ORD-2025-993993"/>
    <d v="2025-08-30T00:00:00"/>
    <d v="2025-09-22T00:00:00"/>
    <d v="2025-08-30T00:00:00"/>
    <d v="2025-09-22T00:00:00"/>
    <n v="23"/>
    <s v="8-2025"/>
    <s v="Europe"/>
    <x v="6"/>
    <s v="Marseille"/>
    <s v="Corporate"/>
    <x v="4"/>
    <x v="6"/>
    <s v="Components"/>
    <s v="CMP-5311"/>
    <n v="663.9"/>
    <n v="947.77"/>
    <n v="0.17399999999999999"/>
    <n v="15"/>
    <n v="11742.8703"/>
    <n v="9958.5"/>
    <n v="1784.3703000000005"/>
    <n v="0.1519535049280073"/>
    <s v="Q3-2025"/>
    <s v="Europe → France → Marseille"/>
    <s v="Low"/>
    <x v="2"/>
    <x v="11"/>
  </r>
  <r>
    <s v="ORD-2023-619493"/>
    <d v="2023-02-27T00:00:00"/>
    <d v="2023-02-26T00:00:00"/>
    <d v="2023-02-26T00:00:00"/>
    <d v="2023-02-27T00:00:00"/>
    <n v="1"/>
    <s v="2-2023"/>
    <s v="Americas"/>
    <x v="9"/>
    <s v="San Francisco"/>
    <s v="Non-Profit"/>
    <x v="1"/>
    <x v="4"/>
    <s v="Networking"/>
    <s v="NET-1282"/>
    <n v="1015.91"/>
    <n v="2331.48"/>
    <n v="0.14599999999999999"/>
    <n v="26"/>
    <n v="51768.181920000003"/>
    <n v="26413.66"/>
    <n v="25354.521920000003"/>
    <n v="0.48977037592669626"/>
    <s v="Q1-2023"/>
    <s v="Americas → USA → San Francisco"/>
    <s v="High"/>
    <x v="1"/>
    <x v="2"/>
  </r>
  <r>
    <s v="ORD-2024-947056"/>
    <d v="2024-07-31T00:00:00"/>
    <d v="2024-08-15T00:00:00"/>
    <d v="2024-07-31T00:00:00"/>
    <d v="2024-08-15T00:00:00"/>
    <n v="15"/>
    <s v="7-2024"/>
    <s v="Asia"/>
    <x v="2"/>
    <s v="Tokyo"/>
    <s v="Corporate"/>
    <x v="2"/>
    <x v="9"/>
    <s v="Monitors"/>
    <s v="MON-1564"/>
    <n v="1252.52"/>
    <n v="1417.24"/>
    <n v="0.192"/>
    <n v="5"/>
    <n v="5725.6496000000006"/>
    <n v="6262.6"/>
    <n v="-536.95039999999972"/>
    <n v="-9.3779821943696953E-2"/>
    <s v="Q3-2024"/>
    <s v="Asia → Japan → Tokyo"/>
    <s v="Medium"/>
    <x v="0"/>
    <x v="6"/>
  </r>
  <r>
    <s v="ORD-2025-828263"/>
    <d v="2025-05-17T00:00:00"/>
    <d v="2025-05-30T00:00:00"/>
    <d v="2025-05-17T00:00:00"/>
    <d v="2025-05-30T00:00:00"/>
    <n v="13"/>
    <s v="5-2025"/>
    <s v="Africa"/>
    <x v="1"/>
    <s v="Lagos"/>
    <s v="Consumer"/>
    <x v="3"/>
    <x v="9"/>
    <s v="Accessories"/>
    <s v="ACC-3349"/>
    <n v="66.400000000000006"/>
    <n v="141.43"/>
    <n v="0.107"/>
    <n v="8"/>
    <n v="1010.3759200000001"/>
    <n v="531.20000000000005"/>
    <n v="479.17592000000002"/>
    <n v="0.47425508715607551"/>
    <s v="Q2-2025"/>
    <s v="Africa → Nigeria → Lagos"/>
    <s v="Low"/>
    <x v="2"/>
    <x v="5"/>
  </r>
  <r>
    <s v="ORD-2024-442776"/>
    <d v="2024-06-30T00:00:00"/>
    <d v="2024-07-21T00:00:00"/>
    <d v="2024-06-30T00:00:00"/>
    <d v="2024-07-21T00:00:00"/>
    <n v="21"/>
    <s v="6-2024"/>
    <s v="Africa"/>
    <x v="0"/>
    <s v="Kisumu"/>
    <s v="Small Business"/>
    <x v="0"/>
    <x v="12"/>
    <s v="Laptops"/>
    <s v="LAP-6577"/>
    <n v="753.43"/>
    <n v="1787.2"/>
    <n v="7.2999999999999995E-2"/>
    <n v="9"/>
    <n v="14910.609600000002"/>
    <n v="6780.87"/>
    <n v="8129.7396000000017"/>
    <n v="0.54523187301476939"/>
    <s v="Q2-2024"/>
    <s v="Africa → Kenya → Kisumu"/>
    <s v="Medium"/>
    <x v="0"/>
    <x v="9"/>
  </r>
  <r>
    <s v="ORD-2025-705398"/>
    <d v="2025-02-17T00:00:00"/>
    <d v="2025-02-15T00:00:00"/>
    <d v="2025-02-15T00:00:00"/>
    <d v="2025-02-17T00:00:00"/>
    <n v="2"/>
    <s v="2-2025"/>
    <s v="Americas"/>
    <x v="3"/>
    <s v="Toronto"/>
    <s v="Small Business"/>
    <x v="0"/>
    <x v="8"/>
    <s v="Components"/>
    <s v="CMP-5065"/>
    <n v="1133.47"/>
    <n v="1698.75"/>
    <n v="4.2999999999999997E-2"/>
    <n v="5"/>
    <n v="8128.5187499999993"/>
    <n v="5667.35"/>
    <n v="2461.1687499999989"/>
    <n v="0.30278194904821976"/>
    <s v="Q1-2025"/>
    <s v="Americas → Canada → Toronto"/>
    <s v="Medium"/>
    <x v="2"/>
    <x v="2"/>
  </r>
  <r>
    <s v="ORD-2023-689428"/>
    <d v="2023-01-07T00:00:00"/>
    <d v="2023-01-30T00:00:00"/>
    <d v="2023-01-07T00:00:00"/>
    <d v="2023-01-30T00:00:00"/>
    <n v="23"/>
    <s v="1-2023"/>
    <s v="Africa"/>
    <x v="10"/>
    <s v="Cape Town"/>
    <s v="Consumer"/>
    <x v="1"/>
    <x v="14"/>
    <s v="Printers"/>
    <s v="PRN-4787"/>
    <n v="299.02"/>
    <n v="724.7"/>
    <n v="0.14000000000000001"/>
    <n v="5"/>
    <n v="3116.21"/>
    <n v="1495.1"/>
    <n v="1621.1100000000001"/>
    <n v="0.52021847051386139"/>
    <s v="Q1-2023"/>
    <s v="Africa → South Africa → Cape Town"/>
    <s v="Low"/>
    <x v="1"/>
    <x v="4"/>
  </r>
  <r>
    <s v="ORD-2025-683247"/>
    <d v="2025-03-10T00:00:00"/>
    <d v="2025-04-04T00:00:00"/>
    <d v="2025-03-10T00:00:00"/>
    <d v="2025-04-04T00:00:00"/>
    <n v="25"/>
    <s v="3-2025"/>
    <s v="Asia"/>
    <x v="2"/>
    <s v="Osaka"/>
    <s v="Corporate"/>
    <x v="4"/>
    <x v="11"/>
    <s v="Printers"/>
    <s v="PRN-9867"/>
    <n v="783.72"/>
    <n v="1355.94"/>
    <n v="0.187"/>
    <n v="4"/>
    <n v="4409.5168800000001"/>
    <n v="3134.88"/>
    <n v="1274.63688"/>
    <n v="0.28906497348525856"/>
    <s v="Q1-2025"/>
    <s v="Asia → Japan → Osaka"/>
    <s v="Medium"/>
    <x v="2"/>
    <x v="0"/>
  </r>
  <r>
    <s v="ORD-2023-704111"/>
    <d v="2023-05-17T00:00:00"/>
    <d v="2023-06-15T00:00:00"/>
    <d v="2023-05-17T00:00:00"/>
    <d v="2023-06-15T00:00:00"/>
    <n v="29"/>
    <s v="5-2023"/>
    <s v="Africa"/>
    <x v="10"/>
    <s v="Durban"/>
    <s v="Enterprise"/>
    <x v="0"/>
    <x v="12"/>
    <s v="Accessories"/>
    <s v="ACC-5206"/>
    <n v="40.89"/>
    <n v="62.82"/>
    <n v="0.129"/>
    <n v="17"/>
    <n v="930.17574000000002"/>
    <n v="695.13"/>
    <n v="235.04574000000002"/>
    <n v="0.25268960465470752"/>
    <s v="Q2-2023"/>
    <s v="Africa → South Africa → Durban"/>
    <s v="Low"/>
    <x v="1"/>
    <x v="5"/>
  </r>
  <r>
    <s v="ORD-2024-907733"/>
    <d v="2024-03-09T00:00:00"/>
    <d v="2024-03-22T00:00:00"/>
    <d v="2024-03-09T00:00:00"/>
    <d v="2024-03-22T00:00:00"/>
    <n v="13"/>
    <s v="3-2024"/>
    <s v="Europe"/>
    <x v="7"/>
    <s v="Manchester"/>
    <s v="Consumer"/>
    <x v="1"/>
    <x v="6"/>
    <s v="Laptops"/>
    <s v="LAP-8633"/>
    <n v="985.45"/>
    <n v="1802.44"/>
    <n v="8.9999999999999993E-3"/>
    <n v="19"/>
    <n v="33938.142760000002"/>
    <n v="18723.55"/>
    <n v="15214.592760000003"/>
    <n v="0.44830363486867486"/>
    <s v="Q1-2024"/>
    <s v="Europe → United Kingdom → Manchester"/>
    <s v="Medium"/>
    <x v="0"/>
    <x v="0"/>
  </r>
  <r>
    <s v="ORD-2024-550400"/>
    <d v="2024-08-19T00:00:00"/>
    <d v="2024-09-02T00:00:00"/>
    <d v="2024-08-19T00:00:00"/>
    <d v="2024-09-02T00:00:00"/>
    <n v="14"/>
    <s v="8-2024"/>
    <s v="Americas"/>
    <x v="3"/>
    <s v="Toronto"/>
    <s v="Consumer"/>
    <x v="3"/>
    <x v="0"/>
    <s v="Printers"/>
    <s v="PRN-9793"/>
    <n v="1337.01"/>
    <n v="1269.78"/>
    <n v="0.16"/>
    <n v="7"/>
    <n v="7466.3063999999986"/>
    <n v="9359.07"/>
    <n v="-1892.7636000000011"/>
    <n v="-0.25350735672996244"/>
    <s v="Q3-2024"/>
    <s v="Americas → Canada → Toronto"/>
    <s v="Medium"/>
    <x v="0"/>
    <x v="11"/>
  </r>
  <r>
    <s v="ORD-2025-189846"/>
    <d v="2025-08-11T00:00:00"/>
    <d v="2025-08-28T00:00:00"/>
    <d v="2025-08-11T00:00:00"/>
    <d v="2025-08-28T00:00:00"/>
    <n v="17"/>
    <s v="8-2025"/>
    <s v="Europe"/>
    <x v="6"/>
    <s v="Paris"/>
    <s v="Education"/>
    <x v="1"/>
    <x v="9"/>
    <s v="Networking"/>
    <s v="NET-6218"/>
    <n v="416.16"/>
    <n v="571.9"/>
    <n v="7.0999999999999994E-2"/>
    <n v="2"/>
    <n v="1062.5902000000001"/>
    <n v="832.32"/>
    <n v="230.27020000000005"/>
    <n v="0.21670649701079497"/>
    <s v="Q3-2025"/>
    <s v="Europe → France → Paris"/>
    <s v="Low"/>
    <x v="2"/>
    <x v="11"/>
  </r>
  <r>
    <s v="ORD-2025-752192"/>
    <d v="2025-05-16T00:00:00"/>
    <d v="2025-05-18T00:00:00"/>
    <d v="2025-05-16T00:00:00"/>
    <d v="2025-05-18T00:00:00"/>
    <n v="2"/>
    <s v="5-2025"/>
    <s v="Asia"/>
    <x v="2"/>
    <s v="Tokyo"/>
    <s v="Enterprise"/>
    <x v="0"/>
    <x v="1"/>
    <s v="Printers"/>
    <s v="PRN-6131"/>
    <n v="1144.3800000000001"/>
    <n v="2755.04"/>
    <n v="0.15"/>
    <n v="17"/>
    <n v="39810.328000000001"/>
    <n v="19454.460000000003"/>
    <n v="20355.867999999999"/>
    <n v="0.51132128326096682"/>
    <s v="Q2-2025"/>
    <s v="Asia → Japan → Tokyo"/>
    <s v="High"/>
    <x v="2"/>
    <x v="5"/>
  </r>
  <r>
    <s v="ORD-2023-294716"/>
    <d v="2023-04-10T00:00:00"/>
    <d v="2023-04-25T00:00:00"/>
    <d v="2023-04-10T00:00:00"/>
    <d v="2023-04-25T00:00:00"/>
    <n v="15"/>
    <s v="4-2023"/>
    <s v="Europe"/>
    <x v="7"/>
    <s v="London"/>
    <s v="Small Business"/>
    <x v="0"/>
    <x v="8"/>
    <s v="Printers"/>
    <s v="PRN-5067"/>
    <n v="405.66"/>
    <n v="962.51"/>
    <n v="0.19"/>
    <n v="7"/>
    <n v="5457.4317000000001"/>
    <n v="2839.6200000000003"/>
    <n v="2617.8116999999997"/>
    <n v="0.47967832561239376"/>
    <s v="Q2-2023"/>
    <s v="Europe → United Kingdom → London"/>
    <s v="Low"/>
    <x v="1"/>
    <x v="7"/>
  </r>
  <r>
    <s v="ORD-2025-823055"/>
    <d v="2025-09-08T00:00:00"/>
    <d v="2025-10-05T00:00:00"/>
    <d v="2025-09-08T00:00:00"/>
    <d v="2025-10-05T00:00:00"/>
    <n v="27"/>
    <s v="9-2025"/>
    <s v="Americas"/>
    <x v="5"/>
    <s v="Rio de Janeiro"/>
    <s v="Education"/>
    <x v="1"/>
    <x v="0"/>
    <s v="Monitors"/>
    <s v="MON-9274"/>
    <n v="660.78"/>
    <n v="1630.39"/>
    <n v="0.218"/>
    <n v="13"/>
    <n v="16574.544740000001"/>
    <n v="8590.14"/>
    <n v="7984.4047400000018"/>
    <n v="0.48172694123724097"/>
    <s v="Q3-2025"/>
    <s v="Americas → Brazil → Rio de Janeiro"/>
    <s v="Medium"/>
    <x v="2"/>
    <x v="8"/>
  </r>
  <r>
    <s v="ORD-2023-271918"/>
    <d v="2023-09-25T00:00:00"/>
    <d v="2023-10-02T00:00:00"/>
    <d v="2023-09-25T00:00:00"/>
    <d v="2023-10-02T00:00:00"/>
    <n v="7"/>
    <s v="9-2023"/>
    <s v="Americas"/>
    <x v="9"/>
    <s v="New York"/>
    <s v="Education"/>
    <x v="2"/>
    <x v="2"/>
    <s v="Accessories"/>
    <s v="ACC-3551"/>
    <n v="145.58000000000001"/>
    <n v="228.15"/>
    <n v="0.20399999999999999"/>
    <n v="5"/>
    <n v="908.03700000000003"/>
    <n v="727.90000000000009"/>
    <n v="180.13699999999994"/>
    <n v="0.19838068272548359"/>
    <s v="Q3-2023"/>
    <s v="Americas → USA → New York"/>
    <s v="Low"/>
    <x v="1"/>
    <x v="8"/>
  </r>
  <r>
    <s v="ORD-2025-262434"/>
    <d v="2025-06-19T00:00:00"/>
    <d v="2025-06-21T00:00:00"/>
    <d v="2025-06-19T00:00:00"/>
    <d v="2025-06-21T00:00:00"/>
    <n v="2"/>
    <s v="6-2025"/>
    <s v="Africa"/>
    <x v="10"/>
    <s v="Johannesburg"/>
    <s v="Small Business"/>
    <x v="5"/>
    <x v="11"/>
    <s v="Phones"/>
    <s v="PHN-7379"/>
    <n v="1466.27"/>
    <n v="3589.89"/>
    <n v="9.7000000000000003E-2"/>
    <n v="9"/>
    <n v="29175.036029999999"/>
    <n v="13196.43"/>
    <n v="15978.606029999999"/>
    <n v="0.54768076425234147"/>
    <s v="Q2-2025"/>
    <s v="Africa → South Africa → Johannesburg"/>
    <s v="High"/>
    <x v="2"/>
    <x v="9"/>
  </r>
  <r>
    <s v="ORD-2024-266562"/>
    <d v="2024-11-27T00:00:00"/>
    <d v="2024-12-24T00:00:00"/>
    <d v="2024-11-27T00:00:00"/>
    <d v="2024-12-24T00:00:00"/>
    <n v="27"/>
    <s v="11-2024"/>
    <s v="Africa"/>
    <x v="0"/>
    <s v="Mombasa"/>
    <s v="Corporate"/>
    <x v="3"/>
    <x v="5"/>
    <s v="Printers"/>
    <s v="PRN-5569"/>
    <n v="143.33000000000001"/>
    <n v="233.51"/>
    <n v="0.16300000000000001"/>
    <n v="14"/>
    <n v="2736.27018"/>
    <n v="2006.6200000000001"/>
    <n v="729.65017999999986"/>
    <n v="0.26665867476580835"/>
    <s v="Q4-2024"/>
    <s v="Africa → Kenya → Mombasa"/>
    <s v="Low"/>
    <x v="0"/>
    <x v="10"/>
  </r>
  <r>
    <s v="ORD-2024-838925"/>
    <d v="2024-01-28T00:00:00"/>
    <d v="2024-01-27T00:00:00"/>
    <d v="2024-01-27T00:00:00"/>
    <d v="2024-01-28T00:00:00"/>
    <n v="1"/>
    <s v="1-2024"/>
    <s v="Africa"/>
    <x v="10"/>
    <s v="Cape Town"/>
    <s v="Enterprise"/>
    <x v="4"/>
    <x v="7"/>
    <s v="Components"/>
    <s v="CMP-1470"/>
    <n v="109.75"/>
    <n v="124.25"/>
    <n v="0.12"/>
    <n v="19"/>
    <n v="2077.46"/>
    <n v="2085.25"/>
    <n v="-7.7899999999999636"/>
    <n v="-3.7497713554051405E-3"/>
    <s v="Q1-2024"/>
    <s v="Africa → South Africa → Cape Town"/>
    <s v="Low"/>
    <x v="0"/>
    <x v="4"/>
  </r>
  <r>
    <s v="ORD-2023-664790"/>
    <d v="2023-04-16T00:00:00"/>
    <d v="2023-04-23T00:00:00"/>
    <d v="2023-04-16T00:00:00"/>
    <d v="2023-04-23T00:00:00"/>
    <n v="7"/>
    <s v="4-2023"/>
    <s v="Americas"/>
    <x v="9"/>
    <s v="Austin"/>
    <s v="Corporate"/>
    <x v="3"/>
    <x v="7"/>
    <s v="Printers"/>
    <s v="PRN-9249"/>
    <n v="1099.1500000000001"/>
    <n v="1431.37"/>
    <n v="0.104"/>
    <n v="8"/>
    <n v="10260.060159999999"/>
    <n v="8793.2000000000007"/>
    <n v="1466.8601599999984"/>
    <n v="0.14296798821109433"/>
    <s v="Q2-2023"/>
    <s v="Americas → USA → Austin"/>
    <s v="Medium"/>
    <x v="1"/>
    <x v="7"/>
  </r>
  <r>
    <s v="ORD-2024-331408"/>
    <d v="2024-02-01T00:00:00"/>
    <d v="2024-02-01T00:00:00"/>
    <d v="2024-02-01T00:00:00"/>
    <d v="2024-02-01T00:00:00"/>
    <n v="0"/>
    <s v="2-2024"/>
    <s v="Americas"/>
    <x v="9"/>
    <s v="Austin"/>
    <s v="Consumer"/>
    <x v="3"/>
    <x v="11"/>
    <s v="Printers"/>
    <s v="PRN-4906"/>
    <n v="714.43"/>
    <n v="1595.52"/>
    <n v="0.19400000000000001"/>
    <n v="14"/>
    <n v="18003.847679999999"/>
    <n v="10002.019999999999"/>
    <n v="8001.8276800000003"/>
    <n v="0.44445097638151093"/>
    <s v="Q1-2024"/>
    <s v="Americas → USA → Austin"/>
    <s v="Medium"/>
    <x v="0"/>
    <x v="2"/>
  </r>
  <r>
    <s v="ORD-2024-741404"/>
    <d v="2024-10-19T00:00:00"/>
    <d v="2024-11-06T00:00:00"/>
    <d v="2024-10-19T00:00:00"/>
    <d v="2024-11-06T00:00:00"/>
    <n v="18"/>
    <s v="10-2024"/>
    <s v="Americas"/>
    <x v="9"/>
    <s v="Chicago"/>
    <s v="Education"/>
    <x v="5"/>
    <x v="0"/>
    <s v="Monitors"/>
    <s v="MON-8129"/>
    <n v="942.02"/>
    <n v="1028.46"/>
    <n v="0"/>
    <n v="9"/>
    <n v="9256.14"/>
    <n v="8478.18"/>
    <n v="777.95999999999913"/>
    <n v="8.4047994088248354E-2"/>
    <s v="Q4-2024"/>
    <s v="Americas → USA → Chicago"/>
    <s v="Low"/>
    <x v="0"/>
    <x v="1"/>
  </r>
  <r>
    <s v="ORD-2024-341535"/>
    <d v="2024-06-25T00:00:00"/>
    <d v="2024-06-30T00:00:00"/>
    <d v="2024-06-25T00:00:00"/>
    <d v="2024-06-30T00:00:00"/>
    <n v="5"/>
    <s v="6-2024"/>
    <s v="Africa"/>
    <x v="0"/>
    <s v="Kisumu"/>
    <s v="Education"/>
    <x v="4"/>
    <x v="13"/>
    <s v="Networking"/>
    <s v="NET-5987"/>
    <n v="1323.55"/>
    <n v="3230.35"/>
    <n v="2.1999999999999999E-2"/>
    <n v="26"/>
    <n v="82141.339799999987"/>
    <n v="34412.299999999996"/>
    <n v="47729.039799999991"/>
    <n v="0.58105991351263542"/>
    <s v="Q2-2024"/>
    <s v="Africa → Kenya → Kisumu"/>
    <s v="High"/>
    <x v="0"/>
    <x v="9"/>
  </r>
  <r>
    <s v="ORD-2023-451931"/>
    <d v="2023-07-30T00:00:00"/>
    <d v="2023-08-19T00:00:00"/>
    <d v="2023-07-30T00:00:00"/>
    <d v="2023-08-19T00:00:00"/>
    <n v="20"/>
    <s v="7-2023"/>
    <s v="Europe"/>
    <x v="6"/>
    <s v="Paris"/>
    <s v="Enterprise"/>
    <x v="2"/>
    <x v="3"/>
    <s v="Networking"/>
    <s v="NET-5423"/>
    <n v="1418.51"/>
    <n v="2789.61"/>
    <n v="0.17100000000000001"/>
    <n v="8"/>
    <n v="18500.693520000001"/>
    <n v="11348.08"/>
    <n v="7152.6135200000008"/>
    <n v="0.38661326464695689"/>
    <s v="Q3-2023"/>
    <s v="Europe → France → Paris"/>
    <s v="High"/>
    <x v="1"/>
    <x v="6"/>
  </r>
  <r>
    <s v="ORD-2025-532859"/>
    <d v="2025-03-11T00:00:00"/>
    <d v="2025-03-27T00:00:00"/>
    <d v="2025-03-11T00:00:00"/>
    <d v="2025-03-27T00:00:00"/>
    <n v="16"/>
    <s v="3-2025"/>
    <s v="Asia"/>
    <x v="2"/>
    <s v="Tokyo"/>
    <s v="Enterprise"/>
    <x v="3"/>
    <x v="5"/>
    <s v="Printers"/>
    <s v="PRN-5264"/>
    <n v="1317.58"/>
    <n v="1897.74"/>
    <n v="8.1000000000000003E-2"/>
    <n v="6"/>
    <n v="10464.138360000001"/>
    <n v="7905.48"/>
    <n v="2558.6583600000013"/>
    <n v="0.24451687009230266"/>
    <s v="Q1-2025"/>
    <s v="Asia → Japan → Tokyo"/>
    <s v="Medium"/>
    <x v="2"/>
    <x v="0"/>
  </r>
  <r>
    <s v="ORD-2023-502205"/>
    <d v="2023-10-09T00:00:00"/>
    <d v="2023-10-11T00:00:00"/>
    <d v="2023-10-09T00:00:00"/>
    <d v="2023-10-11T00:00:00"/>
    <n v="2"/>
    <s v="10-2023"/>
    <s v="Africa"/>
    <x v="1"/>
    <s v="Port Harcourt"/>
    <s v="Education"/>
    <x v="2"/>
    <x v="12"/>
    <s v="Networking"/>
    <s v="NET-8856"/>
    <n v="391.16"/>
    <n v="902.47"/>
    <n v="4.0000000000000001E-3"/>
    <n v="12"/>
    <n v="10786.32144"/>
    <n v="4693.92"/>
    <n v="6092.4014399999996"/>
    <n v="0.56482661618139207"/>
    <s v="Q4-2023"/>
    <s v="Africa → Nigeria → Port Harcourt"/>
    <s v="Low"/>
    <x v="1"/>
    <x v="1"/>
  </r>
  <r>
    <s v="ORD-2024-930679"/>
    <d v="2024-12-17T00:00:00"/>
    <d v="2025-01-16T00:00:00"/>
    <d v="2024-12-17T00:00:00"/>
    <d v="2025-01-16T00:00:00"/>
    <n v="30"/>
    <s v="12-2024"/>
    <s v="Europe"/>
    <x v="7"/>
    <s v="Manchester"/>
    <s v="Corporate"/>
    <x v="0"/>
    <x v="8"/>
    <s v="Monitors"/>
    <s v="MON-4215"/>
    <n v="722.87"/>
    <n v="33.659999999999997"/>
    <n v="0.10199999999999999"/>
    <n v="28"/>
    <n v="846.34703999999988"/>
    <n v="20240.36"/>
    <n v="-19394.01296"/>
    <n v="-22.914965189693348"/>
    <s v="Q4-2024"/>
    <s v="Europe → United Kingdom → Manchester"/>
    <s v="Low"/>
    <x v="0"/>
    <x v="3"/>
  </r>
  <r>
    <s v="ORD-2025-150713"/>
    <d v="2025-07-11T00:00:00"/>
    <d v="2025-07-16T00:00:00"/>
    <d v="2025-07-11T00:00:00"/>
    <d v="2025-07-16T00:00:00"/>
    <n v="5"/>
    <s v="7-2025"/>
    <s v="Europe"/>
    <x v="7"/>
    <s v="London"/>
    <s v="Enterprise"/>
    <x v="1"/>
    <x v="12"/>
    <s v="Printers"/>
    <s v="PRN-5753"/>
    <n v="930.03"/>
    <n v="1086.68"/>
    <n v="0.109"/>
    <n v="26"/>
    <n v="25174.028880000002"/>
    <n v="24180.78"/>
    <n v="993.24888000000283"/>
    <n v="3.9455300728168656E-2"/>
    <s v="Q3-2025"/>
    <s v="Europe → United Kingdom → London"/>
    <s v="Low"/>
    <x v="2"/>
    <x v="6"/>
  </r>
  <r>
    <s v="ORD-2024-756884"/>
    <d v="2024-10-13T00:00:00"/>
    <d v="2024-10-24T00:00:00"/>
    <d v="2024-10-13T00:00:00"/>
    <d v="2024-10-24T00:00:00"/>
    <n v="11"/>
    <s v="10-2024"/>
    <s v="Europe"/>
    <x v="6"/>
    <s v="Paris"/>
    <s v="Education"/>
    <x v="3"/>
    <x v="9"/>
    <s v="Components"/>
    <s v="CMP-5006"/>
    <n v="816.7"/>
    <n v="1010.75"/>
    <n v="4.7E-2"/>
    <n v="43"/>
    <n v="41419.524249999995"/>
    <n v="35118.1"/>
    <n v="6301.4242499999964"/>
    <n v="0.15213656757537472"/>
    <s v="Q4-2024"/>
    <s v="Europe → France → Paris"/>
    <s v="Low"/>
    <x v="0"/>
    <x v="1"/>
  </r>
  <r>
    <s v="ORD-2024-166150"/>
    <d v="2024-06-02T00:00:00"/>
    <d v="2024-06-08T00:00:00"/>
    <d v="2024-06-02T00:00:00"/>
    <d v="2024-06-08T00:00:00"/>
    <n v="6"/>
    <s v="6-2024"/>
    <s v="Africa"/>
    <x v="0"/>
    <s v="Kisumu"/>
    <s v="Consumer"/>
    <x v="2"/>
    <x v="14"/>
    <s v="Accessories"/>
    <s v="ACC-9820"/>
    <n v="292.94"/>
    <n v="356.55"/>
    <n v="0.22900000000000001"/>
    <n v="2"/>
    <n v="549.80010000000004"/>
    <n v="585.88"/>
    <n v="-36.079899999999952"/>
    <n v="-6.5623669402751925E-2"/>
    <s v="Q2-2024"/>
    <s v="Africa → Kenya → Kisumu"/>
    <s v="Low"/>
    <x v="0"/>
    <x v="9"/>
  </r>
  <r>
    <s v="ORD-2025-639542"/>
    <d v="2025-06-09T00:00:00"/>
    <d v="2025-06-18T00:00:00"/>
    <d v="2025-06-09T00:00:00"/>
    <d v="2025-06-18T00:00:00"/>
    <n v="9"/>
    <s v="6-2025"/>
    <s v="Europe"/>
    <x v="6"/>
    <s v="Marseille"/>
    <s v="Small Business"/>
    <x v="2"/>
    <x v="11"/>
    <s v="Accessories"/>
    <s v="ACC-1770"/>
    <n v="1225.5"/>
    <n v="5.27"/>
    <n v="7.4999999999999997E-2"/>
    <n v="56"/>
    <n v="272.98599999999999"/>
    <n v="68628"/>
    <n v="-68355.013999999996"/>
    <n v="-250.39750756449047"/>
    <s v="Q2-2025"/>
    <s v="Europe → France → Marseille"/>
    <s v="Low"/>
    <x v="2"/>
    <x v="9"/>
  </r>
  <r>
    <s v="ORD-2024-817997"/>
    <d v="2024-07-28T00:00:00"/>
    <d v="2024-08-23T00:00:00"/>
    <d v="2024-07-28T00:00:00"/>
    <d v="2024-08-23T00:00:00"/>
    <n v="26"/>
    <s v="7-2024"/>
    <s v="Asia"/>
    <x v="4"/>
    <s v="Hyderabad"/>
    <s v="Corporate"/>
    <x v="0"/>
    <x v="1"/>
    <s v="Networking"/>
    <s v="NET-4675"/>
    <n v="1339.24"/>
    <n v="1558.89"/>
    <n v="0.192"/>
    <n v="24"/>
    <n v="30229.994880000002"/>
    <n v="32141.760000000002"/>
    <n v="-1911.76512"/>
    <n v="-6.3240669659021781E-2"/>
    <s v="Q3-2024"/>
    <s v="Asia → India → Hyderabad"/>
    <s v="Medium"/>
    <x v="0"/>
    <x v="6"/>
  </r>
  <r>
    <s v="ORD-2025-667201"/>
    <d v="2025-09-15T00:00:00"/>
    <d v="2025-09-18T00:00:00"/>
    <d v="2025-09-15T00:00:00"/>
    <d v="2025-09-18T00:00:00"/>
    <n v="3"/>
    <s v="9-2025"/>
    <s v="Americas"/>
    <x v="5"/>
    <s v="Rio de Janeiro"/>
    <s v="Non-Profit"/>
    <x v="4"/>
    <x v="4"/>
    <s v="Accessories"/>
    <s v="ACC-6777"/>
    <n v="5.5"/>
    <n v="5.92"/>
    <n v="0.21199999999999999"/>
    <n v="4"/>
    <n v="18.659839999999999"/>
    <n v="22"/>
    <n v="-3.3401600000000009"/>
    <n v="-0.17900260666758133"/>
    <s v="Q3-2025"/>
    <s v="Americas → Brazil → Rio de Janeiro"/>
    <s v="Low"/>
    <x v="2"/>
    <x v="8"/>
  </r>
  <r>
    <s v="ORD-2023-885216"/>
    <d v="2023-08-03T00:00:00"/>
    <d v="2023-08-02T00:00:00"/>
    <d v="2023-08-02T00:00:00"/>
    <d v="2023-08-03T00:00:00"/>
    <n v="1"/>
    <s v="8-2023"/>
    <s v="Asia"/>
    <x v="8"/>
    <s v="Shanghai"/>
    <s v="Non-Profit"/>
    <x v="4"/>
    <x v="1"/>
    <s v="Networking"/>
    <s v="NET-4735"/>
    <n v="1021.97"/>
    <n v="2296.25"/>
    <n v="0.161"/>
    <n v="26"/>
    <n v="50090.397499999999"/>
    <n v="26571.22"/>
    <n v="23519.177499999998"/>
    <n v="0.46953465482081669"/>
    <s v="Q3-2023"/>
    <s v="Asia → China → Shanghai"/>
    <s v="High"/>
    <x v="1"/>
    <x v="11"/>
  </r>
  <r>
    <s v="ORD-2023-561823"/>
    <d v="2023-11-19T00:00:00"/>
    <d v="2023-12-12T00:00:00"/>
    <d v="2023-11-19T00:00:00"/>
    <d v="2023-12-12T00:00:00"/>
    <n v="23"/>
    <s v="11-2023"/>
    <s v="Asia"/>
    <x v="4"/>
    <s v="Delhi"/>
    <s v="Small Business"/>
    <x v="4"/>
    <x v="0"/>
    <s v="Networking"/>
    <s v="NET-2460"/>
    <n v="1349.04"/>
    <n v="2636.6"/>
    <n v="0.114"/>
    <n v="14"/>
    <n v="32704.386400000003"/>
    <n v="18886.559999999998"/>
    <n v="13817.826400000005"/>
    <n v="0.42250682312143928"/>
    <s v="Q4-2023"/>
    <s v="Asia → India → Delhi"/>
    <s v="High"/>
    <x v="1"/>
    <x v="10"/>
  </r>
  <r>
    <s v="ORD-2023-249805"/>
    <d v="2023-12-22T00:00:00"/>
    <d v="2024-01-16T00:00:00"/>
    <d v="2023-12-22T00:00:00"/>
    <d v="2024-01-16T00:00:00"/>
    <n v="25"/>
    <s v="12-2023"/>
    <s v="Asia"/>
    <x v="4"/>
    <s v="Hyderabad"/>
    <s v="Small Business"/>
    <x v="0"/>
    <x v="14"/>
    <s v="Components"/>
    <s v="CMP-1555"/>
    <n v="1346.81"/>
    <n v="978.09"/>
    <n v="0.159"/>
    <n v="17"/>
    <n v="13983.752729999998"/>
    <n v="22895.77"/>
    <n v="-8912.0172700000021"/>
    <n v="-0.6373122753293996"/>
    <s v="Q4-2023"/>
    <s v="Asia → India → Hyderabad"/>
    <s v="Low"/>
    <x v="1"/>
    <x v="3"/>
  </r>
  <r>
    <s v="ORD-2023-548934"/>
    <d v="2023-08-03T00:00:00"/>
    <d v="2023-08-30T00:00:00"/>
    <d v="2023-08-03T00:00:00"/>
    <d v="2023-08-30T00:00:00"/>
    <n v="27"/>
    <s v="8-2023"/>
    <s v="Asia"/>
    <x v="8"/>
    <s v="Shanghai"/>
    <s v="Consumer"/>
    <x v="3"/>
    <x v="10"/>
    <s v="Monitors"/>
    <s v="MON-3773"/>
    <n v="226.04"/>
    <n v="545.72"/>
    <n v="0.151"/>
    <n v="11"/>
    <n v="5096.4790800000001"/>
    <n v="2486.44"/>
    <n v="2610.03908"/>
    <n v="0.51212592831834014"/>
    <s v="Q3-2023"/>
    <s v="Asia → China → Shanghai"/>
    <s v="Low"/>
    <x v="1"/>
    <x v="11"/>
  </r>
  <r>
    <s v="ORD-2023-921939"/>
    <d v="2023-06-23T00:00:00"/>
    <d v="2023-07-18T00:00:00"/>
    <d v="2023-06-23T00:00:00"/>
    <d v="2023-07-18T00:00:00"/>
    <n v="25"/>
    <s v="6-2023"/>
    <s v="Americas"/>
    <x v="3"/>
    <s v="Vancouver"/>
    <s v="Enterprise"/>
    <x v="1"/>
    <x v="10"/>
    <s v="Phones"/>
    <s v="PHN-4677"/>
    <n v="807.02"/>
    <n v="1435.54"/>
    <n v="0"/>
    <n v="23"/>
    <n v="33017.42"/>
    <n v="18561.46"/>
    <n v="14455.96"/>
    <n v="0.43782827368098415"/>
    <s v="Q2-2023"/>
    <s v="Americas → Canada → Vancouver"/>
    <s v="Medium"/>
    <x v="1"/>
    <x v="9"/>
  </r>
  <r>
    <s v="ORD-2023-961864"/>
    <d v="2023-12-07T00:00:00"/>
    <d v="2024-01-02T00:00:00"/>
    <d v="2023-12-07T00:00:00"/>
    <d v="2024-01-02T00:00:00"/>
    <n v="26"/>
    <s v="12-2023"/>
    <s v="Europe"/>
    <x v="11"/>
    <s v="Frankfurt"/>
    <s v="Enterprise"/>
    <x v="3"/>
    <x v="6"/>
    <s v="Components"/>
    <s v="CMP-1940"/>
    <n v="1071.99"/>
    <n v="2397.3000000000002"/>
    <n v="6.2E-2"/>
    <n v="18"/>
    <n v="40476.013200000001"/>
    <n v="19295.82"/>
    <n v="21180.193200000002"/>
    <n v="0.52327765324476183"/>
    <s v="Q4-2023"/>
    <s v="Europe → Germany → Frankfurt"/>
    <s v="High"/>
    <x v="1"/>
    <x v="3"/>
  </r>
  <r>
    <s v="ORD-2023-455933"/>
    <d v="2023-11-19T00:00:00"/>
    <d v="2023-12-19T00:00:00"/>
    <d v="2023-11-19T00:00:00"/>
    <d v="2023-12-19T00:00:00"/>
    <n v="30"/>
    <s v="11-2023"/>
    <s v="Asia"/>
    <x v="2"/>
    <s v="Nagoya"/>
    <s v="Consumer"/>
    <x v="0"/>
    <x v="15"/>
    <s v="Phones"/>
    <s v="PHN-9184"/>
    <n v="807.11"/>
    <n v="1853.86"/>
    <n v="0.13900000000000001"/>
    <n v="8"/>
    <n v="12769.38768"/>
    <n v="6456.88"/>
    <n v="6312.5076799999997"/>
    <n v="0.49434693645388639"/>
    <s v="Q4-2023"/>
    <s v="Asia → Japan → Nagoya"/>
    <s v="Medium"/>
    <x v="1"/>
    <x v="10"/>
  </r>
  <r>
    <s v="ORD-2025-728935"/>
    <d v="2025-02-28T00:00:00"/>
    <d v="2025-03-10T00:00:00"/>
    <d v="2025-02-28T00:00:00"/>
    <d v="2025-03-10T00:00:00"/>
    <n v="10"/>
    <s v="2-2025"/>
    <s v="Asia"/>
    <x v="2"/>
    <s v="Osaka"/>
    <s v="Education"/>
    <x v="3"/>
    <x v="10"/>
    <s v="Laptops"/>
    <s v="LAP-3017"/>
    <n v="51.86"/>
    <n v="45.98"/>
    <n v="0.17299999999999999"/>
    <n v="7"/>
    <n v="266.17821999999995"/>
    <n v="363.02"/>
    <n v="-96.841780000000028"/>
    <n v="-0.3638230806412337"/>
    <s v="Q1-2025"/>
    <s v="Asia → Japan → Osaka"/>
    <s v="Low"/>
    <x v="2"/>
    <x v="2"/>
  </r>
</pivotCacheRecords>
</file>

<file path=xl/pivotCache/pivotCacheRecords5.xml><?xml version="1.0" encoding="utf-8"?>
<pivotCacheRecords xmlns="http://schemas.openxmlformats.org/spreadsheetml/2006/main" xmlns:r="http://schemas.openxmlformats.org/officeDocument/2006/relationships" count="632">
  <r>
    <s v="ORD-2024-275203"/>
    <d v="2024-03-11T00:00:00"/>
    <d v="2024-04-06T00:00:00"/>
    <d v="2024-03-11T00:00:00"/>
    <d v="2024-04-06T00:00:00"/>
    <n v="26"/>
    <x v="0"/>
    <s v="Africa"/>
    <x v="0"/>
    <s v="Kisumu"/>
    <s v="Corporate"/>
    <s v="Retail"/>
    <s v="C. Otieno"/>
    <x v="0"/>
    <x v="0"/>
    <n v="279.24"/>
    <n v="608.9"/>
    <n v="0.112"/>
    <n v="9"/>
    <n v="4866.3287999999993"/>
    <n v="2513.16"/>
    <n v="2353.1687999999995"/>
    <n v="0.48356140670149533"/>
    <s v="Q1-2024"/>
    <s v="Africa → Kenya → Kisumu"/>
    <s v="Low"/>
  </r>
  <r>
    <s v="ORD-2024-358795"/>
    <d v="2024-10-23T00:00:00"/>
    <d v="2024-10-22T00:00:00"/>
    <d v="2024-10-22T00:00:00"/>
    <d v="2024-10-23T00:00:00"/>
    <n v="1"/>
    <x v="1"/>
    <s v="Africa"/>
    <x v="1"/>
    <s v="Port Harcourt"/>
    <s v="Education"/>
    <s v="Online"/>
    <s v="J. Njeri"/>
    <x v="1"/>
    <x v="1"/>
    <n v="1084.3900000000001"/>
    <n v="759.33"/>
    <n v="0.23699999999999999"/>
    <n v="31"/>
    <n v="17960.432489999999"/>
    <n v="33616.090000000004"/>
    <n v="-15655.657510000005"/>
    <n v="-0.87167486187856302"/>
    <s v="Q4-2024"/>
    <s v="Africa → Nigeria → Port Harcourt"/>
    <s v="Low"/>
  </r>
  <r>
    <s v="ORD-2023-373538"/>
    <d v="2023-02-28T00:00:00"/>
    <d v="2023-03-25T00:00:00"/>
    <d v="2023-02-28T00:00:00"/>
    <d v="2023-03-25T00:00:00"/>
    <n v="25"/>
    <x v="2"/>
    <s v="Africa"/>
    <x v="0"/>
    <s v="Nairobi"/>
    <s v="Corporate"/>
    <s v="Retail"/>
    <s v="I. Johnson"/>
    <x v="2"/>
    <x v="2"/>
    <n v="1460.76"/>
    <n v="30.66"/>
    <n v="0.13100000000000001"/>
    <n v="12"/>
    <n v="319.72248000000002"/>
    <n v="17529.12"/>
    <n v="-17209.397519999999"/>
    <n v="-53.826047890032626"/>
    <s v="Q1-2023"/>
    <s v="Africa → Kenya → Nairobi"/>
    <s v="Low"/>
  </r>
  <r>
    <s v="ORD-2025-168148"/>
    <d v="2025-03-29T00:00:00"/>
    <d v="2025-04-02T00:00:00"/>
    <d v="2025-03-29T00:00:00"/>
    <d v="2025-04-02T00:00:00"/>
    <n v="4"/>
    <x v="3"/>
    <s v="Africa"/>
    <x v="1"/>
    <s v="Lagos"/>
    <s v="Non-Profit"/>
    <s v="Marketplace"/>
    <s v="G. Dubois"/>
    <x v="3"/>
    <x v="3"/>
    <n v="259.93"/>
    <n v="255.94"/>
    <n v="7.1999999999999995E-2"/>
    <n v="22"/>
    <n v="5225.2710400000005"/>
    <n v="5718.46"/>
    <n v="-493.1889599999995"/>
    <n v="-9.4385335463861311E-2"/>
    <s v="Q1-2025"/>
    <s v="Africa → Nigeria → Lagos"/>
    <s v="Low"/>
  </r>
  <r>
    <s v="ORD-2023-824839"/>
    <d v="2023-12-06T00:00:00"/>
    <d v="2023-12-31T00:00:00"/>
    <d v="2023-12-06T00:00:00"/>
    <d v="2023-12-31T00:00:00"/>
    <n v="25"/>
    <x v="4"/>
    <s v="Asia"/>
    <x v="2"/>
    <s v="Osaka"/>
    <s v="Consumer"/>
    <s v="Retail"/>
    <s v="L. Okafor"/>
    <x v="1"/>
    <x v="4"/>
    <n v="663.03"/>
    <n v="813.51"/>
    <n v="0.10199999999999999"/>
    <n v="15"/>
    <n v="10957.9797"/>
    <n v="9945.4499999999989"/>
    <n v="1012.529700000001"/>
    <n v="9.2401129379715952E-2"/>
    <s v="Q4-2023"/>
    <s v="Asia → Japan → Osaka"/>
    <s v="Low"/>
  </r>
  <r>
    <s v="ORD-2023-723587"/>
    <d v="2023-01-02T00:00:00"/>
    <d v="2023-01-05T00:00:00"/>
    <d v="2023-01-02T00:00:00"/>
    <d v="2023-01-05T00:00:00"/>
    <n v="3"/>
    <x v="5"/>
    <s v="Americas"/>
    <x v="3"/>
    <s v="Toronto"/>
    <s v="Corporate"/>
    <s v="Distributor"/>
    <s v="B. Chen"/>
    <x v="4"/>
    <x v="5"/>
    <n v="315.87"/>
    <n v="591.67999999999995"/>
    <n v="0"/>
    <n v="7"/>
    <n v="4141.7599999999993"/>
    <n v="2211.09"/>
    <n v="1930.6699999999992"/>
    <n v="0.46614724175229844"/>
    <s v="Q1-2023"/>
    <s v="Americas → Canada → Toronto"/>
    <s v="Low"/>
  </r>
  <r>
    <s v="ORD-2024-336584"/>
    <d v="2024-12-27T00:00:00"/>
    <d v="2025-01-14T00:00:00"/>
    <d v="2024-12-27T00:00:00"/>
    <d v="2025-01-14T00:00:00"/>
    <n v="18"/>
    <x v="6"/>
    <s v="Asia"/>
    <x v="4"/>
    <s v="Bengaluru"/>
    <s v="Small Business"/>
    <s v="Marketplace"/>
    <s v="E. Garcia"/>
    <x v="5"/>
    <x v="6"/>
    <n v="586.07000000000005"/>
    <n v="845.97"/>
    <n v="0.14699999999999999"/>
    <n v="4"/>
    <n v="2886.4496399999998"/>
    <n v="2344.2800000000002"/>
    <n v="542.16963999999962"/>
    <n v="0.18783270370862928"/>
    <s v="Q4-2024"/>
    <s v="Asia → India → Bengaluru"/>
    <s v="Low"/>
  </r>
  <r>
    <s v="ORD-2023-112666"/>
    <d v="2023-01-15T00:00:00"/>
    <d v="2023-01-13T00:00:00"/>
    <d v="2023-01-13T00:00:00"/>
    <d v="2023-01-15T00:00:00"/>
    <n v="2"/>
    <x v="5"/>
    <s v="Africa"/>
    <x v="1"/>
    <s v="Abuja"/>
    <s v="Education"/>
    <s v="Online"/>
    <s v="O. Wang"/>
    <x v="1"/>
    <x v="7"/>
    <n v="28.38"/>
    <n v="47.22"/>
    <n v="0.19400000000000001"/>
    <n v="18"/>
    <n v="685.06776000000002"/>
    <n v="510.84"/>
    <n v="174.22776000000005"/>
    <n v="0.25432193743871417"/>
    <s v="Q1-2023"/>
    <s v="Africa → Nigeria → Abuja"/>
    <s v="Low"/>
  </r>
  <r>
    <s v="ORD-2024-589570"/>
    <d v="2024-05-04T00:00:00"/>
    <d v="2024-05-29T00:00:00"/>
    <d v="2024-05-04T00:00:00"/>
    <d v="2024-05-29T00:00:00"/>
    <n v="25"/>
    <x v="7"/>
    <s v="Africa"/>
    <x v="1"/>
    <s v="Abuja"/>
    <s v="Non-Profit"/>
    <s v="Marketplace"/>
    <s v="O. Wang"/>
    <x v="5"/>
    <x v="8"/>
    <n v="1295.3399999999999"/>
    <n v="2530.81"/>
    <n v="3.1E-2"/>
    <n v="6"/>
    <n v="14714.12934"/>
    <n v="7772.0399999999991"/>
    <n v="6942.0893400000004"/>
    <n v="0.4717974933880798"/>
    <s v="Q2-2024"/>
    <s v="Africa → Nigeria → Abuja"/>
    <s v="High"/>
  </r>
  <r>
    <s v="ORD-2023-856322"/>
    <d v="2023-01-29T00:00:00"/>
    <d v="2023-02-06T00:00:00"/>
    <d v="2023-01-29T00:00:00"/>
    <d v="2023-02-06T00:00:00"/>
    <n v="8"/>
    <x v="5"/>
    <s v="Americas"/>
    <x v="5"/>
    <s v="Brasília"/>
    <s v="Corporate"/>
    <s v="Marketplace"/>
    <s v="D. Smith"/>
    <x v="5"/>
    <x v="9"/>
    <n v="41.84"/>
    <n v="86.2"/>
    <n v="0.22600000000000001"/>
    <n v="27"/>
    <n v="1801.4076000000002"/>
    <n v="1129.68"/>
    <n v="671.72760000000017"/>
    <n v="0.37289039970742882"/>
    <s v="Q1-2023"/>
    <s v="Americas → Brazil → Brasília"/>
    <s v="Low"/>
  </r>
  <r>
    <s v="ORD-2024-901115"/>
    <d v="2024-07-25T00:00:00"/>
    <d v="2024-08-02T00:00:00"/>
    <d v="2024-07-25T00:00:00"/>
    <d v="2024-08-02T00:00:00"/>
    <n v="8"/>
    <x v="8"/>
    <s v="Americas"/>
    <x v="3"/>
    <s v="Montreal"/>
    <s v="Consumer"/>
    <s v="Direct"/>
    <s v="J. Njeri"/>
    <x v="6"/>
    <x v="10"/>
    <n v="986.81"/>
    <n v="2050.31"/>
    <n v="0.10299999999999999"/>
    <n v="43"/>
    <n v="79082.507010000001"/>
    <n v="42432.829999999994"/>
    <n v="36649.677010000007"/>
    <n v="0.46343595310358138"/>
    <s v="Q3-2024"/>
    <s v="Americas → Canada → Montreal"/>
    <s v="High"/>
  </r>
  <r>
    <s v="ORD-2025-515515"/>
    <d v="2025-01-03T00:00:00"/>
    <d v="2025-01-23T00:00:00"/>
    <d v="2025-01-03T00:00:00"/>
    <d v="2025-01-23T00:00:00"/>
    <n v="20"/>
    <x v="9"/>
    <s v="Asia"/>
    <x v="2"/>
    <s v="Osaka"/>
    <s v="Corporate"/>
    <s v="Distributor"/>
    <s v="F. Müller"/>
    <x v="3"/>
    <x v="11"/>
    <n v="908.6"/>
    <n v="691.37"/>
    <n v="0.25"/>
    <n v="20"/>
    <n v="10370.549999999999"/>
    <n v="18172"/>
    <n v="-7801.4500000000007"/>
    <n v="-0.75226964818645115"/>
    <s v="Q1-2025"/>
    <s v="Asia → Japan → Osaka"/>
    <s v="Low"/>
  </r>
  <r>
    <s v="ORD-2023-271836"/>
    <d v="2023-02-07T00:00:00"/>
    <d v="2023-02-12T00:00:00"/>
    <d v="2023-02-07T00:00:00"/>
    <d v="2023-02-12T00:00:00"/>
    <n v="5"/>
    <x v="2"/>
    <s v="Americas"/>
    <x v="5"/>
    <s v="São Paulo"/>
    <s v="Education"/>
    <s v="Online"/>
    <s v="N. Brown"/>
    <x v="0"/>
    <x v="12"/>
    <n v="948.55"/>
    <n v="2089.16"/>
    <n v="7.0000000000000001E-3"/>
    <n v="12"/>
    <n v="24894.430559999997"/>
    <n v="11382.599999999999"/>
    <n v="13511.830559999999"/>
    <n v="0.54276519912492427"/>
    <s v="Q1-2023"/>
    <s v="Americas → Brazil → São Paulo"/>
    <s v="High"/>
  </r>
  <r>
    <s v="ORD-2024-890180"/>
    <d v="2024-01-20T00:00:00"/>
    <d v="2024-02-13T00:00:00"/>
    <d v="2024-01-20T00:00:00"/>
    <d v="2024-02-13T00:00:00"/>
    <n v="24"/>
    <x v="10"/>
    <s v="Europe"/>
    <x v="6"/>
    <s v="Marseille"/>
    <s v="Corporate"/>
    <s v="Retail"/>
    <s v="H. Kim"/>
    <x v="1"/>
    <x v="13"/>
    <n v="643.53"/>
    <n v="1439.01"/>
    <n v="0"/>
    <n v="15"/>
    <n v="21585.15"/>
    <n v="9652.9499999999989"/>
    <n v="11932.200000000003"/>
    <n v="0.55279671440782208"/>
    <s v="Q1-2024"/>
    <s v="Europe → France → Marseille"/>
    <s v="Medium"/>
  </r>
  <r>
    <s v="ORD-2023-869884"/>
    <d v="2023-03-02T00:00:00"/>
    <d v="2023-03-05T00:00:00"/>
    <d v="2023-03-02T00:00:00"/>
    <d v="2023-03-05T00:00:00"/>
    <n v="3"/>
    <x v="11"/>
    <s v="Americas"/>
    <x v="5"/>
    <s v="Brasília"/>
    <s v="Enterprise"/>
    <s v="Direct"/>
    <s v="G. Dubois"/>
    <x v="5"/>
    <x v="14"/>
    <n v="1473.58"/>
    <n v="3436.52"/>
    <n v="0.108"/>
    <n v="8"/>
    <n v="24523.006720000001"/>
    <n v="11788.64"/>
    <n v="12734.366720000002"/>
    <n v="0.51928243813652564"/>
    <s v="Q1-2023"/>
    <s v="Americas → Brazil → Brasília"/>
    <s v="High"/>
  </r>
  <r>
    <s v="ORD-2023-937291"/>
    <d v="2023-04-23T00:00:00"/>
    <d v="2023-04-22T00:00:00"/>
    <d v="2023-04-22T00:00:00"/>
    <d v="2023-04-23T00:00:00"/>
    <n v="1"/>
    <x v="12"/>
    <s v="Africa"/>
    <x v="0"/>
    <s v="Nairobi"/>
    <s v="Small Business"/>
    <s v="Direct"/>
    <s v="E. Garcia"/>
    <x v="4"/>
    <x v="15"/>
    <n v="756.51"/>
    <n v="850.8"/>
    <n v="7.3999999999999996E-2"/>
    <n v="9"/>
    <n v="7090.5672000000004"/>
    <n v="6808.59"/>
    <n v="281.97720000000027"/>
    <n v="3.9767932810791252E-2"/>
    <s v="Q2-2023"/>
    <s v="Africa → Kenya → Nairobi"/>
    <s v="Low"/>
  </r>
  <r>
    <s v="ORD-2024-206081"/>
    <d v="2024-12-10T00:00:00"/>
    <d v="2025-01-08T00:00:00"/>
    <d v="2024-12-10T00:00:00"/>
    <d v="2025-01-08T00:00:00"/>
    <n v="29"/>
    <x v="6"/>
    <s v="Europe"/>
    <x v="6"/>
    <s v="Marseille"/>
    <s v="Small Business"/>
    <s v="Retail"/>
    <s v="K. Singh"/>
    <x v="1"/>
    <x v="16"/>
    <n v="891.08"/>
    <n v="1040.0999999999999"/>
    <n v="0.109"/>
    <n v="28"/>
    <n v="25948.414799999995"/>
    <n v="24950.240000000002"/>
    <n v="998.17479999999341"/>
    <n v="3.8467660074556598E-2"/>
    <s v="Q4-2024"/>
    <s v="Europe → France → Marseille"/>
    <s v="Low"/>
  </r>
  <r>
    <s v="ORD-2025-233883"/>
    <d v="2025-09-08T00:00:00"/>
    <d v="2025-09-16T00:00:00"/>
    <d v="2025-09-08T00:00:00"/>
    <d v="2025-09-16T00:00:00"/>
    <n v="8"/>
    <x v="13"/>
    <s v="Asia"/>
    <x v="2"/>
    <s v="Osaka"/>
    <s v="Corporate"/>
    <s v="Distributor"/>
    <s v="C. Otieno"/>
    <x v="3"/>
    <x v="17"/>
    <n v="1225.57"/>
    <n v="2705.57"/>
    <n v="0.183"/>
    <n v="16"/>
    <n v="35367.211040000002"/>
    <n v="19609.12"/>
    <n v="15758.091040000003"/>
    <n v="0.44555650775453404"/>
    <s v="Q3-2025"/>
    <s v="Asia → Japan → Osaka"/>
    <s v="High"/>
  </r>
  <r>
    <s v="ORD-2023-747341"/>
    <d v="2023-04-19T00:00:00"/>
    <d v="2023-04-28T00:00:00"/>
    <d v="2023-04-19T00:00:00"/>
    <d v="2023-04-28T00:00:00"/>
    <n v="9"/>
    <x v="12"/>
    <s v="Americas"/>
    <x v="5"/>
    <s v="Rio de Janeiro"/>
    <s v="Corporate"/>
    <s v="Distributor"/>
    <s v="M. Rossi"/>
    <x v="3"/>
    <x v="18"/>
    <n v="1013.54"/>
    <n v="927.93"/>
    <n v="0.17499999999999999"/>
    <n v="16"/>
    <n v="12248.675999999999"/>
    <n v="16216.64"/>
    <n v="-3967.9639999999999"/>
    <n v="-0.32395044166406234"/>
    <s v="Q2-2023"/>
    <s v="Americas → Brazil → Rio de Janeiro"/>
    <s v="Low"/>
  </r>
  <r>
    <s v="ORD-2025-745263"/>
    <d v="2025-05-21T00:00:00"/>
    <d v="2025-05-19T00:00:00"/>
    <d v="2025-05-19T00:00:00"/>
    <d v="2025-05-21T00:00:00"/>
    <n v="2"/>
    <x v="14"/>
    <s v="Europe"/>
    <x v="7"/>
    <s v="Birmingham"/>
    <s v="Enterprise"/>
    <s v="Online"/>
    <s v="M. Rossi"/>
    <x v="4"/>
    <x v="19"/>
    <n v="1015.16"/>
    <n v="2148.14"/>
    <n v="3.7999999999999999E-2"/>
    <n v="19"/>
    <n v="39263.702919999996"/>
    <n v="19288.04"/>
    <n v="19975.662919999995"/>
    <n v="0.50875647059322227"/>
    <s v="Q2-2025"/>
    <s v="Europe → United Kingdom → Birmingham"/>
    <s v="High"/>
  </r>
  <r>
    <s v="ORD-2024-798002"/>
    <d v="2024-07-25T00:00:00"/>
    <d v="2024-07-24T00:00:00"/>
    <d v="2024-07-24T00:00:00"/>
    <d v="2024-07-25T00:00:00"/>
    <n v="1"/>
    <x v="8"/>
    <s v="Africa"/>
    <x v="0"/>
    <s v="Mombasa"/>
    <s v="Non-Profit"/>
    <s v="Direct"/>
    <s v="J. Njeri"/>
    <x v="4"/>
    <x v="20"/>
    <n v="1494.4"/>
    <n v="3661.07"/>
    <n v="7.1999999999999995E-2"/>
    <n v="7"/>
    <n v="23782.310720000001"/>
    <n v="10460.800000000001"/>
    <n v="13321.51072"/>
    <n v="0.56014366630897339"/>
    <s v="Q3-2024"/>
    <s v="Africa → Kenya → Mombasa"/>
    <s v="High"/>
  </r>
  <r>
    <s v="ORD-2023-867836"/>
    <d v="2023-05-11T00:00:00"/>
    <d v="2023-05-28T00:00:00"/>
    <d v="2023-05-11T00:00:00"/>
    <d v="2023-05-28T00:00:00"/>
    <n v="17"/>
    <x v="15"/>
    <s v="Asia"/>
    <x v="8"/>
    <s v="Shenzhen"/>
    <s v="Enterprise"/>
    <s v="Marketplace"/>
    <s v="E. Garcia"/>
    <x v="2"/>
    <x v="21"/>
    <n v="1331.19"/>
    <n v="2903.09"/>
    <n v="0.14299999999999999"/>
    <n v="8"/>
    <n v="19903.585040000002"/>
    <n v="10649.52"/>
    <n v="9254.0650400000013"/>
    <n v="0.46494463290920784"/>
    <s v="Q2-2023"/>
    <s v="Asia → China → Shenzhen"/>
    <s v="High"/>
  </r>
  <r>
    <s v="ORD-2023-835010"/>
    <d v="2023-03-23T00:00:00"/>
    <d v="2023-04-15T00:00:00"/>
    <d v="2023-03-23T00:00:00"/>
    <d v="2023-04-15T00:00:00"/>
    <n v="23"/>
    <x v="11"/>
    <s v="Africa"/>
    <x v="0"/>
    <s v="Mombasa"/>
    <s v="Small Business"/>
    <s v="Retail"/>
    <s v="C. Otieno"/>
    <x v="6"/>
    <x v="22"/>
    <n v="875.36"/>
    <n v="1178.6199999999999"/>
    <n v="0.151"/>
    <n v="53"/>
    <n v="53034.364139999991"/>
    <n v="46394.080000000002"/>
    <n v="6640.2841399999888"/>
    <n v="0.12520719815685888"/>
    <s v="Q1-2023"/>
    <s v="Africa → Kenya → Mombasa"/>
    <s v="Low"/>
  </r>
  <r>
    <s v="ORD-2024-500109"/>
    <d v="2024-05-18T00:00:00"/>
    <d v="2024-05-23T00:00:00"/>
    <d v="2024-05-18T00:00:00"/>
    <d v="2024-05-23T00:00:00"/>
    <n v="5"/>
    <x v="7"/>
    <s v="Americas"/>
    <x v="9"/>
    <s v="Chicago"/>
    <s v="Enterprise"/>
    <s v="Retail"/>
    <s v="H. Kim"/>
    <x v="4"/>
    <x v="23"/>
    <n v="1274.5899999999999"/>
    <n v="2553.69"/>
    <n v="0.01"/>
    <n v="8"/>
    <n v="20225.2248"/>
    <n v="10196.719999999999"/>
    <n v="10028.504800000001"/>
    <n v="0.49584145042481803"/>
    <s v="Q2-2024"/>
    <s v="Americas → USA → Chicago"/>
    <s v="High"/>
  </r>
  <r>
    <s v="ORD-2023-588455"/>
    <d v="2023-05-23T00:00:00"/>
    <d v="2023-05-25T00:00:00"/>
    <d v="2023-05-23T00:00:00"/>
    <d v="2023-05-25T00:00:00"/>
    <n v="2"/>
    <x v="15"/>
    <s v="Americas"/>
    <x v="5"/>
    <s v="Rio de Janeiro"/>
    <s v="Enterprise"/>
    <s v="Retail"/>
    <s v="M. Rossi"/>
    <x v="1"/>
    <x v="24"/>
    <n v="690.49"/>
    <n v="1290.29"/>
    <n v="4.2000000000000003E-2"/>
    <n v="22"/>
    <n v="27194.152039999997"/>
    <n v="15190.78"/>
    <n v="12003.372039999997"/>
    <n v="0.44139534199647718"/>
    <s v="Q2-2023"/>
    <s v="Americas → Brazil → Rio de Janeiro"/>
    <s v="Medium"/>
  </r>
  <r>
    <s v="ORD-2023-244375"/>
    <d v="2023-06-03T00:00:00"/>
    <d v="2023-07-01T00:00:00"/>
    <d v="2023-06-03T00:00:00"/>
    <d v="2023-07-01T00:00:00"/>
    <n v="28"/>
    <x v="16"/>
    <s v="Americas"/>
    <x v="5"/>
    <s v="Brasília"/>
    <s v="Small Business"/>
    <s v="Marketplace"/>
    <s v="A. Patel"/>
    <x v="0"/>
    <x v="25"/>
    <n v="860.4"/>
    <n v="2066.6"/>
    <n v="0.01"/>
    <n v="3"/>
    <n v="6137.8019999999988"/>
    <n v="2581.1999999999998"/>
    <n v="3556.601999999999"/>
    <n v="0.57945857491004105"/>
    <s v="Q2-2023"/>
    <s v="Americas → Brazil → Brasília"/>
    <s v="High"/>
  </r>
  <r>
    <s v="ORD-2024-788105"/>
    <d v="2024-11-30T00:00:00"/>
    <d v="2024-12-30T00:00:00"/>
    <d v="2024-11-30T00:00:00"/>
    <d v="2024-12-30T00:00:00"/>
    <n v="30"/>
    <x v="17"/>
    <s v="Europe"/>
    <x v="6"/>
    <s v="Marseille"/>
    <s v="Consumer"/>
    <s v="Marketplace"/>
    <s v="F. Müller"/>
    <x v="1"/>
    <x v="26"/>
    <n v="117.64"/>
    <n v="175.67"/>
    <n v="0"/>
    <n v="10"/>
    <n v="1756.6999999999998"/>
    <n v="1176.4000000000001"/>
    <n v="580.29999999999973"/>
    <n v="0.33033528775545046"/>
    <s v="Q4-2024"/>
    <s v="Europe → France → Marseille"/>
    <s v="Low"/>
  </r>
  <r>
    <s v="ORD-2024-855073"/>
    <d v="2024-07-19T00:00:00"/>
    <d v="2024-07-19T00:00:00"/>
    <d v="2024-07-19T00:00:00"/>
    <d v="2024-07-19T00:00:00"/>
    <n v="0"/>
    <x v="8"/>
    <s v="Africa"/>
    <x v="0"/>
    <s v="Kisumu"/>
    <s v="Small Business"/>
    <s v="Retail"/>
    <s v="A. Patel"/>
    <x v="3"/>
    <x v="27"/>
    <n v="857.24"/>
    <n v="758.23"/>
    <n v="0.125"/>
    <n v="6"/>
    <n v="3980.7075"/>
    <n v="5143.4400000000005"/>
    <n v="-1162.7325000000005"/>
    <n v="-0.29209192084572921"/>
    <s v="Q3-2024"/>
    <s v="Africa → Kenya → Kisumu"/>
    <s v="Low"/>
  </r>
  <r>
    <s v="ORD-2023-897079"/>
    <d v="2023-04-14T00:00:00"/>
    <d v="2023-05-14T00:00:00"/>
    <d v="2023-04-14T00:00:00"/>
    <d v="2023-05-14T00:00:00"/>
    <n v="30"/>
    <x v="12"/>
    <s v="Africa"/>
    <x v="0"/>
    <s v="Nakuru"/>
    <s v="Consumer"/>
    <s v="Marketplace"/>
    <s v="M. Rossi"/>
    <x v="3"/>
    <x v="28"/>
    <n v="209.25"/>
    <n v="434.8"/>
    <n v="0"/>
    <n v="9"/>
    <n v="3913.2000000000003"/>
    <n v="1883.25"/>
    <n v="2029.9500000000003"/>
    <n v="0.51874425022999082"/>
    <s v="Q2-2023"/>
    <s v="Africa → Kenya → Nakuru"/>
    <s v="Low"/>
  </r>
  <r>
    <s v="ORD-2025-548982"/>
    <d v="2025-04-07T00:00:00"/>
    <d v="2025-04-11T00:00:00"/>
    <d v="2025-04-07T00:00:00"/>
    <d v="2025-04-11T00:00:00"/>
    <n v="4"/>
    <x v="18"/>
    <s v="Europe"/>
    <x v="6"/>
    <s v="Lyon"/>
    <s v="Education"/>
    <s v="Retail"/>
    <s v="E. Garcia"/>
    <x v="2"/>
    <x v="29"/>
    <n v="754.77"/>
    <n v="1666.18"/>
    <n v="0.13900000000000001"/>
    <n v="14"/>
    <n v="20084.133720000002"/>
    <n v="10566.779999999999"/>
    <n v="9517.3537200000028"/>
    <n v="0.47387424584424653"/>
    <s v="Q2-2025"/>
    <s v="Europe → France → Lyon"/>
    <s v="Medium"/>
  </r>
  <r>
    <s v="ORD-2024-170313"/>
    <d v="2024-12-27T00:00:00"/>
    <d v="2025-01-15T00:00:00"/>
    <d v="2024-12-27T00:00:00"/>
    <d v="2025-01-15T00:00:00"/>
    <n v="19"/>
    <x v="6"/>
    <s v="Asia"/>
    <x v="4"/>
    <s v="Delhi"/>
    <s v="Non-Profit"/>
    <s v="Distributor"/>
    <s v="G. Dubois"/>
    <x v="0"/>
    <x v="30"/>
    <n v="495.59"/>
    <n v="631.78"/>
    <n v="8.6999999999999994E-2"/>
    <n v="17"/>
    <n v="9805.8573800000013"/>
    <n v="8425.0299999999988"/>
    <n v="1380.8273800000024"/>
    <n v="0.14081658813601899"/>
    <s v="Q4-2024"/>
    <s v="Asia → India → Delhi"/>
    <s v="Low"/>
  </r>
  <r>
    <s v="ORD-2023-562894"/>
    <d v="2023-02-23T00:00:00"/>
    <d v="2023-03-25T00:00:00"/>
    <d v="2023-02-23T00:00:00"/>
    <d v="2023-03-25T00:00:00"/>
    <n v="30"/>
    <x v="2"/>
    <s v="Americas"/>
    <x v="3"/>
    <s v="Montreal"/>
    <s v="Enterprise"/>
    <s v="Online"/>
    <s v="D. Smith"/>
    <x v="3"/>
    <x v="31"/>
    <n v="1242.6600000000001"/>
    <n v="1794.07"/>
    <n v="8.8999999999999996E-2"/>
    <n v="16"/>
    <n v="26150.364320000001"/>
    <n v="19882.560000000001"/>
    <n v="6267.8043199999993"/>
    <n v="0.23968325042440553"/>
    <s v="Q1-2023"/>
    <s v="Americas → Canada → Montreal"/>
    <s v="Medium"/>
  </r>
  <r>
    <s v="ORD-2025-474710"/>
    <d v="2025-07-24T00:00:00"/>
    <d v="2025-08-06T00:00:00"/>
    <d v="2025-07-24T00:00:00"/>
    <d v="2025-08-06T00:00:00"/>
    <n v="13"/>
    <x v="19"/>
    <s v="Africa"/>
    <x v="10"/>
    <s v="Johannesburg"/>
    <s v="Education"/>
    <s v="Marketplace"/>
    <s v="D. Smith"/>
    <x v="2"/>
    <x v="32"/>
    <n v="1463.9"/>
    <n v="2633.02"/>
    <n v="8.4000000000000005E-2"/>
    <n v="4"/>
    <n v="9647.3852800000004"/>
    <n v="5855.6"/>
    <n v="3791.7852800000001"/>
    <n v="0.39303761277791527"/>
    <s v="Q3-2025"/>
    <s v="Africa → South Africa → Johannesburg"/>
    <s v="High"/>
  </r>
  <r>
    <s v="ORD-2024-629525"/>
    <d v="2024-04-18T00:00:00"/>
    <d v="2024-05-08T00:00:00"/>
    <d v="2024-04-18T00:00:00"/>
    <d v="2024-05-08T00:00:00"/>
    <n v="20"/>
    <x v="20"/>
    <s v="Europe"/>
    <x v="7"/>
    <s v="London"/>
    <s v="Non-Profit"/>
    <s v="Unknown Channel"/>
    <s v="D. Smith"/>
    <x v="4"/>
    <x v="33"/>
    <n v="645.33000000000004"/>
    <n v="1321.85"/>
    <n v="0"/>
    <n v="10"/>
    <n v="13218.5"/>
    <n v="6453.3"/>
    <n v="6765.2"/>
    <n v="0.51179785906116426"/>
    <s v="Q2-2024"/>
    <s v="Europe → United Kingdom → London"/>
    <s v="Medium"/>
  </r>
  <r>
    <s v="ORD-2024-167215"/>
    <d v="2024-08-23T00:00:00"/>
    <d v="2024-08-21T00:00:00"/>
    <d v="2024-08-21T00:00:00"/>
    <d v="2024-08-23T00:00:00"/>
    <n v="2"/>
    <x v="21"/>
    <s v="Africa"/>
    <x v="10"/>
    <s v="Johannesburg"/>
    <s v="Education"/>
    <s v="Retail"/>
    <s v="E. Garcia"/>
    <x v="0"/>
    <x v="34"/>
    <n v="1432.52"/>
    <n v="3036.87"/>
    <n v="0"/>
    <n v="9"/>
    <n v="27331.829999999998"/>
    <n v="12892.68"/>
    <n v="14439.149999999998"/>
    <n v="0.52829064135112791"/>
    <s v="Q3-2024"/>
    <s v="Africa → South Africa → Johannesburg"/>
    <s v="High"/>
  </r>
  <r>
    <s v="ORD-2023-864121"/>
    <d v="2023-03-27T00:00:00"/>
    <d v="2023-04-22T00:00:00"/>
    <d v="2023-03-27T00:00:00"/>
    <d v="2023-04-22T00:00:00"/>
    <n v="26"/>
    <x v="11"/>
    <s v="Asia"/>
    <x v="4"/>
    <s v="Delhi"/>
    <s v="Non-Profit"/>
    <s v="Marketplace"/>
    <s v="J. Njeri"/>
    <x v="1"/>
    <x v="35"/>
    <n v="178.53"/>
    <n v="199.37"/>
    <n v="0.10100000000000001"/>
    <n v="37"/>
    <n v="6631.6443100000006"/>
    <n v="6605.61"/>
    <n v="26.034310000000914"/>
    <n v="3.9257699573457538E-3"/>
    <s v="Q1-2023"/>
    <s v="Asia → India → Delhi"/>
    <s v="Low"/>
  </r>
  <r>
    <s v="ORD-2024-692673"/>
    <d v="2024-03-07T00:00:00"/>
    <d v="2024-03-25T00:00:00"/>
    <d v="2024-03-07T00:00:00"/>
    <d v="2024-03-25T00:00:00"/>
    <n v="18"/>
    <x v="0"/>
    <s v="Europe"/>
    <x v="11"/>
    <s v="Munich"/>
    <s v="Corporate"/>
    <s v="Online"/>
    <s v="B. Chen"/>
    <x v="0"/>
    <x v="36"/>
    <n v="712.84"/>
    <n v="927.51"/>
    <n v="0.24299999999999999"/>
    <n v="27"/>
    <n v="18957.37689"/>
    <n v="19246.68"/>
    <n v="-289.30311000000074"/>
    <n v="-1.5260714163076427E-2"/>
    <s v="Q1-2024"/>
    <s v="Europe → Germany → Munich"/>
    <s v="Low"/>
  </r>
  <r>
    <s v="ORD-2025-718992"/>
    <d v="2025-06-24T00:00:00"/>
    <d v="2025-07-10T00:00:00"/>
    <d v="2025-06-24T00:00:00"/>
    <d v="2025-07-10T00:00:00"/>
    <n v="16"/>
    <x v="22"/>
    <s v="Asia"/>
    <x v="8"/>
    <s v="Shanghai"/>
    <s v="Enterprise"/>
    <s v="Direct"/>
    <s v="N. Brown"/>
    <x v="0"/>
    <x v="37"/>
    <n v="757.19"/>
    <n v="1735.41"/>
    <n v="0.13600000000000001"/>
    <n v="8"/>
    <n v="11995.153920000001"/>
    <n v="6057.52"/>
    <n v="5937.6339200000002"/>
    <n v="0.4950027285685718"/>
    <s v="Q2-2025"/>
    <s v="Asia → China → Shanghai"/>
    <s v="Medium"/>
  </r>
  <r>
    <s v="ORD-2024-599522"/>
    <d v="2024-04-19T00:00:00"/>
    <d v="2024-05-06T00:00:00"/>
    <d v="2024-04-19T00:00:00"/>
    <d v="2024-05-06T00:00:00"/>
    <n v="17"/>
    <x v="20"/>
    <s v="Africa"/>
    <x v="1"/>
    <s v="Port Harcourt"/>
    <s v="Non-Profit"/>
    <s v="Online"/>
    <s v="A. Patel"/>
    <x v="1"/>
    <x v="38"/>
    <n v="865.33"/>
    <n v="1395.64"/>
    <n v="0.17499999999999999"/>
    <n v="13"/>
    <n v="14968.239"/>
    <n v="11249.29"/>
    <n v="3718.9489999999987"/>
    <n v="0.24845601409758347"/>
    <s v="Q2-2024"/>
    <s v="Africa → Nigeria → Port Harcourt"/>
    <s v="Medium"/>
  </r>
  <r>
    <s v="ORD-2023-651638"/>
    <d v="2023-06-17T00:00:00"/>
    <d v="2023-06-24T00:00:00"/>
    <d v="2023-06-17T00:00:00"/>
    <d v="2023-06-24T00:00:00"/>
    <n v="7"/>
    <x v="16"/>
    <s v="Americas"/>
    <x v="9"/>
    <s v="San Francisco"/>
    <s v="Corporate"/>
    <s v="Retail"/>
    <s v="I. Johnson"/>
    <x v="1"/>
    <x v="39"/>
    <n v="313.99"/>
    <n v="454.42"/>
    <n v="0.129"/>
    <n v="9"/>
    <n v="3562.1983800000003"/>
    <n v="2825.91"/>
    <n v="736.28838000000042"/>
    <n v="0.20669493988147858"/>
    <s v="Q2-2023"/>
    <s v="Americas → USA → San Francisco"/>
    <s v="Low"/>
  </r>
  <r>
    <s v="ORD-2024-635626"/>
    <d v="2024-08-27T00:00:00"/>
    <d v="2024-09-19T00:00:00"/>
    <d v="2024-08-27T00:00:00"/>
    <d v="2024-09-19T00:00:00"/>
    <n v="23"/>
    <x v="21"/>
    <s v="Europe"/>
    <x v="11"/>
    <s v="Berlin"/>
    <s v="Small Business"/>
    <s v="Direct"/>
    <s v="D. Smith"/>
    <x v="5"/>
    <x v="40"/>
    <n v="1024.01"/>
    <n v="1580.97"/>
    <n v="3.6999999999999998E-2"/>
    <n v="27"/>
    <n v="41106.800970000004"/>
    <n v="27648.27"/>
    <n v="13458.530970000003"/>
    <n v="0.3274039976942531"/>
    <s v="Q3-2024"/>
    <s v="Europe → Germany → Berlin"/>
    <s v="Medium"/>
  </r>
  <r>
    <s v="ORD-2024-296582"/>
    <d v="2024-01-11T00:00:00"/>
    <d v="2024-02-02T00:00:00"/>
    <d v="2024-01-11T00:00:00"/>
    <d v="2024-02-02T00:00:00"/>
    <n v="22"/>
    <x v="10"/>
    <s v="Africa"/>
    <x v="10"/>
    <s v="Durban"/>
    <s v="Consumer"/>
    <s v="Online"/>
    <s v="K. Singh"/>
    <x v="2"/>
    <x v="41"/>
    <n v="1206.2"/>
    <n v="1759.79"/>
    <n v="0"/>
    <n v="6"/>
    <n v="10558.74"/>
    <n v="7237.2000000000007"/>
    <n v="3321.5399999999991"/>
    <n v="0.31457730751964713"/>
    <s v="Q1-2024"/>
    <s v="Africa → South Africa → Durban"/>
    <s v="Medium"/>
  </r>
  <r>
    <s v="ORD-2024-998320"/>
    <d v="2024-10-25T00:00:00"/>
    <d v="2024-11-14T00:00:00"/>
    <d v="2024-10-25T00:00:00"/>
    <d v="2024-11-14T00:00:00"/>
    <n v="20"/>
    <x v="1"/>
    <s v="Africa"/>
    <x v="0"/>
    <s v="Mombasa"/>
    <s v="Corporate"/>
    <s v="Direct"/>
    <s v="H. Kim"/>
    <x v="1"/>
    <x v="42"/>
    <n v="1396.48"/>
    <n v="3204.5"/>
    <n v="0.1186"/>
    <n v="14"/>
    <n v="39542.248200000002"/>
    <n v="19550.72"/>
    <n v="19991.528200000001"/>
    <n v="0.50557388894240973"/>
    <s v="Q4-2024"/>
    <s v="Africa → Kenya → Mombasa"/>
    <s v="High"/>
  </r>
  <r>
    <s v="ORD-2025-820255"/>
    <d v="2025-05-29T00:00:00"/>
    <d v="2025-06-20T00:00:00"/>
    <d v="2025-05-29T00:00:00"/>
    <d v="2025-06-20T00:00:00"/>
    <n v="22"/>
    <x v="14"/>
    <s v="Europe"/>
    <x v="11"/>
    <s v="Berlin"/>
    <s v="Corporate"/>
    <s v="Direct"/>
    <s v="A. Patel"/>
    <x v="1"/>
    <x v="43"/>
    <n v="483.47"/>
    <n v="1135.43"/>
    <n v="0.14599999999999999"/>
    <n v="11"/>
    <n v="10666.229420000001"/>
    <n v="5318.17"/>
    <n v="5348.0594200000014"/>
    <n v="0.50140112399719983"/>
    <s v="Q2-2025"/>
    <s v="Europe → Germany → Berlin"/>
    <s v="Low"/>
  </r>
  <r>
    <s v="ORD-2024-389336"/>
    <d v="2024-05-20T00:00:00"/>
    <d v="2024-06-02T00:00:00"/>
    <d v="2024-05-20T00:00:00"/>
    <d v="2024-06-02T00:00:00"/>
    <n v="13"/>
    <x v="7"/>
    <s v="Americas"/>
    <x v="3"/>
    <s v="Vancouver"/>
    <s v="Enterprise"/>
    <s v="Marketplace"/>
    <s v="K. Singh"/>
    <x v="0"/>
    <x v="44"/>
    <n v="675.43"/>
    <n v="996.36"/>
    <n v="0.182"/>
    <n v="22"/>
    <n v="17930.494560000003"/>
    <n v="14859.46"/>
    <n v="3071.0345600000037"/>
    <n v="0.17127439233332575"/>
    <s v="Q2-2024"/>
    <s v="Americas → Canada → Vancouver"/>
    <s v="Low"/>
  </r>
  <r>
    <s v="ORD-2023-308124"/>
    <d v="2023-04-19T00:00:00"/>
    <d v="2023-04-30T00:00:00"/>
    <d v="2023-04-19T00:00:00"/>
    <d v="2023-04-30T00:00:00"/>
    <n v="11"/>
    <x v="12"/>
    <s v="Asia"/>
    <x v="4"/>
    <s v="Delhi"/>
    <s v="Small Business"/>
    <s v="Retail"/>
    <s v="A. Patel"/>
    <x v="2"/>
    <x v="45"/>
    <n v="826.55"/>
    <n v="1397.05"/>
    <n v="0.16900000000000001"/>
    <n v="28"/>
    <n v="32506.559399999998"/>
    <n v="23143.399999999998"/>
    <n v="9363.1594000000005"/>
    <n v="0.28803907804527601"/>
    <s v="Q2-2023"/>
    <s v="Asia → India → Delhi"/>
    <s v="Medium"/>
  </r>
  <r>
    <s v="ORD-2023-128295"/>
    <d v="2023-06-23T00:00:00"/>
    <d v="2023-07-03T00:00:00"/>
    <d v="2023-06-23T00:00:00"/>
    <d v="2023-07-03T00:00:00"/>
    <n v="10"/>
    <x v="16"/>
    <s v="Africa"/>
    <x v="1"/>
    <s v="Abuja"/>
    <s v="Consumer"/>
    <s v="Online"/>
    <s v="J. Njeri"/>
    <x v="1"/>
    <x v="46"/>
    <n v="337.75"/>
    <n v="548.89"/>
    <n v="0"/>
    <n v="13"/>
    <n v="7135.57"/>
    <n v="4390.75"/>
    <n v="2744.8199999999997"/>
    <n v="0.38466723751571352"/>
    <s v="Q2-2023"/>
    <s v="Africa → Nigeria → Abuja"/>
    <s v="Low"/>
  </r>
  <r>
    <s v="ORD-2024-548345"/>
    <d v="2024-05-14T00:00:00"/>
    <d v="2024-05-28T00:00:00"/>
    <d v="2024-05-14T00:00:00"/>
    <d v="2024-05-28T00:00:00"/>
    <n v="14"/>
    <x v="7"/>
    <s v="Europe"/>
    <x v="7"/>
    <s v="Birmingham"/>
    <s v="Consumer"/>
    <s v="Retail"/>
    <s v="B. Chen"/>
    <x v="2"/>
    <x v="47"/>
    <n v="1421.14"/>
    <n v="3524"/>
    <n v="0"/>
    <n v="31"/>
    <n v="109244"/>
    <n v="44055.340000000004"/>
    <n v="65188.659999999996"/>
    <n v="0.59672531214528945"/>
    <s v="Q2-2024"/>
    <s v="Europe → United Kingdom → Birmingham"/>
    <s v="High"/>
  </r>
  <r>
    <s v="ORD-2024-966651"/>
    <d v="2024-10-14T00:00:00"/>
    <d v="2024-11-08T00:00:00"/>
    <d v="2024-10-14T00:00:00"/>
    <d v="2024-11-08T00:00:00"/>
    <n v="25"/>
    <x v="1"/>
    <s v="Africa"/>
    <x v="1"/>
    <s v="Lagos"/>
    <s v="Enterprise"/>
    <s v="Online"/>
    <s v="O. Wang"/>
    <x v="2"/>
    <x v="48"/>
    <n v="859.35"/>
    <n v="1825.61"/>
    <n v="0.187"/>
    <n v="24"/>
    <n v="35621.302319999995"/>
    <n v="20624.400000000001"/>
    <n v="14996.902319999994"/>
    <n v="0.42100937762681989"/>
    <s v="Q4-2024"/>
    <s v="Africa → Nigeria → Lagos"/>
    <s v="Medium"/>
  </r>
  <r>
    <s v="ORD-2023-292714"/>
    <d v="2023-07-10T00:00:00"/>
    <d v="2023-08-01T00:00:00"/>
    <d v="2023-07-10T00:00:00"/>
    <d v="2023-08-01T00:00:00"/>
    <n v="22"/>
    <x v="23"/>
    <s v="Europe"/>
    <x v="6"/>
    <s v="Marseille"/>
    <s v="Consumer"/>
    <s v="Marketplace"/>
    <s v="B. Chen"/>
    <x v="1"/>
    <x v="49"/>
    <n v="1303.56"/>
    <n v="1791.37"/>
    <n v="0.126"/>
    <n v="22"/>
    <n v="34444.462359999998"/>
    <n v="28678.32"/>
    <n v="5766.142359999998"/>
    <n v="0.16740404596055358"/>
    <s v="Q3-2023"/>
    <s v="Europe → France → Marseille"/>
    <s v="Medium"/>
  </r>
  <r>
    <s v="ORD-2023-957692"/>
    <d v="2023-05-07T00:00:00"/>
    <d v="2023-05-20T00:00:00"/>
    <d v="2023-05-07T00:00:00"/>
    <d v="2023-05-20T00:00:00"/>
    <n v="13"/>
    <x v="15"/>
    <s v="Asia"/>
    <x v="4"/>
    <s v="Mumbai"/>
    <s v="Enterprise"/>
    <s v="Retail"/>
    <s v="D. Smith"/>
    <x v="6"/>
    <x v="50"/>
    <n v="1443.28"/>
    <n v="2580.5700000000002"/>
    <n v="0"/>
    <n v="18"/>
    <n v="46450.26"/>
    <n v="25979.040000000001"/>
    <n v="20471.22"/>
    <n v="0.4407127107577008"/>
    <s v="Q2-2023"/>
    <s v="Asia → India → Mumbai"/>
    <s v="High"/>
  </r>
  <r>
    <s v="ORD-2024-260775"/>
    <d v="2024-10-17T00:00:00"/>
    <d v="2024-11-06T00:00:00"/>
    <d v="2024-10-17T00:00:00"/>
    <d v="2024-11-06T00:00:00"/>
    <n v="20"/>
    <x v="1"/>
    <s v="Asia"/>
    <x v="4"/>
    <s v="Bengaluru"/>
    <s v="Enterprise"/>
    <s v="Distributor"/>
    <s v="O. Wang"/>
    <x v="5"/>
    <x v="51"/>
    <n v="72.94"/>
    <n v="106.3"/>
    <n v="0.29499999999999998"/>
    <n v="8"/>
    <n v="599.53200000000004"/>
    <n v="583.52"/>
    <n v="16.012000000000057"/>
    <n v="2.6707498515508857E-2"/>
    <s v="Q4-2024"/>
    <s v="Asia → India → Bengaluru"/>
    <s v="Low"/>
  </r>
  <r>
    <s v="ORD-2023-419187"/>
    <d v="2023-03-31T00:00:00"/>
    <d v="2023-04-05T00:00:00"/>
    <d v="2023-03-31T00:00:00"/>
    <d v="2023-04-05T00:00:00"/>
    <n v="5"/>
    <x v="11"/>
    <s v="Africa"/>
    <x v="0"/>
    <s v="Nakuru"/>
    <s v="Education"/>
    <s v="Marketplace"/>
    <s v="B. Chen"/>
    <x v="4"/>
    <x v="52"/>
    <n v="533.26"/>
    <n v="385.72"/>
    <n v="0"/>
    <n v="15"/>
    <n v="5785.8"/>
    <n v="7998.9"/>
    <n v="-2213.0999999999995"/>
    <n v="-0.38250544436378708"/>
    <s v="Q1-2023"/>
    <s v="Africa → Kenya → Nakuru"/>
    <s v="Low"/>
  </r>
  <r>
    <s v="ORD-2025-578007"/>
    <d v="2025-01-21T00:00:00"/>
    <d v="2025-02-16T00:00:00"/>
    <d v="2025-01-21T00:00:00"/>
    <d v="2025-02-16T00:00:00"/>
    <n v="26"/>
    <x v="9"/>
    <s v="Europe"/>
    <x v="6"/>
    <s v="Lyon"/>
    <s v="Corporate"/>
    <s v="Distributor"/>
    <s v="O. Wang"/>
    <x v="4"/>
    <x v="53"/>
    <n v="204.11"/>
    <n v="236.87"/>
    <n v="0.182"/>
    <n v="13"/>
    <n v="2518.8755800000004"/>
    <n v="2653.4300000000003"/>
    <n v="-134.55441999999994"/>
    <n v="-5.3418446337075494E-2"/>
    <s v="Q1-2025"/>
    <s v="Europe → France → Lyon"/>
    <s v="Low"/>
  </r>
  <r>
    <s v="ORD-2023-235230"/>
    <d v="2023-08-30T00:00:00"/>
    <d v="2023-09-01T00:00:00"/>
    <d v="2023-08-30T00:00:00"/>
    <d v="2023-09-01T00:00:00"/>
    <n v="2"/>
    <x v="24"/>
    <s v="Europe"/>
    <x v="11"/>
    <s v="Munich"/>
    <s v="Corporate"/>
    <s v="Direct"/>
    <s v="N. Brown"/>
    <x v="2"/>
    <x v="54"/>
    <n v="44.42"/>
    <n v="41.9"/>
    <n v="0.14399999999999999"/>
    <n v="6"/>
    <n v="215.19839999999996"/>
    <n v="266.52"/>
    <n v="-51.321600000000018"/>
    <n v="-0.23848504449847224"/>
    <s v="Q3-2023"/>
    <s v="Europe → Germany → Munich"/>
    <s v="Low"/>
  </r>
  <r>
    <s v="ORD-2023-434071"/>
    <d v="2023-06-20T00:00:00"/>
    <d v="2023-07-04T00:00:00"/>
    <d v="2023-06-20T00:00:00"/>
    <d v="2023-07-04T00:00:00"/>
    <n v="14"/>
    <x v="16"/>
    <s v="Americas"/>
    <x v="5"/>
    <s v="Brasília"/>
    <s v="Non-Profit"/>
    <s v="Direct"/>
    <s v="C. Otieno"/>
    <x v="2"/>
    <x v="55"/>
    <n v="1292.8599999999999"/>
    <n v="2981.01"/>
    <n v="0.14199999999999999"/>
    <n v="12"/>
    <n v="30692.47896"/>
    <n v="15514.32"/>
    <n v="15178.158960000001"/>
    <n v="0.49452372288927687"/>
    <s v="Q2-2023"/>
    <s v="Americas → Brazil → Brasília"/>
    <s v="High"/>
  </r>
  <r>
    <s v="ORD-2023-374486"/>
    <d v="2023-06-24T00:00:00"/>
    <d v="2023-06-23T00:00:00"/>
    <d v="2023-06-23T00:00:00"/>
    <d v="2023-06-24T00:00:00"/>
    <n v="1"/>
    <x v="16"/>
    <s v="Americas"/>
    <x v="5"/>
    <s v="Rio de Janeiro"/>
    <s v="Non-Profit"/>
    <s v="Retail"/>
    <s v="E. Garcia"/>
    <x v="1"/>
    <x v="56"/>
    <n v="804.01"/>
    <n v="1405.07"/>
    <n v="9.6000000000000002E-2"/>
    <n v="8"/>
    <n v="10161.46624"/>
    <n v="6432.08"/>
    <n v="3729.3862399999998"/>
    <n v="0.36701260939287439"/>
    <s v="Q2-2023"/>
    <s v="Americas → Brazil → Rio de Janeiro"/>
    <s v="Medium"/>
  </r>
  <r>
    <s v="ORD-2025-944081"/>
    <d v="2025-03-25T00:00:00"/>
    <d v="2025-03-26T00:00:00"/>
    <d v="2025-03-25T00:00:00"/>
    <d v="2025-03-26T00:00:00"/>
    <n v="1"/>
    <x v="3"/>
    <s v="Africa"/>
    <x v="1"/>
    <s v="Lagos"/>
    <s v="Education"/>
    <s v="Distributor"/>
    <s v="G. Dubois"/>
    <x v="6"/>
    <x v="57"/>
    <n v="1450.43"/>
    <n v="1994.67"/>
    <n v="0.1"/>
    <n v="24"/>
    <n v="43084.872000000003"/>
    <n v="34810.32"/>
    <n v="8274.5520000000033"/>
    <n v="0.19205237513529116"/>
    <s v="Q1-2025"/>
    <s v="Africa → Nigeria → Lagos"/>
    <s v="High"/>
  </r>
  <r>
    <s v="ORD-2025-843974"/>
    <d v="2025-07-20T00:00:00"/>
    <d v="2025-08-05T00:00:00"/>
    <d v="2025-07-20T00:00:00"/>
    <d v="2025-08-05T00:00:00"/>
    <n v="16"/>
    <x v="19"/>
    <s v="Americas"/>
    <x v="5"/>
    <s v="Brasília"/>
    <s v="Enterprise"/>
    <s v="Marketplace"/>
    <s v="G. Dubois"/>
    <x v="6"/>
    <x v="58"/>
    <n v="1068.17"/>
    <n v="2375.37"/>
    <n v="0.109"/>
    <n v="18"/>
    <n v="38096.18406"/>
    <n v="19227.060000000001"/>
    <n v="18869.124059999998"/>
    <n v="0.49530220744108822"/>
    <s v="Q3-2025"/>
    <s v="Americas → Brazil → Brasília"/>
    <s v="High"/>
  </r>
  <r>
    <s v="ORD-2024-446699"/>
    <d v="2024-08-28T00:00:00"/>
    <d v="2024-09-25T00:00:00"/>
    <d v="2024-08-28T00:00:00"/>
    <d v="2024-09-25T00:00:00"/>
    <n v="28"/>
    <x v="21"/>
    <s v="Americas"/>
    <x v="5"/>
    <s v="Rio de Janeiro"/>
    <s v="Non-Profit"/>
    <s v="Online"/>
    <s v="Unknown Salesperson"/>
    <x v="6"/>
    <x v="59"/>
    <n v="1394.65"/>
    <n v="3144.1"/>
    <n v="0.13400000000000001"/>
    <n v="13"/>
    <n v="35396.277799999996"/>
    <n v="18130.45"/>
    <n v="17265.827799999995"/>
    <n v="0.4877865378263021"/>
    <s v="Q3-2024"/>
    <s v="Americas → Brazil → Rio de Janeiro"/>
    <s v="High"/>
  </r>
  <r>
    <s v="ORD-2024-906395"/>
    <d v="2024-03-10T00:00:00"/>
    <d v="2024-04-09T00:00:00"/>
    <d v="2024-03-10T00:00:00"/>
    <d v="2024-04-09T00:00:00"/>
    <n v="30"/>
    <x v="0"/>
    <s v="Europe"/>
    <x v="6"/>
    <s v="Lyon"/>
    <s v="Corporate"/>
    <s v="Direct"/>
    <s v="I. Johnson"/>
    <x v="0"/>
    <x v="60"/>
    <n v="1176.56"/>
    <n v="1911.89"/>
    <n v="0.11899999999999999"/>
    <n v="20"/>
    <n v="33687.501800000005"/>
    <n v="23531.199999999997"/>
    <n v="10156.301800000008"/>
    <n v="0.30148575160892477"/>
    <s v="Q1-2024"/>
    <s v="Europe → France → Lyon"/>
    <s v="Medium"/>
  </r>
  <r>
    <s v="ORD-2025-779574"/>
    <d v="2025-09-10T00:00:00"/>
    <d v="2025-09-12T00:00:00"/>
    <d v="2025-09-10T00:00:00"/>
    <d v="2025-09-12T00:00:00"/>
    <n v="2"/>
    <x v="13"/>
    <s v="Asia"/>
    <x v="2"/>
    <s v="Tokyo"/>
    <s v="Consumer"/>
    <s v="Online"/>
    <s v="O. Wang"/>
    <x v="0"/>
    <x v="61"/>
    <n v="1470.15"/>
    <n v="2593.7800000000002"/>
    <n v="0.11"/>
    <n v="12"/>
    <n v="27701.570400000001"/>
    <n v="17641.800000000003"/>
    <n v="10059.770399999998"/>
    <n v="0.36314801849645306"/>
    <s v="Q3-2025"/>
    <s v="Asia → Japan → Tokyo"/>
    <s v="High"/>
  </r>
  <r>
    <s v="ORD-2025-526650"/>
    <d v="2025-04-27T00:00:00"/>
    <d v="2025-05-25T00:00:00"/>
    <d v="2025-04-27T00:00:00"/>
    <d v="2025-05-25T00:00:00"/>
    <n v="28"/>
    <x v="18"/>
    <s v="Europe"/>
    <x v="6"/>
    <s v="Paris"/>
    <s v="Small Business"/>
    <s v="Marketplace"/>
    <s v="I. Johnson"/>
    <x v="3"/>
    <x v="62"/>
    <n v="603.45000000000005"/>
    <n v="1244.08"/>
    <n v="0.2"/>
    <n v="11"/>
    <n v="10947.904"/>
    <n v="6637.9500000000007"/>
    <n v="4309.9539999999997"/>
    <n v="0.39367846119220623"/>
    <s v="Q2-2025"/>
    <s v="Europe → France → Paris"/>
    <s v="Medium"/>
  </r>
  <r>
    <s v="ORD-2024-247979"/>
    <d v="2024-11-02T00:00:00"/>
    <d v="2024-11-18T00:00:00"/>
    <d v="2024-11-02T00:00:00"/>
    <d v="2024-11-18T00:00:00"/>
    <n v="16"/>
    <x v="17"/>
    <s v="Asia"/>
    <x v="4"/>
    <s v="Mumbai"/>
    <s v="Small Business"/>
    <s v="Distributor"/>
    <s v="O. Wang"/>
    <x v="5"/>
    <x v="63"/>
    <n v="1233.58"/>
    <n v="1912.51"/>
    <n v="0.255"/>
    <n v="51"/>
    <n v="72665.817450000002"/>
    <n v="62912.579999999994"/>
    <n v="9753.2374500000078"/>
    <n v="0.134220432553601"/>
    <s v="Q4-2024"/>
    <s v="Asia → India → Mumbai"/>
    <s v="High"/>
  </r>
  <r>
    <s v="ORD-2023-480975"/>
    <d v="2023-02-15T00:00:00"/>
    <d v="2023-02-26T00:00:00"/>
    <d v="2023-02-15T00:00:00"/>
    <d v="2023-02-26T00:00:00"/>
    <n v="11"/>
    <x v="2"/>
    <s v="Africa"/>
    <x v="10"/>
    <s v="Johannesburg"/>
    <s v="Non-Profit"/>
    <s v="Retail"/>
    <s v="K. Singh"/>
    <x v="4"/>
    <x v="64"/>
    <n v="498.5"/>
    <n v="755.87"/>
    <n v="0.13"/>
    <n v="40"/>
    <n v="26304.275999999998"/>
    <n v="19940"/>
    <n v="6364.275999999998"/>
    <n v="0.24194834330357537"/>
    <s v="Q1-2023"/>
    <s v="Africa → South Africa → Johannesburg"/>
    <s v="Low"/>
  </r>
  <r>
    <s v="ORD-2023-309373"/>
    <d v="2023-07-05T00:00:00"/>
    <d v="2023-07-14T00:00:00"/>
    <d v="2023-07-05T00:00:00"/>
    <d v="2023-07-14T00:00:00"/>
    <n v="9"/>
    <x v="23"/>
    <s v="Americas"/>
    <x v="5"/>
    <s v="Brasília"/>
    <s v="Enterprise"/>
    <s v="Direct"/>
    <s v="B. Chen"/>
    <x v="2"/>
    <x v="65"/>
    <n v="578.85"/>
    <n v="998.76"/>
    <n v="8.2000000000000003E-2"/>
    <n v="28"/>
    <n v="25672.127039999999"/>
    <n v="16207.800000000001"/>
    <n v="9464.3270399999983"/>
    <n v="0.36866158480960831"/>
    <s v="Q3-2023"/>
    <s v="Americas → Brazil → Brasília"/>
    <s v="Low"/>
  </r>
  <r>
    <s v="ORD-2024-704056"/>
    <d v="2024-06-23T00:00:00"/>
    <d v="2024-06-25T00:00:00"/>
    <d v="2024-06-23T00:00:00"/>
    <d v="2024-06-25T00:00:00"/>
    <n v="2"/>
    <x v="25"/>
    <s v="Europe"/>
    <x v="7"/>
    <s v="Birmingham"/>
    <s v="Small Business"/>
    <s v="Marketplace"/>
    <s v="L. Okafor"/>
    <x v="6"/>
    <x v="66"/>
    <n v="951.44"/>
    <n v="1646.43"/>
    <n v="0.11"/>
    <n v="24"/>
    <n v="35167.7448"/>
    <n v="22834.560000000001"/>
    <n v="12333.184799999999"/>
    <n v="0.35069592520473475"/>
    <s v="Q2-2024"/>
    <s v="Europe → United Kingdom → Birmingham"/>
    <s v="Medium"/>
  </r>
  <r>
    <s v="ORD-2024-347736"/>
    <d v="2024-05-22T00:00:00"/>
    <d v="2024-06-06T00:00:00"/>
    <d v="2024-05-22T00:00:00"/>
    <d v="2024-06-06T00:00:00"/>
    <n v="15"/>
    <x v="7"/>
    <s v="Asia"/>
    <x v="2"/>
    <s v="Nagoya"/>
    <s v="Corporate"/>
    <s v="Distributor"/>
    <s v="C. Otieno"/>
    <x v="5"/>
    <x v="67"/>
    <n v="673.88"/>
    <n v="1228.01"/>
    <n v="0.105"/>
    <n v="13"/>
    <n v="14287.896349999999"/>
    <n v="8760.44"/>
    <n v="5527.4563499999986"/>
    <n v="0.38686285332689996"/>
    <s v="Q2-2024"/>
    <s v="Asia → Japan → Nagoya"/>
    <s v="Medium"/>
  </r>
  <r>
    <s v="ORD-2023-749324"/>
    <d v="2023-08-19T00:00:00"/>
    <d v="2023-09-07T00:00:00"/>
    <d v="2023-08-19T00:00:00"/>
    <d v="2023-09-07T00:00:00"/>
    <n v="19"/>
    <x v="24"/>
    <s v="Africa"/>
    <x v="10"/>
    <s v="Johannesburg"/>
    <s v="Enterprise"/>
    <s v="Retail"/>
    <s v="D. Smith"/>
    <x v="5"/>
    <x v="68"/>
    <n v="494.61"/>
    <n v="605.23"/>
    <n v="0.20399999999999999"/>
    <n v="18"/>
    <n v="8671.7354400000004"/>
    <n v="8902.98"/>
    <n v="-231.24455999999918"/>
    <n v="-2.6666468505639647E-2"/>
    <s v="Q3-2023"/>
    <s v="Africa → South Africa → Johannesburg"/>
    <s v="Low"/>
  </r>
  <r>
    <s v="ORD-2023-809913"/>
    <d v="2023-04-21T00:00:00"/>
    <d v="2023-05-10T00:00:00"/>
    <d v="2023-04-21T00:00:00"/>
    <d v="2023-05-10T00:00:00"/>
    <n v="19"/>
    <x v="12"/>
    <s v="Asia"/>
    <x v="8"/>
    <s v="Shanghai"/>
    <s v="Corporate"/>
    <s v="Retail"/>
    <s v="A. Patel"/>
    <x v="0"/>
    <x v="69"/>
    <n v="882.33"/>
    <n v="1880.15"/>
    <n v="0.05"/>
    <n v="5"/>
    <n v="8930.7124999999996"/>
    <n v="4411.6500000000005"/>
    <n v="4519.0624999999991"/>
    <n v="0.50601365792482955"/>
    <s v="Q2-2023"/>
    <s v="Asia → China → Shanghai"/>
    <s v="Medium"/>
  </r>
  <r>
    <s v="ORD-2023-261081"/>
    <d v="2023-07-24T00:00:00"/>
    <d v="2023-08-19T00:00:00"/>
    <d v="2023-07-24T00:00:00"/>
    <d v="2023-08-19T00:00:00"/>
    <n v="26"/>
    <x v="23"/>
    <s v="Africa"/>
    <x v="0"/>
    <s v="Nairobi"/>
    <s v="Enterprise"/>
    <s v="Distributor"/>
    <s v="M. Rossi"/>
    <x v="6"/>
    <x v="70"/>
    <n v="661.45"/>
    <n v="1634.86"/>
    <n v="0.1186"/>
    <n v="24"/>
    <n v="34583.174496"/>
    <n v="15874.800000000001"/>
    <n v="18708.374495999997"/>
    <n v="0.54096753027007016"/>
    <s v="Q3-2023"/>
    <s v="Africa → Kenya → Nairobi"/>
    <s v="Medium"/>
  </r>
  <r>
    <s v="ORD-2023-594700"/>
    <d v="2023-07-18T00:00:00"/>
    <d v="2023-07-22T00:00:00"/>
    <d v="2023-07-18T00:00:00"/>
    <d v="2023-07-22T00:00:00"/>
    <n v="4"/>
    <x v="23"/>
    <s v="Americas"/>
    <x v="5"/>
    <s v="São Paulo"/>
    <s v="Consumer"/>
    <s v="Direct"/>
    <s v="F. Müller"/>
    <x v="2"/>
    <x v="71"/>
    <n v="1269.55"/>
    <n v="2071.1"/>
    <n v="0.129"/>
    <n v="22"/>
    <n v="39686.4182"/>
    <n v="27930.1"/>
    <n v="11756.318200000002"/>
    <n v="0.29623026549672354"/>
    <s v="Q3-2023"/>
    <s v="Americas → Brazil → São Paulo"/>
    <s v="High"/>
  </r>
  <r>
    <s v="ORD-2024-939873"/>
    <d v="2024-04-12T00:00:00"/>
    <d v="2024-05-07T00:00:00"/>
    <d v="2024-04-12T00:00:00"/>
    <d v="2024-05-07T00:00:00"/>
    <n v="25"/>
    <x v="20"/>
    <s v="Africa"/>
    <x v="10"/>
    <s v="Johannesburg"/>
    <s v="Education"/>
    <s v="Distributor"/>
    <s v="A. Patel"/>
    <x v="4"/>
    <x v="72"/>
    <n v="1376.51"/>
    <n v="1455.91"/>
    <n v="0.185"/>
    <n v="17"/>
    <n v="20171.63305"/>
    <n v="23400.67"/>
    <n v="-3229.0369499999979"/>
    <n v="-0.1600781127634085"/>
    <s v="Q2-2024"/>
    <s v="Africa → South Africa → Johannesburg"/>
    <s v="Medium"/>
  </r>
  <r>
    <s v="ORD-2024-800947"/>
    <d v="2024-12-15T00:00:00"/>
    <d v="2024-12-20T00:00:00"/>
    <d v="2024-12-15T00:00:00"/>
    <d v="2024-12-20T00:00:00"/>
    <n v="5"/>
    <x v="6"/>
    <s v="Asia"/>
    <x v="8"/>
    <s v="Shenzhen"/>
    <s v="Small Business"/>
    <s v="Direct"/>
    <s v="J. Njeri"/>
    <x v="2"/>
    <x v="73"/>
    <n v="717.55"/>
    <n v="546.42999999999995"/>
    <n v="4.7E-2"/>
    <n v="18"/>
    <n v="9373.460219999999"/>
    <n v="12915.9"/>
    <n v="-3542.4397800000006"/>
    <n v="-0.37792231437026369"/>
    <s v="Q4-2024"/>
    <s v="Asia → China → Shenzhen"/>
    <s v="Low"/>
  </r>
  <r>
    <s v="ORD-2023-382272"/>
    <d v="2023-05-20T00:00:00"/>
    <d v="2023-05-18T00:00:00"/>
    <d v="2023-05-18T00:00:00"/>
    <d v="2023-05-20T00:00:00"/>
    <n v="2"/>
    <x v="15"/>
    <s v="Africa"/>
    <x v="10"/>
    <s v="Durban"/>
    <s v="Corporate"/>
    <s v="Distributor"/>
    <s v="A. Patel"/>
    <x v="0"/>
    <x v="74"/>
    <n v="917.88"/>
    <n v="1347.92"/>
    <n v="0.1186"/>
    <n v="5"/>
    <n v="5940.2834400000002"/>
    <n v="4589.3999999999996"/>
    <n v="1350.8834400000005"/>
    <n v="0.22741060315465358"/>
    <s v="Q2-2023"/>
    <s v="Africa → South Africa → Durban"/>
    <s v="Medium"/>
  </r>
  <r>
    <s v="ORD-2023-722117"/>
    <d v="2023-09-18T00:00:00"/>
    <d v="2023-10-08T00:00:00"/>
    <d v="2023-09-18T00:00:00"/>
    <d v="2023-10-08T00:00:00"/>
    <n v="20"/>
    <x v="26"/>
    <s v="Asia"/>
    <x v="4"/>
    <s v="Delhi"/>
    <s v="Small Business"/>
    <s v="Direct"/>
    <s v="B. Chen"/>
    <x v="0"/>
    <x v="75"/>
    <n v="825.64"/>
    <n v="1108.43"/>
    <n v="0.114"/>
    <n v="7"/>
    <n v="6874.4828600000001"/>
    <n v="5779.48"/>
    <n v="1095.0028600000005"/>
    <n v="0.15928512475773349"/>
    <s v="Q3-2023"/>
    <s v="Asia → India → Delhi"/>
    <s v="Low"/>
  </r>
  <r>
    <s v="ORD-2023-825836"/>
    <d v="2023-07-19T00:00:00"/>
    <d v="2023-07-31T00:00:00"/>
    <d v="2023-07-19T00:00:00"/>
    <d v="2023-07-31T00:00:00"/>
    <n v="12"/>
    <x v="23"/>
    <s v="Americas"/>
    <x v="5"/>
    <s v="Rio de Janeiro"/>
    <s v="Corporate"/>
    <s v="Retail"/>
    <s v="C. Otieno"/>
    <x v="5"/>
    <x v="76"/>
    <n v="1334.64"/>
    <n v="2273.42"/>
    <n v="0.11799999999999999"/>
    <n v="14"/>
    <n v="28072.190160000002"/>
    <n v="18684.960000000003"/>
    <n v="9387.2301599999992"/>
    <n v="0.33439607335575267"/>
    <s v="Q3-2023"/>
    <s v="Americas → Brazil → Rio de Janeiro"/>
    <s v="High"/>
  </r>
  <r>
    <s v="ORD-2024-638884"/>
    <d v="2024-05-28T00:00:00"/>
    <d v="2024-05-26T00:00:00"/>
    <d v="2024-05-26T00:00:00"/>
    <d v="2024-05-28T00:00:00"/>
    <n v="2"/>
    <x v="7"/>
    <s v="Africa"/>
    <x v="1"/>
    <s v="Abuja"/>
    <s v="Enterprise"/>
    <s v="Online"/>
    <s v="F. Müller"/>
    <x v="6"/>
    <x v="77"/>
    <n v="1227.08"/>
    <n v="1896.62"/>
    <n v="0"/>
    <n v="18"/>
    <n v="34139.159999999996"/>
    <n v="22087.439999999999"/>
    <n v="12051.719999999998"/>
    <n v="0.353017473189147"/>
    <s v="Q2-2024"/>
    <s v="Africa → Nigeria → Abuja"/>
    <s v="Medium"/>
  </r>
  <r>
    <s v="ORD-2023-290279"/>
    <d v="2023-06-14T00:00:00"/>
    <d v="2023-06-16T00:00:00"/>
    <d v="2023-06-14T00:00:00"/>
    <d v="2023-06-16T00:00:00"/>
    <n v="2"/>
    <x v="16"/>
    <s v="Europe"/>
    <x v="7"/>
    <s v="Manchester"/>
    <s v="Non-Profit"/>
    <s v="Direct"/>
    <s v="K. Singh"/>
    <x v="0"/>
    <x v="78"/>
    <n v="357.36"/>
    <n v="703.62"/>
    <n v="0.25700000000000001"/>
    <n v="20"/>
    <n v="10455.7932"/>
    <n v="7147.2000000000007"/>
    <n v="3308.5931999999993"/>
    <n v="0.31643636563125593"/>
    <s v="Q2-2023"/>
    <s v="Europe → United Kingdom → Manchester"/>
    <s v="Low"/>
  </r>
  <r>
    <s v="ORD-2024-192263"/>
    <d v="2024-11-21T00:00:00"/>
    <d v="2024-12-21T00:00:00"/>
    <d v="2024-11-21T00:00:00"/>
    <d v="2024-12-21T00:00:00"/>
    <n v="30"/>
    <x v="17"/>
    <s v="Europe"/>
    <x v="6"/>
    <s v="Marseille"/>
    <s v="Small Business"/>
    <s v="Direct"/>
    <s v="I. Johnson"/>
    <x v="5"/>
    <x v="79"/>
    <n v="1122.68"/>
    <n v="1997.19"/>
    <n v="0.186"/>
    <n v="3"/>
    <n v="4877.1379800000004"/>
    <n v="3368.04"/>
    <n v="1509.0979800000005"/>
    <n v="0.30942285951073306"/>
    <s v="Q4-2024"/>
    <s v="Europe → France → Marseille"/>
    <s v="High"/>
  </r>
  <r>
    <s v="ORD-2023-159379"/>
    <d v="2023-02-08T00:00:00"/>
    <d v="2023-02-11T00:00:00"/>
    <d v="2023-02-08T00:00:00"/>
    <d v="2023-02-11T00:00:00"/>
    <n v="3"/>
    <x v="2"/>
    <s v="Africa"/>
    <x v="10"/>
    <s v="Cape Town"/>
    <s v="Corporate"/>
    <s v="Direct"/>
    <s v="M. Rossi"/>
    <x v="2"/>
    <x v="80"/>
    <n v="1410.05"/>
    <n v="2763.95"/>
    <n v="0.161"/>
    <n v="26"/>
    <n v="60292.805299999993"/>
    <n v="36661.299999999996"/>
    <n v="23631.505299999997"/>
    <n v="0.39194569206750779"/>
    <s v="Q1-2023"/>
    <s v="Africa → South Africa → Cape Town"/>
    <s v="High"/>
  </r>
  <r>
    <s v="ORD-2023-343322"/>
    <d v="2023-08-19T00:00:00"/>
    <d v="2023-09-12T00:00:00"/>
    <d v="2023-08-19T00:00:00"/>
    <d v="2023-09-12T00:00:00"/>
    <n v="24"/>
    <x v="24"/>
    <s v="Americas"/>
    <x v="3"/>
    <s v="Vancouver"/>
    <s v="Enterprise"/>
    <s v="Retail"/>
    <s v="I. Johnson"/>
    <x v="1"/>
    <x v="81"/>
    <n v="1183.95"/>
    <n v="1503.53"/>
    <n v="0.24099999999999999"/>
    <n v="16"/>
    <n v="18258.868320000001"/>
    <n v="18943.2"/>
    <n v="-684.33167999999932"/>
    <n v="-3.7479413729623705E-2"/>
    <s v="Q3-2023"/>
    <s v="Americas → Canada → Vancouver"/>
    <s v="Medium"/>
  </r>
  <r>
    <s v="ORD-2025-114382"/>
    <d v="2025-05-14T00:00:00"/>
    <d v="2025-05-24T00:00:00"/>
    <d v="2025-05-14T00:00:00"/>
    <d v="2025-05-24T00:00:00"/>
    <n v="10"/>
    <x v="14"/>
    <s v="Europe"/>
    <x v="6"/>
    <s v="Paris"/>
    <s v="Small Business"/>
    <s v="Marketplace"/>
    <s v="K. Singh"/>
    <x v="0"/>
    <x v="82"/>
    <n v="170.39"/>
    <n v="388.04"/>
    <n v="8.4000000000000005E-2"/>
    <n v="15"/>
    <n v="5331.6696000000002"/>
    <n v="2555.85"/>
    <n v="2775.8196000000003"/>
    <n v="0.52062858508711796"/>
    <s v="Q2-2025"/>
    <s v="Europe → France → Paris"/>
    <s v="Low"/>
  </r>
  <r>
    <s v="ORD-2025-488349"/>
    <d v="2025-04-23T00:00:00"/>
    <d v="2025-04-22T00:00:00"/>
    <d v="2025-04-22T00:00:00"/>
    <d v="2025-04-23T00:00:00"/>
    <n v="1"/>
    <x v="18"/>
    <s v="Americas"/>
    <x v="9"/>
    <s v="San Francisco"/>
    <s v="Non-Profit"/>
    <s v="Distributor"/>
    <s v="D. Smith"/>
    <x v="5"/>
    <x v="83"/>
    <n v="23.24"/>
    <n v="44.57"/>
    <n v="0.215"/>
    <n v="15"/>
    <n v="524.81174999999996"/>
    <n v="348.59999999999997"/>
    <n v="176.21174999999999"/>
    <n v="0.33576182316802167"/>
    <s v="Q2-2025"/>
    <s v="Americas → USA → San Francisco"/>
    <s v="Low"/>
  </r>
  <r>
    <s v="ORD-2025-330203"/>
    <d v="2025-03-25T00:00:00"/>
    <d v="2025-04-17T00:00:00"/>
    <d v="2025-03-25T00:00:00"/>
    <d v="2025-04-17T00:00:00"/>
    <n v="23"/>
    <x v="3"/>
    <s v="Europe"/>
    <x v="7"/>
    <s v="London"/>
    <s v="Consumer"/>
    <s v="Retail"/>
    <s v="H. Kim"/>
    <x v="2"/>
    <x v="84"/>
    <n v="1421.19"/>
    <n v="1808.26"/>
    <n v="0.104"/>
    <n v="13"/>
    <n v="21062.61248"/>
    <n v="18475.47"/>
    <n v="2587.1424799999986"/>
    <n v="0.12283103449093123"/>
    <s v="Q1-2025"/>
    <s v="Europe → United Kingdom → London"/>
    <s v="Medium"/>
  </r>
  <r>
    <s v="ORD-2023-841426"/>
    <d v="2023-12-22T00:00:00"/>
    <d v="2023-12-23T00:00:00"/>
    <d v="2023-12-22T00:00:00"/>
    <d v="2023-12-23T00:00:00"/>
    <n v="1"/>
    <x v="4"/>
    <s v="Africa"/>
    <x v="10"/>
    <s v="Cape Town"/>
    <s v="Non-Profit"/>
    <s v="Marketplace"/>
    <s v="D. Smith"/>
    <x v="0"/>
    <x v="85"/>
    <n v="1186.18"/>
    <n v="1285.0899999999999"/>
    <n v="7.0000000000000007E-2"/>
    <n v="11"/>
    <n v="13146.470699999998"/>
    <n v="13047.980000000001"/>
    <n v="98.49069999999665"/>
    <n v="7.4917977796121861E-3"/>
    <s v="Q4-2023"/>
    <s v="Africa → South Africa → Cape Town"/>
    <s v="Medium"/>
  </r>
  <r>
    <s v="ORD-2024-594592"/>
    <d v="2024-04-06T00:00:00"/>
    <d v="2024-04-25T00:00:00"/>
    <d v="2024-04-06T00:00:00"/>
    <d v="2024-04-25T00:00:00"/>
    <n v="19"/>
    <x v="20"/>
    <s v="Asia"/>
    <x v="8"/>
    <s v="Shanghai"/>
    <s v="Corporate"/>
    <s v="Retail"/>
    <s v="K. Singh"/>
    <x v="0"/>
    <x v="86"/>
    <n v="1366.48"/>
    <n v="1678.14"/>
    <n v="0.154"/>
    <n v="10"/>
    <n v="14197.064400000001"/>
    <n v="13664.8"/>
    <n v="532.26440000000184"/>
    <n v="3.7491159087790132E-2"/>
    <s v="Q2-2024"/>
    <s v="Asia → China → Shanghai"/>
    <s v="Medium"/>
  </r>
  <r>
    <s v="ORD-2025-863978"/>
    <d v="2025-08-07T00:00:00"/>
    <d v="2025-08-19T00:00:00"/>
    <d v="2025-08-07T00:00:00"/>
    <d v="2025-08-19T00:00:00"/>
    <n v="12"/>
    <x v="27"/>
    <s v="Africa"/>
    <x v="0"/>
    <s v="Nakuru"/>
    <s v="Corporate"/>
    <s v="Unknown Channel"/>
    <s v="M. Rossi"/>
    <x v="0"/>
    <x v="87"/>
    <n v="601.51"/>
    <n v="679.35"/>
    <n v="0.188"/>
    <n v="3"/>
    <n v="1654.8966000000003"/>
    <n v="1804.53"/>
    <n v="-149.63339999999971"/>
    <n v="-9.0418579626062243E-2"/>
    <s v="Q3-2025"/>
    <s v="Africa → Kenya → Nakuru"/>
    <s v="Low"/>
  </r>
  <r>
    <s v="ORD-2024-604471"/>
    <d v="2024-01-21T00:00:00"/>
    <d v="2024-01-25T00:00:00"/>
    <d v="2024-01-21T00:00:00"/>
    <d v="2024-01-25T00:00:00"/>
    <n v="4"/>
    <x v="10"/>
    <s v="Asia"/>
    <x v="4"/>
    <s v="Delhi"/>
    <s v="Consumer"/>
    <s v="Direct"/>
    <s v="C. Otieno"/>
    <x v="5"/>
    <x v="88"/>
    <n v="523.70000000000005"/>
    <n v="1109.92"/>
    <n v="0.03"/>
    <n v="11"/>
    <n v="11842.8464"/>
    <n v="5760.7000000000007"/>
    <n v="6082.1463999999996"/>
    <n v="0.51357133197302973"/>
    <s v="Q1-2024"/>
    <s v="Asia → India → Delhi"/>
    <s v="Low"/>
  </r>
  <r>
    <s v="ORD-2023-258768"/>
    <d v="2023-06-29T00:00:00"/>
    <d v="2023-07-02T00:00:00"/>
    <d v="2023-06-29T00:00:00"/>
    <d v="2023-07-02T00:00:00"/>
    <n v="3"/>
    <x v="16"/>
    <s v="Asia"/>
    <x v="2"/>
    <s v="Nagoya"/>
    <s v="Education"/>
    <s v="Marketplace"/>
    <s v="F. Müller"/>
    <x v="5"/>
    <x v="89"/>
    <n v="55.65"/>
    <n v="83.57"/>
    <n v="6.6000000000000003E-2"/>
    <n v="8"/>
    <n v="624.43503999999996"/>
    <n v="445.2"/>
    <n v="179.23503999999997"/>
    <n v="0.2870355257449998"/>
    <s v="Q2-2023"/>
    <s v="Asia → Japan → Nagoya"/>
    <s v="Low"/>
  </r>
  <r>
    <s v="ORD-2025-626047"/>
    <d v="2025-04-28T00:00:00"/>
    <d v="2025-05-15T00:00:00"/>
    <d v="2025-04-28T00:00:00"/>
    <d v="2025-05-15T00:00:00"/>
    <n v="17"/>
    <x v="18"/>
    <s v="Asia"/>
    <x v="2"/>
    <s v="Nagoya"/>
    <s v="Education"/>
    <s v="Direct"/>
    <s v="N. Brown"/>
    <x v="2"/>
    <x v="90"/>
    <n v="691.19"/>
    <n v="1284.3"/>
    <n v="7.3999999999999996E-2"/>
    <n v="7"/>
    <n v="8324.8326000000015"/>
    <n v="4838.33"/>
    <n v="3486.5026000000016"/>
    <n v="0.41880753253825198"/>
    <s v="Q2-2025"/>
    <s v="Asia → Japan → Nagoya"/>
    <s v="Medium"/>
  </r>
  <r>
    <s v="ORD-2025-526752"/>
    <d v="2025-06-09T00:00:00"/>
    <d v="2025-06-25T00:00:00"/>
    <d v="2025-06-09T00:00:00"/>
    <d v="2025-06-25T00:00:00"/>
    <n v="16"/>
    <x v="22"/>
    <s v="Asia"/>
    <x v="4"/>
    <s v="Hyderabad"/>
    <s v="Enterprise"/>
    <s v="Distributor"/>
    <s v="M. Rossi"/>
    <x v="3"/>
    <x v="91"/>
    <n v="527.33000000000004"/>
    <n v="911.72"/>
    <n v="0.14399999999999999"/>
    <n v="25"/>
    <n v="19510.808000000001"/>
    <n v="13183.250000000002"/>
    <n v="6327.5579999999991"/>
    <n v="0.32431040272652978"/>
    <s v="Q2-2025"/>
    <s v="Asia → India → Hyderabad"/>
    <s v="Low"/>
  </r>
  <r>
    <s v="ORD-2023-630430"/>
    <d v="2023-08-04T00:00:00"/>
    <d v="2023-08-24T00:00:00"/>
    <d v="2023-08-04T00:00:00"/>
    <d v="2023-08-24T00:00:00"/>
    <n v="20"/>
    <x v="24"/>
    <s v="Americas"/>
    <x v="5"/>
    <s v="Brasília"/>
    <s v="Non-Profit"/>
    <s v="Direct"/>
    <s v="Unknown Salesperson"/>
    <x v="2"/>
    <x v="92"/>
    <n v="582.88"/>
    <n v="1044.1400000000001"/>
    <n v="0.216"/>
    <n v="10"/>
    <n v="8186.057600000001"/>
    <n v="5828.8"/>
    <n v="2357.2576000000008"/>
    <n v="0.28796005539956138"/>
    <s v="Q3-2023"/>
    <s v="Americas → Brazil → Brasília"/>
    <s v="Low"/>
  </r>
  <r>
    <s v="ORD-2024-451005"/>
    <d v="2024-06-30T00:00:00"/>
    <d v="2024-06-28T00:00:00"/>
    <d v="2024-06-28T00:00:00"/>
    <d v="2024-06-30T00:00:00"/>
    <n v="2"/>
    <x v="25"/>
    <s v="Americas"/>
    <x v="5"/>
    <s v="Rio de Janeiro"/>
    <s v="Small Business"/>
    <s v="Direct"/>
    <s v="L. Okafor"/>
    <x v="6"/>
    <x v="93"/>
    <n v="1112.98"/>
    <n v="2095.73"/>
    <n v="7.1999999999999995E-2"/>
    <n v="17"/>
    <n v="33062.236480000007"/>
    <n v="18920.66"/>
    <n v="14141.576480000007"/>
    <n v="0.42772594916724777"/>
    <s v="Q2-2024"/>
    <s v="Americas → Brazil → Rio de Janeiro"/>
    <s v="High"/>
  </r>
  <r>
    <s v="ORD-2025-725646"/>
    <d v="2025-09-10T00:00:00"/>
    <d v="2025-09-30T00:00:00"/>
    <d v="2025-09-10T00:00:00"/>
    <d v="2025-09-30T00:00:00"/>
    <n v="20"/>
    <x v="13"/>
    <s v="Africa"/>
    <x v="0"/>
    <s v="Mombasa"/>
    <s v="Corporate"/>
    <s v="Direct"/>
    <s v="L. Okafor"/>
    <x v="3"/>
    <x v="94"/>
    <n v="1009.48"/>
    <n v="1088.81"/>
    <n v="0.16"/>
    <n v="6"/>
    <n v="5487.6023999999998"/>
    <n v="6056.88"/>
    <n v="-569.27760000000035"/>
    <n v="-0.10373885688219693"/>
    <s v="Q3-2025"/>
    <s v="Africa → Kenya → Mombasa"/>
    <s v="Low"/>
  </r>
  <r>
    <s v="ORD-2023-868734"/>
    <d v="2023-04-06T00:00:00"/>
    <d v="2023-04-27T00:00:00"/>
    <d v="2023-04-06T00:00:00"/>
    <d v="2023-04-27T00:00:00"/>
    <n v="21"/>
    <x v="12"/>
    <s v="Europe"/>
    <x v="7"/>
    <s v="Manchester"/>
    <s v="Enterprise"/>
    <s v="Distributor"/>
    <s v="I. Johnson"/>
    <x v="1"/>
    <x v="95"/>
    <n v="1084.79"/>
    <n v="2484.9899999999998"/>
    <n v="3.4000000000000002E-2"/>
    <n v="18"/>
    <n v="43209.006119999991"/>
    <n v="19526.22"/>
    <n v="23682.78611999999"/>
    <n v="0.54809837685755114"/>
    <s v="Q2-2023"/>
    <s v="Europe → United Kingdom → Manchester"/>
    <s v="High"/>
  </r>
  <r>
    <s v="ORD-2025-262491"/>
    <d v="2025-08-01T00:00:00"/>
    <d v="2025-08-16T00:00:00"/>
    <d v="2025-08-01T00:00:00"/>
    <d v="2025-08-16T00:00:00"/>
    <n v="15"/>
    <x v="27"/>
    <s v="Asia"/>
    <x v="4"/>
    <s v="Unknown City"/>
    <s v="Enterprise"/>
    <s v="Direct"/>
    <s v="O. Wang"/>
    <x v="5"/>
    <x v="96"/>
    <n v="24.44"/>
    <n v="28.69"/>
    <n v="0.14599999999999999"/>
    <n v="6"/>
    <n v="147.00756000000001"/>
    <n v="146.64000000000001"/>
    <n v="0.36755999999999744"/>
    <n v="2.5002795774584476E-3"/>
    <s v="Q3-2025"/>
    <s v="Asia → India → Unknown City"/>
    <s v="Low"/>
  </r>
  <r>
    <s v="ORD-2023-912395"/>
    <d v="2023-07-26T00:00:00"/>
    <d v="2023-08-25T00:00:00"/>
    <d v="2023-07-26T00:00:00"/>
    <d v="2023-08-25T00:00:00"/>
    <n v="30"/>
    <x v="23"/>
    <s v="Americas"/>
    <x v="9"/>
    <s v="New York"/>
    <s v="Consumer"/>
    <s v="Retail"/>
    <s v="M. Rossi"/>
    <x v="6"/>
    <x v="97"/>
    <n v="1261.48"/>
    <n v="1643.18"/>
    <n v="0.151"/>
    <n v="23"/>
    <n v="32086.37586"/>
    <n v="29014.04"/>
    <n v="3072.3358599999992"/>
    <n v="9.5752037357079045E-2"/>
    <s v="Q3-2023"/>
    <s v="Americas → USA → New York"/>
    <s v="Medium"/>
  </r>
  <r>
    <s v="ORD-2025-541501"/>
    <d v="2025-07-22T00:00:00"/>
    <d v="2025-08-18T00:00:00"/>
    <d v="2025-07-22T00:00:00"/>
    <d v="2025-08-18T00:00:00"/>
    <n v="27"/>
    <x v="19"/>
    <s v="Asia"/>
    <x v="8"/>
    <s v="Shenzhen"/>
    <s v="Non-Profit"/>
    <s v="Marketplace"/>
    <s v="M. Rossi"/>
    <x v="2"/>
    <x v="98"/>
    <n v="547.32000000000005"/>
    <n v="419.17"/>
    <n v="9.1999999999999998E-2"/>
    <n v="14"/>
    <n v="5328.4890400000004"/>
    <n v="7662.4800000000005"/>
    <n v="-2333.9909600000001"/>
    <n v="-0.43802116181137907"/>
    <s v="Q3-2025"/>
    <s v="Asia → China → Shenzhen"/>
    <s v="Low"/>
  </r>
  <r>
    <s v="ORD-2023-422918"/>
    <d v="2023-02-28T00:00:00"/>
    <d v="2023-03-20T00:00:00"/>
    <d v="2023-02-28T00:00:00"/>
    <d v="2023-03-20T00:00:00"/>
    <n v="20"/>
    <x v="2"/>
    <s v="Europe"/>
    <x v="11"/>
    <s v="Berlin"/>
    <s v="Small Business"/>
    <s v="Direct"/>
    <s v="H. Kim"/>
    <x v="4"/>
    <x v="99"/>
    <n v="1200.78"/>
    <n v="2001.17"/>
    <n v="0.29199999999999998"/>
    <n v="18"/>
    <n v="25502.910479999999"/>
    <n v="21614.04"/>
    <n v="3888.8704799999978"/>
    <n v="0.15248732034132906"/>
    <s v="Q1-2023"/>
    <s v="Europe → Germany → Berlin"/>
    <s v="High"/>
  </r>
  <r>
    <s v="ORD-2025-328504"/>
    <d v="2025-01-27T00:00:00"/>
    <d v="2025-02-15T00:00:00"/>
    <d v="2025-01-27T00:00:00"/>
    <d v="2025-02-15T00:00:00"/>
    <n v="19"/>
    <x v="9"/>
    <s v="Asia"/>
    <x v="8"/>
    <s v="Shenzhen"/>
    <s v="Non-Profit"/>
    <s v="Direct"/>
    <s v="L. Okafor"/>
    <x v="3"/>
    <x v="100"/>
    <n v="1253.22"/>
    <n v="3104.71"/>
    <n v="0"/>
    <n v="17"/>
    <n v="52780.07"/>
    <n v="21304.74"/>
    <n v="31475.329999999998"/>
    <n v="0.59634877331538205"/>
    <s v="Q1-2025"/>
    <s v="Asia → China → Shenzhen"/>
    <s v="High"/>
  </r>
  <r>
    <s v="ORD-2024-851883"/>
    <d v="2024-01-13T00:00:00"/>
    <d v="2024-01-22T00:00:00"/>
    <d v="2024-01-13T00:00:00"/>
    <d v="2024-01-22T00:00:00"/>
    <n v="9"/>
    <x v="10"/>
    <s v="Asia"/>
    <x v="4"/>
    <s v="Mumbai"/>
    <s v="Enterprise"/>
    <s v="Marketplace"/>
    <s v="J. Njeri"/>
    <x v="0"/>
    <x v="101"/>
    <n v="313.60000000000002"/>
    <n v="334.28"/>
    <n v="0.14000000000000001"/>
    <n v="22"/>
    <n v="6324.5775999999996"/>
    <n v="6899.2000000000007"/>
    <n v="-574.62240000000111"/>
    <n v="-9.0855458868905517E-2"/>
    <s v="Q1-2024"/>
    <s v="Asia → India → Mumbai"/>
    <s v="Low"/>
  </r>
  <r>
    <s v="ORD-2025-662997"/>
    <d v="2025-03-31T00:00:00"/>
    <d v="2025-04-04T00:00:00"/>
    <d v="2025-03-31T00:00:00"/>
    <d v="2025-04-04T00:00:00"/>
    <n v="4"/>
    <x v="3"/>
    <s v="Africa"/>
    <x v="0"/>
    <s v="Nakuru"/>
    <s v="Corporate"/>
    <s v="Direct"/>
    <s v="C. Otieno"/>
    <x v="4"/>
    <x v="102"/>
    <n v="862.08"/>
    <n v="1952.83"/>
    <n v="0"/>
    <n v="7"/>
    <n v="13669.81"/>
    <n v="6034.56"/>
    <n v="7635.2499999999991"/>
    <n v="0.5585483631447693"/>
    <s v="Q1-2025"/>
    <s v="Africa → Kenya → Nakuru"/>
    <s v="High"/>
  </r>
  <r>
    <s v="ORD-2023-842820"/>
    <d v="2023-09-20T00:00:00"/>
    <d v="2023-09-28T00:00:00"/>
    <d v="2023-09-20T00:00:00"/>
    <d v="2023-09-28T00:00:00"/>
    <n v="8"/>
    <x v="26"/>
    <s v="Asia"/>
    <x v="4"/>
    <s v="Unknown City"/>
    <s v="Corporate"/>
    <s v="Unknown Channel"/>
    <s v="B. Chen"/>
    <x v="6"/>
    <x v="103"/>
    <n v="1362.06"/>
    <n v="3398.37"/>
    <n v="0.157"/>
    <n v="11"/>
    <n v="31513.085009999999"/>
    <n v="14982.66"/>
    <n v="16530.425009999999"/>
    <n v="0.52455749745714919"/>
    <s v="Q3-2023"/>
    <s v="Asia → India → Unknown City"/>
    <s v="High"/>
  </r>
  <r>
    <s v="ORD-2024-771210"/>
    <d v="2024-09-14T00:00:00"/>
    <d v="2024-10-05T00:00:00"/>
    <d v="2024-09-14T00:00:00"/>
    <d v="2024-10-05T00:00:00"/>
    <n v="21"/>
    <x v="28"/>
    <s v="Asia"/>
    <x v="8"/>
    <s v="Shanghai"/>
    <s v="Small Business"/>
    <s v="Online"/>
    <s v="H. Kim"/>
    <x v="4"/>
    <x v="104"/>
    <n v="1405.56"/>
    <n v="2968.87"/>
    <n v="0.16900000000000001"/>
    <n v="5"/>
    <n v="12335.654849999999"/>
    <n v="7027.7999999999993"/>
    <n v="5307.8548499999997"/>
    <n v="0.4302856163327235"/>
    <s v="Q3-2024"/>
    <s v="Asia → China → Shanghai"/>
    <s v="High"/>
  </r>
  <r>
    <s v="ORD-2024-155337"/>
    <d v="2024-05-21T00:00:00"/>
    <d v="2024-05-27T00:00:00"/>
    <d v="2024-05-21T00:00:00"/>
    <d v="2024-05-27T00:00:00"/>
    <n v="6"/>
    <x v="7"/>
    <s v="Africa"/>
    <x v="10"/>
    <s v="Johannesburg"/>
    <s v="Non-Profit"/>
    <s v="Online"/>
    <s v="M. Rossi"/>
    <x v="0"/>
    <x v="105"/>
    <n v="1157.51"/>
    <n v="1394.3"/>
    <n v="0.27800000000000002"/>
    <n v="12"/>
    <n v="12080.215199999999"/>
    <n v="13890.119999999999"/>
    <n v="-1809.9048000000003"/>
    <n v="-0.14982388724333326"/>
    <s v="Q2-2024"/>
    <s v="Africa → South Africa → Johannesburg"/>
    <s v="Medium"/>
  </r>
  <r>
    <s v="ORD-2023-251563"/>
    <d v="2023-05-11T00:00:00"/>
    <d v="2023-06-07T00:00:00"/>
    <d v="2023-05-11T00:00:00"/>
    <d v="2023-06-07T00:00:00"/>
    <n v="27"/>
    <x v="15"/>
    <s v="Africa"/>
    <x v="0"/>
    <s v="Mombasa"/>
    <s v="Corporate"/>
    <s v="Online"/>
    <s v="J. Njeri"/>
    <x v="3"/>
    <x v="106"/>
    <n v="12.85"/>
    <n v="15.41"/>
    <n v="0.13700000000000001"/>
    <n v="39"/>
    <n v="518.65436999999997"/>
    <n v="501.15"/>
    <n v="17.504369999999994"/>
    <n v="3.3749585489851353E-2"/>
    <s v="Q2-2023"/>
    <s v="Africa → Kenya → Mombasa"/>
    <s v="Low"/>
  </r>
  <r>
    <s v="ORD-2024-286833"/>
    <d v="2024-08-14T00:00:00"/>
    <d v="2024-09-04T00:00:00"/>
    <d v="2024-08-14T00:00:00"/>
    <d v="2024-09-04T00:00:00"/>
    <n v="21"/>
    <x v="21"/>
    <s v="Europe"/>
    <x v="7"/>
    <s v="Manchester"/>
    <s v="Non-Profit"/>
    <s v="Online"/>
    <s v="J. Njeri"/>
    <x v="3"/>
    <x v="107"/>
    <n v="1138.8"/>
    <n v="2250.81"/>
    <n v="0.123"/>
    <n v="12"/>
    <n v="23687.524440000001"/>
    <n v="13665.599999999999"/>
    <n v="10021.924440000003"/>
    <n v="0.42308872188756258"/>
    <s v="Q3-2024"/>
    <s v="Europe → United Kingdom → Manchester"/>
    <s v="High"/>
  </r>
  <r>
    <s v="ORD-2024-792558"/>
    <d v="2024-10-16T00:00:00"/>
    <d v="2024-11-08T00:00:00"/>
    <d v="2024-10-16T00:00:00"/>
    <d v="2024-11-08T00:00:00"/>
    <n v="23"/>
    <x v="1"/>
    <s v="Asia"/>
    <x v="2"/>
    <s v="Osaka"/>
    <s v="Small Business"/>
    <s v="Retail"/>
    <s v="J. Njeri"/>
    <x v="2"/>
    <x v="108"/>
    <n v="82.14"/>
    <n v="166.04"/>
    <n v="0"/>
    <n v="10"/>
    <n v="1660.3999999999999"/>
    <n v="821.4"/>
    <n v="838.99999999999989"/>
    <n v="0.50529992772825827"/>
    <s v="Q4-2024"/>
    <s v="Asia → Japan → Osaka"/>
    <s v="Low"/>
  </r>
  <r>
    <s v="ORD-2025-146850"/>
    <d v="2025-01-21T00:00:00"/>
    <d v="2025-02-14T00:00:00"/>
    <d v="2025-01-21T00:00:00"/>
    <d v="2025-02-14T00:00:00"/>
    <n v="24"/>
    <x v="9"/>
    <s v="Africa"/>
    <x v="0"/>
    <s v="Nairobi"/>
    <s v="Small Business"/>
    <s v="Retail"/>
    <s v="J. Njeri"/>
    <x v="6"/>
    <x v="109"/>
    <n v="1030.44"/>
    <n v="2562.84"/>
    <n v="0.14799999999999999"/>
    <n v="13"/>
    <n v="28386.015839999996"/>
    <n v="13395.720000000001"/>
    <n v="14990.295839999995"/>
    <n v="0.52808734852027039"/>
    <s v="Q1-2025"/>
    <s v="Africa → Kenya → Nairobi"/>
    <s v="High"/>
  </r>
  <r>
    <s v="ORD-2024-909942"/>
    <d v="2024-06-09T00:00:00"/>
    <d v="2024-07-07T00:00:00"/>
    <d v="2024-06-09T00:00:00"/>
    <d v="2024-07-07T00:00:00"/>
    <n v="28"/>
    <x v="25"/>
    <s v="Asia"/>
    <x v="8"/>
    <s v="Shenzhen"/>
    <s v="Corporate"/>
    <s v="Online"/>
    <s v="J. Njeri"/>
    <x v="0"/>
    <x v="110"/>
    <n v="550.22"/>
    <n v="1025.05"/>
    <n v="0"/>
    <n v="27"/>
    <n v="27676.35"/>
    <n v="14855.94"/>
    <n v="12820.409999999998"/>
    <n v="0.46322618408858102"/>
    <s v="Q2-2024"/>
    <s v="Asia → China → Shenzhen"/>
    <s v="Low"/>
  </r>
  <r>
    <s v="ORD-2024-223618"/>
    <d v="2024-06-10T00:00:00"/>
    <d v="2024-06-11T00:00:00"/>
    <d v="2024-06-10T00:00:00"/>
    <d v="2024-06-11T00:00:00"/>
    <n v="1"/>
    <x v="25"/>
    <s v="Europe"/>
    <x v="7"/>
    <s v="Birmingham"/>
    <s v="Small Business"/>
    <s v="Marketplace"/>
    <s v="M. Rossi"/>
    <x v="4"/>
    <x v="111"/>
    <n v="1187.1300000000001"/>
    <n v="1795.17"/>
    <n v="1.2E-2"/>
    <n v="17"/>
    <n v="30151.675319999998"/>
    <n v="20181.210000000003"/>
    <n v="9970.4653199999957"/>
    <n v="0.33067699271046663"/>
    <s v="Q2-2024"/>
    <s v="Europe → United Kingdom → Birmingham"/>
    <s v="Medium"/>
  </r>
  <r>
    <s v="ORD-2024-919471"/>
    <d v="2024-06-29T00:00:00"/>
    <d v="2024-07-26T00:00:00"/>
    <d v="2024-06-29T00:00:00"/>
    <d v="2024-07-26T00:00:00"/>
    <n v="27"/>
    <x v="25"/>
    <s v="Africa"/>
    <x v="10"/>
    <s v="Durban"/>
    <s v="Enterprise"/>
    <s v="Distributor"/>
    <s v="B. Chen"/>
    <x v="2"/>
    <x v="112"/>
    <n v="5.36"/>
    <n v="4.37"/>
    <n v="0.11799999999999999"/>
    <n v="9"/>
    <n v="34.689059999999998"/>
    <n v="48.24"/>
    <n v="-13.550940000000004"/>
    <n v="-0.39064016148030545"/>
    <s v="Q2-2024"/>
    <s v="Africa → South Africa → Durban"/>
    <s v="Low"/>
  </r>
  <r>
    <s v="ORD-2024-277241"/>
    <d v="2024-01-28T00:00:00"/>
    <d v="2024-01-30T00:00:00"/>
    <d v="2024-01-28T00:00:00"/>
    <d v="2024-01-30T00:00:00"/>
    <n v="2"/>
    <x v="10"/>
    <s v="Africa"/>
    <x v="10"/>
    <s v="Cape Town"/>
    <s v="Consumer"/>
    <s v="Direct"/>
    <s v="F. Müller"/>
    <x v="6"/>
    <x v="113"/>
    <n v="798.45"/>
    <n v="1592.02"/>
    <n v="6.6000000000000003E-2"/>
    <n v="18"/>
    <n v="26765.040239999998"/>
    <n v="14372.1"/>
    <n v="12392.940239999998"/>
    <n v="0.46302714768494585"/>
    <s v="Q1-2024"/>
    <s v="Africa → South Africa → Cape Town"/>
    <s v="Medium"/>
  </r>
  <r>
    <s v="ORD-2023-975863"/>
    <d v="2023-11-20T00:00:00"/>
    <d v="2023-12-05T00:00:00"/>
    <d v="2023-11-20T00:00:00"/>
    <d v="2023-12-05T00:00:00"/>
    <n v="15"/>
    <x v="29"/>
    <s v="Asia"/>
    <x v="2"/>
    <s v="Tokyo"/>
    <s v="Enterprise"/>
    <s v="Retail"/>
    <s v="L. Okafor"/>
    <x v="2"/>
    <x v="114"/>
    <n v="354.24"/>
    <n v="249.87"/>
    <n v="0"/>
    <n v="6"/>
    <n v="1499.22"/>
    <n v="2125.44"/>
    <n v="-626.22"/>
    <n v="-0.41769720254532355"/>
    <s v="Q4-2023"/>
    <s v="Asia → Japan → Tokyo"/>
    <s v="Low"/>
  </r>
  <r>
    <s v="ORD-2023-867175"/>
    <d v="2023-08-10T00:00:00"/>
    <d v="2023-08-15T00:00:00"/>
    <d v="2023-08-10T00:00:00"/>
    <d v="2023-08-15T00:00:00"/>
    <n v="5"/>
    <x v="24"/>
    <s v="Americas"/>
    <x v="5"/>
    <s v="São Paulo"/>
    <s v="Education"/>
    <s v="Direct"/>
    <s v="G. Dubois"/>
    <x v="2"/>
    <x v="115"/>
    <n v="1307.52"/>
    <n v="1921.65"/>
    <n v="0.123"/>
    <n v="13"/>
    <n v="21908.731650000002"/>
    <n v="16997.759999999998"/>
    <n v="4910.9716500000031"/>
    <n v="0.22415590863289445"/>
    <s v="Q3-2023"/>
    <s v="Americas → Brazil → São Paulo"/>
    <s v="High"/>
  </r>
  <r>
    <s v="ORD-2025-698069"/>
    <d v="2025-06-03T00:00:00"/>
    <d v="2025-06-10T00:00:00"/>
    <d v="2025-06-03T00:00:00"/>
    <d v="2025-06-10T00:00:00"/>
    <n v="7"/>
    <x v="22"/>
    <s v="Americas"/>
    <x v="3"/>
    <s v="Toronto"/>
    <s v="Consumer"/>
    <s v="Distributor"/>
    <s v="O. Wang"/>
    <x v="1"/>
    <x v="116"/>
    <n v="75.180000000000007"/>
    <n v="53.45"/>
    <n v="0.157"/>
    <n v="17"/>
    <n v="765.99195000000009"/>
    <n v="1278.0600000000002"/>
    <n v="-512.06805000000008"/>
    <n v="-0.66850317421743144"/>
    <s v="Q2-2025"/>
    <s v="Americas → Canada → Toronto"/>
    <s v="Low"/>
  </r>
  <r>
    <s v="ORD-2024-474999"/>
    <d v="2024-12-27T00:00:00"/>
    <d v="2025-01-02T00:00:00"/>
    <d v="2024-12-27T00:00:00"/>
    <d v="2025-01-02T00:00:00"/>
    <n v="6"/>
    <x v="6"/>
    <s v="Europe"/>
    <x v="11"/>
    <s v="Frankfurt"/>
    <s v="Education"/>
    <s v="Direct"/>
    <s v="F. Müller"/>
    <x v="4"/>
    <x v="117"/>
    <n v="1391.99"/>
    <n v="3469.7"/>
    <n v="0.184"/>
    <n v="23"/>
    <n v="65119.329599999997"/>
    <n v="32015.77"/>
    <n v="33103.559599999993"/>
    <n v="0.50835227886006973"/>
    <s v="Q4-2024"/>
    <s v="Europe → Germany → Frankfurt"/>
    <s v="High"/>
  </r>
  <r>
    <s v="ORD-2023-427304"/>
    <d v="2023-06-09T00:00:00"/>
    <d v="2023-06-19T00:00:00"/>
    <d v="2023-06-09T00:00:00"/>
    <d v="2023-06-19T00:00:00"/>
    <n v="10"/>
    <x v="16"/>
    <s v="Asia"/>
    <x v="8"/>
    <s v="Beijing"/>
    <s v="Enterprise"/>
    <s v="Retail"/>
    <s v="F. Müller"/>
    <x v="5"/>
    <x v="118"/>
    <n v="339.61"/>
    <n v="621.02"/>
    <n v="7.0999999999999994E-2"/>
    <n v="10"/>
    <n v="5769.2758000000003"/>
    <n v="3396.1000000000004"/>
    <n v="2373.1758"/>
    <n v="0.41134726129750981"/>
    <s v="Q2-2023"/>
    <s v="Asia → China → Beijing"/>
    <s v="Low"/>
  </r>
  <r>
    <s v="ORD-2025-956101"/>
    <d v="2025-07-09T00:00:00"/>
    <d v="2025-07-18T00:00:00"/>
    <d v="2025-07-09T00:00:00"/>
    <d v="2025-07-18T00:00:00"/>
    <n v="9"/>
    <x v="19"/>
    <s v="Americas"/>
    <x v="3"/>
    <s v="Vancouver"/>
    <s v="Education"/>
    <s v="Distributor"/>
    <s v="I. Johnson"/>
    <x v="4"/>
    <x v="119"/>
    <n v="57.96"/>
    <n v="88.51"/>
    <n v="4.2999999999999997E-2"/>
    <n v="7"/>
    <n v="592.92849000000001"/>
    <n v="405.72"/>
    <n v="187.20848999999998"/>
    <n v="0.3157353595877978"/>
    <s v="Q3-2025"/>
    <s v="Americas → Canada → Vancouver"/>
    <s v="Low"/>
  </r>
  <r>
    <s v="ORD-2025-184082"/>
    <d v="2025-06-19T00:00:00"/>
    <d v="2025-07-12T00:00:00"/>
    <d v="2025-06-19T00:00:00"/>
    <d v="2025-07-12T00:00:00"/>
    <n v="23"/>
    <x v="22"/>
    <s v="Europe"/>
    <x v="7"/>
    <s v="Unknown City"/>
    <s v="Non-Profit"/>
    <s v="Direct"/>
    <s v="Unknown Salesperson"/>
    <x v="2"/>
    <x v="120"/>
    <n v="801.24"/>
    <n v="1959.09"/>
    <n v="0.123"/>
    <n v="23"/>
    <n v="39516.804389999998"/>
    <n v="18428.52"/>
    <n v="21088.284389999997"/>
    <n v="0.53365358650651762"/>
    <s v="Q2-2025"/>
    <s v="Europe → United Kingdom → Unknown City"/>
    <s v="High"/>
  </r>
  <r>
    <s v="ORD-2023-576840"/>
    <d v="2023-11-19T00:00:00"/>
    <d v="2023-12-13T00:00:00"/>
    <d v="2023-11-19T00:00:00"/>
    <d v="2023-12-13T00:00:00"/>
    <n v="24"/>
    <x v="29"/>
    <s v="Europe"/>
    <x v="6"/>
    <s v="Lyon"/>
    <s v="Non-Profit"/>
    <s v="Direct"/>
    <s v="H. Kim"/>
    <x v="5"/>
    <x v="121"/>
    <n v="1297.42"/>
    <n v="2742.97"/>
    <n v="6.9000000000000006E-2"/>
    <n v="9"/>
    <n v="22983.34563"/>
    <n v="11676.78"/>
    <n v="11306.565629999999"/>
    <n v="0.49194602961727291"/>
    <s v="Q4-2023"/>
    <s v="Europe → France → Lyon"/>
    <s v="High"/>
  </r>
  <r>
    <s v="ORD-2023-178249"/>
    <d v="2023-12-29T00:00:00"/>
    <d v="2024-01-20T00:00:00"/>
    <d v="2023-12-29T00:00:00"/>
    <d v="2024-01-20T00:00:00"/>
    <n v="22"/>
    <x v="4"/>
    <s v="Africa"/>
    <x v="0"/>
    <s v="Kisumu"/>
    <s v="Corporate"/>
    <s v="Direct"/>
    <s v="L. Okafor"/>
    <x v="3"/>
    <x v="122"/>
    <n v="1395.49"/>
    <n v="1679.42"/>
    <n v="0.20300000000000001"/>
    <n v="12"/>
    <n v="16061.972879999999"/>
    <n v="16745.88"/>
    <n v="-683.90712000000167"/>
    <n v="-4.2579272490964493E-2"/>
    <s v="Q4-2023"/>
    <s v="Africa → Kenya → Kisumu"/>
    <s v="Medium"/>
  </r>
  <r>
    <s v="ORD-2023-552115"/>
    <d v="2023-09-17T00:00:00"/>
    <d v="2023-10-02T00:00:00"/>
    <d v="2023-09-17T00:00:00"/>
    <d v="2023-10-02T00:00:00"/>
    <n v="15"/>
    <x v="26"/>
    <s v="Americas"/>
    <x v="5"/>
    <s v="Rio de Janeiro"/>
    <s v="Small Business"/>
    <s v="Retail"/>
    <s v="B. Chen"/>
    <x v="4"/>
    <x v="123"/>
    <n v="689.33"/>
    <n v="668.27"/>
    <n v="0.186"/>
    <n v="13"/>
    <n v="7071.6331400000008"/>
    <n v="8961.2900000000009"/>
    <n v="-1889.6568600000001"/>
    <n v="-0.26721647214861033"/>
    <s v="Q3-2023"/>
    <s v="Americas → Brazil → Rio de Janeiro"/>
    <s v="Low"/>
  </r>
  <r>
    <s v="ORD-2023-603238"/>
    <d v="2023-08-21T00:00:00"/>
    <d v="2023-09-04T00:00:00"/>
    <d v="2023-08-21T00:00:00"/>
    <d v="2023-09-04T00:00:00"/>
    <n v="14"/>
    <x v="24"/>
    <s v="Americas"/>
    <x v="3"/>
    <s v="Montreal"/>
    <s v="Education"/>
    <s v="Distributor"/>
    <s v="F. Müller"/>
    <x v="0"/>
    <x v="124"/>
    <n v="178.19"/>
    <n v="284.43"/>
    <n v="8.8999999999999996E-2"/>
    <n v="8"/>
    <n v="2072.9258400000003"/>
    <n v="1425.52"/>
    <n v="647.40584000000035"/>
    <n v="0.31231500302972742"/>
    <s v="Q3-2023"/>
    <s v="Americas → Canada → Montreal"/>
    <s v="Low"/>
  </r>
  <r>
    <s v="ORD-2023-883066"/>
    <d v="2023-08-12T00:00:00"/>
    <d v="2023-09-06T00:00:00"/>
    <d v="2023-08-12T00:00:00"/>
    <d v="2023-09-06T00:00:00"/>
    <n v="25"/>
    <x v="24"/>
    <s v="Asia"/>
    <x v="8"/>
    <s v="Shanghai"/>
    <s v="Small Business"/>
    <s v="Retail"/>
    <s v="B. Chen"/>
    <x v="0"/>
    <x v="125"/>
    <n v="950.77"/>
    <n v="694.78"/>
    <n v="8.4000000000000005E-2"/>
    <n v="14"/>
    <n v="8909.8587200000002"/>
    <n v="13310.779999999999"/>
    <n v="-4400.9212799999987"/>
    <n v="-0.49393839097821279"/>
    <s v="Q3-2023"/>
    <s v="Asia → China → Shanghai"/>
    <s v="Low"/>
  </r>
  <r>
    <s v="ORD-2024-584090"/>
    <d v="2024-06-07T00:00:00"/>
    <d v="2024-06-26T00:00:00"/>
    <d v="2024-06-07T00:00:00"/>
    <d v="2024-06-26T00:00:00"/>
    <n v="19"/>
    <x v="25"/>
    <s v="Europe"/>
    <x v="11"/>
    <s v="Berlin"/>
    <s v="Non-Profit"/>
    <s v="Marketplace"/>
    <s v="M. Rossi"/>
    <x v="0"/>
    <x v="126"/>
    <n v="1064.32"/>
    <n v="1848.39"/>
    <n v="7.2999999999999995E-2"/>
    <n v="38"/>
    <n v="65111.38614000001"/>
    <n v="40444.159999999996"/>
    <n v="24667.226140000013"/>
    <n v="0.3788465827921631"/>
    <s v="Q2-2024"/>
    <s v="Europe → Germany → Berlin"/>
    <s v="Medium"/>
  </r>
  <r>
    <s v="ORD-2025-537785"/>
    <d v="2025-08-05T00:00:00"/>
    <d v="2025-08-14T00:00:00"/>
    <d v="2025-08-05T00:00:00"/>
    <d v="2025-08-14T00:00:00"/>
    <n v="9"/>
    <x v="27"/>
    <s v="Europe"/>
    <x v="7"/>
    <s v="London"/>
    <s v="Non-Profit"/>
    <s v="Direct"/>
    <s v="E. Garcia"/>
    <x v="0"/>
    <x v="127"/>
    <n v="41.76"/>
    <n v="45.19"/>
    <n v="0.17899999999999999"/>
    <n v="23"/>
    <n v="853.32276999999988"/>
    <n v="960.4799999999999"/>
    <n v="-107.15723000000003"/>
    <n v="-0.12557643340514638"/>
    <s v="Q3-2025"/>
    <s v="Europe → United Kingdom → London"/>
    <s v="Low"/>
  </r>
  <r>
    <s v="ORD-2024-605518"/>
    <d v="2024-05-30T00:00:00"/>
    <d v="2024-06-13T00:00:00"/>
    <d v="2024-05-30T00:00:00"/>
    <d v="2024-06-13T00:00:00"/>
    <n v="14"/>
    <x v="7"/>
    <s v="Americas"/>
    <x v="9"/>
    <s v="San Francisco"/>
    <s v="Small Business"/>
    <s v="Retail"/>
    <s v="F. Müller"/>
    <x v="3"/>
    <x v="128"/>
    <n v="157.78"/>
    <n v="361.1"/>
    <n v="0.187"/>
    <n v="9"/>
    <n v="2642.1686999999997"/>
    <n v="1420.02"/>
    <n v="1222.1486999999997"/>
    <n v="0.46255513510549112"/>
    <s v="Q2-2024"/>
    <s v="Americas → USA → San Francisco"/>
    <s v="Low"/>
  </r>
  <r>
    <s v="ORD-2023-521818"/>
    <d v="2023-01-22T00:00:00"/>
    <d v="2023-01-30T00:00:00"/>
    <d v="2023-01-22T00:00:00"/>
    <d v="2023-01-30T00:00:00"/>
    <n v="8"/>
    <x v="5"/>
    <s v="Americas"/>
    <x v="9"/>
    <s v="San Francisco"/>
    <s v="Small Business"/>
    <s v="Online"/>
    <s v="A. Patel"/>
    <x v="2"/>
    <x v="129"/>
    <n v="413.52"/>
    <n v="1004.34"/>
    <n v="0.111"/>
    <n v="18"/>
    <n v="16071.44868"/>
    <n v="7443.36"/>
    <n v="8628.0886800000007"/>
    <n v="0.53685817948304593"/>
    <s v="Q1-2023"/>
    <s v="Americas → USA → San Francisco"/>
    <s v="Low"/>
  </r>
  <r>
    <s v="ORD-2023-521818"/>
    <d v="2023-01-29T00:00:00"/>
    <d v="2023-02-28T00:00:00"/>
    <d v="2023-01-29T00:00:00"/>
    <d v="2023-02-28T00:00:00"/>
    <n v="30"/>
    <x v="5"/>
    <s v="Asia"/>
    <x v="4"/>
    <s v="Bengaluru"/>
    <s v="Non-Profit"/>
    <s v="Retail"/>
    <s v="B. Chen"/>
    <x v="6"/>
    <x v="130"/>
    <n v="1262.0999999999999"/>
    <n v="1395.53"/>
    <n v="0.23300000000000001"/>
    <n v="25"/>
    <n v="26759.28775"/>
    <n v="31552.499999999996"/>
    <n v="-4793.2122499999969"/>
    <n v="-0.17912331205452198"/>
    <s v="Q1-2023"/>
    <s v="Asia → India → Bengaluru"/>
    <s v="Medium"/>
  </r>
  <r>
    <s v="ORD-2023-479747"/>
    <d v="2023-07-14T00:00:00"/>
    <d v="2023-07-14T00:00:00"/>
    <d v="2023-07-14T00:00:00"/>
    <d v="2023-07-14T00:00:00"/>
    <n v="0"/>
    <x v="23"/>
    <s v="Africa"/>
    <x v="1"/>
    <s v="Lagos"/>
    <s v="Education"/>
    <s v="Retail"/>
    <s v="I. Johnson"/>
    <x v="6"/>
    <x v="131"/>
    <n v="956.38"/>
    <n v="1454.22"/>
    <n v="3.9E-2"/>
    <n v="19"/>
    <n v="26552.60298"/>
    <n v="18171.22"/>
    <n v="8381.3829799999985"/>
    <n v="0.31565202802576603"/>
    <s v="Q3-2023"/>
    <s v="Africa → Nigeria → Lagos"/>
    <s v="Medium"/>
  </r>
  <r>
    <s v="ORD-2023-430904"/>
    <d v="2023-01-27T00:00:00"/>
    <d v="2023-01-31T00:00:00"/>
    <d v="2023-01-27T00:00:00"/>
    <d v="2023-01-31T00:00:00"/>
    <n v="4"/>
    <x v="5"/>
    <s v="Europe"/>
    <x v="7"/>
    <s v="Manchester"/>
    <s v="Enterprise"/>
    <s v="Online"/>
    <s v="N. Brown"/>
    <x v="4"/>
    <x v="132"/>
    <n v="941.2"/>
    <n v="668.02"/>
    <n v="0.22"/>
    <n v="16"/>
    <n v="8336.8896000000004"/>
    <n v="15059.2"/>
    <n v="-6722.3104000000003"/>
    <n v="-0.80633314371825193"/>
    <s v="Q1-2023"/>
    <s v="Europe → United Kingdom → Manchester"/>
    <s v="Low"/>
  </r>
  <r>
    <s v="ORD-2025-354346"/>
    <d v="2025-01-09T00:00:00"/>
    <d v="2025-01-15T00:00:00"/>
    <d v="2025-01-09T00:00:00"/>
    <d v="2025-01-15T00:00:00"/>
    <n v="6"/>
    <x v="9"/>
    <s v="Asia"/>
    <x v="8"/>
    <s v="Beijing"/>
    <s v="Education"/>
    <s v="Online"/>
    <s v="C. Otieno"/>
    <x v="3"/>
    <x v="133"/>
    <n v="304.77999999999997"/>
    <n v="537.27"/>
    <n v="0.187"/>
    <n v="8"/>
    <n v="3494.4040799999998"/>
    <n v="2438.2399999999998"/>
    <n v="1056.16408"/>
    <n v="0.3022444044307549"/>
    <s v="Q1-2025"/>
    <s v="Asia → China → Beijing"/>
    <s v="Low"/>
  </r>
  <r>
    <s v="ORD-2024-164288"/>
    <d v="2024-12-21T00:00:00"/>
    <d v="2024-12-26T00:00:00"/>
    <d v="2024-12-21T00:00:00"/>
    <d v="2024-12-26T00:00:00"/>
    <n v="5"/>
    <x v="6"/>
    <s v="Americas"/>
    <x v="9"/>
    <s v="San Francisco"/>
    <s v="Consumer"/>
    <s v="Marketplace"/>
    <s v="M. Rossi"/>
    <x v="1"/>
    <x v="134"/>
    <n v="699.57"/>
    <n v="572.71"/>
    <n v="0.192"/>
    <n v="26"/>
    <n v="12031.491680000001"/>
    <n v="18188.82"/>
    <n v="-6157.3283199999987"/>
    <n v="-0.51176765805651114"/>
    <s v="Q4-2024"/>
    <s v="Americas → USA → San Francisco"/>
    <s v="Low"/>
  </r>
  <r>
    <s v="ORD-2023-867285"/>
    <d v="2023-04-12T00:00:00"/>
    <d v="2023-04-17T00:00:00"/>
    <d v="2023-04-12T00:00:00"/>
    <d v="2023-04-17T00:00:00"/>
    <n v="5"/>
    <x v="12"/>
    <s v="Europe"/>
    <x v="6"/>
    <s v="Lyon"/>
    <s v="Enterprise"/>
    <s v="Direct"/>
    <s v="E. Garcia"/>
    <x v="5"/>
    <x v="135"/>
    <n v="1087.81"/>
    <n v="2323.87"/>
    <n v="9.4E-2"/>
    <n v="13"/>
    <n v="27370.540859999997"/>
    <n v="14141.529999999999"/>
    <n v="13229.010859999999"/>
    <n v="0.48333026839572651"/>
    <s v="Q2-2023"/>
    <s v="Europe → France → Lyon"/>
    <s v="High"/>
  </r>
  <r>
    <s v="ORD-2024-836421"/>
    <d v="2024-12-14T00:00:00"/>
    <d v="2025-01-12T00:00:00"/>
    <d v="2024-12-14T00:00:00"/>
    <d v="2025-01-12T00:00:00"/>
    <n v="29"/>
    <x v="6"/>
    <s v="Asia"/>
    <x v="8"/>
    <s v="Shenzhen"/>
    <s v="Education"/>
    <s v="Online"/>
    <s v="J. Njeri"/>
    <x v="0"/>
    <x v="136"/>
    <n v="1412.15"/>
    <n v="1631.04"/>
    <n v="8.9999999999999993E-3"/>
    <n v="6"/>
    <n v="9698.1638399999993"/>
    <n v="8472.9000000000015"/>
    <n v="1225.2638399999978"/>
    <n v="0.12633977526203535"/>
    <s v="Q4-2024"/>
    <s v="Asia → China → Shenzhen"/>
    <s v="Medium"/>
  </r>
  <r>
    <s v="ORD-2023-613287"/>
    <d v="2023-03-31T00:00:00"/>
    <d v="2023-04-12T00:00:00"/>
    <d v="2023-03-31T00:00:00"/>
    <d v="2023-04-12T00:00:00"/>
    <n v="12"/>
    <x v="11"/>
    <s v="Africa"/>
    <x v="0"/>
    <s v="Mombasa"/>
    <s v="Small Business"/>
    <s v="Online"/>
    <s v="C. Otieno"/>
    <x v="3"/>
    <x v="137"/>
    <n v="304.22000000000003"/>
    <n v="393.31"/>
    <n v="0.26500000000000001"/>
    <n v="15"/>
    <n v="4336.2427499999994"/>
    <n v="4563.3"/>
    <n v="-227.05725000000075"/>
    <n v="-5.2362670424759034E-2"/>
    <s v="Q1-2023"/>
    <s v="Africa → Kenya → Mombasa"/>
    <s v="Low"/>
  </r>
  <r>
    <s v="ORD-2024-783321"/>
    <d v="2024-11-20T00:00:00"/>
    <d v="2024-12-15T00:00:00"/>
    <d v="2024-11-20T00:00:00"/>
    <d v="2024-12-15T00:00:00"/>
    <n v="25"/>
    <x v="17"/>
    <s v="Europe"/>
    <x v="6"/>
    <s v="Paris"/>
    <s v="Corporate"/>
    <s v="Online"/>
    <s v="G. Dubois"/>
    <x v="1"/>
    <x v="138"/>
    <n v="1203.58"/>
    <n v="1856.16"/>
    <n v="0.129"/>
    <n v="22"/>
    <n v="35567.737920000007"/>
    <n v="26478.76"/>
    <n v="9088.9779200000085"/>
    <n v="0.25553994860295032"/>
    <s v="Q4-2024"/>
    <s v="Europe → France → Paris"/>
    <s v="Medium"/>
  </r>
  <r>
    <s v="ORD-2023-808024"/>
    <d v="2023-12-30T00:00:00"/>
    <d v="2024-01-08T00:00:00"/>
    <d v="2023-12-30T00:00:00"/>
    <d v="2024-01-08T00:00:00"/>
    <n v="9"/>
    <x v="4"/>
    <s v="Europe"/>
    <x v="6"/>
    <s v="Marseille"/>
    <s v="Consumer"/>
    <s v="Marketplace"/>
    <s v="L. Okafor"/>
    <x v="6"/>
    <x v="139"/>
    <n v="861.1"/>
    <n v="1224.72"/>
    <n v="0.17399999999999999"/>
    <n v="24"/>
    <n v="24278.849280000002"/>
    <n v="20666.400000000001"/>
    <n v="3612.4492800000007"/>
    <n v="0.14878997098827909"/>
    <s v="Q4-2023"/>
    <s v="Europe → France → Marseille"/>
    <s v="Medium"/>
  </r>
  <r>
    <s v="ORD-2023-906481"/>
    <d v="2023-05-02T00:00:00"/>
    <d v="2023-05-18T00:00:00"/>
    <d v="2023-05-02T00:00:00"/>
    <d v="2023-05-18T00:00:00"/>
    <n v="16"/>
    <x v="15"/>
    <s v="Asia"/>
    <x v="4"/>
    <s v="Delhi"/>
    <s v="Small Business"/>
    <s v="Marketplace"/>
    <s v="K. Singh"/>
    <x v="5"/>
    <x v="140"/>
    <n v="1463.92"/>
    <n v="2252.2399999999998"/>
    <n v="0.11799999999999999"/>
    <n v="44"/>
    <n v="87404.929919999995"/>
    <n v="64412.480000000003"/>
    <n v="22992.449919999992"/>
    <n v="0.26305667130040061"/>
    <s v="Q2-2023"/>
    <s v="Asia → India → Delhi"/>
    <s v="High"/>
  </r>
  <r>
    <s v="ORD-2024-902741"/>
    <d v="2024-12-23T00:00:00"/>
    <d v="2025-01-11T00:00:00"/>
    <d v="2024-12-23T00:00:00"/>
    <d v="2025-01-11T00:00:00"/>
    <n v="19"/>
    <x v="6"/>
    <s v="Europe"/>
    <x v="11"/>
    <s v="Berlin"/>
    <s v="Education"/>
    <s v="Retail"/>
    <s v="K. Singh"/>
    <x v="3"/>
    <x v="141"/>
    <n v="501.81"/>
    <n v="921.62"/>
    <n v="0.01"/>
    <n v="9"/>
    <n v="8211.6342000000004"/>
    <n v="4516.29"/>
    <n v="3695.3442000000005"/>
    <n v="0.45001325071202031"/>
    <s v="Q4-2024"/>
    <s v="Europe → Germany → Berlin"/>
    <s v="Low"/>
  </r>
  <r>
    <s v="ORD-2023-674887"/>
    <d v="2023-12-16T00:00:00"/>
    <d v="2023-12-19T00:00:00"/>
    <d v="2023-12-16T00:00:00"/>
    <d v="2023-12-19T00:00:00"/>
    <n v="3"/>
    <x v="4"/>
    <s v="Asia"/>
    <x v="8"/>
    <s v="Beijing"/>
    <s v="Education"/>
    <s v="Retail"/>
    <s v="A. Patel"/>
    <x v="6"/>
    <x v="142"/>
    <n v="1415.05"/>
    <n v="1972.38"/>
    <n v="0"/>
    <n v="12"/>
    <n v="23668.560000000001"/>
    <n v="16980.599999999999"/>
    <n v="6687.9600000000028"/>
    <n v="0.28256725377462771"/>
    <s v="Q4-2023"/>
    <s v="Asia → China → Beijing"/>
    <s v="High"/>
  </r>
  <r>
    <s v="ORD-2024-389102"/>
    <d v="2024-06-15T00:00:00"/>
    <d v="2024-07-06T00:00:00"/>
    <d v="2024-06-15T00:00:00"/>
    <d v="2024-07-06T00:00:00"/>
    <n v="21"/>
    <x v="25"/>
    <s v="Americas"/>
    <x v="3"/>
    <s v="Toronto"/>
    <s v="Enterprise"/>
    <s v="Distributor"/>
    <s v="L. Okafor"/>
    <x v="1"/>
    <x v="143"/>
    <n v="817.23"/>
    <n v="1467.17"/>
    <n v="0.245"/>
    <n v="9"/>
    <n v="9969.4201499999999"/>
    <n v="7355.07"/>
    <n v="2614.3501500000002"/>
    <n v="0.26223693160328893"/>
    <s v="Q2-2024"/>
    <s v="Americas → Canada → Toronto"/>
    <s v="Medium"/>
  </r>
  <r>
    <s v="ORD-2023-667815"/>
    <d v="2023-10-21T00:00:00"/>
    <d v="2023-11-09T00:00:00"/>
    <d v="2023-10-21T00:00:00"/>
    <d v="2023-11-09T00:00:00"/>
    <n v="19"/>
    <x v="30"/>
    <s v="Europe"/>
    <x v="7"/>
    <s v="London"/>
    <s v="Non-Profit"/>
    <s v="Direct"/>
    <s v="A. Patel"/>
    <x v="6"/>
    <x v="144"/>
    <n v="1142.48"/>
    <n v="2105.5300000000002"/>
    <n v="0.20699999999999999"/>
    <n v="14"/>
    <n v="23375.594060000003"/>
    <n v="15994.720000000001"/>
    <n v="7380.8740600000019"/>
    <n v="0.31575129346680658"/>
    <s v="Q4-2023"/>
    <s v="Europe → United Kingdom → London"/>
    <s v="High"/>
  </r>
  <r>
    <s v="ORD-2023-825495"/>
    <d v="2023-11-30T00:00:00"/>
    <d v="2023-11-29T00:00:00"/>
    <d v="2023-11-29T00:00:00"/>
    <d v="2023-11-30T00:00:00"/>
    <n v="1"/>
    <x v="29"/>
    <s v="Africa"/>
    <x v="10"/>
    <s v="Durban"/>
    <s v="Small Business"/>
    <s v="Marketplace"/>
    <s v="E. Garcia"/>
    <x v="4"/>
    <x v="145"/>
    <n v="275.56"/>
    <n v="630.72"/>
    <n v="0.107"/>
    <n v="23"/>
    <n v="12954.358080000002"/>
    <n v="6337.88"/>
    <n v="6616.4780800000017"/>
    <n v="0.5107530638831933"/>
    <s v="Q4-2023"/>
    <s v="Africa → South Africa → Durban"/>
    <s v="Low"/>
  </r>
  <r>
    <s v="ORD-2025-244832"/>
    <d v="2025-09-11T00:00:00"/>
    <d v="2025-09-28T00:00:00"/>
    <d v="2025-09-11T00:00:00"/>
    <d v="2025-09-28T00:00:00"/>
    <n v="17"/>
    <x v="13"/>
    <s v="Africa"/>
    <x v="0"/>
    <s v="Nairobi"/>
    <s v="Non-Profit"/>
    <s v="Distributor"/>
    <s v="J. Njeri"/>
    <x v="4"/>
    <x v="146"/>
    <n v="891.46"/>
    <n v="728.61"/>
    <n v="0.185"/>
    <n v="6"/>
    <n v="3562.9028999999996"/>
    <n v="5348.76"/>
    <n v="-1785.8571000000006"/>
    <n v="-0.50123653383874167"/>
    <s v="Q3-2025"/>
    <s v="Africa → Kenya → Nairobi"/>
    <s v="Low"/>
  </r>
  <r>
    <s v="ORD-2024-921935"/>
    <d v="2024-01-01T00:00:00"/>
    <d v="2024-01-27T00:00:00"/>
    <d v="2024-01-01T00:00:00"/>
    <d v="2024-01-27T00:00:00"/>
    <n v="26"/>
    <x v="10"/>
    <s v="Europe"/>
    <x v="7"/>
    <s v="Manchester"/>
    <s v="Education"/>
    <s v="Distributor"/>
    <s v="D. Smith"/>
    <x v="6"/>
    <x v="147"/>
    <n v="657.45"/>
    <n v="1325.96"/>
    <n v="0.16700000000000001"/>
    <n v="21"/>
    <n v="23195.01828"/>
    <n v="13806.45"/>
    <n v="9388.5682799999995"/>
    <n v="0.40476658249048808"/>
    <s v="Q1-2024"/>
    <s v="Europe → United Kingdom → Manchester"/>
    <s v="Medium"/>
  </r>
  <r>
    <s v="ORD-2023-192324"/>
    <d v="2023-09-14T00:00:00"/>
    <d v="2023-09-16T00:00:00"/>
    <d v="2023-09-14T00:00:00"/>
    <d v="2023-09-16T00:00:00"/>
    <n v="2"/>
    <x v="26"/>
    <s v="Europe"/>
    <x v="6"/>
    <s v="Lyon"/>
    <s v="Non-Profit"/>
    <s v="Direct"/>
    <s v="B. Chen"/>
    <x v="1"/>
    <x v="148"/>
    <n v="376.83"/>
    <n v="732.88"/>
    <n v="0.188"/>
    <n v="25"/>
    <n v="14877.464000000002"/>
    <n v="9420.75"/>
    <n v="5456.7140000000018"/>
    <n v="0.36677716040852132"/>
    <s v="Q3-2023"/>
    <s v="Europe → France → Lyon"/>
    <s v="Low"/>
  </r>
  <r>
    <s v="ORD-2024-438404"/>
    <d v="2024-09-23T00:00:00"/>
    <d v="2024-10-18T00:00:00"/>
    <d v="2024-09-23T00:00:00"/>
    <d v="2024-10-18T00:00:00"/>
    <n v="25"/>
    <x v="28"/>
    <s v="Americas"/>
    <x v="3"/>
    <s v="Vancouver"/>
    <s v="Small Business"/>
    <s v="Online"/>
    <s v="N. Brown"/>
    <x v="3"/>
    <x v="149"/>
    <n v="1297"/>
    <n v="2411.52"/>
    <n v="2.1000000000000001E-2"/>
    <n v="18"/>
    <n v="42495.805439999996"/>
    <n v="23346"/>
    <n v="19149.805439999996"/>
    <n v="0.45062813239385913"/>
    <s v="Q3-2024"/>
    <s v="Americas → Canada → Vancouver"/>
    <s v="High"/>
  </r>
  <r>
    <s v="ORD-2025-246470"/>
    <d v="2025-04-16T00:00:00"/>
    <d v="2025-05-16T00:00:00"/>
    <d v="2025-04-16T00:00:00"/>
    <d v="2025-05-16T00:00:00"/>
    <n v="30"/>
    <x v="18"/>
    <s v="Americas"/>
    <x v="3"/>
    <s v="Montreal"/>
    <s v="Enterprise"/>
    <s v="Distributor"/>
    <s v="K. Singh"/>
    <x v="1"/>
    <x v="150"/>
    <n v="763.32"/>
    <n v="568.29"/>
    <n v="0.13100000000000001"/>
    <n v="16"/>
    <n v="7901.5041599999995"/>
    <n v="12213.12"/>
    <n v="-4311.6158400000013"/>
    <n v="-0.54567026134426555"/>
    <s v="Q2-2025"/>
    <s v="Americas → Canada → Montreal"/>
    <s v="Low"/>
  </r>
  <r>
    <s v="ORD-2023-497686"/>
    <d v="2023-07-03T00:00:00"/>
    <d v="2023-07-23T00:00:00"/>
    <d v="2023-07-03T00:00:00"/>
    <d v="2023-07-23T00:00:00"/>
    <n v="20"/>
    <x v="23"/>
    <s v="Africa"/>
    <x v="10"/>
    <s v="Johannesburg"/>
    <s v="Small Business"/>
    <s v="Distributor"/>
    <s v="F. Müller"/>
    <x v="4"/>
    <x v="151"/>
    <n v="1001.96"/>
    <n v="1254.95"/>
    <n v="4.4999999999999998E-2"/>
    <n v="18"/>
    <n v="21572.590500000002"/>
    <n v="18035.28"/>
    <n v="3537.3105000000032"/>
    <n v="0.16397244920585699"/>
    <s v="Q3-2023"/>
    <s v="Africa → South Africa → Johannesburg"/>
    <s v="Medium"/>
  </r>
  <r>
    <s v="ORD-2023-596758"/>
    <d v="2023-12-07T00:00:00"/>
    <d v="2023-12-05T00:00:00"/>
    <d v="2023-12-05T00:00:00"/>
    <d v="2023-12-07T00:00:00"/>
    <n v="2"/>
    <x v="4"/>
    <s v="Asia"/>
    <x v="2"/>
    <s v="Tokyo"/>
    <s v="Non-Profit"/>
    <s v="Marketplace"/>
    <s v="H. Kim"/>
    <x v="1"/>
    <x v="152"/>
    <n v="1097.5899999999999"/>
    <n v="845.55"/>
    <n v="0.184"/>
    <n v="6"/>
    <n v="4139.8127999999997"/>
    <n v="6585.5399999999991"/>
    <n v="-2445.7271999999994"/>
    <n v="-0.59078207594314402"/>
    <s v="Q4-2023"/>
    <s v="Asia → Japan → Tokyo"/>
    <s v="Low"/>
  </r>
  <r>
    <s v="ORD-2024-201376"/>
    <d v="2024-02-18T00:00:00"/>
    <d v="2024-03-04T00:00:00"/>
    <d v="2024-02-18T00:00:00"/>
    <d v="2024-03-04T00:00:00"/>
    <n v="15"/>
    <x v="31"/>
    <s v="Africa"/>
    <x v="0"/>
    <s v="Kisumu"/>
    <s v="Education"/>
    <s v="Direct"/>
    <s v="K. Singh"/>
    <x v="1"/>
    <x v="153"/>
    <n v="928.68"/>
    <n v="2145.17"/>
    <n v="0.13600000000000001"/>
    <n v="16"/>
    <n v="29654.83008"/>
    <n v="14858.88"/>
    <n v="14795.950080000001"/>
    <n v="0.49893896003062177"/>
    <s v="Q1-2024"/>
    <s v="Africa → Kenya → Kisumu"/>
    <s v="High"/>
  </r>
  <r>
    <s v="ORD-2023-609394"/>
    <d v="2023-04-16T00:00:00"/>
    <d v="2023-04-19T00:00:00"/>
    <d v="2023-04-16T00:00:00"/>
    <d v="2023-04-19T00:00:00"/>
    <n v="3"/>
    <x v="12"/>
    <s v="Europe"/>
    <x v="11"/>
    <s v="Munich"/>
    <s v="Corporate"/>
    <s v="Direct"/>
    <s v="B. Chen"/>
    <x v="6"/>
    <x v="154"/>
    <n v="553.61"/>
    <n v="699.47"/>
    <n v="0.02"/>
    <n v="33"/>
    <n v="22620.859800000002"/>
    <n v="18269.13"/>
    <n v="4351.729800000001"/>
    <n v="0.19237685209472014"/>
    <s v="Q2-2023"/>
    <s v="Europe → Germany → Munich"/>
    <s v="Low"/>
  </r>
  <r>
    <s v="ORD-2024-136321"/>
    <d v="2024-08-07T00:00:00"/>
    <d v="2024-08-17T00:00:00"/>
    <d v="2024-08-07T00:00:00"/>
    <d v="2024-08-17T00:00:00"/>
    <n v="10"/>
    <x v="21"/>
    <s v="Asia"/>
    <x v="2"/>
    <s v="Osaka"/>
    <s v="Consumer"/>
    <s v="Online"/>
    <s v="K. Singh"/>
    <x v="2"/>
    <x v="155"/>
    <n v="436.58"/>
    <n v="527.48"/>
    <n v="0.111"/>
    <n v="19"/>
    <n v="8909.6646800000017"/>
    <n v="8295.02"/>
    <n v="614.64468000000124"/>
    <n v="6.8986286473802644E-2"/>
    <s v="Q3-2024"/>
    <s v="Asia → Japan → Osaka"/>
    <s v="Low"/>
  </r>
  <r>
    <s v="ORD-2024-764468"/>
    <d v="2024-02-01T00:00:00"/>
    <d v="2024-02-21T00:00:00"/>
    <d v="2024-02-01T00:00:00"/>
    <d v="2024-02-21T00:00:00"/>
    <n v="20"/>
    <x v="31"/>
    <s v="Europe"/>
    <x v="6"/>
    <s v="Paris"/>
    <s v="Small Business"/>
    <s v="Marketplace"/>
    <s v="A. Patel"/>
    <x v="2"/>
    <x v="156"/>
    <n v="656.2"/>
    <n v="1467.17"/>
    <n v="1.7999999999999999E-2"/>
    <n v="5"/>
    <n v="7203.8047000000006"/>
    <n v="3281"/>
    <n v="3922.8047000000006"/>
    <n v="0.54454623124360946"/>
    <s v="Q1-2024"/>
    <s v="Europe → France → Paris"/>
    <s v="Medium"/>
  </r>
  <r>
    <s v="ORD-2024-553449"/>
    <d v="2024-08-27T00:00:00"/>
    <d v="2024-09-18T00:00:00"/>
    <d v="2024-08-27T00:00:00"/>
    <d v="2024-09-18T00:00:00"/>
    <n v="22"/>
    <x v="21"/>
    <s v="Asia"/>
    <x v="4"/>
    <s v="Delhi"/>
    <s v="Consumer"/>
    <s v="Direct"/>
    <s v="B. Chen"/>
    <x v="0"/>
    <x v="157"/>
    <n v="896.75"/>
    <n v="1651.14"/>
    <n v="2.5000000000000001E-2"/>
    <n v="15"/>
    <n v="24147.922500000001"/>
    <n v="13451.25"/>
    <n v="10696.672500000001"/>
    <n v="0.44296450346815552"/>
    <s v="Q3-2024"/>
    <s v="Asia → India → Delhi"/>
    <s v="Medium"/>
  </r>
  <r>
    <s v="ORD-2024-468615"/>
    <d v="2024-07-09T00:00:00"/>
    <d v="2024-07-12T00:00:00"/>
    <d v="2024-07-09T00:00:00"/>
    <d v="2024-07-12T00:00:00"/>
    <n v="3"/>
    <x v="8"/>
    <s v="Asia"/>
    <x v="8"/>
    <s v="Shanghai"/>
    <s v="Small Business"/>
    <s v="Retail"/>
    <s v="D. Smith"/>
    <x v="6"/>
    <x v="158"/>
    <n v="748.39"/>
    <n v="979.42"/>
    <n v="0"/>
    <n v="23"/>
    <n v="22526.66"/>
    <n v="17212.97"/>
    <n v="5313.6899999999987"/>
    <n v="0.23588450307324738"/>
    <s v="Q3-2024"/>
    <s v="Asia → China → Shanghai"/>
    <s v="Low"/>
  </r>
  <r>
    <s v="ORD-2025-418232"/>
    <d v="2025-08-01T00:00:00"/>
    <d v="2025-08-21T00:00:00"/>
    <d v="2025-08-01T00:00:00"/>
    <d v="2025-08-21T00:00:00"/>
    <n v="20"/>
    <x v="27"/>
    <s v="Asia"/>
    <x v="8"/>
    <s v="Shanghai"/>
    <s v="Corporate"/>
    <s v="Direct"/>
    <s v="I. Johnson"/>
    <x v="3"/>
    <x v="159"/>
    <n v="1220.4100000000001"/>
    <n v="2552.2199999999998"/>
    <n v="0.18099999999999999"/>
    <n v="14"/>
    <n v="29263.754519999995"/>
    <n v="17085.740000000002"/>
    <n v="12178.014519999993"/>
    <n v="0.41614668793360271"/>
    <s v="Q3-2025"/>
    <s v="Asia → China → Shanghai"/>
    <s v="High"/>
  </r>
  <r>
    <s v="ORD-2023-848013"/>
    <d v="2023-02-20T00:00:00"/>
    <d v="2023-03-04T00:00:00"/>
    <d v="2023-02-20T00:00:00"/>
    <d v="2023-03-04T00:00:00"/>
    <n v="12"/>
    <x v="2"/>
    <s v="Asia"/>
    <x v="4"/>
    <s v="Delhi"/>
    <s v="Consumer"/>
    <s v="Distributor"/>
    <s v="M. Rossi"/>
    <x v="5"/>
    <x v="160"/>
    <n v="299.75"/>
    <n v="523.01"/>
    <n v="0.157"/>
    <n v="50"/>
    <n v="22044.871499999997"/>
    <n v="14987.5"/>
    <n v="7057.3714999999975"/>
    <n v="0.32013665854210122"/>
    <s v="Q1-2023"/>
    <s v="Asia → India → Delhi"/>
    <s v="Low"/>
  </r>
  <r>
    <s v="ORD-2024-357368"/>
    <d v="2024-10-30T00:00:00"/>
    <d v="2024-11-24T00:00:00"/>
    <d v="2024-10-30T00:00:00"/>
    <d v="2024-11-24T00:00:00"/>
    <n v="25"/>
    <x v="1"/>
    <s v="Asia"/>
    <x v="8"/>
    <s v="Shenzhen"/>
    <s v="Small Business"/>
    <s v="Online"/>
    <s v="E. Garcia"/>
    <x v="0"/>
    <x v="161"/>
    <n v="811.05"/>
    <n v="1217.71"/>
    <n v="7.1999999999999995E-2"/>
    <n v="5"/>
    <n v="5650.1744000000008"/>
    <n v="4055.25"/>
    <n v="1594.9244000000008"/>
    <n v="0.28227879125288602"/>
    <s v="Q4-2024"/>
    <s v="Asia → China → Shenzhen"/>
    <s v="Medium"/>
  </r>
  <r>
    <s v="ORD-2023-621393"/>
    <d v="2023-07-07T00:00:00"/>
    <d v="2023-07-13T00:00:00"/>
    <d v="2023-07-07T00:00:00"/>
    <d v="2023-07-13T00:00:00"/>
    <n v="6"/>
    <x v="23"/>
    <s v="Africa"/>
    <x v="10"/>
    <s v="Cape Town"/>
    <s v="Small Business"/>
    <s v="Marketplace"/>
    <s v="B. Chen"/>
    <x v="6"/>
    <x v="162"/>
    <n v="612.59"/>
    <n v="1424.74"/>
    <n v="4.3999999999999997E-2"/>
    <n v="15"/>
    <n v="20430.771599999996"/>
    <n v="9188.85"/>
    <n v="11241.921599999996"/>
    <n v="0.55024459281802152"/>
    <s v="Q3-2023"/>
    <s v="Africa → South Africa → Cape Town"/>
    <s v="Medium"/>
  </r>
  <r>
    <s v="ORD-2023-240507"/>
    <d v="2023-03-25T00:00:00"/>
    <d v="2023-03-26T00:00:00"/>
    <d v="2023-03-25T00:00:00"/>
    <d v="2023-03-26T00:00:00"/>
    <n v="1"/>
    <x v="11"/>
    <s v="Asia"/>
    <x v="2"/>
    <s v="Osaka"/>
    <s v="Small Business"/>
    <s v="Distributor"/>
    <s v="I. Johnson"/>
    <x v="5"/>
    <x v="163"/>
    <n v="135.12"/>
    <n v="301.7"/>
    <n v="0.14000000000000001"/>
    <n v="47"/>
    <n v="12194.714"/>
    <n v="6350.64"/>
    <n v="5844.0739999999996"/>
    <n v="0.47923009920527859"/>
    <s v="Q1-2023"/>
    <s v="Asia → Japan → Osaka"/>
    <s v="Low"/>
  </r>
  <r>
    <s v="ORD-2024-134084"/>
    <d v="2024-06-04T00:00:00"/>
    <d v="2024-06-16T00:00:00"/>
    <d v="2024-06-04T00:00:00"/>
    <d v="2024-06-16T00:00:00"/>
    <n v="12"/>
    <x v="25"/>
    <s v="Asia"/>
    <x v="8"/>
    <s v="Shanghai"/>
    <s v="Corporate"/>
    <s v="Retail"/>
    <s v="J. Njeri"/>
    <x v="1"/>
    <x v="164"/>
    <n v="918.42"/>
    <n v="1511.71"/>
    <n v="0.02"/>
    <n v="8"/>
    <n v="11851.806399999999"/>
    <n v="7347.36"/>
    <n v="4504.4463999999998"/>
    <n v="0.38006412254590999"/>
    <s v="Q2-2024"/>
    <s v="Asia → China → Shanghai"/>
    <s v="Medium"/>
  </r>
  <r>
    <s v="ORD-2023-884625"/>
    <d v="2023-02-19T00:00:00"/>
    <d v="2023-03-12T00:00:00"/>
    <d v="2023-02-19T00:00:00"/>
    <d v="2023-03-12T00:00:00"/>
    <n v="21"/>
    <x v="2"/>
    <s v="Europe"/>
    <x v="11"/>
    <s v="Berlin"/>
    <s v="Small Business"/>
    <s v="Direct"/>
    <s v="L. Okafor"/>
    <x v="5"/>
    <x v="165"/>
    <n v="1234.81"/>
    <n v="2055.2399999999998"/>
    <n v="5.2999999999999999E-2"/>
    <n v="44"/>
    <n v="85637.740319999997"/>
    <n v="54331.64"/>
    <n v="31306.100319999998"/>
    <n v="0.36556429680441616"/>
    <s v="Q1-2023"/>
    <s v="Europe → Germany → Berlin"/>
    <s v="High"/>
  </r>
  <r>
    <s v="ORD-2023-157993"/>
    <d v="2023-04-18T00:00:00"/>
    <d v="2023-05-18T00:00:00"/>
    <d v="2023-04-18T00:00:00"/>
    <d v="2023-05-18T00:00:00"/>
    <n v="30"/>
    <x v="12"/>
    <s v="Asia"/>
    <x v="8"/>
    <s v="Shenzhen"/>
    <s v="Non-Profit"/>
    <s v="Retail"/>
    <s v="H. Kim"/>
    <x v="4"/>
    <x v="166"/>
    <n v="329.03"/>
    <n v="391.15"/>
    <n v="0.19700000000000001"/>
    <n v="46"/>
    <n v="14448.298699999998"/>
    <n v="15135.38"/>
    <n v="-687.08130000000165"/>
    <n v="-4.7554477815440081E-2"/>
    <s v="Q2-2023"/>
    <s v="Asia → China → Shenzhen"/>
    <s v="Low"/>
  </r>
  <r>
    <s v="ORD-2024-329104"/>
    <d v="2024-05-23T00:00:00"/>
    <d v="2024-06-14T00:00:00"/>
    <d v="2024-05-23T00:00:00"/>
    <d v="2024-06-14T00:00:00"/>
    <n v="22"/>
    <x v="7"/>
    <s v="Europe"/>
    <x v="6"/>
    <s v="Marseille"/>
    <s v="Small Business"/>
    <s v="Online"/>
    <s v="N. Brown"/>
    <x v="5"/>
    <x v="167"/>
    <n v="1481.74"/>
    <n v="1848.97"/>
    <n v="0.254"/>
    <n v="9"/>
    <n v="12413.98458"/>
    <n v="13335.66"/>
    <n v="-921.67541999999958"/>
    <n v="-7.4244930309072407E-2"/>
    <s v="Q2-2024"/>
    <s v="Europe → France → Marseille"/>
    <s v="Medium"/>
  </r>
  <r>
    <s v="ORD-2023-304451"/>
    <d v="2023-10-07T00:00:00"/>
    <d v="2023-10-23T00:00:00"/>
    <d v="2023-10-07T00:00:00"/>
    <d v="2023-10-23T00:00:00"/>
    <n v="16"/>
    <x v="30"/>
    <s v="Asia"/>
    <x v="4"/>
    <s v="Hyderabad"/>
    <s v="Consumer"/>
    <s v="Retail"/>
    <s v="G. Dubois"/>
    <x v="5"/>
    <x v="168"/>
    <n v="906.81"/>
    <n v="1395.56"/>
    <n v="0.185"/>
    <n v="6"/>
    <n v="6824.2884000000004"/>
    <n v="5440.86"/>
    <n v="1383.4284000000007"/>
    <n v="0.20272126834498974"/>
    <s v="Q4-2023"/>
    <s v="Asia → India → Hyderabad"/>
    <s v="Medium"/>
  </r>
  <r>
    <s v="ORD-2024-942981"/>
    <d v="2024-10-09T00:00:00"/>
    <d v="2024-11-08T00:00:00"/>
    <d v="2024-10-09T00:00:00"/>
    <d v="2024-11-08T00:00:00"/>
    <n v="30"/>
    <x v="1"/>
    <s v="Europe"/>
    <x v="7"/>
    <s v="Manchester"/>
    <s v="Small Business"/>
    <s v="Distributor"/>
    <s v="J. Njeri"/>
    <x v="0"/>
    <x v="169"/>
    <n v="343.85"/>
    <n v="538.04"/>
    <n v="0.13900000000000001"/>
    <n v="5"/>
    <n v="2316.2621999999997"/>
    <n v="1719.25"/>
    <n v="597.01219999999967"/>
    <n v="0.25774810813732563"/>
    <s v="Q4-2024"/>
    <s v="Europe → United Kingdom → Manchester"/>
    <s v="Low"/>
  </r>
  <r>
    <s v="ORD-2025-337268"/>
    <d v="2025-02-16T00:00:00"/>
    <d v="2025-03-17T00:00:00"/>
    <d v="2025-02-16T00:00:00"/>
    <d v="2025-03-17T00:00:00"/>
    <n v="29"/>
    <x v="32"/>
    <s v="Europe"/>
    <x v="11"/>
    <s v="Munich"/>
    <s v="Consumer"/>
    <s v="Retail"/>
    <s v="L. Okafor"/>
    <x v="6"/>
    <x v="170"/>
    <n v="730.42"/>
    <n v="956.7"/>
    <n v="4.2000000000000003E-2"/>
    <n v="22"/>
    <n v="20163.409200000002"/>
    <n v="16069.24"/>
    <n v="4094.1692000000021"/>
    <n v="0.20304945256975698"/>
    <s v="Q1-2025"/>
    <s v="Europe → Germany → Munich"/>
    <s v="Low"/>
  </r>
  <r>
    <s v="ORD-2023-450877"/>
    <d v="2023-09-21T00:00:00"/>
    <d v="2023-10-10T00:00:00"/>
    <d v="2023-09-21T00:00:00"/>
    <d v="2023-10-10T00:00:00"/>
    <n v="19"/>
    <x v="26"/>
    <s v="Asia"/>
    <x v="2"/>
    <s v="Tokyo"/>
    <s v="Education"/>
    <s v="Online"/>
    <s v="D. Smith"/>
    <x v="0"/>
    <x v="171"/>
    <n v="845.63"/>
    <n v="2062.12"/>
    <n v="0.13400000000000001"/>
    <n v="5"/>
    <n v="8928.9795999999988"/>
    <n v="4228.1499999999996"/>
    <n v="4700.8295999999991"/>
    <n v="0.52646884757133949"/>
    <s v="Q3-2023"/>
    <s v="Asia → Japan → Tokyo"/>
    <s v="High"/>
  </r>
  <r>
    <s v="ORD-2023-286994"/>
    <d v="2023-02-24T00:00:00"/>
    <d v="2023-03-09T00:00:00"/>
    <d v="2023-02-24T00:00:00"/>
    <d v="2023-03-09T00:00:00"/>
    <n v="13"/>
    <x v="2"/>
    <s v="Americas"/>
    <x v="9"/>
    <s v="New York"/>
    <s v="Enterprise"/>
    <s v="Online"/>
    <s v="M. Rossi"/>
    <x v="0"/>
    <x v="172"/>
    <n v="6.85"/>
    <n v="10.18"/>
    <n v="4.7E-2"/>
    <n v="10"/>
    <n v="97.0154"/>
    <n v="68.5"/>
    <n v="28.5154"/>
    <n v="0.2939265312517394"/>
    <s v="Q1-2023"/>
    <s v="Americas → USA → New York"/>
    <s v="Low"/>
  </r>
  <r>
    <s v="ORD-2025-700847"/>
    <d v="2025-05-21T00:00:00"/>
    <d v="2025-05-19T00:00:00"/>
    <d v="2025-05-19T00:00:00"/>
    <d v="2025-05-21T00:00:00"/>
    <n v="2"/>
    <x v="14"/>
    <s v="Africa"/>
    <x v="10"/>
    <s v="Johannesburg"/>
    <s v="Non-Profit"/>
    <s v="Distributor"/>
    <s v="O. Wang"/>
    <x v="4"/>
    <x v="173"/>
    <n v="1263.8399999999999"/>
    <n v="2281.7199999999998"/>
    <n v="7.8E-2"/>
    <n v="15"/>
    <n v="31556.187599999997"/>
    <n v="18957.599999999999"/>
    <n v="12598.587599999999"/>
    <n v="0.39924301882398494"/>
    <s v="Q2-2025"/>
    <s v="Africa → South Africa → Johannesburg"/>
    <s v="High"/>
  </r>
  <r>
    <s v="ORD-2024-970848"/>
    <d v="2024-05-23T00:00:00"/>
    <d v="2024-06-03T00:00:00"/>
    <d v="2024-05-23T00:00:00"/>
    <d v="2024-06-03T00:00:00"/>
    <n v="11"/>
    <x v="7"/>
    <s v="Africa"/>
    <x v="10"/>
    <s v="Johannesburg"/>
    <s v="Small Business"/>
    <s v="Distributor"/>
    <s v="F. Müller"/>
    <x v="1"/>
    <x v="174"/>
    <n v="180.89"/>
    <n v="249.57"/>
    <n v="2.1999999999999999E-2"/>
    <n v="8"/>
    <n v="1952.6356799999999"/>
    <n v="1447.12"/>
    <n v="505.51567999999997"/>
    <n v="0.25888888806948362"/>
    <s v="Q2-2024"/>
    <s v="Africa → South Africa → Johannesburg"/>
    <s v="Low"/>
  </r>
  <r>
    <s v="ORD-2025-845715"/>
    <d v="2025-04-14T00:00:00"/>
    <d v="2025-05-04T00:00:00"/>
    <d v="2025-04-14T00:00:00"/>
    <d v="2025-05-04T00:00:00"/>
    <n v="20"/>
    <x v="18"/>
    <s v="Europe"/>
    <x v="7"/>
    <s v="Birmingham"/>
    <s v="Enterprise"/>
    <s v="Marketplace"/>
    <s v="K. Singh"/>
    <x v="5"/>
    <x v="175"/>
    <n v="1413.87"/>
    <n v="3275"/>
    <n v="0.255"/>
    <n v="38"/>
    <n v="92715.25"/>
    <n v="53727.06"/>
    <n v="38988.19"/>
    <n v="0.42051539525590453"/>
    <s v="Q2-2025"/>
    <s v="Europe → United Kingdom → Birmingham"/>
    <s v="High"/>
  </r>
  <r>
    <s v="ORD-2023-664749"/>
    <d v="2023-08-27T00:00:00"/>
    <d v="2023-09-11T00:00:00"/>
    <d v="2023-08-27T00:00:00"/>
    <d v="2023-09-11T00:00:00"/>
    <n v="15"/>
    <x v="24"/>
    <s v="Europe"/>
    <x v="7"/>
    <s v="London"/>
    <s v="Consumer"/>
    <s v="Marketplace"/>
    <s v="N. Brown"/>
    <x v="1"/>
    <x v="176"/>
    <n v="943.79"/>
    <n v="1913.76"/>
    <n v="9.0999999999999998E-2"/>
    <n v="9"/>
    <n v="15656.47056"/>
    <n v="8494.11"/>
    <n v="7162.3605599999992"/>
    <n v="0.45746967891338081"/>
    <s v="Q3-2023"/>
    <s v="Europe → United Kingdom → London"/>
    <s v="High"/>
  </r>
  <r>
    <s v="ORD-2024-960952"/>
    <d v="2024-02-03T00:00:00"/>
    <d v="2024-02-21T00:00:00"/>
    <d v="2024-02-03T00:00:00"/>
    <d v="2024-02-21T00:00:00"/>
    <n v="18"/>
    <x v="31"/>
    <s v="Europe"/>
    <x v="11"/>
    <s v="Frankfurt"/>
    <s v="Corporate"/>
    <s v="Retail"/>
    <s v="H. Kim"/>
    <x v="0"/>
    <x v="177"/>
    <n v="39.229999999999997"/>
    <n v="30.09"/>
    <n v="0.17699999999999999"/>
    <n v="13"/>
    <n v="321.93290999999999"/>
    <n v="509.98999999999995"/>
    <n v="-188.05708999999996"/>
    <n v="-0.58414993981199359"/>
    <s v="Q1-2024"/>
    <s v="Europe → Germany → Frankfurt"/>
    <s v="Low"/>
  </r>
  <r>
    <s v="ORD-2023-987700"/>
    <d v="2023-04-05T00:00:00"/>
    <d v="2023-04-16T00:00:00"/>
    <d v="2023-04-05T00:00:00"/>
    <d v="2023-04-16T00:00:00"/>
    <n v="11"/>
    <x v="12"/>
    <s v="Americas"/>
    <x v="3"/>
    <s v="Vancouver"/>
    <s v="Non-Profit"/>
    <s v="Online"/>
    <s v="O. Wang"/>
    <x v="5"/>
    <x v="178"/>
    <n v="213.1"/>
    <n v="501.31"/>
    <n v="5.6000000000000001E-2"/>
    <n v="15"/>
    <n v="7098.5495999999994"/>
    <n v="3196.5"/>
    <n v="3902.0495999999994"/>
    <n v="0.54969674368409005"/>
    <s v="Q2-2023"/>
    <s v="Americas → Canada → Vancouver"/>
    <s v="Low"/>
  </r>
  <r>
    <s v="ORD-2025-652467"/>
    <d v="2025-08-21T00:00:00"/>
    <d v="2025-09-12T00:00:00"/>
    <d v="2025-08-21T00:00:00"/>
    <d v="2025-09-12T00:00:00"/>
    <n v="22"/>
    <x v="27"/>
    <s v="Asia"/>
    <x v="8"/>
    <s v="Shenzhen"/>
    <s v="Education"/>
    <s v="Retail"/>
    <s v="B. Chen"/>
    <x v="1"/>
    <x v="179"/>
    <n v="352.66"/>
    <n v="411.18"/>
    <n v="0.17299999999999999"/>
    <n v="13"/>
    <n v="4420.5961799999995"/>
    <n v="4584.58"/>
    <n v="-163.98382000000038"/>
    <n v="-3.7095408248758066E-2"/>
    <s v="Q3-2025"/>
    <s v="Asia → China → Shenzhen"/>
    <s v="Low"/>
  </r>
  <r>
    <s v="ORD-2023-619570"/>
    <d v="2023-11-14T00:00:00"/>
    <d v="2023-11-30T00:00:00"/>
    <d v="2023-11-14T00:00:00"/>
    <d v="2023-11-30T00:00:00"/>
    <n v="16"/>
    <x v="29"/>
    <s v="Americas"/>
    <x v="5"/>
    <s v="São Paulo"/>
    <s v="Enterprise"/>
    <s v="Direct"/>
    <s v="K. Singh"/>
    <x v="2"/>
    <x v="180"/>
    <n v="1017.92"/>
    <n v="1175.25"/>
    <n v="7.4999999999999997E-2"/>
    <n v="15"/>
    <n v="16306.59375"/>
    <n v="15268.8"/>
    <n v="1037.7937500000007"/>
    <n v="6.3642583234159542E-2"/>
    <s v="Q4-2023"/>
    <s v="Americas → Brazil → São Paulo"/>
    <s v="Low"/>
  </r>
  <r>
    <s v="ORD-2024-237478"/>
    <d v="2024-10-03T00:00:00"/>
    <d v="2024-10-11T00:00:00"/>
    <d v="2024-10-03T00:00:00"/>
    <d v="2024-10-11T00:00:00"/>
    <n v="8"/>
    <x v="1"/>
    <s v="Asia"/>
    <x v="8"/>
    <s v="Beijing"/>
    <s v="Enterprise"/>
    <s v="Direct"/>
    <s v="B. Chen"/>
    <x v="3"/>
    <x v="181"/>
    <n v="1132.6099999999999"/>
    <n v="2206.63"/>
    <n v="6.3E-2"/>
    <n v="20"/>
    <n v="41352.246200000009"/>
    <n v="22652.199999999997"/>
    <n v="18700.046200000012"/>
    <n v="0.45221355351671338"/>
    <s v="Q4-2024"/>
    <s v="Asia → China → Beijing"/>
    <s v="High"/>
  </r>
  <r>
    <s v="ORD-2024-997336"/>
    <d v="2024-10-04T00:00:00"/>
    <d v="2024-11-02T00:00:00"/>
    <d v="2024-10-04T00:00:00"/>
    <d v="2024-11-02T00:00:00"/>
    <n v="29"/>
    <x v="1"/>
    <s v="Africa"/>
    <x v="1"/>
    <s v="Abuja"/>
    <s v="Corporate"/>
    <s v="Distributor"/>
    <s v="F. Müller"/>
    <x v="6"/>
    <x v="182"/>
    <n v="412.09"/>
    <n v="968.94"/>
    <n v="9.9000000000000005E-2"/>
    <n v="23"/>
    <n v="20079.343620000003"/>
    <n v="9478.07"/>
    <n v="10601.273620000004"/>
    <n v="0.52796913189137418"/>
    <s v="Q4-2024"/>
    <s v="Africa → Nigeria → Abuja"/>
    <s v="Low"/>
  </r>
  <r>
    <s v="ORD-2023-334213"/>
    <d v="2023-08-19T00:00:00"/>
    <d v="2023-08-23T00:00:00"/>
    <d v="2023-08-19T00:00:00"/>
    <d v="2023-08-23T00:00:00"/>
    <n v="4"/>
    <x v="24"/>
    <s v="Africa"/>
    <x v="1"/>
    <s v="Abuja"/>
    <s v="Small Business"/>
    <s v="Online"/>
    <s v="J. Njeri"/>
    <x v="5"/>
    <x v="183"/>
    <n v="790.63"/>
    <n v="1382.31"/>
    <n v="0.10100000000000001"/>
    <n v="7"/>
    <n v="8698.8768300000011"/>
    <n v="5534.41"/>
    <n v="3164.4668300000012"/>
    <n v="0.36377878338116448"/>
    <s v="Q3-2023"/>
    <s v="Africa → Nigeria → Abuja"/>
    <s v="Medium"/>
  </r>
  <r>
    <s v="ORD-2024-640340"/>
    <d v="2024-10-22T00:00:00"/>
    <d v="2024-10-29T00:00:00"/>
    <d v="2024-10-22T00:00:00"/>
    <d v="2024-10-29T00:00:00"/>
    <n v="7"/>
    <x v="1"/>
    <s v="Africa"/>
    <x v="1"/>
    <s v="Port Harcourt"/>
    <s v="Enterprise"/>
    <s v="Distributor"/>
    <s v="M. Rossi"/>
    <x v="5"/>
    <x v="184"/>
    <n v="1023.06"/>
    <n v="1355.61"/>
    <n v="0.153"/>
    <n v="23"/>
    <n v="26408.63841"/>
    <n v="23530.379999999997"/>
    <n v="2878.2584100000022"/>
    <n v="0.10898927711888809"/>
    <s v="Q4-2024"/>
    <s v="Africa → Nigeria → Port Harcourt"/>
    <s v="Medium"/>
  </r>
  <r>
    <s v="ORD-2023-780206"/>
    <d v="2023-01-19T00:00:00"/>
    <d v="2023-02-03T00:00:00"/>
    <d v="2023-01-19T00:00:00"/>
    <d v="2023-02-03T00:00:00"/>
    <n v="15"/>
    <x v="5"/>
    <s v="Europe"/>
    <x v="7"/>
    <s v="London"/>
    <s v="Enterprise"/>
    <s v="Distributor"/>
    <s v="G. Dubois"/>
    <x v="6"/>
    <x v="185"/>
    <n v="873.06"/>
    <n v="2101.5500000000002"/>
    <n v="6.6000000000000003E-2"/>
    <n v="10"/>
    <n v="19628.476999999999"/>
    <n v="8730.5999999999985"/>
    <n v="10897.877"/>
    <n v="0.55520746719167269"/>
    <s v="Q1-2023"/>
    <s v="Europe → United Kingdom → London"/>
    <s v="High"/>
  </r>
  <r>
    <s v="ORD-2025-542939"/>
    <d v="2025-01-13T00:00:00"/>
    <d v="2025-02-08T00:00:00"/>
    <d v="2025-01-13T00:00:00"/>
    <d v="2025-02-08T00:00:00"/>
    <n v="26"/>
    <x v="9"/>
    <s v="Europe"/>
    <x v="6"/>
    <s v="Paris"/>
    <s v="Non-Profit"/>
    <s v="Unknown Channel"/>
    <s v="E. Garcia"/>
    <x v="5"/>
    <x v="186"/>
    <n v="594.74"/>
    <n v="1020.69"/>
    <n v="0.21099999999999999"/>
    <n v="6"/>
    <n v="4831.9464600000001"/>
    <n v="3568.44"/>
    <n v="1263.5064600000001"/>
    <n v="0.26149016146176424"/>
    <s v="Q1-2025"/>
    <s v="Europe → France → Paris"/>
    <s v="Low"/>
  </r>
  <r>
    <s v="ORD-2025-922513"/>
    <d v="2025-08-28T00:00:00"/>
    <d v="2025-08-26T00:00:00"/>
    <d v="2025-08-26T00:00:00"/>
    <d v="2025-08-28T00:00:00"/>
    <n v="2"/>
    <x v="27"/>
    <s v="Africa"/>
    <x v="1"/>
    <s v="Port Harcourt"/>
    <s v="Small Business"/>
    <s v="Retail"/>
    <s v="A. Patel"/>
    <x v="6"/>
    <x v="187"/>
    <n v="521.05999999999995"/>
    <n v="1240.31"/>
    <n v="0.14599999999999999"/>
    <n v="18"/>
    <n v="19066.045319999997"/>
    <n v="9379.0799999999981"/>
    <n v="9686.9653199999993"/>
    <n v="0.50807417885650974"/>
    <s v="Q3-2025"/>
    <s v="Africa → Nigeria → Port Harcourt"/>
    <s v="Medium"/>
  </r>
  <r>
    <s v="ORD-2023-239789"/>
    <d v="2023-12-03T00:00:00"/>
    <d v="2023-12-26T00:00:00"/>
    <d v="2023-12-03T00:00:00"/>
    <d v="2023-12-26T00:00:00"/>
    <n v="23"/>
    <x v="4"/>
    <s v="Americas"/>
    <x v="5"/>
    <s v="Rio de Janeiro"/>
    <s v="Education"/>
    <s v="Retail"/>
    <s v="O. Wang"/>
    <x v="3"/>
    <x v="188"/>
    <n v="1303.1099999999999"/>
    <n v="1145.67"/>
    <n v="0.184"/>
    <n v="13"/>
    <n v="12153.267360000002"/>
    <n v="16940.43"/>
    <n v="-4787.1626399999986"/>
    <n v="-0.39389922875851208"/>
    <s v="Q4-2023"/>
    <s v="Americas → Brazil → Rio de Janeiro"/>
    <s v="Low"/>
  </r>
  <r>
    <s v="ORD-2023-581799"/>
    <d v="2023-12-05T00:00:00"/>
    <d v="2023-12-12T00:00:00"/>
    <d v="2023-12-05T00:00:00"/>
    <d v="2023-12-12T00:00:00"/>
    <n v="7"/>
    <x v="4"/>
    <s v="Americas"/>
    <x v="5"/>
    <s v="Brasília"/>
    <s v="Corporate"/>
    <s v="Direct"/>
    <s v="F. Müller"/>
    <x v="3"/>
    <x v="189"/>
    <n v="307.43"/>
    <n v="495.19"/>
    <n v="0"/>
    <n v="42"/>
    <n v="20797.98"/>
    <n v="12912.06"/>
    <n v="7885.92"/>
    <n v="0.37916759223732305"/>
    <s v="Q4-2023"/>
    <s v="Americas → Brazil → Brasília"/>
    <s v="Low"/>
  </r>
  <r>
    <s v="ORD-2024-760799"/>
    <d v="2024-02-03T00:00:00"/>
    <d v="2024-02-19T00:00:00"/>
    <d v="2024-02-03T00:00:00"/>
    <d v="2024-02-19T00:00:00"/>
    <n v="16"/>
    <x v="31"/>
    <s v="Asia"/>
    <x v="8"/>
    <s v="Shenzhen"/>
    <s v="Small Business"/>
    <s v="Online"/>
    <s v="H. Kim"/>
    <x v="4"/>
    <x v="190"/>
    <n v="993.75"/>
    <n v="1310.29"/>
    <n v="0.215"/>
    <n v="19"/>
    <n v="19542.975350000001"/>
    <n v="18881.25"/>
    <n v="661.72535000000062"/>
    <n v="3.3860010471742245E-2"/>
    <s v="Q1-2024"/>
    <s v="Asia → China → Shenzhen"/>
    <s v="Medium"/>
  </r>
  <r>
    <s v="ORD-2023-197661"/>
    <d v="2023-08-08T00:00:00"/>
    <d v="2023-08-22T00:00:00"/>
    <d v="2023-08-08T00:00:00"/>
    <d v="2023-08-22T00:00:00"/>
    <n v="14"/>
    <x v="24"/>
    <s v="Europe"/>
    <x v="7"/>
    <s v="Birmingham"/>
    <s v="Non-Profit"/>
    <s v="Direct"/>
    <s v="N. Brown"/>
    <x v="5"/>
    <x v="191"/>
    <n v="446.69"/>
    <n v="967.25"/>
    <n v="9.4E-2"/>
    <n v="10"/>
    <n v="8763.2849999999999"/>
    <n v="4466.8999999999996"/>
    <n v="4296.3850000000002"/>
    <n v="0.49027105702941309"/>
    <s v="Q3-2023"/>
    <s v="Europe → United Kingdom → Birmingham"/>
    <s v="Low"/>
  </r>
  <r>
    <s v="ORD-2024-212990"/>
    <d v="2024-08-12T00:00:00"/>
    <d v="2024-09-03T00:00:00"/>
    <d v="2024-08-12T00:00:00"/>
    <d v="2024-09-03T00:00:00"/>
    <n v="22"/>
    <x v="21"/>
    <s v="Americas"/>
    <x v="9"/>
    <s v="Austin"/>
    <s v="Consumer"/>
    <s v="Distributor"/>
    <s v="I. Johnson"/>
    <x v="4"/>
    <x v="192"/>
    <n v="797.8"/>
    <n v="886.22"/>
    <n v="0.23599999999999999"/>
    <n v="36"/>
    <n v="24374.594880000001"/>
    <n v="28720.799999999999"/>
    <n v="-4346.2051199999987"/>
    <n v="-0.17830881462428633"/>
    <s v="Q3-2024"/>
    <s v="Americas → USA → Austin"/>
    <s v="Low"/>
  </r>
  <r>
    <s v="ORD-2023-925146"/>
    <d v="2023-10-15T00:00:00"/>
    <d v="2023-11-13T00:00:00"/>
    <d v="2023-10-15T00:00:00"/>
    <d v="2023-11-13T00:00:00"/>
    <n v="29"/>
    <x v="30"/>
    <s v="Asia"/>
    <x v="8"/>
    <s v="Shenzhen"/>
    <s v="Non-Profit"/>
    <s v="Distributor"/>
    <s v="J. Njeri"/>
    <x v="1"/>
    <x v="193"/>
    <n v="986.44"/>
    <n v="790.61"/>
    <n v="7.1999999999999995E-2"/>
    <n v="6"/>
    <n v="4402.1164799999997"/>
    <n v="5918.64"/>
    <n v="-1516.5235200000006"/>
    <n v="-0.34449872621271499"/>
    <s v="Q4-2023"/>
    <s v="Asia → China → Shenzhen"/>
    <s v="Low"/>
  </r>
  <r>
    <s v="ORD-2023-177794"/>
    <d v="2023-05-04T00:00:00"/>
    <d v="2023-05-26T00:00:00"/>
    <d v="2023-05-04T00:00:00"/>
    <d v="2023-05-26T00:00:00"/>
    <n v="22"/>
    <x v="15"/>
    <s v="Americas"/>
    <x v="9"/>
    <s v="San Francisco"/>
    <s v="Enterprise"/>
    <s v="Online"/>
    <s v="J. Njeri"/>
    <x v="2"/>
    <x v="194"/>
    <n v="249.71"/>
    <n v="361.33"/>
    <n v="9.4E-2"/>
    <n v="12"/>
    <n v="3928.3797600000003"/>
    <n v="2996.52"/>
    <n v="931.85976000000028"/>
    <n v="0.23721223937881206"/>
    <s v="Q2-2023"/>
    <s v="Americas → USA → San Francisco"/>
    <s v="Low"/>
  </r>
  <r>
    <s v="ORD-2023-195665"/>
    <d v="2023-12-19T00:00:00"/>
    <d v="2023-12-20T00:00:00"/>
    <d v="2023-12-19T00:00:00"/>
    <d v="2023-12-20T00:00:00"/>
    <n v="1"/>
    <x v="4"/>
    <s v="Americas"/>
    <x v="5"/>
    <s v="Rio de Janeiro"/>
    <s v="Consumer"/>
    <s v="Distributor"/>
    <s v="J. Njeri"/>
    <x v="3"/>
    <x v="195"/>
    <n v="1080.43"/>
    <n v="2529.15"/>
    <n v="0.14699999999999999"/>
    <n v="10"/>
    <n v="21573.6495"/>
    <n v="10804.300000000001"/>
    <n v="10769.349499999998"/>
    <n v="0.49918997247081437"/>
    <s v="Q4-2023"/>
    <s v="Americas → Brazil → Rio de Janeiro"/>
    <s v="High"/>
  </r>
  <r>
    <s v="ORD-2024-668926"/>
    <d v="2024-10-23T00:00:00"/>
    <d v="2024-11-14T00:00:00"/>
    <d v="2024-10-23T00:00:00"/>
    <d v="2024-11-14T00:00:00"/>
    <n v="22"/>
    <x v="1"/>
    <s v="Asia"/>
    <x v="2"/>
    <s v="Osaka"/>
    <s v="Non-Profit"/>
    <s v="Direct"/>
    <s v="B. Chen"/>
    <x v="3"/>
    <x v="196"/>
    <n v="1406.4"/>
    <n v="1564.76"/>
    <n v="0.185"/>
    <n v="17"/>
    <n v="21679.749799999998"/>
    <n v="23908.800000000003"/>
    <n v="-2229.0502000000051"/>
    <n v="-0.10281715520536151"/>
    <s v="Q4-2024"/>
    <s v="Asia → Japan → Osaka"/>
    <s v="Medium"/>
  </r>
  <r>
    <s v="ORD-2024-968374"/>
    <d v="2024-02-11T00:00:00"/>
    <d v="2024-03-03T00:00:00"/>
    <d v="2024-02-11T00:00:00"/>
    <d v="2024-03-03T00:00:00"/>
    <n v="21"/>
    <x v="31"/>
    <s v="Africa"/>
    <x v="0"/>
    <s v="Kisumu"/>
    <s v="Enterprise"/>
    <s v="Online"/>
    <s v="B. Chen"/>
    <x v="3"/>
    <x v="197"/>
    <n v="516.86"/>
    <n v="852.54"/>
    <n v="5.0999999999999997E-2"/>
    <n v="14"/>
    <n v="11326.846439999999"/>
    <n v="7236.04"/>
    <n v="4090.8064399999994"/>
    <n v="0.36116022775355994"/>
    <s v="Q1-2024"/>
    <s v="Africa → Kenya → Kisumu"/>
    <s v="Low"/>
  </r>
  <r>
    <s v="ORD-2023-575584"/>
    <d v="2023-01-30T00:00:00"/>
    <d v="2023-02-21T00:00:00"/>
    <d v="2023-01-30T00:00:00"/>
    <d v="2023-02-21T00:00:00"/>
    <n v="22"/>
    <x v="5"/>
    <s v="Europe"/>
    <x v="11"/>
    <s v="Munich"/>
    <s v="Small Business"/>
    <s v="Marketplace"/>
    <s v="G. Dubois"/>
    <x v="2"/>
    <x v="198"/>
    <n v="1142.8800000000001"/>
    <n v="1465.29"/>
    <n v="0.186"/>
    <n v="7"/>
    <n v="8349.2224200000001"/>
    <n v="8000.1600000000008"/>
    <n v="349.06241999999929"/>
    <n v="4.1807775915017401E-2"/>
    <s v="Q1-2023"/>
    <s v="Europe → Germany → Munich"/>
    <s v="Medium"/>
  </r>
  <r>
    <s v="ORD-2023-701153"/>
    <d v="2023-04-14T00:00:00"/>
    <d v="2023-05-13T00:00:00"/>
    <d v="2023-04-14T00:00:00"/>
    <d v="2023-05-13T00:00:00"/>
    <n v="29"/>
    <x v="12"/>
    <s v="Europe"/>
    <x v="11"/>
    <s v="Frankfurt"/>
    <s v="Consumer"/>
    <s v="Direct"/>
    <s v="J. Njeri"/>
    <x v="1"/>
    <x v="199"/>
    <n v="1320.33"/>
    <n v="2645.23"/>
    <n v="0.155"/>
    <n v="25"/>
    <n v="55880.483749999999"/>
    <n v="33008.25"/>
    <n v="22872.233749999999"/>
    <n v="0.40930629470436536"/>
    <s v="Q2-2023"/>
    <s v="Europe → Germany → Frankfurt"/>
    <s v="High"/>
  </r>
  <r>
    <s v="ORD-2023-382017"/>
    <d v="2023-01-13T00:00:00"/>
    <d v="2023-01-19T00:00:00"/>
    <d v="2023-01-13T00:00:00"/>
    <d v="2023-01-19T00:00:00"/>
    <n v="6"/>
    <x v="5"/>
    <s v="Americas"/>
    <x v="9"/>
    <s v="Chicago"/>
    <s v="Corporate"/>
    <s v="Direct"/>
    <s v="H. Kim"/>
    <x v="3"/>
    <x v="200"/>
    <n v="833.57"/>
    <n v="881.57"/>
    <n v="5.7000000000000002E-2"/>
    <n v="18"/>
    <n v="14963.769179999999"/>
    <n v="15004.26"/>
    <n v="-40.490820000000895"/>
    <n v="-2.7059238560107821E-3"/>
    <s v="Q1-2023"/>
    <s v="Americas → USA → Chicago"/>
    <s v="Low"/>
  </r>
  <r>
    <s v="ORD-2024-999607"/>
    <d v="2024-01-12T00:00:00"/>
    <d v="2024-01-29T00:00:00"/>
    <d v="2024-01-12T00:00:00"/>
    <d v="2024-01-29T00:00:00"/>
    <n v="17"/>
    <x v="10"/>
    <s v="Americas"/>
    <x v="9"/>
    <s v="Chicago"/>
    <s v="Education"/>
    <s v="Distributor"/>
    <s v="A. Patel"/>
    <x v="1"/>
    <x v="201"/>
    <n v="493.76"/>
    <n v="625.04"/>
    <n v="0.25800000000000001"/>
    <n v="10"/>
    <n v="4637.7968000000001"/>
    <n v="4937.6000000000004"/>
    <n v="-299.80320000000029"/>
    <n v="-6.464345311549663E-2"/>
    <s v="Q1-2024"/>
    <s v="Americas → USA → Chicago"/>
    <s v="Low"/>
  </r>
  <r>
    <s v="ORD-2023-133848"/>
    <d v="2023-08-15T00:00:00"/>
    <d v="2023-09-07T00:00:00"/>
    <d v="2023-08-15T00:00:00"/>
    <d v="2023-09-07T00:00:00"/>
    <n v="23"/>
    <x v="24"/>
    <s v="Americas"/>
    <x v="9"/>
    <s v="New York"/>
    <s v="Enterprise"/>
    <s v="Online"/>
    <s v="K. Singh"/>
    <x v="3"/>
    <x v="202"/>
    <n v="590.33000000000004"/>
    <n v="973.04"/>
    <n v="0"/>
    <n v="26"/>
    <n v="25299.040000000001"/>
    <n v="15348.580000000002"/>
    <n v="9950.4599999999991"/>
    <n v="0.39331373838691108"/>
    <s v="Q3-2023"/>
    <s v="Americas → USA → New York"/>
    <s v="Low"/>
  </r>
  <r>
    <s v="ORD-2023-586275"/>
    <d v="2023-01-20T00:00:00"/>
    <d v="2023-02-03T00:00:00"/>
    <d v="2023-01-20T00:00:00"/>
    <d v="2023-02-03T00:00:00"/>
    <n v="14"/>
    <x v="5"/>
    <s v="Africa"/>
    <x v="0"/>
    <s v="Kisumu"/>
    <s v="Corporate"/>
    <s v="Retail"/>
    <s v="M. Rossi"/>
    <x v="2"/>
    <x v="203"/>
    <n v="884.36"/>
    <n v="1545.34"/>
    <n v="0.24299999999999999"/>
    <n v="41"/>
    <n v="47962.717579999997"/>
    <n v="36258.76"/>
    <n v="11703.957579999995"/>
    <n v="0.24402198562827965"/>
    <s v="Q1-2023"/>
    <s v="Africa → Kenya → Kisumu"/>
    <s v="Medium"/>
  </r>
  <r>
    <s v="ORD-2025-964661"/>
    <d v="2025-02-04T00:00:00"/>
    <d v="2025-02-25T00:00:00"/>
    <d v="2025-02-04T00:00:00"/>
    <d v="2025-02-25T00:00:00"/>
    <n v="21"/>
    <x v="32"/>
    <s v="Europe"/>
    <x v="7"/>
    <s v="Birmingham"/>
    <s v="Corporate"/>
    <s v="Marketplace"/>
    <s v="D. Smith"/>
    <x v="5"/>
    <x v="204"/>
    <n v="1016.32"/>
    <n v="2253.42"/>
    <n v="5.5E-2"/>
    <n v="12"/>
    <n v="25553.782800000001"/>
    <n v="12195.84"/>
    <n v="13357.942800000001"/>
    <n v="0.52273837124419797"/>
    <s v="Q1-2025"/>
    <s v="Europe → United Kingdom → Birmingham"/>
    <s v="High"/>
  </r>
  <r>
    <s v="ORD-2023-390998"/>
    <d v="2023-04-19T00:00:00"/>
    <d v="2023-04-28T00:00:00"/>
    <d v="2023-04-19T00:00:00"/>
    <d v="2023-04-28T00:00:00"/>
    <n v="9"/>
    <x v="12"/>
    <s v="Europe"/>
    <x v="11"/>
    <s v="Berlin"/>
    <s v="Education"/>
    <s v="Online"/>
    <s v="E. Garcia"/>
    <x v="5"/>
    <x v="205"/>
    <n v="1178.42"/>
    <n v="2446.56"/>
    <n v="2.9000000000000001E-2"/>
    <n v="11"/>
    <n v="26131.70736"/>
    <n v="12962.62"/>
    <n v="13169.08736"/>
    <n v="0.5039505141618883"/>
    <s v="Q2-2023"/>
    <s v="Europe → Germany → Berlin"/>
    <s v="High"/>
  </r>
  <r>
    <s v="ORD-2023-920483"/>
    <d v="2023-07-02T00:00:00"/>
    <d v="2023-08-01T00:00:00"/>
    <d v="2023-07-02T00:00:00"/>
    <d v="2023-08-01T00:00:00"/>
    <n v="30"/>
    <x v="23"/>
    <s v="Europe"/>
    <x v="7"/>
    <s v="Birmingham"/>
    <s v="Small Business"/>
    <s v="Retail"/>
    <s v="B. Chen"/>
    <x v="0"/>
    <x v="206"/>
    <n v="137.46"/>
    <n v="188.3"/>
    <n v="3.7999999999999999E-2"/>
    <n v="37"/>
    <n v="6702.3501999999999"/>
    <n v="5086.0200000000004"/>
    <n v="1616.3301999999994"/>
    <n v="0.24115872071262398"/>
    <s v="Q3-2023"/>
    <s v="Europe → United Kingdom → Birmingham"/>
    <s v="Low"/>
  </r>
  <r>
    <s v="ORD-2023-521280"/>
    <d v="2023-05-27T00:00:00"/>
    <d v="2023-06-19T00:00:00"/>
    <d v="2023-05-27T00:00:00"/>
    <d v="2023-06-19T00:00:00"/>
    <n v="23"/>
    <x v="15"/>
    <s v="Europe"/>
    <x v="11"/>
    <s v="Berlin"/>
    <s v="Education"/>
    <s v="Retail"/>
    <s v="O. Wang"/>
    <x v="6"/>
    <x v="207"/>
    <n v="1471.58"/>
    <n v="2576.65"/>
    <n v="4.0000000000000001E-3"/>
    <n v="7"/>
    <n v="17964.4038"/>
    <n v="10301.06"/>
    <n v="7663.3438000000006"/>
    <n v="0.4265849223451546"/>
    <s v="Q2-2023"/>
    <s v="Europe → Germany → Berlin"/>
    <s v="High"/>
  </r>
  <r>
    <s v="ORD-2024-687100"/>
    <d v="2024-09-10T00:00:00"/>
    <d v="2024-10-07T00:00:00"/>
    <d v="2024-09-10T00:00:00"/>
    <d v="2024-10-07T00:00:00"/>
    <n v="27"/>
    <x v="28"/>
    <s v="Africa"/>
    <x v="0"/>
    <s v="Kisumu"/>
    <s v="Consumer"/>
    <s v="Retail"/>
    <s v="L. Okafor"/>
    <x v="1"/>
    <x v="208"/>
    <n v="1248.3900000000001"/>
    <n v="1805.11"/>
    <n v="0.20300000000000001"/>
    <n v="11"/>
    <n v="15825.399369999997"/>
    <n v="13732.29"/>
    <n v="2093.1093699999965"/>
    <n v="0.13226265707820786"/>
    <s v="Q3-2024"/>
    <s v="Africa → Kenya → Kisumu"/>
    <s v="Medium"/>
  </r>
  <r>
    <s v="ORD-2025-629393"/>
    <d v="2025-07-21T00:00:00"/>
    <d v="2025-08-07T00:00:00"/>
    <d v="2025-07-21T00:00:00"/>
    <d v="2025-08-07T00:00:00"/>
    <n v="17"/>
    <x v="19"/>
    <s v="Africa"/>
    <x v="1"/>
    <s v="Lagos"/>
    <s v="Enterprise"/>
    <s v="Direct"/>
    <s v="M. Rossi"/>
    <x v="6"/>
    <x v="209"/>
    <n v="1204.95"/>
    <n v="2065.73"/>
    <n v="0.13600000000000001"/>
    <n v="10"/>
    <n v="17847.907199999998"/>
    <n v="12049.5"/>
    <n v="5798.4071999999978"/>
    <n v="0.32487882949100039"/>
    <s v="Q3-2025"/>
    <s v="Africa → Nigeria → Lagos"/>
    <s v="High"/>
  </r>
  <r>
    <s v="ORD-2024-686712"/>
    <d v="2024-10-02T00:00:00"/>
    <d v="2024-10-23T00:00:00"/>
    <d v="2024-10-02T00:00:00"/>
    <d v="2024-10-23T00:00:00"/>
    <n v="21"/>
    <x v="1"/>
    <s v="Africa"/>
    <x v="10"/>
    <s v="Durban"/>
    <s v="Corporate"/>
    <s v="Marketplace"/>
    <s v="A. Patel"/>
    <x v="0"/>
    <x v="210"/>
    <n v="1095.6099999999999"/>
    <n v="2366.5100000000002"/>
    <n v="0.152"/>
    <n v="9"/>
    <n v="18061.204320000004"/>
    <n v="9860.49"/>
    <n v="8200.7143200000046"/>
    <n v="0.4540513564158607"/>
    <s v="Q4-2024"/>
    <s v="Africa → South Africa → Durban"/>
    <s v="High"/>
  </r>
  <r>
    <s v="ORD-2025-586799"/>
    <d v="2025-07-14T00:00:00"/>
    <d v="2025-08-04T00:00:00"/>
    <d v="2025-07-14T00:00:00"/>
    <d v="2025-08-04T00:00:00"/>
    <n v="21"/>
    <x v="19"/>
    <s v="Americas"/>
    <x v="3"/>
    <s v="Montreal"/>
    <s v="Consumer"/>
    <s v="Online"/>
    <s v="H. Kim"/>
    <x v="5"/>
    <x v="211"/>
    <n v="90.3"/>
    <n v="131.76"/>
    <n v="0.10199999999999999"/>
    <n v="15"/>
    <n v="1774.8072"/>
    <n v="1354.5"/>
    <n v="420.30719999999997"/>
    <n v="0.23681851189244668"/>
    <s v="Q3-2025"/>
    <s v="Americas → Canada → Montreal"/>
    <s v="Low"/>
  </r>
  <r>
    <s v="ORD-2024-988736"/>
    <d v="2024-09-09T00:00:00"/>
    <d v="2024-10-01T00:00:00"/>
    <d v="2024-09-09T00:00:00"/>
    <d v="2024-10-01T00:00:00"/>
    <n v="22"/>
    <x v="28"/>
    <s v="Asia"/>
    <x v="8"/>
    <s v="Shenzhen"/>
    <s v="Consumer"/>
    <s v="Direct"/>
    <s v="L. Okafor"/>
    <x v="1"/>
    <x v="212"/>
    <n v="1166.18"/>
    <n v="1335.02"/>
    <n v="0.128"/>
    <n v="6"/>
    <n v="6984.8246399999998"/>
    <n v="6997.08"/>
    <n v="-12.25536000000011"/>
    <n v="-1.7545694604582242E-3"/>
    <s v="Q3-2024"/>
    <s v="Asia → China → Shenzhen"/>
    <s v="Medium"/>
  </r>
  <r>
    <s v="ORD-2025-564184"/>
    <d v="2025-01-29T00:00:00"/>
    <d v="2025-02-06T00:00:00"/>
    <d v="2025-01-29T00:00:00"/>
    <d v="2025-02-06T00:00:00"/>
    <n v="8"/>
    <x v="9"/>
    <s v="Africa"/>
    <x v="0"/>
    <s v="Kisumu"/>
    <s v="Education"/>
    <s v="Retail"/>
    <s v="B. Chen"/>
    <x v="3"/>
    <x v="213"/>
    <n v="1445.27"/>
    <n v="2691.45"/>
    <n v="0"/>
    <n v="9"/>
    <n v="24223.05"/>
    <n v="13007.43"/>
    <n v="11215.619999999999"/>
    <n v="0.46301436028906351"/>
    <s v="Q1-2025"/>
    <s v="Africa → Kenya → Kisumu"/>
    <s v="High"/>
  </r>
  <r>
    <s v="ORD-2023-967239"/>
    <d v="2023-12-24T00:00:00"/>
    <d v="2024-01-01T00:00:00"/>
    <d v="2023-12-24T00:00:00"/>
    <d v="2024-01-01T00:00:00"/>
    <n v="8"/>
    <x v="4"/>
    <s v="Americas"/>
    <x v="5"/>
    <s v="São Paulo"/>
    <s v="Education"/>
    <s v="Direct"/>
    <s v="C. Otieno"/>
    <x v="3"/>
    <x v="214"/>
    <n v="526.49"/>
    <n v="496.2"/>
    <n v="0"/>
    <n v="14"/>
    <n v="6946.8"/>
    <n v="7370.8600000000006"/>
    <n v="-424.0600000000004"/>
    <n v="-6.1043933897621985E-2"/>
    <s v="Q4-2023"/>
    <s v="Americas → Brazil → São Paulo"/>
    <s v="Low"/>
  </r>
  <r>
    <s v="ORD-2024-197852"/>
    <d v="2024-02-29T00:00:00"/>
    <d v="2024-03-30T00:00:00"/>
    <d v="2024-02-29T00:00:00"/>
    <d v="2024-03-30T00:00:00"/>
    <n v="30"/>
    <x v="31"/>
    <s v="Asia"/>
    <x v="2"/>
    <s v="Nagoya"/>
    <s v="Small Business"/>
    <s v="Direct"/>
    <s v="I. Johnson"/>
    <x v="2"/>
    <x v="215"/>
    <n v="231.11"/>
    <n v="318.17"/>
    <n v="0.20100000000000001"/>
    <n v="60"/>
    <n v="15253.069799999999"/>
    <n v="13866.6"/>
    <n v="1386.4697999999989"/>
    <n v="9.0897754889969692E-2"/>
    <s v="Q1-2024"/>
    <s v="Asia → Japan → Nagoya"/>
    <s v="Low"/>
  </r>
  <r>
    <s v="ORD-2023-431328"/>
    <d v="2023-12-20T00:00:00"/>
    <d v="2024-01-14T00:00:00"/>
    <d v="2023-12-20T00:00:00"/>
    <d v="2024-01-14T00:00:00"/>
    <n v="25"/>
    <x v="4"/>
    <s v="Asia"/>
    <x v="4"/>
    <s v="Mumbai"/>
    <s v="Non-Profit"/>
    <s v="Marketplace"/>
    <s v="L. Okafor"/>
    <x v="5"/>
    <x v="216"/>
    <n v="1085.6099999999999"/>
    <n v="1246.4100000000001"/>
    <n v="0.113"/>
    <n v="7"/>
    <n v="7738.9596900000006"/>
    <n v="7599.2699999999995"/>
    <n v="139.68969000000106"/>
    <n v="1.8050189637310417E-2"/>
    <s v="Q4-2023"/>
    <s v="Asia → India → Mumbai"/>
    <s v="Medium"/>
  </r>
  <r>
    <s v="ORD-2023-613317"/>
    <d v="2023-01-22T00:00:00"/>
    <d v="2023-01-21T00:00:00"/>
    <d v="2023-01-21T00:00:00"/>
    <d v="2023-01-22T00:00:00"/>
    <n v="1"/>
    <x v="5"/>
    <s v="Europe"/>
    <x v="11"/>
    <s v="Munich"/>
    <s v="Corporate"/>
    <s v="Direct"/>
    <s v="F. Müller"/>
    <x v="5"/>
    <x v="217"/>
    <n v="150.86000000000001"/>
    <n v="346.96"/>
    <n v="0.19600000000000001"/>
    <n v="8"/>
    <n v="2231.6467200000002"/>
    <n v="1206.8800000000001"/>
    <n v="1024.7667200000001"/>
    <n v="0.45919755614365343"/>
    <s v="Q1-2023"/>
    <s v="Europe → Germany → Munich"/>
    <s v="Low"/>
  </r>
  <r>
    <s v="ORD-2024-720756"/>
    <d v="2024-10-11T00:00:00"/>
    <d v="2024-11-09T00:00:00"/>
    <d v="2024-10-11T00:00:00"/>
    <d v="2024-11-09T00:00:00"/>
    <n v="29"/>
    <x v="1"/>
    <s v="Asia"/>
    <x v="8"/>
    <s v="Shanghai"/>
    <s v="Non-Profit"/>
    <s v="Online"/>
    <s v="F. Müller"/>
    <x v="1"/>
    <x v="218"/>
    <n v="391.64"/>
    <n v="504.76"/>
    <n v="4.0000000000000001E-3"/>
    <n v="13"/>
    <n v="6535.6324800000002"/>
    <n v="5091.32"/>
    <n v="1444.3124800000005"/>
    <n v="0.22099046793402319"/>
    <s v="Q4-2024"/>
    <s v="Asia → China → Shanghai"/>
    <s v="Low"/>
  </r>
  <r>
    <s v="ORD-2024-499009"/>
    <d v="2024-01-25T00:00:00"/>
    <d v="2024-01-27T00:00:00"/>
    <d v="2024-01-25T00:00:00"/>
    <d v="2024-01-27T00:00:00"/>
    <n v="2"/>
    <x v="10"/>
    <s v="Americas"/>
    <x v="5"/>
    <s v="São Paulo"/>
    <s v="Non-Profit"/>
    <s v="Marketplace"/>
    <s v="N. Brown"/>
    <x v="4"/>
    <x v="219"/>
    <n v="1410.97"/>
    <n v="1650.75"/>
    <n v="0.13500000000000001"/>
    <n v="6"/>
    <n v="8567.3924999999999"/>
    <n v="8465.82"/>
    <n v="101.57250000000022"/>
    <n v="1.1855707556295596E-2"/>
    <s v="Q1-2024"/>
    <s v="Americas → Brazil → São Paulo"/>
    <s v="Medium"/>
  </r>
  <r>
    <s v="ORD-2025-762212"/>
    <d v="2025-08-25T00:00:00"/>
    <d v="2025-09-24T00:00:00"/>
    <d v="2025-08-25T00:00:00"/>
    <d v="2025-09-24T00:00:00"/>
    <n v="30"/>
    <x v="27"/>
    <s v="Africa"/>
    <x v="0"/>
    <s v="Nairobi"/>
    <s v="Consumer"/>
    <s v="Direct"/>
    <s v="B. Chen"/>
    <x v="0"/>
    <x v="220"/>
    <n v="589.14"/>
    <n v="1300.58"/>
    <n v="5.5E-2"/>
    <n v="11"/>
    <n v="13519.529099999998"/>
    <n v="6480.54"/>
    <n v="7038.989099999998"/>
    <n v="0.52065342275863724"/>
    <s v="Q3-2025"/>
    <s v="Africa → Kenya → Nairobi"/>
    <s v="Medium"/>
  </r>
  <r>
    <s v="ORD-2023-548874"/>
    <d v="2023-03-19T00:00:00"/>
    <d v="2023-04-09T00:00:00"/>
    <d v="2023-03-19T00:00:00"/>
    <d v="2023-04-09T00:00:00"/>
    <n v="21"/>
    <x v="11"/>
    <s v="Europe"/>
    <x v="7"/>
    <s v="Manchester"/>
    <s v="Consumer"/>
    <s v="Retail"/>
    <s v="L. Okafor"/>
    <x v="6"/>
    <x v="221"/>
    <n v="1082.17"/>
    <n v="1234.0999999999999"/>
    <n v="0.189"/>
    <n v="16"/>
    <n v="16013.681599999998"/>
    <n v="17314.72"/>
    <n v="-1301.0384000000031"/>
    <n v="-8.124542703534228E-2"/>
    <s v="Q1-2023"/>
    <s v="Europe → United Kingdom → Manchester"/>
    <s v="Medium"/>
  </r>
  <r>
    <s v="ORD-2023-713375"/>
    <d v="2023-08-26T00:00:00"/>
    <d v="2023-09-10T00:00:00"/>
    <d v="2023-08-26T00:00:00"/>
    <d v="2023-09-10T00:00:00"/>
    <n v="15"/>
    <x v="24"/>
    <s v="Africa"/>
    <x v="10"/>
    <s v="Cape Town"/>
    <s v="Non-Profit"/>
    <s v="Direct"/>
    <s v="N. Brown"/>
    <x v="0"/>
    <x v="222"/>
    <n v="241.14"/>
    <n v="496.52"/>
    <n v="9.2999999999999999E-2"/>
    <n v="10"/>
    <n v="4503.4363999999996"/>
    <n v="2411.3999999999996"/>
    <n v="2092.0364"/>
    <n v="0.46454223268257994"/>
    <s v="Q3-2023"/>
    <s v="Africa → South Africa → Cape Town"/>
    <s v="Low"/>
  </r>
  <r>
    <s v="ORD-2025-678688"/>
    <d v="2025-07-16T00:00:00"/>
    <d v="2025-07-17T00:00:00"/>
    <d v="2025-07-16T00:00:00"/>
    <d v="2025-07-17T00:00:00"/>
    <n v="1"/>
    <x v="19"/>
    <s v="Africa"/>
    <x v="10"/>
    <s v="Durban"/>
    <s v="Small Business"/>
    <s v="Distributor"/>
    <s v="B. Chen"/>
    <x v="2"/>
    <x v="223"/>
    <n v="1198.9000000000001"/>
    <n v="2941.2"/>
    <n v="5.0999999999999997E-2"/>
    <n v="24"/>
    <n v="66988.771199999988"/>
    <n v="28773.600000000002"/>
    <n v="38215.171199999982"/>
    <n v="0.57047129713583977"/>
    <s v="Q3-2025"/>
    <s v="Africa → South Africa → Durban"/>
    <s v="High"/>
  </r>
  <r>
    <s v="ORD-2023-501220"/>
    <d v="2023-04-19T00:00:00"/>
    <d v="2023-05-07T00:00:00"/>
    <d v="2023-04-19T00:00:00"/>
    <d v="2023-05-07T00:00:00"/>
    <n v="18"/>
    <x v="12"/>
    <s v="Europe"/>
    <x v="7"/>
    <s v="Birmingham"/>
    <s v="Enterprise"/>
    <s v="Retail"/>
    <s v="N. Brown"/>
    <x v="4"/>
    <x v="224"/>
    <n v="1089.1500000000001"/>
    <n v="1088.2"/>
    <n v="5.0999999999999997E-2"/>
    <n v="15"/>
    <n v="15490.527"/>
    <n v="16337.250000000002"/>
    <n v="-846.72300000000178"/>
    <n v="-5.4660696824582002E-2"/>
    <s v="Q2-2023"/>
    <s v="Europe → United Kingdom → Birmingham"/>
    <s v="Low"/>
  </r>
  <r>
    <s v="ORD-2024-206121"/>
    <d v="2024-02-18T00:00:00"/>
    <d v="2024-03-11T00:00:00"/>
    <d v="2024-02-18T00:00:00"/>
    <d v="2024-03-11T00:00:00"/>
    <n v="22"/>
    <x v="31"/>
    <s v="Americas"/>
    <x v="5"/>
    <s v="São Paulo"/>
    <s v="Consumer"/>
    <s v="Online"/>
    <s v="A. Patel"/>
    <x v="0"/>
    <x v="225"/>
    <n v="80.48"/>
    <n v="65.650000000000006"/>
    <n v="0.17599999999999999"/>
    <n v="13"/>
    <n v="703.2428000000001"/>
    <n v="1046.24"/>
    <n v="-342.99719999999991"/>
    <n v="-0.48773652570634191"/>
    <s v="Q1-2024"/>
    <s v="Americas → Brazil → São Paulo"/>
    <s v="Low"/>
  </r>
  <r>
    <s v="ORD-2023-290237"/>
    <d v="2023-07-30T00:00:00"/>
    <d v="2023-08-07T00:00:00"/>
    <d v="2023-07-30T00:00:00"/>
    <d v="2023-08-07T00:00:00"/>
    <n v="8"/>
    <x v="23"/>
    <s v="Asia"/>
    <x v="2"/>
    <s v="Nagoya"/>
    <s v="Education"/>
    <s v="Marketplace"/>
    <s v="A. Patel"/>
    <x v="2"/>
    <x v="226"/>
    <n v="1352.44"/>
    <n v="2698.01"/>
    <n v="0.13100000000000001"/>
    <n v="13"/>
    <n v="30479.418970000002"/>
    <n v="17581.72"/>
    <n v="12897.698970000001"/>
    <n v="0.42316091992090887"/>
    <s v="Q3-2023"/>
    <s v="Asia → Japan → Nagoya"/>
    <s v="High"/>
  </r>
  <r>
    <s v="ORD-2024-210687"/>
    <d v="2024-01-28T00:00:00"/>
    <d v="2024-02-09T00:00:00"/>
    <d v="2024-01-28T00:00:00"/>
    <d v="2024-02-09T00:00:00"/>
    <n v="12"/>
    <x v="10"/>
    <s v="Europe"/>
    <x v="11"/>
    <s v="Berlin"/>
    <s v="Corporate"/>
    <s v="Online"/>
    <s v="G. Dubois"/>
    <x v="6"/>
    <x v="227"/>
    <n v="644.16999999999996"/>
    <n v="700.12"/>
    <n v="6.0000000000000001E-3"/>
    <n v="23"/>
    <n v="16006.14344"/>
    <n v="14815.91"/>
    <n v="1190.23344"/>
    <n v="7.436103796405813E-2"/>
    <s v="Q1-2024"/>
    <s v="Europe → Germany → Berlin"/>
    <s v="Low"/>
  </r>
  <r>
    <s v="ORD-2025-289139"/>
    <d v="2025-08-10T00:00:00"/>
    <d v="2025-08-30T00:00:00"/>
    <d v="2025-08-10T00:00:00"/>
    <d v="2025-08-30T00:00:00"/>
    <n v="20"/>
    <x v="27"/>
    <s v="Americas"/>
    <x v="9"/>
    <s v="San Francisco"/>
    <s v="Corporate"/>
    <s v="Marketplace"/>
    <s v="K. Singh"/>
    <x v="1"/>
    <x v="228"/>
    <n v="933.29"/>
    <n v="1456.81"/>
    <n v="0.123"/>
    <n v="13"/>
    <n v="16609.090809999998"/>
    <n v="12132.77"/>
    <n v="4476.3208099999974"/>
    <n v="0.26951028573489977"/>
    <s v="Q3-2025"/>
    <s v="Americas → USA → San Francisco"/>
    <s v="Medium"/>
  </r>
  <r>
    <s v="ORD-2023-949710"/>
    <d v="2023-03-07T00:00:00"/>
    <d v="2023-04-01T00:00:00"/>
    <d v="2023-03-07T00:00:00"/>
    <d v="2023-04-01T00:00:00"/>
    <n v="25"/>
    <x v="11"/>
    <s v="Africa"/>
    <x v="0"/>
    <s v="Nairobi"/>
    <s v="Consumer"/>
    <s v="Marketplace"/>
    <s v="D. Smith"/>
    <x v="1"/>
    <x v="229"/>
    <n v="1024.0999999999999"/>
    <n v="918.19"/>
    <n v="0.189"/>
    <n v="10"/>
    <n v="7446.5209000000004"/>
    <n v="10241"/>
    <n v="-2794.4790999999996"/>
    <n v="-0.37527311579827827"/>
    <s v="Q1-2023"/>
    <s v="Africa → Kenya → Nairobi"/>
    <s v="Low"/>
  </r>
  <r>
    <s v="ORD-2023-603650"/>
    <d v="2023-05-23T00:00:00"/>
    <d v="2023-06-10T00:00:00"/>
    <d v="2023-05-23T00:00:00"/>
    <d v="2023-06-10T00:00:00"/>
    <n v="18"/>
    <x v="15"/>
    <s v="Asia"/>
    <x v="8"/>
    <s v="Shanghai"/>
    <s v="Corporate"/>
    <s v="Distributor"/>
    <s v="E. Garcia"/>
    <x v="0"/>
    <x v="230"/>
    <n v="54.62"/>
    <n v="48.94"/>
    <n v="0.14799999999999999"/>
    <n v="16"/>
    <n v="667.15008"/>
    <n v="873.92"/>
    <n v="-206.76991999999996"/>
    <n v="-0.3099301434543783"/>
    <s v="Q2-2023"/>
    <s v="Asia → China → Shanghai"/>
    <s v="Low"/>
  </r>
  <r>
    <s v="ORD-2024-129345"/>
    <d v="2024-02-18T00:00:00"/>
    <d v="2024-03-03T00:00:00"/>
    <d v="2024-02-18T00:00:00"/>
    <d v="2024-03-03T00:00:00"/>
    <n v="14"/>
    <x v="31"/>
    <s v="Americas"/>
    <x v="5"/>
    <s v="Unknown City"/>
    <s v="Enterprise"/>
    <s v="Distributor"/>
    <s v="A. Patel"/>
    <x v="1"/>
    <x v="231"/>
    <n v="624.23"/>
    <n v="1318.37"/>
    <n v="0.21"/>
    <n v="37"/>
    <n v="38535.955099999999"/>
    <n v="23096.510000000002"/>
    <n v="15439.445099999997"/>
    <n v="0.40065038118128793"/>
    <s v="Q1-2024"/>
    <s v="Americas → Brazil → Unknown City"/>
    <s v="Medium"/>
  </r>
  <r>
    <s v="ORD-2024-423853"/>
    <d v="2024-09-03T00:00:00"/>
    <d v="2024-09-08T00:00:00"/>
    <d v="2024-09-03T00:00:00"/>
    <d v="2024-09-08T00:00:00"/>
    <n v="5"/>
    <x v="28"/>
    <s v="Africa"/>
    <x v="1"/>
    <s v="Lagos"/>
    <s v="Small Business"/>
    <s v="Direct"/>
    <s v="K. Singh"/>
    <x v="1"/>
    <x v="232"/>
    <n v="197.63"/>
    <n v="325.79000000000002"/>
    <n v="0.11600000000000001"/>
    <n v="10"/>
    <n v="2879.9836"/>
    <n v="1976.3"/>
    <n v="903.68360000000007"/>
    <n v="0.31378081458519419"/>
    <s v="Q3-2024"/>
    <s v="Africa → Nigeria → Lagos"/>
    <s v="Low"/>
  </r>
  <r>
    <s v="ORD-2024-569164"/>
    <d v="2024-09-05T00:00:00"/>
    <d v="2024-09-25T00:00:00"/>
    <d v="2024-09-05T00:00:00"/>
    <d v="2024-09-25T00:00:00"/>
    <n v="20"/>
    <x v="28"/>
    <s v="Asia"/>
    <x v="2"/>
    <s v="Osaka"/>
    <s v="Enterprise"/>
    <s v="Distributor"/>
    <s v="D. Smith"/>
    <x v="5"/>
    <x v="233"/>
    <n v="195.54"/>
    <n v="405.97"/>
    <n v="0.187"/>
    <n v="16"/>
    <n v="5280.8577599999999"/>
    <n v="3128.64"/>
    <n v="2152.21776"/>
    <n v="0.40755079152141377"/>
    <s v="Q3-2024"/>
    <s v="Asia → Japan → Osaka"/>
    <s v="Low"/>
  </r>
  <r>
    <s v="ORD-2023-946143"/>
    <d v="2023-03-14T00:00:00"/>
    <d v="2023-03-30T00:00:00"/>
    <d v="2023-03-14T00:00:00"/>
    <d v="2023-03-30T00:00:00"/>
    <n v="16"/>
    <x v="11"/>
    <s v="Africa"/>
    <x v="10"/>
    <s v="Cape Town"/>
    <s v="Consumer"/>
    <s v="Distributor"/>
    <s v="K. Singh"/>
    <x v="0"/>
    <x v="234"/>
    <n v="1309.77"/>
    <n v="1589.07"/>
    <n v="0.10199999999999999"/>
    <n v="10"/>
    <n v="14269.848599999999"/>
    <n v="13097.7"/>
    <n v="1172.1485999999986"/>
    <n v="8.2141628328137886E-2"/>
    <s v="Q1-2023"/>
    <s v="Africa → South Africa → Cape Town"/>
    <s v="Medium"/>
  </r>
  <r>
    <s v="ORD-2024-281211"/>
    <d v="2024-01-11T00:00:00"/>
    <d v="2024-02-02T00:00:00"/>
    <d v="2024-01-11T00:00:00"/>
    <d v="2024-02-02T00:00:00"/>
    <n v="22"/>
    <x v="10"/>
    <s v="Asia"/>
    <x v="2"/>
    <s v="Nagoya"/>
    <s v="Small Business"/>
    <s v="Online"/>
    <s v="Unknown Salesperson"/>
    <x v="1"/>
    <x v="235"/>
    <n v="1237.68"/>
    <n v="1432.8"/>
    <n v="6.8000000000000005E-2"/>
    <n v="13"/>
    <n v="17359.804799999998"/>
    <n v="16089.84"/>
    <n v="1269.9647999999979"/>
    <n v="7.315547695559331E-2"/>
    <s v="Q1-2024"/>
    <s v="Asia → Japan → Nagoya"/>
    <s v="Medium"/>
  </r>
  <r>
    <s v="ORD-2024-805860"/>
    <d v="2024-09-13T00:00:00"/>
    <d v="2024-10-02T00:00:00"/>
    <d v="2024-09-13T00:00:00"/>
    <d v="2024-10-02T00:00:00"/>
    <n v="19"/>
    <x v="28"/>
    <s v="Africa"/>
    <x v="0"/>
    <s v="Mombasa"/>
    <s v="Small Business"/>
    <s v="Retail"/>
    <s v="M. Rossi"/>
    <x v="3"/>
    <x v="236"/>
    <n v="1338.99"/>
    <n v="1765.76"/>
    <n v="0.126"/>
    <n v="24"/>
    <n v="37038.581760000001"/>
    <n v="32135.760000000002"/>
    <n v="4902.8217599999989"/>
    <n v="0.1323706666677725"/>
    <s v="Q3-2024"/>
    <s v="Africa → Kenya → Mombasa"/>
    <s v="Medium"/>
  </r>
  <r>
    <s v="ORD-2025-132174"/>
    <d v="2025-07-17T00:00:00"/>
    <d v="2025-07-23T00:00:00"/>
    <d v="2025-07-17T00:00:00"/>
    <d v="2025-07-23T00:00:00"/>
    <n v="6"/>
    <x v="19"/>
    <s v="Americas"/>
    <x v="3"/>
    <s v="Vancouver"/>
    <s v="Consumer"/>
    <s v="Online"/>
    <s v="H. Kim"/>
    <x v="0"/>
    <x v="237"/>
    <n v="1364.89"/>
    <n v="2757.54"/>
    <n v="0.17199999999999999"/>
    <n v="61"/>
    <n v="139277.83032000001"/>
    <n v="83258.290000000008"/>
    <n v="56019.54032"/>
    <n v="0.4022143379983118"/>
    <s v="Q3-2025"/>
    <s v="Americas → Canada → Vancouver"/>
    <s v="High"/>
  </r>
  <r>
    <s v="ORD-2023-964434"/>
    <d v="2023-11-28T00:00:00"/>
    <d v="2023-12-07T00:00:00"/>
    <d v="2023-11-28T00:00:00"/>
    <d v="2023-12-07T00:00:00"/>
    <n v="9"/>
    <x v="29"/>
    <s v="Asia"/>
    <x v="4"/>
    <s v="Delhi"/>
    <s v="Enterprise"/>
    <s v="Marketplace"/>
    <s v="L. Okafor"/>
    <x v="3"/>
    <x v="238"/>
    <n v="699.33"/>
    <n v="873.75"/>
    <n v="0.23499999999999999"/>
    <n v="10"/>
    <n v="6684.1875"/>
    <n v="6993.3"/>
    <n v="-309.11250000000018"/>
    <n v="-4.6245336475076469E-2"/>
    <s v="Q4-2023"/>
    <s v="Asia → India → Delhi"/>
    <s v="Low"/>
  </r>
  <r>
    <s v="ORD-2024-897622"/>
    <d v="2024-03-30T00:00:00"/>
    <d v="2024-04-24T00:00:00"/>
    <d v="2024-03-30T00:00:00"/>
    <d v="2024-04-24T00:00:00"/>
    <n v="25"/>
    <x v="0"/>
    <s v="Americas"/>
    <x v="9"/>
    <s v="Austin"/>
    <s v="Non-Profit"/>
    <s v="Online"/>
    <s v="G. Dubois"/>
    <x v="4"/>
    <x v="239"/>
    <n v="160.82"/>
    <n v="258.52"/>
    <n v="0.13"/>
    <n v="17"/>
    <n v="3823.5108"/>
    <n v="2733.94"/>
    <n v="1089.5708"/>
    <n v="0.28496605789631874"/>
    <s v="Q1-2024"/>
    <s v="Americas → USA → Austin"/>
    <s v="Low"/>
  </r>
  <r>
    <s v="ORD-2023-517216"/>
    <d v="2023-09-19T00:00:00"/>
    <d v="2023-10-08T00:00:00"/>
    <d v="2023-09-19T00:00:00"/>
    <d v="2023-10-08T00:00:00"/>
    <n v="19"/>
    <x v="26"/>
    <s v="Asia"/>
    <x v="4"/>
    <s v="Bengaluru"/>
    <s v="Education"/>
    <s v="Direct"/>
    <s v="J. Njeri"/>
    <x v="1"/>
    <x v="240"/>
    <n v="385.32"/>
    <n v="606.76"/>
    <n v="8.5999999999999993E-2"/>
    <n v="8"/>
    <n v="4436.6291200000005"/>
    <n v="3082.56"/>
    <n v="1354.0691200000006"/>
    <n v="0.30520223425842735"/>
    <s v="Q3-2023"/>
    <s v="Asia → India → Bengaluru"/>
    <s v="Low"/>
  </r>
  <r>
    <s v="ORD-2025-509940"/>
    <d v="2025-05-16T00:00:00"/>
    <d v="2025-05-27T00:00:00"/>
    <d v="2025-05-16T00:00:00"/>
    <d v="2025-05-27T00:00:00"/>
    <n v="11"/>
    <x v="14"/>
    <s v="Asia"/>
    <x v="8"/>
    <s v="Beijing"/>
    <s v="Enterprise"/>
    <s v="Online"/>
    <s v="F. Müller"/>
    <x v="3"/>
    <x v="241"/>
    <n v="918.12"/>
    <n v="1337.69"/>
    <n v="9.5000000000000001E-2"/>
    <n v="8"/>
    <n v="9684.8756000000012"/>
    <n v="7344.96"/>
    <n v="2339.9156000000012"/>
    <n v="0.24160512707050164"/>
    <s v="Q2-2025"/>
    <s v="Asia → China → Beijing"/>
    <s v="Medium"/>
  </r>
  <r>
    <s v="ORD-2025-646342"/>
    <d v="2025-08-02T00:00:00"/>
    <d v="2025-08-08T00:00:00"/>
    <d v="2025-08-02T00:00:00"/>
    <d v="2025-08-08T00:00:00"/>
    <n v="6"/>
    <x v="27"/>
    <s v="Asia"/>
    <x v="2"/>
    <s v="Osaka"/>
    <s v="Consumer"/>
    <s v="Direct"/>
    <s v="N. Brown"/>
    <x v="4"/>
    <x v="242"/>
    <n v="1225.94"/>
    <n v="1793.08"/>
    <n v="0.13600000000000001"/>
    <n v="22"/>
    <n v="34082.864639999993"/>
    <n v="26970.68"/>
    <n v="7112.1846399999922"/>
    <n v="0.20867332353434462"/>
    <s v="Q3-2025"/>
    <s v="Asia → Japan → Osaka"/>
    <s v="Medium"/>
  </r>
  <r>
    <s v="ORD-2024-866535"/>
    <d v="2024-12-04T00:00:00"/>
    <d v="2024-12-12T00:00:00"/>
    <d v="2024-12-04T00:00:00"/>
    <d v="2024-12-12T00:00:00"/>
    <n v="8"/>
    <x v="6"/>
    <s v="Europe"/>
    <x v="11"/>
    <s v="Frankfurt"/>
    <s v="Enterprise"/>
    <s v="Marketplace"/>
    <s v="B. Chen"/>
    <x v="1"/>
    <x v="243"/>
    <n v="72.06"/>
    <n v="122.74"/>
    <n v="0.23799999999999999"/>
    <n v="8"/>
    <n v="748.22303999999997"/>
    <n v="576.48"/>
    <n v="171.74303999999995"/>
    <n v="0.22953455162246802"/>
    <s v="Q4-2024"/>
    <s v="Europe → Germany → Frankfurt"/>
    <s v="Low"/>
  </r>
  <r>
    <s v="ORD-2024-516704"/>
    <d v="2024-03-01T00:00:00"/>
    <d v="2024-02-29T00:00:00"/>
    <d v="2024-02-29T00:00:00"/>
    <d v="2024-03-01T00:00:00"/>
    <n v="1"/>
    <x v="31"/>
    <s v="Americas"/>
    <x v="5"/>
    <s v="São Paulo"/>
    <s v="Non-Profit"/>
    <s v="Direct"/>
    <s v="I. Johnson"/>
    <x v="3"/>
    <x v="244"/>
    <n v="5.34"/>
    <n v="12.69"/>
    <n v="0.13200000000000001"/>
    <n v="10"/>
    <n v="110.14919999999999"/>
    <n v="53.4"/>
    <n v="56.749199999999995"/>
    <n v="0.51520301554618642"/>
    <s v="Q1-2024"/>
    <s v="Americas → Brazil → São Paulo"/>
    <s v="Low"/>
  </r>
  <r>
    <s v="ORD-2024-853298"/>
    <d v="2024-03-06T00:00:00"/>
    <d v="2024-03-26T00:00:00"/>
    <d v="2024-03-06T00:00:00"/>
    <d v="2024-03-26T00:00:00"/>
    <n v="20"/>
    <x v="0"/>
    <s v="Africa"/>
    <x v="1"/>
    <s v="Port Harcourt"/>
    <s v="Consumer"/>
    <s v="Marketplace"/>
    <s v="I. Johnson"/>
    <x v="3"/>
    <x v="245"/>
    <n v="65.64"/>
    <n v="151.88"/>
    <n v="0.16700000000000001"/>
    <n v="23"/>
    <n v="2909.8689199999999"/>
    <n v="1509.72"/>
    <n v="1400.1489199999999"/>
    <n v="0.48117250587356353"/>
    <s v="Q1-2024"/>
    <s v="Africa → Nigeria → Port Harcourt"/>
    <s v="Low"/>
  </r>
  <r>
    <s v="ORD-2024-544865"/>
    <d v="2024-02-16T00:00:00"/>
    <d v="2024-03-04T00:00:00"/>
    <d v="2024-02-16T00:00:00"/>
    <d v="2024-03-04T00:00:00"/>
    <n v="17"/>
    <x v="31"/>
    <s v="Americas"/>
    <x v="3"/>
    <s v="Montreal"/>
    <s v="Non-Profit"/>
    <s v="Retail"/>
    <s v="D. Smith"/>
    <x v="4"/>
    <x v="246"/>
    <n v="1350.98"/>
    <n v="2210.4"/>
    <n v="0.26300000000000001"/>
    <n v="6"/>
    <n v="9774.3888000000006"/>
    <n v="8105.88"/>
    <n v="1668.5088000000005"/>
    <n v="0.17070211080615091"/>
    <s v="Q1-2024"/>
    <s v="Americas → Canada → Montreal"/>
    <s v="High"/>
  </r>
  <r>
    <s v="ORD-2025-946490"/>
    <d v="2025-04-22T00:00:00"/>
    <d v="2025-05-02T00:00:00"/>
    <d v="2025-04-22T00:00:00"/>
    <d v="2025-05-02T00:00:00"/>
    <n v="10"/>
    <x v="18"/>
    <s v="Europe"/>
    <x v="11"/>
    <s v="Berlin"/>
    <s v="Corporate"/>
    <s v="Marketplace"/>
    <s v="C. Otieno"/>
    <x v="5"/>
    <x v="247"/>
    <n v="20.149999999999999"/>
    <n v="39.74"/>
    <n v="0.151"/>
    <n v="18"/>
    <n v="607.30668000000003"/>
    <n v="362.7"/>
    <n v="244.60668000000004"/>
    <n v="0.4027729120318585"/>
    <s v="Q2-2025"/>
    <s v="Europe → Germany → Berlin"/>
    <s v="Low"/>
  </r>
  <r>
    <s v="ORD-2024-320972"/>
    <d v="2024-11-08T00:00:00"/>
    <d v="2024-11-08T00:00:00"/>
    <d v="2024-11-08T00:00:00"/>
    <d v="2024-11-08T00:00:00"/>
    <n v="0"/>
    <x v="17"/>
    <s v="Africa"/>
    <x v="0"/>
    <s v="Nakuru"/>
    <s v="Enterprise"/>
    <s v="Marketplace"/>
    <s v="M. Rossi"/>
    <x v="2"/>
    <x v="248"/>
    <n v="803.28"/>
    <n v="1009"/>
    <n v="0.11"/>
    <n v="4"/>
    <n v="3592.04"/>
    <n v="3213.12"/>
    <n v="378.92000000000007"/>
    <n v="0.10548880302001093"/>
    <s v="Q4-2024"/>
    <s v="Africa → Kenya → Nakuru"/>
    <s v="Low"/>
  </r>
  <r>
    <s v="ORD-2025-248586"/>
    <d v="2025-09-12T00:00:00"/>
    <d v="2025-09-30T00:00:00"/>
    <d v="2025-09-12T00:00:00"/>
    <d v="2025-09-30T00:00:00"/>
    <n v="18"/>
    <x v="13"/>
    <s v="Asia"/>
    <x v="2"/>
    <s v="Nagoya"/>
    <s v="Non-Profit"/>
    <s v="Marketplace"/>
    <s v="F. Müller"/>
    <x v="5"/>
    <x v="249"/>
    <n v="1212.99"/>
    <n v="1653.64"/>
    <n v="0.107"/>
    <n v="8"/>
    <n v="11813.604160000001"/>
    <n v="9703.92"/>
    <n v="2109.6841600000007"/>
    <n v="0.17858090819931455"/>
    <s v="Q3-2025"/>
    <s v="Asia → Japan → Nagoya"/>
    <s v="Medium"/>
  </r>
  <r>
    <s v="ORD-2024-664046"/>
    <d v="2024-09-02T00:00:00"/>
    <d v="2024-09-08T00:00:00"/>
    <d v="2024-09-02T00:00:00"/>
    <d v="2024-09-08T00:00:00"/>
    <n v="6"/>
    <x v="28"/>
    <s v="Americas"/>
    <x v="9"/>
    <s v="Austin"/>
    <s v="Consumer"/>
    <s v="Direct"/>
    <s v="H. Kim"/>
    <x v="0"/>
    <x v="250"/>
    <n v="462.94"/>
    <n v="1015.7"/>
    <n v="0.14299999999999999"/>
    <n v="14"/>
    <n v="12186.368600000002"/>
    <n v="6481.16"/>
    <n v="5705.2086000000018"/>
    <n v="0.46816314090483041"/>
    <s v="Q3-2024"/>
    <s v="Americas → USA → Austin"/>
    <s v="Low"/>
  </r>
  <r>
    <s v="ORD-2023-276806"/>
    <d v="2023-03-04T00:00:00"/>
    <d v="2023-03-24T00:00:00"/>
    <d v="2023-03-04T00:00:00"/>
    <d v="2023-03-24T00:00:00"/>
    <n v="20"/>
    <x v="11"/>
    <s v="Americas"/>
    <x v="3"/>
    <s v="Montreal"/>
    <s v="Consumer"/>
    <s v="Distributor"/>
    <s v="I. Johnson"/>
    <x v="4"/>
    <x v="251"/>
    <n v="481.71"/>
    <n v="912.45"/>
    <n v="0.20300000000000001"/>
    <n v="24"/>
    <n v="17453.3436"/>
    <n v="11561.039999999999"/>
    <n v="5892.3036000000011"/>
    <n v="0.33760313983619739"/>
    <s v="Q1-2023"/>
    <s v="Americas → Canada → Montreal"/>
    <s v="Low"/>
  </r>
  <r>
    <s v="ORD-2024-220234"/>
    <d v="2024-03-15T00:00:00"/>
    <d v="2024-04-09T00:00:00"/>
    <d v="2024-03-15T00:00:00"/>
    <d v="2024-04-09T00:00:00"/>
    <n v="25"/>
    <x v="0"/>
    <s v="Americas"/>
    <x v="3"/>
    <s v="Vancouver"/>
    <s v="Consumer"/>
    <s v="Online"/>
    <s v="F. Müller"/>
    <x v="5"/>
    <x v="252"/>
    <n v="648.64"/>
    <n v="815.19"/>
    <n v="0.22500000000000001"/>
    <n v="28"/>
    <n v="17689.623"/>
    <n v="18161.919999999998"/>
    <n v="-472.29699999999866"/>
    <n v="-2.6699099240272032E-2"/>
    <s v="Q1-2024"/>
    <s v="Americas → Canada → Vancouver"/>
    <s v="Low"/>
  </r>
  <r>
    <s v="ORD-2024-301260"/>
    <d v="2024-07-29T00:00:00"/>
    <d v="2024-07-31T00:00:00"/>
    <d v="2024-07-29T00:00:00"/>
    <d v="2024-07-31T00:00:00"/>
    <n v="2"/>
    <x v="8"/>
    <s v="Americas"/>
    <x v="9"/>
    <s v="New York"/>
    <s v="Education"/>
    <s v="Marketplace"/>
    <s v="I. Johnson"/>
    <x v="1"/>
    <x v="253"/>
    <n v="798.97"/>
    <n v="1814.06"/>
    <n v="0.122"/>
    <n v="16"/>
    <n v="25483.91488"/>
    <n v="12783.52"/>
    <n v="12700.39488"/>
    <n v="0.49836906691159061"/>
    <s v="Q3-2024"/>
    <s v="Americas → USA → New York"/>
    <s v="Medium"/>
  </r>
  <r>
    <s v="ORD-2024-350100"/>
    <d v="2024-10-27T00:00:00"/>
    <d v="2024-11-20T00:00:00"/>
    <d v="2024-10-27T00:00:00"/>
    <d v="2024-11-20T00:00:00"/>
    <n v="24"/>
    <x v="1"/>
    <s v="Asia"/>
    <x v="2"/>
    <s v="Nagoya"/>
    <s v="Non-Profit"/>
    <s v="Online"/>
    <s v="H. Kim"/>
    <x v="5"/>
    <x v="254"/>
    <n v="317.25"/>
    <n v="758.92"/>
    <n v="5.2999999999999999E-2"/>
    <n v="9"/>
    <n v="6468.2751599999992"/>
    <n v="2855.25"/>
    <n v="3613.0251599999992"/>
    <n v="0.5585762928489888"/>
    <s v="Q4-2024"/>
    <s v="Asia → Japan → Nagoya"/>
    <s v="Low"/>
  </r>
  <r>
    <s v="ORD-2024-855600"/>
    <d v="2024-04-29T00:00:00"/>
    <d v="2024-05-19T00:00:00"/>
    <d v="2024-04-29T00:00:00"/>
    <d v="2024-05-19T00:00:00"/>
    <n v="20"/>
    <x v="20"/>
    <s v="Europe"/>
    <x v="11"/>
    <s v="Frankfurt"/>
    <s v="Enterprise"/>
    <s v="Marketplace"/>
    <s v="C. Otieno"/>
    <x v="4"/>
    <x v="255"/>
    <n v="668.97"/>
    <n v="1667.44"/>
    <n v="3.4000000000000002E-2"/>
    <n v="15"/>
    <n v="24161.205600000001"/>
    <n v="10034.550000000001"/>
    <n v="14126.6556"/>
    <n v="0.58468339013679016"/>
    <s v="Q2-2024"/>
    <s v="Europe → Germany → Frankfurt"/>
    <s v="Medium"/>
  </r>
  <r>
    <s v="ORD-2023-474313"/>
    <d v="2023-10-05T00:00:00"/>
    <d v="2023-10-06T00:00:00"/>
    <d v="2023-10-05T00:00:00"/>
    <d v="2023-10-06T00:00:00"/>
    <n v="1"/>
    <x v="30"/>
    <s v="Asia"/>
    <x v="4"/>
    <s v="Bengaluru"/>
    <s v="Non-Profit"/>
    <s v="Online"/>
    <s v="I. Johnson"/>
    <x v="0"/>
    <x v="256"/>
    <n v="1470.26"/>
    <n v="2562.5500000000002"/>
    <n v="0.17299999999999999"/>
    <n v="9"/>
    <n v="19073.059649999999"/>
    <n v="13232.34"/>
    <n v="5840.7196499999991"/>
    <n v="0.30622877279157462"/>
    <s v="Q4-2023"/>
    <s v="Asia → India → Bengaluru"/>
    <s v="High"/>
  </r>
  <r>
    <s v="ORD-2023-256951"/>
    <d v="2023-04-19T00:00:00"/>
    <d v="2023-05-07T00:00:00"/>
    <d v="2023-04-19T00:00:00"/>
    <d v="2023-05-07T00:00:00"/>
    <n v="18"/>
    <x v="12"/>
    <s v="Europe"/>
    <x v="7"/>
    <s v="London"/>
    <s v="Non-Profit"/>
    <s v="Direct"/>
    <s v="H. Kim"/>
    <x v="2"/>
    <x v="257"/>
    <n v="516.96"/>
    <n v="745.38"/>
    <n v="0.19700000000000001"/>
    <n v="4"/>
    <n v="2394.1605599999998"/>
    <n v="2067.84"/>
    <n v="326.32055999999966"/>
    <n v="0.13629852794835101"/>
    <s v="Q2-2023"/>
    <s v="Europe → United Kingdom → London"/>
    <s v="Low"/>
  </r>
  <r>
    <s v="ORD-2025-184754"/>
    <d v="2025-06-27T00:00:00"/>
    <d v="2025-07-05T00:00:00"/>
    <d v="2025-06-27T00:00:00"/>
    <d v="2025-07-05T00:00:00"/>
    <n v="8"/>
    <x v="22"/>
    <s v="Europe"/>
    <x v="11"/>
    <s v="Munich"/>
    <s v="Small Business"/>
    <s v="Direct"/>
    <s v="G. Dubois"/>
    <x v="5"/>
    <x v="258"/>
    <n v="314.93"/>
    <n v="687.95"/>
    <n v="0.20499999999999999"/>
    <n v="8"/>
    <n v="4375.3620000000001"/>
    <n v="2519.44"/>
    <n v="1855.922"/>
    <n v="0.424175645352316"/>
    <s v="Q2-2025"/>
    <s v="Europe → Germany → Munich"/>
    <s v="Low"/>
  </r>
  <r>
    <s v="ORD-2024-219735"/>
    <d v="2024-04-03T00:00:00"/>
    <d v="2024-04-07T00:00:00"/>
    <d v="2024-04-03T00:00:00"/>
    <d v="2024-04-07T00:00:00"/>
    <n v="4"/>
    <x v="20"/>
    <s v="Americas"/>
    <x v="5"/>
    <s v="Brasília"/>
    <s v="Non-Profit"/>
    <s v="Direct"/>
    <s v="N. Brown"/>
    <x v="3"/>
    <x v="259"/>
    <n v="1023.27"/>
    <n v="1343.64"/>
    <n v="0.13300000000000001"/>
    <n v="7"/>
    <n v="8154.5511600000009"/>
    <n v="7162.8899999999994"/>
    <n v="991.66116000000147"/>
    <n v="0.12160830688810116"/>
    <s v="Q2-2024"/>
    <s v="Americas → Brazil → Brasília"/>
    <s v="Medium"/>
  </r>
  <r>
    <s v="ORD-2023-638181"/>
    <d v="2023-05-20T00:00:00"/>
    <d v="2023-06-07T00:00:00"/>
    <d v="2023-05-20T00:00:00"/>
    <d v="2023-06-07T00:00:00"/>
    <n v="18"/>
    <x v="15"/>
    <s v="Africa"/>
    <x v="1"/>
    <s v="Port Harcourt"/>
    <s v="Enterprise"/>
    <s v="Distributor"/>
    <s v="E. Garcia"/>
    <x v="0"/>
    <x v="260"/>
    <n v="1120.06"/>
    <n v="2068.21"/>
    <n v="7.8E-2"/>
    <n v="12"/>
    <n v="22882.675440000003"/>
    <n v="13440.72"/>
    <n v="9441.9554400000034"/>
    <n v="0.41262462795303284"/>
    <s v="Q2-2023"/>
    <s v="Africa → Nigeria → Port Harcourt"/>
    <s v="High"/>
  </r>
  <r>
    <s v="ORD-2025-332931"/>
    <d v="2025-02-15T00:00:00"/>
    <d v="2025-03-01T00:00:00"/>
    <d v="2025-02-15T00:00:00"/>
    <d v="2025-03-01T00:00:00"/>
    <n v="14"/>
    <x v="32"/>
    <s v="Africa"/>
    <x v="0"/>
    <s v="Mombasa"/>
    <s v="Education"/>
    <s v="Direct"/>
    <s v="L. Okafor"/>
    <x v="6"/>
    <x v="261"/>
    <n v="1162.8599999999999"/>
    <n v="1447.68"/>
    <n v="8.6999999999999994E-2"/>
    <n v="12"/>
    <n v="15860.782080000001"/>
    <n v="13954.32"/>
    <n v="1906.4620800000012"/>
    <n v="0.12019975247021369"/>
    <s v="Q1-2025"/>
    <s v="Africa → Kenya → Mombasa"/>
    <s v="Medium"/>
  </r>
  <r>
    <s v="ORD-2024-510591"/>
    <d v="2024-04-03T00:00:00"/>
    <d v="2024-04-21T00:00:00"/>
    <d v="2024-04-03T00:00:00"/>
    <d v="2024-04-21T00:00:00"/>
    <n v="18"/>
    <x v="20"/>
    <s v="Americas"/>
    <x v="5"/>
    <s v="Brasília"/>
    <s v="Small Business"/>
    <s v="Distributor"/>
    <s v="B. Chen"/>
    <x v="2"/>
    <x v="262"/>
    <n v="1176.69"/>
    <n v="2201.54"/>
    <n v="0.17"/>
    <n v="27"/>
    <n v="49336.511399999996"/>
    <n v="31770.63"/>
    <n v="17565.881399999995"/>
    <n v="0.35604222717701106"/>
    <s v="Q2-2024"/>
    <s v="Americas → Brazil → Brasília"/>
    <s v="High"/>
  </r>
  <r>
    <s v="ORD-2025-908258"/>
    <d v="2025-06-21T00:00:00"/>
    <d v="2025-06-27T00:00:00"/>
    <d v="2025-06-21T00:00:00"/>
    <d v="2025-06-27T00:00:00"/>
    <n v="6"/>
    <x v="22"/>
    <s v="Africa"/>
    <x v="10"/>
    <s v="Durban"/>
    <s v="Enterprise"/>
    <s v="Distributor"/>
    <s v="N. Brown"/>
    <x v="3"/>
    <x v="263"/>
    <n v="93.91"/>
    <n v="99.04"/>
    <n v="5.7000000000000002E-2"/>
    <n v="6"/>
    <n v="560.36831999999993"/>
    <n v="563.46"/>
    <n v="-3.0916800000001103"/>
    <n v="-5.5172283829323376E-3"/>
    <s v="Q2-2025"/>
    <s v="Africa → South Africa → Durban"/>
    <s v="Low"/>
  </r>
  <r>
    <s v="ORD-2025-440093"/>
    <d v="2025-04-16T00:00:00"/>
    <d v="2025-04-26T00:00:00"/>
    <d v="2025-04-16T00:00:00"/>
    <d v="2025-04-26T00:00:00"/>
    <n v="10"/>
    <x v="18"/>
    <s v="Africa"/>
    <x v="1"/>
    <s v="Port Harcourt"/>
    <s v="Enterprise"/>
    <s v="Marketplace"/>
    <s v="F. Müller"/>
    <x v="4"/>
    <x v="264"/>
    <n v="1457.44"/>
    <n v="1996.81"/>
    <n v="0.126"/>
    <n v="23"/>
    <n v="40139.874619999995"/>
    <n v="33521.120000000003"/>
    <n v="6618.7546199999924"/>
    <n v="0.16489225944672353"/>
    <s v="Q2-2025"/>
    <s v="Africa → Nigeria → Port Harcourt"/>
    <s v="High"/>
  </r>
  <r>
    <s v="ORD-2025-898022"/>
    <d v="2025-09-02T00:00:00"/>
    <d v="2025-09-11T00:00:00"/>
    <d v="2025-09-02T00:00:00"/>
    <d v="2025-09-11T00:00:00"/>
    <n v="9"/>
    <x v="13"/>
    <s v="Americas"/>
    <x v="3"/>
    <s v="Toronto"/>
    <s v="Corporate"/>
    <s v="Distributor"/>
    <s v="M. Rossi"/>
    <x v="1"/>
    <x v="265"/>
    <n v="1207.6300000000001"/>
    <n v="921.68"/>
    <n v="0.19600000000000001"/>
    <n v="17"/>
    <n v="12597.52224"/>
    <n v="20529.710000000003"/>
    <n v="-7932.1877600000025"/>
    <n v="-0.62966253274897988"/>
    <s v="Q3-2025"/>
    <s v="Americas → Canada → Toronto"/>
    <s v="Low"/>
  </r>
  <r>
    <s v="ORD-2024-500511"/>
    <d v="2024-10-08T00:00:00"/>
    <d v="2024-10-08T00:00:00"/>
    <d v="2024-10-08T00:00:00"/>
    <d v="2024-10-08T00:00:00"/>
    <n v="0"/>
    <x v="1"/>
    <s v="Europe"/>
    <x v="7"/>
    <s v="London"/>
    <s v="Corporate"/>
    <s v="Online"/>
    <s v="E. Garcia"/>
    <x v="5"/>
    <x v="266"/>
    <n v="1108.1099999999999"/>
    <n v="2503.79"/>
    <n v="0.184"/>
    <n v="19"/>
    <n v="38818.760160000005"/>
    <n v="21054.089999999997"/>
    <n v="17764.670160000009"/>
    <n v="0.45763105485025896"/>
    <s v="Q4-2024"/>
    <s v="Europe → United Kingdom → London"/>
    <s v="High"/>
  </r>
  <r>
    <s v="ORD-2023-632893"/>
    <d v="2023-05-07T00:00:00"/>
    <d v="2023-05-05T00:00:00"/>
    <d v="2023-05-05T00:00:00"/>
    <d v="2023-05-07T00:00:00"/>
    <n v="2"/>
    <x v="15"/>
    <s v="Africa"/>
    <x v="1"/>
    <s v="Port Harcourt"/>
    <s v="Non-Profit"/>
    <s v="Marketplace"/>
    <s v="A. Patel"/>
    <x v="0"/>
    <x v="267"/>
    <n v="1269.6500000000001"/>
    <n v="2462.77"/>
    <n v="0.107"/>
    <n v="8"/>
    <n v="17594.028880000002"/>
    <n v="10157.200000000001"/>
    <n v="7436.8288800000009"/>
    <n v="0.42269050089225502"/>
    <s v="Q2-2023"/>
    <s v="Africa → Nigeria → Port Harcourt"/>
    <s v="High"/>
  </r>
  <r>
    <s v="ORD-2024-503082"/>
    <d v="2024-05-19T00:00:00"/>
    <d v="2024-06-08T00:00:00"/>
    <d v="2024-05-19T00:00:00"/>
    <d v="2024-06-08T00:00:00"/>
    <n v="20"/>
    <x v="7"/>
    <s v="Americas"/>
    <x v="5"/>
    <s v="Brasília"/>
    <s v="Small Business"/>
    <s v="Retail"/>
    <s v="E. Garcia"/>
    <x v="5"/>
    <x v="268"/>
    <n v="1075.9000000000001"/>
    <n v="1242.1500000000001"/>
    <n v="1.2E-2"/>
    <n v="7"/>
    <n v="8590.7094000000016"/>
    <n v="7531.3000000000011"/>
    <n v="1059.4094000000005"/>
    <n v="0.12332036280961853"/>
    <s v="Q2-2024"/>
    <s v="Americas → Brazil → Brasília"/>
    <s v="Medium"/>
  </r>
  <r>
    <s v="ORD-2024-885858"/>
    <d v="2024-01-10T00:00:00"/>
    <d v="2024-01-23T00:00:00"/>
    <d v="2024-01-10T00:00:00"/>
    <d v="2024-01-23T00:00:00"/>
    <n v="13"/>
    <x v="10"/>
    <s v="Europe"/>
    <x v="6"/>
    <s v="Marseille"/>
    <s v="Corporate"/>
    <s v="Direct"/>
    <s v="A. Patel"/>
    <x v="1"/>
    <x v="269"/>
    <n v="720"/>
    <n v="907.59"/>
    <n v="0.154"/>
    <n v="10"/>
    <n v="7678.2113999999992"/>
    <n v="7200"/>
    <n v="478.21139999999923"/>
    <n v="6.2281614179052078E-2"/>
    <s v="Q1-2024"/>
    <s v="Europe → France → Marseille"/>
    <s v="Low"/>
  </r>
  <r>
    <s v="ORD-2024-403664"/>
    <d v="2024-05-23T00:00:00"/>
    <d v="2024-06-06T00:00:00"/>
    <d v="2024-05-23T00:00:00"/>
    <d v="2024-06-06T00:00:00"/>
    <n v="14"/>
    <x v="7"/>
    <s v="Americas"/>
    <x v="5"/>
    <s v="Rio de Janeiro"/>
    <s v="Non-Profit"/>
    <s v="Online"/>
    <s v="I. Johnson"/>
    <x v="2"/>
    <x v="270"/>
    <n v="51.13"/>
    <n v="57.53"/>
    <n v="4.4999999999999998E-2"/>
    <n v="16"/>
    <n v="879.05840000000001"/>
    <n v="818.08"/>
    <n v="60.978399999999965"/>
    <n v="6.9367859973808302E-2"/>
    <s v="Q2-2024"/>
    <s v="Americas → Brazil → Rio de Janeiro"/>
    <s v="Low"/>
  </r>
  <r>
    <s v="ORD-2025-484073"/>
    <d v="2025-02-19T00:00:00"/>
    <d v="2025-03-09T00:00:00"/>
    <d v="2025-02-19T00:00:00"/>
    <d v="2025-03-09T00:00:00"/>
    <n v="18"/>
    <x v="32"/>
    <s v="Asia"/>
    <x v="4"/>
    <s v="Delhi"/>
    <s v="Small Business"/>
    <s v="Direct"/>
    <s v="O. Wang"/>
    <x v="5"/>
    <x v="271"/>
    <n v="325.87"/>
    <n v="538.79"/>
    <n v="0.17399999999999999"/>
    <n v="16"/>
    <n v="7120.6486400000003"/>
    <n v="5213.92"/>
    <n v="1906.7286400000003"/>
    <n v="0.26777457172778013"/>
    <s v="Q1-2025"/>
    <s v="Asia → India → Delhi"/>
    <s v="Low"/>
  </r>
  <r>
    <s v="ORD-2024-745822"/>
    <d v="2024-03-31T00:00:00"/>
    <d v="2024-04-17T00:00:00"/>
    <d v="2024-03-31T00:00:00"/>
    <d v="2024-04-17T00:00:00"/>
    <n v="17"/>
    <x v="0"/>
    <s v="Europe"/>
    <x v="11"/>
    <s v="Frankfurt"/>
    <s v="Education"/>
    <s v="Direct"/>
    <s v="H. Kim"/>
    <x v="5"/>
    <x v="272"/>
    <n v="1025.51"/>
    <n v="1436.54"/>
    <n v="0.13900000000000001"/>
    <n v="28"/>
    <n v="34632.106319999999"/>
    <n v="28714.28"/>
    <n v="5917.8263200000001"/>
    <n v="0.17087688127656453"/>
    <s v="Q1-2024"/>
    <s v="Europe → Germany → Frankfurt"/>
    <s v="Medium"/>
  </r>
  <r>
    <s v="ORD-2023-369160"/>
    <d v="2023-07-24T00:00:00"/>
    <d v="2023-08-13T00:00:00"/>
    <d v="2023-07-24T00:00:00"/>
    <d v="2023-08-13T00:00:00"/>
    <n v="20"/>
    <x v="23"/>
    <s v="Americas"/>
    <x v="3"/>
    <s v="Montreal"/>
    <s v="Education"/>
    <s v="Direct"/>
    <s v="C. Otieno"/>
    <x v="5"/>
    <x v="273"/>
    <n v="1082.3800000000001"/>
    <n v="1766.55"/>
    <n v="0.16400000000000001"/>
    <n v="20"/>
    <n v="29536.716"/>
    <n v="21647.600000000002"/>
    <n v="7889.1159999999982"/>
    <n v="0.26709523157550752"/>
    <s v="Q3-2023"/>
    <s v="Americas → Canada → Montreal"/>
    <s v="Medium"/>
  </r>
  <r>
    <s v="ORD-2024-834983"/>
    <d v="2024-03-16T00:00:00"/>
    <d v="2024-04-13T00:00:00"/>
    <d v="2024-03-16T00:00:00"/>
    <d v="2024-04-13T00:00:00"/>
    <n v="28"/>
    <x v="0"/>
    <s v="Europe"/>
    <x v="6"/>
    <s v="Paris"/>
    <s v="Small Business"/>
    <s v="Online"/>
    <s v="K. Singh"/>
    <x v="1"/>
    <x v="274"/>
    <n v="287.61"/>
    <n v="628.54"/>
    <n v="0.13500000000000001"/>
    <n v="21"/>
    <n v="11417.429099999999"/>
    <n v="6039.81"/>
    <n v="5377.619099999999"/>
    <n v="0.47100087531964613"/>
    <s v="Q1-2024"/>
    <s v="Europe → France → Paris"/>
    <s v="Low"/>
  </r>
  <r>
    <s v="ORD-2023-488227"/>
    <d v="2023-09-08T00:00:00"/>
    <d v="2023-10-02T00:00:00"/>
    <d v="2023-09-08T00:00:00"/>
    <d v="2023-10-02T00:00:00"/>
    <n v="24"/>
    <x v="26"/>
    <s v="Americas"/>
    <x v="3"/>
    <s v="Toronto"/>
    <s v="Education"/>
    <s v="Direct"/>
    <s v="A. Patel"/>
    <x v="6"/>
    <x v="275"/>
    <n v="1299.03"/>
    <n v="2451.2199999999998"/>
    <n v="0.20799999999999999"/>
    <n v="8"/>
    <n v="15530.929919999999"/>
    <n v="10392.24"/>
    <n v="5138.6899199999989"/>
    <n v="0.3308681416032041"/>
    <s v="Q3-2023"/>
    <s v="Americas → Canada → Toronto"/>
    <s v="High"/>
  </r>
  <r>
    <s v="ORD-2024-948800"/>
    <d v="2024-03-27T00:00:00"/>
    <d v="2024-04-11T00:00:00"/>
    <d v="2024-03-27T00:00:00"/>
    <d v="2024-04-11T00:00:00"/>
    <n v="15"/>
    <x v="0"/>
    <s v="Americas"/>
    <x v="9"/>
    <s v="San Francisco"/>
    <s v="Small Business"/>
    <s v="Direct"/>
    <s v="O. Wang"/>
    <x v="2"/>
    <x v="276"/>
    <n v="1338.35"/>
    <n v="2247.14"/>
    <n v="0.115"/>
    <n v="40"/>
    <n v="79548.755999999994"/>
    <n v="53534"/>
    <n v="26014.755999999994"/>
    <n v="0.32702907384246205"/>
    <s v="Q1-2024"/>
    <s v="Americas → USA → San Francisco"/>
    <s v="High"/>
  </r>
  <r>
    <s v="ORD-2024-468501"/>
    <d v="2024-11-06T00:00:00"/>
    <d v="2024-11-22T00:00:00"/>
    <d v="2024-11-06T00:00:00"/>
    <d v="2024-11-22T00:00:00"/>
    <n v="16"/>
    <x v="17"/>
    <s v="Americas"/>
    <x v="3"/>
    <s v="Toronto"/>
    <s v="Non-Profit"/>
    <s v="Distributor"/>
    <s v="D. Smith"/>
    <x v="6"/>
    <x v="277"/>
    <n v="1454.11"/>
    <n v="2629.75"/>
    <n v="0.29199999999999998"/>
    <n v="8"/>
    <n v="14894.903999999999"/>
    <n v="11632.88"/>
    <n v="3262.0239999999994"/>
    <n v="0.21900268709351867"/>
    <s v="Q4-2024"/>
    <s v="Americas → Canada → Toronto"/>
    <s v="High"/>
  </r>
  <r>
    <s v="ORD-2024-580808"/>
    <d v="2024-06-16T00:00:00"/>
    <d v="2024-07-03T00:00:00"/>
    <d v="2024-06-16T00:00:00"/>
    <d v="2024-07-03T00:00:00"/>
    <n v="17"/>
    <x v="25"/>
    <s v="Africa"/>
    <x v="10"/>
    <s v="Johannesburg"/>
    <s v="Enterprise"/>
    <s v="Marketplace"/>
    <s v="F. Müller"/>
    <x v="3"/>
    <x v="278"/>
    <n v="1173.83"/>
    <n v="2328.9"/>
    <n v="0.12"/>
    <n v="17"/>
    <n v="34840.344000000005"/>
    <n v="19955.11"/>
    <n v="14885.234000000004"/>
    <n v="0.42724130393201637"/>
    <s v="Q2-2024"/>
    <s v="Africa → South Africa → Johannesburg"/>
    <s v="High"/>
  </r>
  <r>
    <s v="ORD-2023-211715"/>
    <d v="2023-10-30T00:00:00"/>
    <d v="2023-11-14T00:00:00"/>
    <d v="2023-10-30T00:00:00"/>
    <d v="2023-11-14T00:00:00"/>
    <n v="15"/>
    <x v="30"/>
    <s v="Asia"/>
    <x v="4"/>
    <s v="Bengaluru"/>
    <s v="Corporate"/>
    <s v="Online"/>
    <s v="F. Müller"/>
    <x v="4"/>
    <x v="279"/>
    <n v="953.46"/>
    <n v="2066.75"/>
    <n v="0.13800000000000001"/>
    <n v="5"/>
    <n v="8907.6924999999992"/>
    <n v="4767.3"/>
    <n v="4140.392499999999"/>
    <n v="0.46481089238318446"/>
    <s v="Q4-2023"/>
    <s v="Asia → India → Bengaluru"/>
    <s v="High"/>
  </r>
  <r>
    <s v="ORD-2023-715175"/>
    <d v="2023-06-15T00:00:00"/>
    <d v="2023-06-23T00:00:00"/>
    <d v="2023-06-15T00:00:00"/>
    <d v="2023-06-23T00:00:00"/>
    <n v="8"/>
    <x v="16"/>
    <s v="Americas"/>
    <x v="9"/>
    <s v="San Francisco"/>
    <s v="Consumer"/>
    <s v="Distributor"/>
    <s v="O. Wang"/>
    <x v="5"/>
    <x v="280"/>
    <n v="1097.0899999999999"/>
    <n v="2182.31"/>
    <n v="0.112"/>
    <n v="9"/>
    <n v="17441.021520000002"/>
    <n v="9873.81"/>
    <n v="7567.2115200000026"/>
    <n v="0.43387432962699546"/>
    <s v="Q2-2023"/>
    <s v="Americas → USA → San Francisco"/>
    <s v="High"/>
  </r>
  <r>
    <s v="ORD-2025-685236"/>
    <d v="2025-03-14T00:00:00"/>
    <d v="2025-03-29T00:00:00"/>
    <d v="2025-03-14T00:00:00"/>
    <d v="2025-03-29T00:00:00"/>
    <n v="15"/>
    <x v="3"/>
    <s v="Asia"/>
    <x v="2"/>
    <s v="Tokyo"/>
    <s v="Non-Profit"/>
    <s v="Direct"/>
    <s v="H. Kim"/>
    <x v="2"/>
    <x v="281"/>
    <n v="1106.96"/>
    <n v="2726.62"/>
    <n v="0.1186"/>
    <n v="7"/>
    <n v="16822.700076000001"/>
    <n v="7748.72"/>
    <n v="9073.9800759999998"/>
    <n v="0.53938904189020975"/>
    <s v="Q1-2025"/>
    <s v="Asia → Japan → Tokyo"/>
    <s v="High"/>
  </r>
  <r>
    <s v="ORD-2023-274037"/>
    <d v="2023-08-15T00:00:00"/>
    <d v="2023-08-25T00:00:00"/>
    <d v="2023-08-15T00:00:00"/>
    <d v="2023-08-25T00:00:00"/>
    <n v="10"/>
    <x v="24"/>
    <s v="Africa"/>
    <x v="0"/>
    <s v="Nairobi"/>
    <s v="Small Business"/>
    <s v="Retail"/>
    <s v="N. Brown"/>
    <x v="3"/>
    <x v="282"/>
    <n v="91.85"/>
    <n v="111.29"/>
    <n v="0"/>
    <n v="6"/>
    <n v="667.74"/>
    <n v="551.09999999999991"/>
    <n v="116.6400000000001"/>
    <n v="0.17467876718483258"/>
    <s v="Q3-2023"/>
    <s v="Africa → Kenya → Nairobi"/>
    <s v="Low"/>
  </r>
  <r>
    <s v="ORD-2025-983096"/>
    <d v="2025-05-17T00:00:00"/>
    <d v="2025-05-28T00:00:00"/>
    <d v="2025-05-17T00:00:00"/>
    <d v="2025-05-28T00:00:00"/>
    <n v="11"/>
    <x v="14"/>
    <s v="Asia"/>
    <x v="4"/>
    <s v="Bengaluru"/>
    <s v="Corporate"/>
    <s v="Distributor"/>
    <s v="B. Chen"/>
    <x v="4"/>
    <x v="283"/>
    <n v="623.4"/>
    <n v="1100.0899999999999"/>
    <n v="0.114"/>
    <n v="12"/>
    <n v="11696.156879999999"/>
    <n v="7480.7999999999993"/>
    <n v="4215.3568799999994"/>
    <n v="0.36040529579490388"/>
    <s v="Q2-2025"/>
    <s v="Asia → India → Bengaluru"/>
    <s v="Low"/>
  </r>
  <r>
    <s v="ORD-2024-366010"/>
    <d v="2024-01-13T00:00:00"/>
    <d v="2024-02-05T00:00:00"/>
    <d v="2024-01-13T00:00:00"/>
    <d v="2024-02-05T00:00:00"/>
    <n v="23"/>
    <x v="10"/>
    <s v="Europe"/>
    <x v="11"/>
    <s v="Frankfurt"/>
    <s v="Education"/>
    <s v="Direct"/>
    <s v="B. Chen"/>
    <x v="4"/>
    <x v="284"/>
    <n v="1017.93"/>
    <n v="1529.14"/>
    <n v="0.155"/>
    <n v="12"/>
    <n v="15505.479600000001"/>
    <n v="12215.16"/>
    <n v="3290.3196000000007"/>
    <n v="0.21220366508366503"/>
    <s v="Q1-2024"/>
    <s v="Europe → Germany → Frankfurt"/>
    <s v="Medium"/>
  </r>
  <r>
    <s v="ORD-2023-610470"/>
    <d v="2023-06-24T00:00:00"/>
    <d v="2023-07-21T00:00:00"/>
    <d v="2023-06-24T00:00:00"/>
    <d v="2023-07-21T00:00:00"/>
    <n v="27"/>
    <x v="16"/>
    <s v="Asia"/>
    <x v="2"/>
    <s v="Nagoya"/>
    <s v="Consumer"/>
    <s v="Marketplace"/>
    <s v="J. Njeri"/>
    <x v="3"/>
    <x v="285"/>
    <n v="554.76"/>
    <n v="728.69"/>
    <n v="0.22"/>
    <n v="7"/>
    <n v="3978.6474000000003"/>
    <n v="3883.3199999999997"/>
    <n v="95.32740000000058"/>
    <n v="2.395975074343119E-2"/>
    <s v="Q2-2023"/>
    <s v="Asia → Japan → Nagoya"/>
    <s v="Low"/>
  </r>
  <r>
    <s v="ORD-2025-541048"/>
    <d v="2025-04-04T00:00:00"/>
    <d v="2025-04-13T00:00:00"/>
    <d v="2025-04-04T00:00:00"/>
    <d v="2025-04-13T00:00:00"/>
    <n v="9"/>
    <x v="18"/>
    <s v="Europe"/>
    <x v="11"/>
    <s v="Munich"/>
    <s v="Consumer"/>
    <s v="Marketplace"/>
    <s v="F. Müller"/>
    <x v="3"/>
    <x v="286"/>
    <n v="7.02"/>
    <n v="6.28"/>
    <n v="0.13400000000000001"/>
    <n v="14"/>
    <n v="76.138720000000006"/>
    <n v="98.28"/>
    <n v="-22.141279999999995"/>
    <n v="-0.29080184169106066"/>
    <s v="Q2-2025"/>
    <s v="Europe → Germany → Munich"/>
    <s v="Low"/>
  </r>
  <r>
    <s v="ORD-2024-862371"/>
    <d v="2024-09-07T00:00:00"/>
    <d v="2024-09-07T00:00:00"/>
    <d v="2024-09-07T00:00:00"/>
    <d v="2024-09-07T00:00:00"/>
    <n v="0"/>
    <x v="28"/>
    <s v="Asia"/>
    <x v="4"/>
    <s v="Mumbai"/>
    <s v="Education"/>
    <s v="Distributor"/>
    <s v="B. Chen"/>
    <x v="2"/>
    <x v="287"/>
    <n v="1066.6500000000001"/>
    <n v="2569.77"/>
    <n v="0.13400000000000001"/>
    <n v="9"/>
    <n v="20028.787380000002"/>
    <n v="9599.85"/>
    <n v="10428.937380000001"/>
    <n v="0.52069739331368348"/>
    <s v="Q3-2024"/>
    <s v="Asia → India → Mumbai"/>
    <s v="High"/>
  </r>
  <r>
    <s v="ORD-2024-257550"/>
    <d v="2024-12-27T00:00:00"/>
    <d v="2024-12-29T00:00:00"/>
    <d v="2024-12-27T00:00:00"/>
    <d v="2024-12-29T00:00:00"/>
    <n v="2"/>
    <x v="6"/>
    <s v="Americas"/>
    <x v="3"/>
    <s v="Vancouver"/>
    <s v="Enterprise"/>
    <s v="Marketplace"/>
    <s v="C. Otieno"/>
    <x v="6"/>
    <x v="288"/>
    <n v="1146.72"/>
    <n v="2074.34"/>
    <n v="0.111"/>
    <n v="8"/>
    <n v="14752.706080000002"/>
    <n v="9173.76"/>
    <n v="5578.9460800000015"/>
    <n v="0.37816425337472737"/>
    <s v="Q4-2024"/>
    <s v="Americas → Canada → Vancouver"/>
    <s v="High"/>
  </r>
  <r>
    <s v="ORD-2023-369150"/>
    <d v="2023-07-18T00:00:00"/>
    <d v="2023-08-10T00:00:00"/>
    <d v="2023-07-18T00:00:00"/>
    <d v="2023-08-10T00:00:00"/>
    <n v="23"/>
    <x v="23"/>
    <s v="Africa"/>
    <x v="10"/>
    <s v="Johannesburg"/>
    <s v="Small Business"/>
    <s v="Retail"/>
    <s v="L. Okafor"/>
    <x v="0"/>
    <x v="289"/>
    <n v="1271.56"/>
    <n v="995.47"/>
    <n v="0.192"/>
    <n v="13"/>
    <n v="10456.416880000001"/>
    <n v="16530.28"/>
    <n v="-6073.8631199999982"/>
    <n v="-0.58087423155607754"/>
    <s v="Q3-2023"/>
    <s v="Africa → South Africa → Johannesburg"/>
    <s v="Low"/>
  </r>
  <r>
    <s v="ORD-2024-605629"/>
    <d v="2024-07-15T00:00:00"/>
    <d v="2024-07-15T00:00:00"/>
    <d v="2024-07-15T00:00:00"/>
    <d v="2024-07-15T00:00:00"/>
    <n v="0"/>
    <x v="8"/>
    <s v="Asia"/>
    <x v="2"/>
    <s v="Tokyo"/>
    <s v="Small Business"/>
    <s v="Marketplace"/>
    <s v="G. Dubois"/>
    <x v="6"/>
    <x v="290"/>
    <n v="801.77"/>
    <n v="1218.92"/>
    <n v="0.254"/>
    <n v="16"/>
    <n v="14549.029120000001"/>
    <n v="12828.32"/>
    <n v="1720.7091200000013"/>
    <n v="0.11826968698788344"/>
    <s v="Q3-2024"/>
    <s v="Asia → Japan → Tokyo"/>
    <s v="Medium"/>
  </r>
  <r>
    <s v="ORD-2025-486350"/>
    <d v="2025-05-27T00:00:00"/>
    <d v="2025-06-08T00:00:00"/>
    <d v="2025-05-27T00:00:00"/>
    <d v="2025-06-08T00:00:00"/>
    <n v="12"/>
    <x v="14"/>
    <s v="Asia"/>
    <x v="2"/>
    <s v="Osaka"/>
    <s v="Corporate"/>
    <s v="Retail"/>
    <s v="H. Kim"/>
    <x v="6"/>
    <x v="291"/>
    <n v="653.6"/>
    <n v="842.09"/>
    <n v="9.8000000000000004E-2"/>
    <n v="19"/>
    <n v="14431.738420000001"/>
    <n v="12418.4"/>
    <n v="2013.3384200000019"/>
    <n v="0.13950768517324622"/>
    <s v="Q2-2025"/>
    <s v="Asia → Japan → Osaka"/>
    <s v="Low"/>
  </r>
  <r>
    <s v="ORD-2023-107265"/>
    <d v="2023-04-22T00:00:00"/>
    <d v="2023-05-14T00:00:00"/>
    <d v="2023-04-22T00:00:00"/>
    <d v="2023-05-14T00:00:00"/>
    <n v="22"/>
    <x v="12"/>
    <s v="Asia"/>
    <x v="2"/>
    <s v="Nagoya"/>
    <s v="Enterprise"/>
    <s v="Retail"/>
    <s v="A. Patel"/>
    <x v="6"/>
    <x v="292"/>
    <n v="1209.22"/>
    <n v="1404.33"/>
    <n v="0.10299999999999999"/>
    <n v="11"/>
    <n v="13856.52411"/>
    <n v="13301.42"/>
    <n v="555.10411000000022"/>
    <n v="4.0060848275751328E-2"/>
    <s v="Q2-2023"/>
    <s v="Asia → Japan → Nagoya"/>
    <s v="Medium"/>
  </r>
  <r>
    <s v="ORD-2024-211453"/>
    <d v="2024-04-04T00:00:00"/>
    <d v="2024-04-24T00:00:00"/>
    <d v="2024-04-04T00:00:00"/>
    <d v="2024-04-24T00:00:00"/>
    <n v="20"/>
    <x v="20"/>
    <s v="Europe"/>
    <x v="11"/>
    <s v="Frankfurt"/>
    <s v="Non-Profit"/>
    <s v="Direct"/>
    <s v="O. Wang"/>
    <x v="6"/>
    <x v="293"/>
    <n v="683.42"/>
    <n v="951.51"/>
    <n v="0"/>
    <n v="14"/>
    <n v="13321.14"/>
    <n v="9567.8799999999992"/>
    <n v="3753.26"/>
    <n v="0.28175216235247136"/>
    <s v="Q2-2024"/>
    <s v="Europe → Germany → Frankfurt"/>
    <s v="Low"/>
  </r>
  <r>
    <s v="ORD-2025-487025"/>
    <d v="2025-04-11T00:00:00"/>
    <d v="2025-05-04T00:00:00"/>
    <d v="2025-04-11T00:00:00"/>
    <d v="2025-05-04T00:00:00"/>
    <n v="23"/>
    <x v="18"/>
    <s v="Asia"/>
    <x v="2"/>
    <s v="Osaka"/>
    <s v="Small Business"/>
    <s v="Online"/>
    <s v="M. Rossi"/>
    <x v="0"/>
    <x v="294"/>
    <n v="786.2"/>
    <n v="1075.3"/>
    <n v="0.08"/>
    <n v="9"/>
    <n v="8903.4839999999986"/>
    <n v="7075.8"/>
    <n v="1827.6839999999984"/>
    <n v="0.20527739478163815"/>
    <s v="Q2-2025"/>
    <s v="Asia → Japan → Osaka"/>
    <s v="Low"/>
  </r>
  <r>
    <s v="ORD-2025-398335"/>
    <d v="2025-06-01T00:00:00"/>
    <d v="2025-06-27T00:00:00"/>
    <d v="2025-06-01T00:00:00"/>
    <d v="2025-06-27T00:00:00"/>
    <n v="26"/>
    <x v="22"/>
    <s v="Europe"/>
    <x v="11"/>
    <s v="Munich"/>
    <s v="Consumer"/>
    <s v="Distributor"/>
    <s v="E. Garcia"/>
    <x v="4"/>
    <x v="295"/>
    <n v="1362.31"/>
    <n v="3294.57"/>
    <n v="0.113"/>
    <n v="7"/>
    <n v="20455.985130000001"/>
    <n v="9536.17"/>
    <n v="10919.815130000001"/>
    <n v="0.5338200561157721"/>
    <s v="Q2-2025"/>
    <s v="Europe → Germany → Munich"/>
    <s v="High"/>
  </r>
  <r>
    <s v="ORD-2024-792137"/>
    <d v="2024-03-02T00:00:00"/>
    <d v="2024-03-16T00:00:00"/>
    <d v="2024-03-02T00:00:00"/>
    <d v="2024-03-16T00:00:00"/>
    <n v="14"/>
    <x v="0"/>
    <s v="Americas"/>
    <x v="3"/>
    <s v="Vancouver"/>
    <s v="Non-Profit"/>
    <s v="Direct"/>
    <s v="O. Wang"/>
    <x v="1"/>
    <x v="296"/>
    <n v="248.24"/>
    <n v="464.05"/>
    <n v="0.16900000000000001"/>
    <n v="11"/>
    <n v="4241.88105"/>
    <n v="2730.6400000000003"/>
    <n v="1511.2410499999996"/>
    <n v="0.3562667203975462"/>
    <s v="Q1-2024"/>
    <s v="Americas → Canada → Vancouver"/>
    <s v="Low"/>
  </r>
  <r>
    <s v="ORD-2023-602648"/>
    <d v="2023-06-20T00:00:00"/>
    <d v="2023-07-08T00:00:00"/>
    <d v="2023-06-20T00:00:00"/>
    <d v="2023-07-08T00:00:00"/>
    <n v="18"/>
    <x v="16"/>
    <s v="Americas"/>
    <x v="9"/>
    <s v="Austin"/>
    <s v="Non-Profit"/>
    <s v="Direct"/>
    <s v="F. Müller"/>
    <x v="5"/>
    <x v="297"/>
    <n v="337"/>
    <n v="511.03"/>
    <n v="0.108"/>
    <n v="7"/>
    <n v="3190.8713200000002"/>
    <n v="2359"/>
    <n v="831.8713200000002"/>
    <n v="0.26070349963219458"/>
    <s v="Q2-2023"/>
    <s v="Americas → USA → Austin"/>
    <s v="Low"/>
  </r>
  <r>
    <s v="ORD-2024-207096"/>
    <d v="2024-03-26T00:00:00"/>
    <d v="2024-04-05T00:00:00"/>
    <d v="2024-03-26T00:00:00"/>
    <d v="2024-04-05T00:00:00"/>
    <n v="10"/>
    <x v="0"/>
    <s v="Americas"/>
    <x v="9"/>
    <s v="Austin"/>
    <s v="Consumer"/>
    <s v="Direct"/>
    <s v="J. Njeri"/>
    <x v="5"/>
    <x v="298"/>
    <n v="5.66"/>
    <n v="4.22"/>
    <n v="0.11899999999999999"/>
    <n v="18"/>
    <n v="66.920760000000001"/>
    <n v="101.88"/>
    <n v="-34.959239999999994"/>
    <n v="-0.52239753403876454"/>
    <s v="Q1-2024"/>
    <s v="Americas → USA → Austin"/>
    <s v="Low"/>
  </r>
  <r>
    <s v="ORD-2024-555229"/>
    <d v="2024-05-18T00:00:00"/>
    <d v="2024-05-22T00:00:00"/>
    <d v="2024-05-18T00:00:00"/>
    <d v="2024-05-22T00:00:00"/>
    <n v="4"/>
    <x v="7"/>
    <s v="Africa"/>
    <x v="0"/>
    <s v="Nairobi"/>
    <s v="Corporate"/>
    <s v="Direct"/>
    <s v="H. Kim"/>
    <x v="6"/>
    <x v="299"/>
    <n v="857.42"/>
    <n v="1658.92"/>
    <n v="0.122"/>
    <n v="9"/>
    <n v="13108.78584"/>
    <n v="7716.78"/>
    <n v="5392.0058400000007"/>
    <n v="0.41132763215544305"/>
    <s v="Q2-2024"/>
    <s v="Africa → Kenya → Nairobi"/>
    <s v="Medium"/>
  </r>
  <r>
    <s v="ORD-2025-191328"/>
    <d v="2025-05-10T00:00:00"/>
    <d v="2025-05-27T00:00:00"/>
    <d v="2025-05-10T00:00:00"/>
    <d v="2025-05-27T00:00:00"/>
    <n v="17"/>
    <x v="14"/>
    <s v="Americas"/>
    <x v="3"/>
    <s v="Vancouver"/>
    <s v="Education"/>
    <s v="Direct"/>
    <s v="C. Otieno"/>
    <x v="0"/>
    <x v="300"/>
    <n v="862.89"/>
    <n v="1426.03"/>
    <n v="5.6000000000000001E-2"/>
    <n v="19"/>
    <n v="25577.274079999999"/>
    <n v="16394.91"/>
    <n v="9182.3640799999994"/>
    <n v="0.35900479665188778"/>
    <s v="Q2-2025"/>
    <s v="Americas → Canada → Vancouver"/>
    <s v="Medium"/>
  </r>
  <r>
    <s v="ORD-2023-166668"/>
    <d v="2023-10-05T00:00:00"/>
    <d v="2023-10-31T00:00:00"/>
    <d v="2023-10-05T00:00:00"/>
    <d v="2023-10-31T00:00:00"/>
    <n v="26"/>
    <x v="30"/>
    <s v="Asia"/>
    <x v="8"/>
    <s v="Shanghai"/>
    <s v="Consumer"/>
    <s v="Unknown Channel"/>
    <s v="J. Njeri"/>
    <x v="1"/>
    <x v="301"/>
    <n v="649.91"/>
    <n v="1360.12"/>
    <n v="0.19400000000000001"/>
    <n v="9"/>
    <n v="9866.3104799999983"/>
    <n v="5849.19"/>
    <n v="4017.1204799999987"/>
    <n v="0.40715528749506769"/>
    <s v="Q4-2023"/>
    <s v="Asia → China → Shanghai"/>
    <s v="Medium"/>
  </r>
  <r>
    <s v="ORD-2024-202877"/>
    <d v="2024-07-13T00:00:00"/>
    <d v="2024-08-03T00:00:00"/>
    <d v="2024-07-13T00:00:00"/>
    <d v="2024-08-03T00:00:00"/>
    <n v="21"/>
    <x v="8"/>
    <s v="Americas"/>
    <x v="5"/>
    <s v="Rio de Janeiro"/>
    <s v="Corporate"/>
    <s v="Marketplace"/>
    <s v="M. Rossi"/>
    <x v="5"/>
    <x v="302"/>
    <n v="702.98"/>
    <n v="1104.8"/>
    <n v="0.17499999999999999"/>
    <n v="12"/>
    <n v="10937.519999999999"/>
    <n v="8435.76"/>
    <n v="2501.7599999999984"/>
    <n v="0.22873192460448061"/>
    <s v="Q3-2024"/>
    <s v="Americas → Brazil → Rio de Janeiro"/>
    <s v="Low"/>
  </r>
  <r>
    <s v="ORD-2025-278048"/>
    <d v="2025-06-22T00:00:00"/>
    <d v="2025-07-08T00:00:00"/>
    <d v="2025-06-22T00:00:00"/>
    <d v="2025-07-08T00:00:00"/>
    <n v="16"/>
    <x v="22"/>
    <s v="Europe"/>
    <x v="7"/>
    <s v="London"/>
    <s v="Education"/>
    <s v="Direct"/>
    <s v="A. Patel"/>
    <x v="3"/>
    <x v="303"/>
    <n v="892.73"/>
    <n v="979.84"/>
    <n v="0.17399999999999999"/>
    <n v="10"/>
    <n v="8093.4784"/>
    <n v="8927.2999999999993"/>
    <n v="-833.82159999999931"/>
    <n v="-0.10302388649112838"/>
    <s v="Q2-2025"/>
    <s v="Europe → United Kingdom → London"/>
    <s v="Low"/>
  </r>
  <r>
    <s v="ORD-2024-878493"/>
    <d v="2024-06-19T00:00:00"/>
    <d v="2024-06-20T00:00:00"/>
    <d v="2024-06-19T00:00:00"/>
    <d v="2024-06-20T00:00:00"/>
    <n v="1"/>
    <x v="25"/>
    <s v="Africa"/>
    <x v="0"/>
    <s v="Kisumu"/>
    <s v="Small Business"/>
    <s v="Direct"/>
    <s v="J. Njeri"/>
    <x v="4"/>
    <x v="304"/>
    <n v="231.63"/>
    <n v="537.39"/>
    <n v="0.08"/>
    <n v="12"/>
    <n v="5932.7856000000002"/>
    <n v="2779.56"/>
    <n v="3153.2256000000002"/>
    <n v="0.53149158129024587"/>
    <s v="Q2-2024"/>
    <s v="Africa → Kenya → Kisumu"/>
    <s v="Low"/>
  </r>
  <r>
    <s v="ORD-2025-138578"/>
    <d v="2025-04-09T00:00:00"/>
    <d v="2025-04-12T00:00:00"/>
    <d v="2025-04-09T00:00:00"/>
    <d v="2025-04-12T00:00:00"/>
    <n v="3"/>
    <x v="18"/>
    <s v="Europe"/>
    <x v="6"/>
    <s v="Lyon"/>
    <s v="Small Business"/>
    <s v="Distributor"/>
    <s v="H. Kim"/>
    <x v="5"/>
    <x v="305"/>
    <n v="86.68"/>
    <n v="213.32"/>
    <n v="3.7999999999999999E-2"/>
    <n v="8"/>
    <n v="1641.7107199999998"/>
    <n v="693.44"/>
    <n v="948.27071999999976"/>
    <n v="0.57761133459614611"/>
    <s v="Q2-2025"/>
    <s v="Europe → France → Lyon"/>
    <s v="Low"/>
  </r>
  <r>
    <s v="ORD-2025-939953"/>
    <d v="2025-01-22T00:00:00"/>
    <d v="2025-01-22T00:00:00"/>
    <d v="2025-01-22T00:00:00"/>
    <d v="2025-01-22T00:00:00"/>
    <n v="0"/>
    <x v="9"/>
    <s v="Europe"/>
    <x v="6"/>
    <s v="Lyon"/>
    <s v="Small Business"/>
    <s v="Online"/>
    <s v="B. Chen"/>
    <x v="6"/>
    <x v="306"/>
    <n v="591.72"/>
    <n v="577.24"/>
    <n v="0"/>
    <n v="22"/>
    <n v="12699.28"/>
    <n v="13017.84"/>
    <n v="-318.55999999999949"/>
    <n v="-2.5084886702238195E-2"/>
    <s v="Q1-2025"/>
    <s v="Europe → France → Lyon"/>
    <s v="Low"/>
  </r>
  <r>
    <s v="ORD-2025-364852"/>
    <d v="2025-05-18T00:00:00"/>
    <d v="2025-06-09T00:00:00"/>
    <d v="2025-05-18T00:00:00"/>
    <d v="2025-06-09T00:00:00"/>
    <n v="22"/>
    <x v="14"/>
    <s v="Americas"/>
    <x v="9"/>
    <s v="New York"/>
    <s v="Consumer"/>
    <s v="Retail"/>
    <s v="H. Kim"/>
    <x v="2"/>
    <x v="307"/>
    <n v="382.96"/>
    <n v="552.84"/>
    <n v="0.17599999999999999"/>
    <n v="8"/>
    <n v="3644.3212800000006"/>
    <n v="3063.68"/>
    <n v="580.64128000000073"/>
    <n v="0.15932768693763483"/>
    <s v="Q2-2025"/>
    <s v="Americas → USA → New York"/>
    <s v="Low"/>
  </r>
  <r>
    <s v="ORD-2025-415018"/>
    <d v="2025-01-22T00:00:00"/>
    <d v="2025-02-04T00:00:00"/>
    <d v="2025-01-22T00:00:00"/>
    <d v="2025-02-04T00:00:00"/>
    <n v="13"/>
    <x v="9"/>
    <s v="Asia"/>
    <x v="2"/>
    <s v="Tokyo"/>
    <s v="Small Business"/>
    <s v="Distributor"/>
    <s v="L. Okafor"/>
    <x v="1"/>
    <x v="308"/>
    <n v="122.29"/>
    <n v="224.95"/>
    <n v="0.153"/>
    <n v="28"/>
    <n v="5334.9141999999993"/>
    <n v="3424.1200000000003"/>
    <n v="1910.7941999999989"/>
    <n v="0.3581677471026618"/>
    <s v="Q1-2025"/>
    <s v="Asia → Japan → Tokyo"/>
    <s v="Low"/>
  </r>
  <r>
    <s v="ORD-2023-884192"/>
    <d v="2023-01-10T00:00:00"/>
    <d v="2023-01-29T00:00:00"/>
    <d v="2023-01-10T00:00:00"/>
    <d v="2023-01-29T00:00:00"/>
    <n v="19"/>
    <x v="5"/>
    <s v="Europe"/>
    <x v="6"/>
    <s v="Lyon"/>
    <s v="Non-Profit"/>
    <s v="Direct"/>
    <s v="D. Smith"/>
    <x v="4"/>
    <x v="309"/>
    <n v="401.66"/>
    <n v="772.09"/>
    <n v="8.8999999999999996E-2"/>
    <n v="14"/>
    <n v="9847.2358600000007"/>
    <n v="5623.2400000000007"/>
    <n v="4223.99586"/>
    <n v="0.42895244107619046"/>
    <s v="Q1-2023"/>
    <s v="Europe → France → Lyon"/>
    <s v="Low"/>
  </r>
  <r>
    <s v="ORD-2024-165942"/>
    <d v="2024-12-29T00:00:00"/>
    <d v="2025-01-12T00:00:00"/>
    <d v="2024-12-29T00:00:00"/>
    <d v="2025-01-12T00:00:00"/>
    <n v="14"/>
    <x v="6"/>
    <s v="Europe"/>
    <x v="7"/>
    <s v="Manchester"/>
    <s v="Corporate"/>
    <s v="Direct"/>
    <s v="B. Chen"/>
    <x v="5"/>
    <x v="310"/>
    <n v="1399.72"/>
    <n v="3149.21"/>
    <n v="0.185"/>
    <n v="12"/>
    <n v="30799.273800000003"/>
    <n v="16796.64"/>
    <n v="14002.633800000003"/>
    <n v="0.45464168703873797"/>
    <s v="Q4-2024"/>
    <s v="Europe → United Kingdom → Manchester"/>
    <s v="High"/>
  </r>
  <r>
    <s v="ORD-2024-585443"/>
    <d v="2024-08-17T00:00:00"/>
    <d v="2024-08-15T00:00:00"/>
    <d v="2024-08-15T00:00:00"/>
    <d v="2024-08-17T00:00:00"/>
    <n v="2"/>
    <x v="21"/>
    <s v="Americas"/>
    <x v="5"/>
    <s v="Rio de Janeiro"/>
    <s v="Consumer"/>
    <s v="Direct"/>
    <s v="M. Rossi"/>
    <x v="5"/>
    <x v="311"/>
    <n v="165.3"/>
    <n v="275.07"/>
    <n v="0.13300000000000001"/>
    <n v="25"/>
    <n v="5962.1422499999999"/>
    <n v="4132.5"/>
    <n v="1829.6422499999999"/>
    <n v="0.30687665159280625"/>
    <s v="Q3-2024"/>
    <s v="Americas → Brazil → Rio de Janeiro"/>
    <s v="Low"/>
  </r>
  <r>
    <s v="ORD-2025-281062"/>
    <d v="2025-02-15T00:00:00"/>
    <d v="2025-02-27T00:00:00"/>
    <d v="2025-02-15T00:00:00"/>
    <d v="2025-02-27T00:00:00"/>
    <n v="12"/>
    <x v="32"/>
    <s v="Europe"/>
    <x v="6"/>
    <s v="Lyon"/>
    <s v="Non-Profit"/>
    <s v="Direct"/>
    <s v="K. Singh"/>
    <x v="6"/>
    <x v="312"/>
    <n v="1027.26"/>
    <n v="2200.41"/>
    <n v="8.7999999999999995E-2"/>
    <n v="6"/>
    <n v="12040.64352"/>
    <n v="6163.5599999999995"/>
    <n v="5877.0835200000001"/>
    <n v="0.48810377204822358"/>
    <s v="Q1-2025"/>
    <s v="Europe → France → Lyon"/>
    <s v="High"/>
  </r>
  <r>
    <s v="ORD-2024-925626"/>
    <d v="2024-11-04T00:00:00"/>
    <d v="2024-11-05T00:00:00"/>
    <d v="2024-11-04T00:00:00"/>
    <d v="2024-11-05T00:00:00"/>
    <n v="1"/>
    <x v="17"/>
    <s v="Europe"/>
    <x v="7"/>
    <s v="London"/>
    <s v="Corporate"/>
    <s v="Retail"/>
    <s v="M. Rossi"/>
    <x v="1"/>
    <x v="313"/>
    <n v="840.68"/>
    <n v="1493.53"/>
    <n v="0"/>
    <n v="27"/>
    <n v="40325.31"/>
    <n v="22698.359999999997"/>
    <n v="17626.95"/>
    <n v="0.43711877230454027"/>
    <s v="Q4-2024"/>
    <s v="Europe → United Kingdom → London"/>
    <s v="Medium"/>
  </r>
  <r>
    <s v="ORD-2024-427031"/>
    <d v="2024-06-08T00:00:00"/>
    <d v="2024-06-24T00:00:00"/>
    <d v="2024-06-08T00:00:00"/>
    <d v="2024-06-24T00:00:00"/>
    <n v="16"/>
    <x v="25"/>
    <s v="Africa"/>
    <x v="10"/>
    <s v="Durban"/>
    <s v="Education"/>
    <s v="Distributor"/>
    <s v="H. Kim"/>
    <x v="5"/>
    <x v="314"/>
    <n v="597.85"/>
    <n v="741.92"/>
    <n v="3.1E-2"/>
    <n v="7"/>
    <n v="5032.4433599999993"/>
    <n v="4184.95"/>
    <n v="847.49335999999948"/>
    <n v="0.16840594108544515"/>
    <s v="Q2-2024"/>
    <s v="Africa → South Africa → Durban"/>
    <s v="Low"/>
  </r>
  <r>
    <s v="ORD-2025-231184"/>
    <d v="2025-06-01T00:00:00"/>
    <d v="2025-06-06T00:00:00"/>
    <d v="2025-06-01T00:00:00"/>
    <d v="2025-06-06T00:00:00"/>
    <n v="5"/>
    <x v="22"/>
    <s v="Europe"/>
    <x v="6"/>
    <s v="Paris"/>
    <s v="Consumer"/>
    <s v="Distributor"/>
    <s v="G. Dubois"/>
    <x v="0"/>
    <x v="315"/>
    <n v="379.45"/>
    <n v="742.23"/>
    <n v="0.09"/>
    <n v="13"/>
    <n v="8780.5809000000008"/>
    <n v="4932.8499999999995"/>
    <n v="3847.7309000000014"/>
    <n v="0.43820915083192286"/>
    <s v="Q2-2025"/>
    <s v="Europe → France → Paris"/>
    <s v="Low"/>
  </r>
  <r>
    <s v="ORD-2023-363031"/>
    <d v="2023-05-06T00:00:00"/>
    <d v="2023-05-14T00:00:00"/>
    <d v="2023-05-06T00:00:00"/>
    <d v="2023-05-14T00:00:00"/>
    <n v="8"/>
    <x v="15"/>
    <s v="Asia"/>
    <x v="2"/>
    <s v="Osaka"/>
    <s v="Enterprise"/>
    <s v="Marketplace"/>
    <s v="B. Chen"/>
    <x v="3"/>
    <x v="316"/>
    <n v="291.18"/>
    <n v="479.54"/>
    <n v="0.14099999999999999"/>
    <n v="22"/>
    <n v="9062.34692"/>
    <n v="6405.96"/>
    <n v="2656.3869199999999"/>
    <n v="0.29312350801066001"/>
    <s v="Q2-2023"/>
    <s v="Asia → Japan → Osaka"/>
    <s v="Low"/>
  </r>
  <r>
    <s v="ORD-2024-578646"/>
    <d v="2024-05-27T00:00:00"/>
    <d v="2024-06-17T00:00:00"/>
    <d v="2024-05-27T00:00:00"/>
    <d v="2024-06-17T00:00:00"/>
    <n v="21"/>
    <x v="7"/>
    <s v="Asia"/>
    <x v="4"/>
    <s v="Delhi"/>
    <s v="Small Business"/>
    <s v="Online"/>
    <s v="H. Kim"/>
    <x v="6"/>
    <x v="317"/>
    <n v="465.02"/>
    <n v="651.55999999999995"/>
    <n v="4.2000000000000003E-2"/>
    <n v="19"/>
    <n v="11859.695119999998"/>
    <n v="8835.3799999999992"/>
    <n v="3024.3151199999993"/>
    <n v="0.25500783025187918"/>
    <s v="Q2-2024"/>
    <s v="Asia → India → Delhi"/>
    <s v="Low"/>
  </r>
  <r>
    <s v="ORD-2025-861401"/>
    <d v="2025-04-01T00:00:00"/>
    <d v="2025-04-27T00:00:00"/>
    <d v="2025-04-01T00:00:00"/>
    <d v="2025-04-27T00:00:00"/>
    <n v="26"/>
    <x v="18"/>
    <s v="Americas"/>
    <x v="9"/>
    <s v="San Francisco"/>
    <s v="Corporate"/>
    <s v="Direct"/>
    <s v="I. Johnson"/>
    <x v="5"/>
    <x v="318"/>
    <n v="156.55000000000001"/>
    <n v="227.45"/>
    <n v="1.4E-2"/>
    <n v="13"/>
    <n v="2915.4540999999999"/>
    <n v="2035.15"/>
    <n v="880.30409999999983"/>
    <n v="0.3019440779396938"/>
    <s v="Q2-2025"/>
    <s v="Americas → USA → San Francisco"/>
    <s v="Low"/>
  </r>
  <r>
    <s v="ORD-2023-890605"/>
    <d v="2023-06-24T00:00:00"/>
    <d v="2023-06-22T00:00:00"/>
    <d v="2023-06-22T00:00:00"/>
    <d v="2023-06-24T00:00:00"/>
    <n v="2"/>
    <x v="16"/>
    <s v="Americas"/>
    <x v="3"/>
    <s v="Toronto"/>
    <s v="Non-Profit"/>
    <s v="Retail"/>
    <s v="M. Rossi"/>
    <x v="6"/>
    <x v="319"/>
    <n v="471.42"/>
    <n v="824.81"/>
    <n v="8.7999999999999995E-2"/>
    <n v="15"/>
    <n v="11283.400799999999"/>
    <n v="7071.3"/>
    <n v="4212.1007999999993"/>
    <n v="0.37330064531608231"/>
    <s v="Q2-2023"/>
    <s v="Americas → Canada → Toronto"/>
    <s v="Low"/>
  </r>
  <r>
    <s v="ORD-2024-819979"/>
    <d v="2024-05-28T00:00:00"/>
    <d v="2024-06-18T00:00:00"/>
    <d v="2024-05-28T00:00:00"/>
    <d v="2024-06-18T00:00:00"/>
    <n v="21"/>
    <x v="7"/>
    <s v="Europe"/>
    <x v="11"/>
    <s v="Frankfurt"/>
    <s v="Small Business"/>
    <s v="Online"/>
    <s v="E. Garcia"/>
    <x v="3"/>
    <x v="320"/>
    <n v="986.85"/>
    <n v="2422.1"/>
    <n v="7.5999999999999998E-2"/>
    <n v="10"/>
    <n v="22380.204000000002"/>
    <n v="9868.5"/>
    <n v="12511.704000000002"/>
    <n v="0.55905227673527913"/>
    <s v="Q2-2024"/>
    <s v="Europe → Germany → Frankfurt"/>
    <s v="High"/>
  </r>
  <r>
    <s v="ORD-2024-719055"/>
    <d v="2024-01-02T00:00:00"/>
    <d v="2024-01-01T00:00:00"/>
    <d v="2024-01-01T00:00:00"/>
    <d v="2024-01-02T00:00:00"/>
    <n v="1"/>
    <x v="10"/>
    <s v="Americas"/>
    <x v="9"/>
    <s v="Chicago"/>
    <s v="Education"/>
    <s v="Marketplace"/>
    <s v="B. Chen"/>
    <x v="2"/>
    <x v="321"/>
    <n v="404.77"/>
    <n v="433.88"/>
    <n v="0.215"/>
    <n v="22"/>
    <n v="7493.1076000000012"/>
    <n v="8904.9399999999987"/>
    <n v="-1411.8323999999975"/>
    <n v="-0.18841747314558746"/>
    <s v="Q1-2024"/>
    <s v="Americas → USA → Chicago"/>
    <s v="Low"/>
  </r>
  <r>
    <s v="ORD-2023-888245"/>
    <d v="2023-02-28T00:00:00"/>
    <d v="2023-02-27T00:00:00"/>
    <d v="2023-02-27T00:00:00"/>
    <d v="2023-02-28T00:00:00"/>
    <n v="1"/>
    <x v="2"/>
    <s v="Europe"/>
    <x v="6"/>
    <s v="Marseille"/>
    <s v="Corporate"/>
    <s v="Retail"/>
    <s v="K. Singh"/>
    <x v="2"/>
    <x v="322"/>
    <n v="1299.81"/>
    <n v="3149.13"/>
    <n v="0.10299999999999999"/>
    <n v="14"/>
    <n v="39546.774539999999"/>
    <n v="18197.34"/>
    <n v="21349.434539999998"/>
    <n v="0.53985273864511729"/>
    <s v="Q1-2023"/>
    <s v="Europe → France → Marseille"/>
    <s v="High"/>
  </r>
  <r>
    <s v="ORD-2024-500890"/>
    <d v="2024-09-09T00:00:00"/>
    <d v="2024-10-08T00:00:00"/>
    <d v="2024-09-09T00:00:00"/>
    <d v="2024-10-08T00:00:00"/>
    <n v="29"/>
    <x v="28"/>
    <s v="Americas"/>
    <x v="5"/>
    <s v="São Paulo"/>
    <s v="Education"/>
    <s v="Direct"/>
    <s v="J. Njeri"/>
    <x v="0"/>
    <x v="323"/>
    <n v="1010.33"/>
    <n v="2492.14"/>
    <n v="5.0999999999999997E-2"/>
    <n v="11"/>
    <n v="26015.449459999996"/>
    <n v="11113.630000000001"/>
    <n v="14901.819459999995"/>
    <n v="0.57280653493656752"/>
    <s v="Q3-2024"/>
    <s v="Americas → Brazil → São Paulo"/>
    <s v="High"/>
  </r>
  <r>
    <s v="ORD-2024-777623"/>
    <d v="2024-09-19T00:00:00"/>
    <d v="2024-10-14T00:00:00"/>
    <d v="2024-09-19T00:00:00"/>
    <d v="2024-10-14T00:00:00"/>
    <n v="25"/>
    <x v="28"/>
    <s v="Americas"/>
    <x v="5"/>
    <s v="Rio de Janeiro"/>
    <s v="Small Business"/>
    <s v="Retail"/>
    <s v="K. Singh"/>
    <x v="1"/>
    <x v="324"/>
    <n v="386.96"/>
    <n v="937.46"/>
    <n v="0.26600000000000001"/>
    <n v="41"/>
    <n v="28211.92124"/>
    <n v="15865.359999999999"/>
    <n v="12346.561240000001"/>
    <n v="0.43763631462626335"/>
    <s v="Q3-2024"/>
    <s v="Americas → Brazil → Rio de Janeiro"/>
    <s v="Low"/>
  </r>
  <r>
    <s v="ORD-2023-842488"/>
    <d v="2023-10-31T00:00:00"/>
    <d v="2023-11-02T00:00:00"/>
    <d v="2023-10-31T00:00:00"/>
    <d v="2023-11-02T00:00:00"/>
    <n v="2"/>
    <x v="30"/>
    <s v="Africa"/>
    <x v="0"/>
    <s v="Kisumu"/>
    <s v="Education"/>
    <s v="Retail"/>
    <s v="O. Wang"/>
    <x v="6"/>
    <x v="325"/>
    <n v="867.89"/>
    <n v="1349.94"/>
    <n v="0.184"/>
    <n v="10"/>
    <n v="11015.510400000003"/>
    <n v="8678.9"/>
    <n v="2336.6104000000032"/>
    <n v="0.21212003031652557"/>
    <s v="Q4-2023"/>
    <s v="Africa → Kenya → Kisumu"/>
    <s v="Medium"/>
  </r>
  <r>
    <s v="ORD-2024-153053"/>
    <d v="2024-01-12T00:00:00"/>
    <d v="2024-01-29T00:00:00"/>
    <d v="2024-01-12T00:00:00"/>
    <d v="2024-01-29T00:00:00"/>
    <n v="17"/>
    <x v="10"/>
    <s v="Asia"/>
    <x v="4"/>
    <s v="Hyderabad"/>
    <s v="Small Business"/>
    <s v="Direct"/>
    <s v="B. Chen"/>
    <x v="0"/>
    <x v="326"/>
    <n v="310.02"/>
    <n v="619.51"/>
    <n v="4.2000000000000003E-2"/>
    <n v="4"/>
    <n v="2373.9623200000001"/>
    <n v="1240.08"/>
    <n v="1133.8823200000002"/>
    <n v="0.47763282106347843"/>
    <s v="Q1-2024"/>
    <s v="Asia → India → Hyderabad"/>
    <s v="Low"/>
  </r>
  <r>
    <s v="ORD-2023-536542"/>
    <d v="2023-06-10T00:00:00"/>
    <d v="2023-06-18T00:00:00"/>
    <d v="2023-06-10T00:00:00"/>
    <d v="2023-06-18T00:00:00"/>
    <n v="8"/>
    <x v="16"/>
    <s v="Africa"/>
    <x v="0"/>
    <s v="Nakuru"/>
    <s v="Enterprise"/>
    <s v="Direct"/>
    <s v="H. Kim"/>
    <x v="3"/>
    <x v="327"/>
    <n v="894.23"/>
    <n v="1421.55"/>
    <n v="0.109"/>
    <n v="3"/>
    <n v="3799.8031499999997"/>
    <n v="2682.69"/>
    <n v="1117.1131499999997"/>
    <n v="0.29399237431549574"/>
    <s v="Q2-2023"/>
    <s v="Africa → Kenya → Nakuru"/>
    <s v="Medium"/>
  </r>
  <r>
    <s v="ORD-2024-444710"/>
    <d v="2024-09-22T00:00:00"/>
    <d v="2024-10-01T00:00:00"/>
    <d v="2024-09-22T00:00:00"/>
    <d v="2024-10-01T00:00:00"/>
    <n v="9"/>
    <x v="28"/>
    <s v="Americas"/>
    <x v="5"/>
    <s v="São Paulo"/>
    <s v="Non-Profit"/>
    <s v="Online"/>
    <s v="K. Singh"/>
    <x v="5"/>
    <x v="328"/>
    <n v="1378.8"/>
    <n v="1952.04"/>
    <n v="0.159"/>
    <n v="19"/>
    <n v="31191.64716"/>
    <n v="26197.200000000001"/>
    <n v="4994.4471599999997"/>
    <n v="0.16012130216723058"/>
    <s v="Q3-2024"/>
    <s v="Americas → Brazil → São Paulo"/>
    <s v="High"/>
  </r>
  <r>
    <s v="ORD-2023-163610"/>
    <d v="2023-10-22T00:00:00"/>
    <d v="2023-11-16T00:00:00"/>
    <d v="2023-10-22T00:00:00"/>
    <d v="2023-11-16T00:00:00"/>
    <n v="25"/>
    <x v="30"/>
    <s v="Americas"/>
    <x v="3"/>
    <s v="Toronto"/>
    <s v="Small Business"/>
    <s v="Marketplace"/>
    <s v="I. Johnson"/>
    <x v="4"/>
    <x v="329"/>
    <n v="1373.31"/>
    <n v="3154.14"/>
    <n v="0.2"/>
    <n v="11"/>
    <n v="27756.432000000001"/>
    <n v="15106.41"/>
    <n v="12650.022000000001"/>
    <n v="0.45575101295440279"/>
    <s v="Q4-2023"/>
    <s v="Americas → Canada → Toronto"/>
    <s v="High"/>
  </r>
  <r>
    <s v="ORD-2025-653781"/>
    <d v="2025-01-11T00:00:00"/>
    <d v="2025-01-23T00:00:00"/>
    <d v="2025-01-11T00:00:00"/>
    <d v="2025-01-23T00:00:00"/>
    <n v="12"/>
    <x v="9"/>
    <s v="Americas"/>
    <x v="9"/>
    <s v="Austin"/>
    <s v="Consumer"/>
    <s v="Distributor"/>
    <s v="H. Kim"/>
    <x v="3"/>
    <x v="330"/>
    <n v="100.69"/>
    <n v="226.14"/>
    <n v="6.5000000000000002E-2"/>
    <n v="12"/>
    <n v="2537.2908000000002"/>
    <n v="1208.28"/>
    <n v="1329.0108000000002"/>
    <n v="0.52379128162999689"/>
    <s v="Q1-2025"/>
    <s v="Americas → USA → Austin"/>
    <s v="Low"/>
  </r>
  <r>
    <s v="ORD-2025-737787"/>
    <d v="2025-09-14T00:00:00"/>
    <d v="2025-09-26T00:00:00"/>
    <d v="2025-09-14T00:00:00"/>
    <d v="2025-09-26T00:00:00"/>
    <n v="12"/>
    <x v="13"/>
    <s v="Europe"/>
    <x v="7"/>
    <s v="London"/>
    <s v="Small Business"/>
    <s v="Direct"/>
    <s v="N. Brown"/>
    <x v="2"/>
    <x v="331"/>
    <n v="425.15"/>
    <n v="885.92"/>
    <n v="0.23899999999999999"/>
    <n v="13"/>
    <n v="8764.4065599999994"/>
    <n v="5526.95"/>
    <n v="3237.4565599999996"/>
    <n v="0.3693868532725848"/>
    <s v="Q3-2025"/>
    <s v="Europe → United Kingdom → London"/>
    <s v="Low"/>
  </r>
  <r>
    <s v="ORD-2025-580047"/>
    <d v="2025-06-14T00:00:00"/>
    <d v="2025-06-29T00:00:00"/>
    <d v="2025-06-14T00:00:00"/>
    <d v="2025-06-29T00:00:00"/>
    <n v="15"/>
    <x v="22"/>
    <s v="Africa"/>
    <x v="1"/>
    <s v="Port Harcourt"/>
    <s v="Consumer"/>
    <s v="Marketplace"/>
    <s v="M. Rossi"/>
    <x v="6"/>
    <x v="332"/>
    <n v="730.99"/>
    <n v="1242.8399999999999"/>
    <n v="0.12"/>
    <n v="10"/>
    <n v="10936.992"/>
    <n v="7309.9"/>
    <n v="3627.0920000000006"/>
    <n v="0.33163524303574515"/>
    <s v="Q2-2025"/>
    <s v="Africa → Nigeria → Port Harcourt"/>
    <s v="Medium"/>
  </r>
  <r>
    <s v="ORD-2024-655710"/>
    <d v="2024-11-30T00:00:00"/>
    <d v="2024-12-10T00:00:00"/>
    <d v="2024-11-30T00:00:00"/>
    <d v="2024-12-10T00:00:00"/>
    <n v="10"/>
    <x v="17"/>
    <s v="Asia"/>
    <x v="4"/>
    <s v="Hyderabad"/>
    <s v="Small Business"/>
    <s v="Retail"/>
    <s v="F. Müller"/>
    <x v="6"/>
    <x v="333"/>
    <n v="851.49"/>
    <n v="901.79"/>
    <n v="0.245"/>
    <n v="16"/>
    <n v="10893.6232"/>
    <n v="13623.84"/>
    <n v="-2730.2168000000001"/>
    <n v="-0.25062522816100341"/>
    <s v="Q4-2024"/>
    <s v="Asia → India → Hyderabad"/>
    <s v="Low"/>
  </r>
  <r>
    <s v="ORD-2025-323492"/>
    <d v="2025-04-27T00:00:00"/>
    <d v="2025-05-27T00:00:00"/>
    <d v="2025-04-27T00:00:00"/>
    <d v="2025-05-27T00:00:00"/>
    <n v="30"/>
    <x v="18"/>
    <s v="Asia"/>
    <x v="4"/>
    <s v="Unknown City"/>
    <s v="Enterprise"/>
    <s v="Marketplace"/>
    <s v="H. Kim"/>
    <x v="3"/>
    <x v="334"/>
    <n v="481.32"/>
    <n v="1135.99"/>
    <n v="0.14499999999999999"/>
    <n v="5"/>
    <n v="4856.35725"/>
    <n v="2406.6"/>
    <n v="2449.7572500000001"/>
    <n v="0.50444337677175621"/>
    <s v="Q2-2025"/>
    <s v="Asia → India → Unknown City"/>
    <s v="Low"/>
  </r>
  <r>
    <s v="ORD-2024-332076"/>
    <d v="2024-04-09T00:00:00"/>
    <d v="2024-04-18T00:00:00"/>
    <d v="2024-04-09T00:00:00"/>
    <d v="2024-04-18T00:00:00"/>
    <n v="9"/>
    <x v="20"/>
    <s v="Europe"/>
    <x v="6"/>
    <s v="Lyon"/>
    <s v="Consumer"/>
    <s v="Online"/>
    <s v="E. Garcia"/>
    <x v="1"/>
    <x v="335"/>
    <n v="1288.8499999999999"/>
    <n v="2751.84"/>
    <n v="0.158"/>
    <n v="7"/>
    <n v="16219.34496"/>
    <n v="9021.9499999999989"/>
    <n v="7197.3949600000014"/>
    <n v="0.44375373837538756"/>
    <s v="Q2-2024"/>
    <s v="Europe → France → Lyon"/>
    <s v="High"/>
  </r>
  <r>
    <s v="ORD-2024-571797"/>
    <d v="2024-07-11T00:00:00"/>
    <d v="2024-07-31T00:00:00"/>
    <d v="2024-07-11T00:00:00"/>
    <d v="2024-07-31T00:00:00"/>
    <n v="20"/>
    <x v="8"/>
    <s v="Asia"/>
    <x v="8"/>
    <s v="Shenzhen"/>
    <s v="Consumer"/>
    <s v="Online"/>
    <s v="G. Dubois"/>
    <x v="3"/>
    <x v="336"/>
    <n v="647.26"/>
    <n v="1374.72"/>
    <n v="6.6000000000000003E-2"/>
    <n v="22"/>
    <n v="28247.74656"/>
    <n v="14239.72"/>
    <n v="14008.02656"/>
    <n v="0.49589890401508901"/>
    <s v="Q3-2024"/>
    <s v="Asia → China → Shenzhen"/>
    <s v="Medium"/>
  </r>
  <r>
    <s v="ORD-2024-588972"/>
    <d v="2024-11-02T00:00:00"/>
    <d v="2024-11-29T00:00:00"/>
    <d v="2024-11-02T00:00:00"/>
    <d v="2024-11-29T00:00:00"/>
    <n v="27"/>
    <x v="17"/>
    <s v="Americas"/>
    <x v="5"/>
    <s v="Brasília"/>
    <s v="Small Business"/>
    <s v="Direct"/>
    <s v="I. Johnson"/>
    <x v="2"/>
    <x v="337"/>
    <n v="1363.51"/>
    <n v="1433.9"/>
    <n v="5.7000000000000002E-2"/>
    <n v="8"/>
    <n v="10817.3416"/>
    <n v="10908.08"/>
    <n v="-90.738400000000183"/>
    <n v="-8.3882346842037592E-3"/>
    <s v="Q4-2024"/>
    <s v="Americas → Brazil → Brasília"/>
    <s v="Medium"/>
  </r>
  <r>
    <s v="ORD-2025-649633"/>
    <d v="2025-07-19T00:00:00"/>
    <d v="2025-07-31T00:00:00"/>
    <d v="2025-07-19T00:00:00"/>
    <d v="2025-07-31T00:00:00"/>
    <n v="12"/>
    <x v="19"/>
    <s v="Africa"/>
    <x v="0"/>
    <s v="Nairobi"/>
    <s v="Small Business"/>
    <s v="Marketplace"/>
    <s v="O. Wang"/>
    <x v="6"/>
    <x v="338"/>
    <n v="619.64"/>
    <n v="861.16"/>
    <n v="0.113"/>
    <n v="14"/>
    <n v="10693.88488"/>
    <n v="8674.9599999999991"/>
    <n v="2018.9248800000005"/>
    <n v="0.18879246435276761"/>
    <s v="Q3-2025"/>
    <s v="Africa → Kenya → Nairobi"/>
    <s v="Low"/>
  </r>
  <r>
    <s v="ORD-2023-825084"/>
    <d v="2023-07-14T00:00:00"/>
    <d v="2023-07-21T00:00:00"/>
    <d v="2023-07-14T00:00:00"/>
    <d v="2023-07-21T00:00:00"/>
    <n v="7"/>
    <x v="23"/>
    <s v="Africa"/>
    <x v="10"/>
    <s v="Durban"/>
    <s v="Enterprise"/>
    <s v="Marketplace"/>
    <s v="Unknown Salesperson"/>
    <x v="5"/>
    <x v="339"/>
    <n v="620.74"/>
    <n v="1330.07"/>
    <n v="0.29899999999999999"/>
    <n v="28"/>
    <n v="26106.613960000002"/>
    <n v="17380.72"/>
    <n v="8725.8939600000012"/>
    <n v="0.33424073965967516"/>
    <s v="Q3-2023"/>
    <s v="Africa → South Africa → Durban"/>
    <s v="Medium"/>
  </r>
  <r>
    <s v="ORD-2024-287210"/>
    <d v="2024-03-18T00:00:00"/>
    <d v="2024-03-21T00:00:00"/>
    <d v="2024-03-18T00:00:00"/>
    <d v="2024-03-21T00:00:00"/>
    <n v="3"/>
    <x v="0"/>
    <s v="Europe"/>
    <x v="11"/>
    <s v="Munich"/>
    <s v="Small Business"/>
    <s v="Online"/>
    <s v="M. Rossi"/>
    <x v="6"/>
    <x v="340"/>
    <n v="910.63"/>
    <n v="1269.4000000000001"/>
    <n v="6.8000000000000005E-2"/>
    <n v="9"/>
    <n v="10647.727199999999"/>
    <n v="8195.67"/>
    <n v="2452.0571999999993"/>
    <n v="0.23028925834989455"/>
    <s v="Q1-2024"/>
    <s v="Europe → Germany → Munich"/>
    <s v="Medium"/>
  </r>
  <r>
    <s v="ORD-2023-766015"/>
    <d v="2023-04-13T00:00:00"/>
    <d v="2023-04-11T00:00:00"/>
    <d v="2023-04-11T00:00:00"/>
    <d v="2023-04-13T00:00:00"/>
    <n v="2"/>
    <x v="12"/>
    <s v="Americas"/>
    <x v="9"/>
    <s v="San Francisco"/>
    <s v="Education"/>
    <s v="Marketplace"/>
    <s v="G. Dubois"/>
    <x v="2"/>
    <x v="341"/>
    <n v="32.1"/>
    <n v="70.599999999999994"/>
    <n v="0.28199999999999997"/>
    <n v="22"/>
    <n v="1115.1975999999997"/>
    <n v="706.2"/>
    <n v="408.99759999999969"/>
    <n v="0.36674899587301818"/>
    <s v="Q2-2023"/>
    <s v="Americas → USA → San Francisco"/>
    <s v="Low"/>
  </r>
  <r>
    <s v="ORD-2024-333192"/>
    <d v="2024-10-29T00:00:00"/>
    <d v="2024-11-04T00:00:00"/>
    <d v="2024-10-29T00:00:00"/>
    <d v="2024-11-04T00:00:00"/>
    <n v="6"/>
    <x v="1"/>
    <s v="Africa"/>
    <x v="0"/>
    <s v="Nairobi"/>
    <s v="Corporate"/>
    <s v="Distributor"/>
    <s v="M. Rossi"/>
    <x v="1"/>
    <x v="342"/>
    <n v="805.81"/>
    <n v="1823.04"/>
    <n v="0"/>
    <n v="11"/>
    <n v="20053.439999999999"/>
    <n v="8863.91"/>
    <n v="11189.529999999999"/>
    <n v="0.55798556257679477"/>
    <s v="Q4-2024"/>
    <s v="Africa → Kenya → Nairobi"/>
    <s v="Medium"/>
  </r>
  <r>
    <s v="ORD-2024-647473"/>
    <d v="2024-02-17T00:00:00"/>
    <d v="2024-03-04T00:00:00"/>
    <d v="2024-02-17T00:00:00"/>
    <d v="2024-03-04T00:00:00"/>
    <n v="16"/>
    <x v="31"/>
    <s v="Asia"/>
    <x v="4"/>
    <s v="Delhi"/>
    <s v="Small Business"/>
    <s v="Marketplace"/>
    <s v="F. Müller"/>
    <x v="3"/>
    <x v="343"/>
    <n v="1231.8"/>
    <n v="2015.99"/>
    <n v="0.26100000000000001"/>
    <n v="6"/>
    <n v="8938.8996600000009"/>
    <n v="7390.7999999999993"/>
    <n v="1548.0996600000017"/>
    <n v="0.17318682599464391"/>
    <s v="Q1-2024"/>
    <s v="Asia → India → Delhi"/>
    <s v="High"/>
  </r>
  <r>
    <s v="ORD-2024-892908"/>
    <d v="2024-07-13T00:00:00"/>
    <d v="2024-07-12T00:00:00"/>
    <d v="2024-07-12T00:00:00"/>
    <d v="2024-07-13T00:00:00"/>
    <n v="1"/>
    <x v="8"/>
    <s v="Asia"/>
    <x v="2"/>
    <s v="Nagoya"/>
    <s v="Small Business"/>
    <s v="Marketplace"/>
    <s v="F. Müller"/>
    <x v="2"/>
    <x v="344"/>
    <n v="105.13"/>
    <n v="244.13"/>
    <n v="7.0999999999999994E-2"/>
    <n v="14"/>
    <n v="3175.1547799999998"/>
    <n v="1471.82"/>
    <n v="1703.3347799999999"/>
    <n v="0.53645724319618837"/>
    <s v="Q3-2024"/>
    <s v="Asia → Japan → Nagoya"/>
    <s v="Low"/>
  </r>
  <r>
    <s v="ORD-2023-573146"/>
    <d v="2023-12-01T00:00:00"/>
    <d v="2023-12-18T00:00:00"/>
    <d v="2023-12-01T00:00:00"/>
    <d v="2023-12-18T00:00:00"/>
    <n v="17"/>
    <x v="4"/>
    <s v="Asia"/>
    <x v="2"/>
    <s v="Nagoya"/>
    <s v="Small Business"/>
    <s v="Direct"/>
    <s v="N. Brown"/>
    <x v="4"/>
    <x v="345"/>
    <n v="1495.79"/>
    <n v="2783.12"/>
    <n v="0.02"/>
    <n v="5"/>
    <n v="13637.287999999999"/>
    <n v="7478.95"/>
    <n v="6158.3379999999988"/>
    <n v="0.45158084217331185"/>
    <s v="Q4-2023"/>
    <s v="Asia → Japan → Nagoya"/>
    <s v="High"/>
  </r>
  <r>
    <s v="ORD-2023-399631"/>
    <d v="2023-06-22T00:00:00"/>
    <d v="2023-07-21T00:00:00"/>
    <d v="2023-06-22T00:00:00"/>
    <d v="2023-07-21T00:00:00"/>
    <n v="29"/>
    <x v="16"/>
    <s v="Europe"/>
    <x v="6"/>
    <s v="Lyon"/>
    <s v="Corporate"/>
    <s v="Retail"/>
    <s v="J. Njeri"/>
    <x v="6"/>
    <x v="346"/>
    <n v="734.34"/>
    <n v="887.9"/>
    <n v="2.5000000000000001E-2"/>
    <n v="12"/>
    <n v="10388.429999999998"/>
    <n v="8812.08"/>
    <n v="1576.3499999999985"/>
    <n v="0.15174092716608753"/>
    <s v="Q2-2023"/>
    <s v="Europe → France → Lyon"/>
    <s v="Low"/>
  </r>
  <r>
    <s v="ORD-2023-898009"/>
    <d v="2023-05-04T00:00:00"/>
    <d v="2023-05-16T00:00:00"/>
    <d v="2023-05-04T00:00:00"/>
    <d v="2023-05-16T00:00:00"/>
    <n v="12"/>
    <x v="15"/>
    <s v="Africa"/>
    <x v="1"/>
    <s v="Abuja"/>
    <s v="Small Business"/>
    <s v="Marketplace"/>
    <s v="J. Njeri"/>
    <x v="3"/>
    <x v="347"/>
    <n v="77.739999999999995"/>
    <n v="147.12"/>
    <n v="0"/>
    <n v="15"/>
    <n v="2206.8000000000002"/>
    <n v="1166.0999999999999"/>
    <n v="1040.7000000000003"/>
    <n v="0.47158781946710177"/>
    <s v="Q2-2023"/>
    <s v="Africa → Nigeria → Abuja"/>
    <s v="Low"/>
  </r>
  <r>
    <s v="ORD-2023-208944"/>
    <d v="2023-12-21T00:00:00"/>
    <d v="2024-01-06T00:00:00"/>
    <d v="2023-12-21T00:00:00"/>
    <d v="2024-01-06T00:00:00"/>
    <n v="16"/>
    <x v="4"/>
    <s v="Africa"/>
    <x v="1"/>
    <s v="Unknown City"/>
    <s v="Corporate"/>
    <s v="Marketplace"/>
    <s v="K. Singh"/>
    <x v="0"/>
    <x v="348"/>
    <n v="932.61"/>
    <n v="1982.98"/>
    <n v="0.14399999999999999"/>
    <n v="16"/>
    <n v="27158.894079999998"/>
    <n v="14921.76"/>
    <n v="12237.134079999998"/>
    <n v="0.45057556629345635"/>
    <s v="Q4-2023"/>
    <s v="Africa → Nigeria → Unknown City"/>
    <s v="High"/>
  </r>
  <r>
    <s v="ORD-2025-480172"/>
    <d v="2025-06-17T00:00:00"/>
    <d v="2025-07-05T00:00:00"/>
    <d v="2025-06-17T00:00:00"/>
    <d v="2025-07-05T00:00:00"/>
    <n v="18"/>
    <x v="22"/>
    <s v="Asia"/>
    <x v="4"/>
    <s v="Delhi"/>
    <s v="Consumer"/>
    <s v="Marketplace"/>
    <s v="L. Okafor"/>
    <x v="4"/>
    <x v="349"/>
    <n v="982.93"/>
    <n v="2299.3000000000002"/>
    <n v="0.113"/>
    <n v="6"/>
    <n v="12236.874600000001"/>
    <n v="5897.58"/>
    <n v="6339.2946000000011"/>
    <n v="0.51804850562087157"/>
    <s v="Q2-2025"/>
    <s v="Asia → India → Delhi"/>
    <s v="High"/>
  </r>
  <r>
    <s v="ORD-2023-735274"/>
    <d v="2023-02-23T00:00:00"/>
    <d v="2023-03-08T00:00:00"/>
    <d v="2023-02-23T00:00:00"/>
    <d v="2023-03-08T00:00:00"/>
    <n v="13"/>
    <x v="2"/>
    <s v="Europe"/>
    <x v="7"/>
    <s v="Manchester"/>
    <s v="Small Business"/>
    <s v="Direct"/>
    <s v="C. Otieno"/>
    <x v="1"/>
    <x v="350"/>
    <n v="307.37"/>
    <n v="462.61"/>
    <n v="0.188"/>
    <n v="11"/>
    <n v="4132.0325200000007"/>
    <n v="3381.07"/>
    <n v="750.9625200000005"/>
    <n v="0.18174167709599739"/>
    <s v="Q1-2023"/>
    <s v="Europe → United Kingdom → Manchester"/>
    <s v="Low"/>
  </r>
  <r>
    <s v="ORD-2023-212701"/>
    <d v="2023-12-02T00:00:00"/>
    <d v="2023-12-16T00:00:00"/>
    <d v="2023-12-02T00:00:00"/>
    <d v="2023-12-16T00:00:00"/>
    <n v="14"/>
    <x v="4"/>
    <s v="Europe"/>
    <x v="11"/>
    <s v="Frankfurt"/>
    <s v="Education"/>
    <s v="Direct"/>
    <s v="N. Brown"/>
    <x v="5"/>
    <x v="351"/>
    <n v="879.08"/>
    <n v="1093.3900000000001"/>
    <n v="0.113"/>
    <n v="17"/>
    <n v="16487.22781"/>
    <n v="14944.36"/>
    <n v="1542.8678099999997"/>
    <n v="9.3579577341935186E-2"/>
    <s v="Q4-2023"/>
    <s v="Europe → Germany → Frankfurt"/>
    <s v="Low"/>
  </r>
  <r>
    <s v="ORD-2025-766923"/>
    <d v="2025-02-15T00:00:00"/>
    <d v="2025-02-15T00:00:00"/>
    <d v="2025-02-15T00:00:00"/>
    <d v="2025-02-15T00:00:00"/>
    <n v="0"/>
    <x v="32"/>
    <s v="Europe"/>
    <x v="11"/>
    <s v="Frankfurt"/>
    <s v="Small Business"/>
    <s v="Marketplace"/>
    <s v="L. Okafor"/>
    <x v="6"/>
    <x v="352"/>
    <n v="815.83"/>
    <n v="1982.18"/>
    <n v="0.127"/>
    <n v="6"/>
    <n v="10382.65884"/>
    <n v="4894.9800000000005"/>
    <n v="5487.6788399999996"/>
    <n v="0.52854272923408507"/>
    <s v="Q1-2025"/>
    <s v="Europe → Germany → Frankfurt"/>
    <s v="High"/>
  </r>
  <r>
    <s v="ORD-2024-915495"/>
    <d v="2024-08-08T00:00:00"/>
    <d v="2024-08-20T00:00:00"/>
    <d v="2024-08-08T00:00:00"/>
    <d v="2024-08-20T00:00:00"/>
    <n v="12"/>
    <x v="21"/>
    <s v="Asia"/>
    <x v="2"/>
    <s v="Osaka"/>
    <s v="Small Business"/>
    <s v="Retail"/>
    <s v="H. Kim"/>
    <x v="2"/>
    <x v="353"/>
    <n v="1233.3599999999999"/>
    <n v="2120.4"/>
    <n v="0.17899999999999999"/>
    <n v="20"/>
    <n v="34816.968000000001"/>
    <n v="24667.199999999997"/>
    <n v="10149.768000000004"/>
    <n v="0.29151785991244278"/>
    <s v="Q3-2024"/>
    <s v="Asia → Japan → Osaka"/>
    <s v="High"/>
  </r>
  <r>
    <s v="ORD-2024-225829"/>
    <d v="2024-11-07T00:00:00"/>
    <d v="2024-11-26T00:00:00"/>
    <d v="2024-11-07T00:00:00"/>
    <d v="2024-11-26T00:00:00"/>
    <n v="19"/>
    <x v="17"/>
    <s v="Americas"/>
    <x v="5"/>
    <s v="Rio de Janeiro"/>
    <s v="Non-Profit"/>
    <s v="Distributor"/>
    <s v="J. Njeri"/>
    <x v="1"/>
    <x v="354"/>
    <n v="55.35"/>
    <n v="128.68"/>
    <n v="0.128"/>
    <n v="10"/>
    <n v="1122.0896000000002"/>
    <n v="553.5"/>
    <n v="568.58960000000025"/>
    <n v="0.50672388372550647"/>
    <s v="Q4-2024"/>
    <s v="Americas → Brazil → Rio de Janeiro"/>
    <s v="Low"/>
  </r>
  <r>
    <s v="ORD-2023-144816"/>
    <d v="2023-05-07T00:00:00"/>
    <d v="2023-05-29T00:00:00"/>
    <d v="2023-05-07T00:00:00"/>
    <d v="2023-05-29T00:00:00"/>
    <n v="22"/>
    <x v="15"/>
    <s v="Africa"/>
    <x v="10"/>
    <s v="Durban"/>
    <s v="Education"/>
    <s v="Distributor"/>
    <s v="K. Singh"/>
    <x v="6"/>
    <x v="355"/>
    <n v="653.86"/>
    <n v="931.84"/>
    <n v="0.121"/>
    <n v="12"/>
    <n v="9829.0483199999999"/>
    <n v="7846.32"/>
    <n v="1982.7283200000002"/>
    <n v="0.20172129136506273"/>
    <s v="Q2-2023"/>
    <s v="Africa → South Africa → Durban"/>
    <s v="Low"/>
  </r>
  <r>
    <s v="ORD-2025-149156"/>
    <d v="2025-01-10T00:00:00"/>
    <d v="2025-02-06T00:00:00"/>
    <d v="2025-01-10T00:00:00"/>
    <d v="2025-02-06T00:00:00"/>
    <n v="27"/>
    <x v="9"/>
    <s v="Americas"/>
    <x v="5"/>
    <s v="Brasília"/>
    <s v="Non-Profit"/>
    <s v="Retail"/>
    <s v="B. Chen"/>
    <x v="4"/>
    <x v="356"/>
    <n v="725.62"/>
    <n v="1559.19"/>
    <n v="0.19"/>
    <n v="12"/>
    <n v="15155.326800000001"/>
    <n v="8707.44"/>
    <n v="6447.8868000000002"/>
    <n v="0.42545349797405885"/>
    <s v="Q1-2025"/>
    <s v="Americas → Brazil → Brasília"/>
    <s v="Medium"/>
  </r>
  <r>
    <s v="ORD-2025-909340"/>
    <d v="2025-01-20T00:00:00"/>
    <d v="2025-02-03T00:00:00"/>
    <d v="2025-01-20T00:00:00"/>
    <d v="2025-02-03T00:00:00"/>
    <n v="14"/>
    <x v="9"/>
    <s v="Americas"/>
    <x v="5"/>
    <s v="Brasília"/>
    <s v="Enterprise"/>
    <s v="Marketplace"/>
    <s v="F. Müller"/>
    <x v="0"/>
    <x v="357"/>
    <n v="974.11"/>
    <n v="880.99"/>
    <n v="0.111"/>
    <n v="10"/>
    <n v="7832.0010999999995"/>
    <n v="9741.1"/>
    <n v="-1909.0989000000009"/>
    <n v="-0.2437562093805121"/>
    <s v="Q1-2025"/>
    <s v="Americas → Brazil → Brasília"/>
    <s v="Low"/>
  </r>
  <r>
    <s v="ORD-2023-727290"/>
    <d v="2023-04-03T00:00:00"/>
    <d v="2023-04-16T00:00:00"/>
    <d v="2023-04-03T00:00:00"/>
    <d v="2023-04-16T00:00:00"/>
    <n v="13"/>
    <x v="12"/>
    <s v="Europe"/>
    <x v="6"/>
    <s v="Marseille"/>
    <s v="Non-Profit"/>
    <s v="Marketplace"/>
    <s v="M. Rossi"/>
    <x v="6"/>
    <x v="358"/>
    <n v="790.54"/>
    <n v="601.49"/>
    <n v="0"/>
    <n v="15"/>
    <n v="9022.35"/>
    <n v="11858.099999999999"/>
    <n v="-2835.7499999999982"/>
    <n v="-0.31430281467688553"/>
    <s v="Q2-2023"/>
    <s v="Europe → France → Marseille"/>
    <s v="Low"/>
  </r>
  <r>
    <s v="ORD-2024-892173"/>
    <d v="2024-01-18T00:00:00"/>
    <d v="2024-02-03T00:00:00"/>
    <d v="2024-01-18T00:00:00"/>
    <d v="2024-02-03T00:00:00"/>
    <n v="16"/>
    <x v="10"/>
    <s v="Africa"/>
    <x v="10"/>
    <s v="Cape Town"/>
    <s v="Non-Profit"/>
    <s v="Distributor"/>
    <s v="L. Okafor"/>
    <x v="1"/>
    <x v="359"/>
    <n v="666.23"/>
    <n v="1382.91"/>
    <n v="0.17599999999999999"/>
    <n v="13"/>
    <n v="14813.731920000002"/>
    <n v="8660.99"/>
    <n v="6152.7419200000022"/>
    <n v="0.41534043907553048"/>
    <s v="Q1-2024"/>
    <s v="Africa → South Africa → Cape Town"/>
    <s v="Medium"/>
  </r>
  <r>
    <s v="ORD-2023-406606"/>
    <d v="2023-10-25T00:00:00"/>
    <d v="2023-10-28T00:00:00"/>
    <d v="2023-10-25T00:00:00"/>
    <d v="2023-10-28T00:00:00"/>
    <n v="3"/>
    <x v="30"/>
    <s v="Americas"/>
    <x v="5"/>
    <s v="Brasília"/>
    <s v="Corporate"/>
    <s v="Distributor"/>
    <s v="L. Okafor"/>
    <x v="6"/>
    <x v="360"/>
    <n v="509.31"/>
    <n v="1145.9000000000001"/>
    <n v="5.7000000000000002E-2"/>
    <n v="8"/>
    <n v="8644.6696000000011"/>
    <n v="4074.48"/>
    <n v="4570.1896000000015"/>
    <n v="0.52867140231709964"/>
    <s v="Q4-2023"/>
    <s v="Americas → Brazil → Brasília"/>
    <s v="Low"/>
  </r>
  <r>
    <s v="ORD-2025-591006"/>
    <d v="2025-06-25T00:00:00"/>
    <d v="2025-07-10T00:00:00"/>
    <d v="2025-06-25T00:00:00"/>
    <d v="2025-07-10T00:00:00"/>
    <n v="15"/>
    <x v="22"/>
    <s v="Europe"/>
    <x v="7"/>
    <s v="Birmingham"/>
    <s v="Non-Profit"/>
    <s v="Marketplace"/>
    <s v="D. Smith"/>
    <x v="3"/>
    <x v="361"/>
    <n v="546.83000000000004"/>
    <n v="400.84"/>
    <n v="7.8E-2"/>
    <n v="13"/>
    <n v="4804.4682400000002"/>
    <n v="7108.7900000000009"/>
    <n v="-2304.3217600000007"/>
    <n v="-0.47962056254533608"/>
    <s v="Q2-2025"/>
    <s v="Europe → United Kingdom → Birmingham"/>
    <s v="Low"/>
  </r>
  <r>
    <s v="ORD-2023-159821"/>
    <d v="2023-07-01T00:00:00"/>
    <d v="2023-07-08T00:00:00"/>
    <d v="2023-07-01T00:00:00"/>
    <d v="2023-07-08T00:00:00"/>
    <n v="7"/>
    <x v="23"/>
    <s v="Africa"/>
    <x v="1"/>
    <s v="Port Harcourt"/>
    <s v="Corporate"/>
    <s v="Retail"/>
    <s v="A. Patel"/>
    <x v="4"/>
    <x v="362"/>
    <n v="834.26"/>
    <n v="1780.56"/>
    <n v="1.4E-2"/>
    <n v="47"/>
    <n v="82514.711519999997"/>
    <n v="39210.22"/>
    <n v="43304.491519999996"/>
    <n v="0.5248093427497933"/>
    <s v="Q3-2023"/>
    <s v="Africa → Nigeria → Port Harcourt"/>
    <s v="Medium"/>
  </r>
  <r>
    <s v="ORD-2024-343877"/>
    <d v="2024-03-09T00:00:00"/>
    <d v="2024-03-26T00:00:00"/>
    <d v="2024-03-09T00:00:00"/>
    <d v="2024-03-26T00:00:00"/>
    <n v="17"/>
    <x v="0"/>
    <s v="Asia"/>
    <x v="8"/>
    <s v="Shenzhen"/>
    <s v="Enterprise"/>
    <s v="Online"/>
    <s v="K. Singh"/>
    <x v="5"/>
    <x v="363"/>
    <n v="1029.67"/>
    <n v="1118.43"/>
    <n v="0.27200000000000002"/>
    <n v="9"/>
    <n v="7327.9533600000004"/>
    <n v="9267.0300000000007"/>
    <n v="-1939.0766400000002"/>
    <n v="-0.26461367106736061"/>
    <s v="Q1-2024"/>
    <s v="Asia → China → Shenzhen"/>
    <s v="Low"/>
  </r>
  <r>
    <s v="ORD-2023-386663"/>
    <d v="2023-06-05T00:00:00"/>
    <d v="2023-06-28T00:00:00"/>
    <d v="2023-06-05T00:00:00"/>
    <d v="2023-06-28T00:00:00"/>
    <n v="23"/>
    <x v="16"/>
    <s v="Europe"/>
    <x v="7"/>
    <s v="Birmingham"/>
    <s v="Corporate"/>
    <s v="Direct"/>
    <s v="K. Singh"/>
    <x v="1"/>
    <x v="364"/>
    <n v="605.82000000000005"/>
    <n v="771.12"/>
    <n v="0.13200000000000001"/>
    <n v="19"/>
    <n v="12717.311040000001"/>
    <n v="11510.580000000002"/>
    <n v="1206.7310399999988"/>
    <n v="9.4888851597986767E-2"/>
    <s v="Q2-2023"/>
    <s v="Europe → United Kingdom → Birmingham"/>
    <s v="Low"/>
  </r>
  <r>
    <s v="ORD-2025-125517"/>
    <d v="2025-03-21T00:00:00"/>
    <d v="2025-04-09T00:00:00"/>
    <d v="2025-03-21T00:00:00"/>
    <d v="2025-04-09T00:00:00"/>
    <n v="19"/>
    <x v="3"/>
    <s v="Asia"/>
    <x v="2"/>
    <s v="Tokyo"/>
    <s v="Small Business"/>
    <s v="Distributor"/>
    <s v="E. Garcia"/>
    <x v="0"/>
    <x v="365"/>
    <n v="1055.45"/>
    <n v="1210.04"/>
    <n v="8.9999999999999993E-3"/>
    <n v="18"/>
    <n v="21584.693520000001"/>
    <n v="18998.100000000002"/>
    <n v="2586.5935199999985"/>
    <n v="0.1198346188053727"/>
    <s v="Q1-2025"/>
    <s v="Asia → Japan → Tokyo"/>
    <s v="Medium"/>
  </r>
  <r>
    <s v="ORD-2024-819778"/>
    <d v="2024-06-02T00:00:00"/>
    <d v="2024-06-15T00:00:00"/>
    <d v="2024-06-02T00:00:00"/>
    <d v="2024-06-15T00:00:00"/>
    <n v="13"/>
    <x v="25"/>
    <s v="Africa"/>
    <x v="0"/>
    <s v="Mombasa"/>
    <s v="Education"/>
    <s v="Online"/>
    <s v="O. Wang"/>
    <x v="3"/>
    <x v="366"/>
    <n v="1295.18"/>
    <n v="3024.03"/>
    <n v="0.192"/>
    <n v="8"/>
    <n v="19547.329920000004"/>
    <n v="10361.44"/>
    <n v="9185.8899200000033"/>
    <n v="0.46993067378483178"/>
    <s v="Q2-2024"/>
    <s v="Africa → Kenya → Mombasa"/>
    <s v="High"/>
  </r>
  <r>
    <s v="ORD-2025-624006"/>
    <d v="2025-03-15T00:00:00"/>
    <d v="2025-03-29T00:00:00"/>
    <d v="2025-03-15T00:00:00"/>
    <d v="2025-03-29T00:00:00"/>
    <n v="14"/>
    <x v="3"/>
    <s v="Asia"/>
    <x v="4"/>
    <s v="Mumbai"/>
    <s v="Enterprise"/>
    <s v="Direct"/>
    <s v="C. Otieno"/>
    <x v="0"/>
    <x v="367"/>
    <n v="935.83"/>
    <n v="2303.46"/>
    <n v="0.105"/>
    <n v="9"/>
    <n v="18554.370299999999"/>
    <n v="8422.4700000000012"/>
    <n v="10131.900299999998"/>
    <n v="0.54606543559174292"/>
    <s v="Q1-2025"/>
    <s v="Asia → India → Mumbai"/>
    <s v="High"/>
  </r>
  <r>
    <s v="ORD-2023-132101"/>
    <d v="2023-09-25T00:00:00"/>
    <d v="2023-10-09T00:00:00"/>
    <d v="2023-09-25T00:00:00"/>
    <d v="2023-10-09T00:00:00"/>
    <n v="14"/>
    <x v="26"/>
    <s v="Americas"/>
    <x v="9"/>
    <s v="New York"/>
    <s v="Small Business"/>
    <s v="Marketplace"/>
    <s v="J. Njeri"/>
    <x v="4"/>
    <x v="368"/>
    <n v="1279.56"/>
    <n v="3083.8"/>
    <n v="0.106"/>
    <n v="5"/>
    <n v="13784.586000000001"/>
    <n v="6397.7999999999993"/>
    <n v="7386.7860000000019"/>
    <n v="0.53587289455047848"/>
    <s v="Q3-2023"/>
    <s v="Americas → USA → New York"/>
    <s v="High"/>
  </r>
  <r>
    <s v="ORD-2025-306903"/>
    <d v="2025-06-24T00:00:00"/>
    <d v="2025-07-23T00:00:00"/>
    <d v="2025-06-24T00:00:00"/>
    <d v="2025-07-23T00:00:00"/>
    <n v="29"/>
    <x v="22"/>
    <s v="Americas"/>
    <x v="3"/>
    <s v="Vancouver"/>
    <s v="Non-Profit"/>
    <s v="Marketplace"/>
    <s v="I. Johnson"/>
    <x v="1"/>
    <x v="369"/>
    <n v="255.4"/>
    <n v="322.70999999999998"/>
    <n v="0.115"/>
    <n v="16"/>
    <n v="4569.5735999999997"/>
    <n v="4086.4"/>
    <n v="483.17359999999962"/>
    <n v="0.10573713048412212"/>
    <s v="Q2-2025"/>
    <s v="Americas → Canada → Vancouver"/>
    <s v="Low"/>
  </r>
  <r>
    <s v="ORD-2023-813340"/>
    <d v="2023-12-26T00:00:00"/>
    <d v="2024-01-03T00:00:00"/>
    <d v="2023-12-26T00:00:00"/>
    <d v="2024-01-03T00:00:00"/>
    <n v="8"/>
    <x v="4"/>
    <s v="Europe"/>
    <x v="6"/>
    <s v="Lyon"/>
    <s v="Small Business"/>
    <s v="Retail"/>
    <s v="M. Rossi"/>
    <x v="4"/>
    <x v="370"/>
    <n v="492.75"/>
    <n v="731.29"/>
    <n v="5.8000000000000003E-2"/>
    <n v="6"/>
    <n v="4133.25108"/>
    <n v="2956.5"/>
    <n v="1176.75108"/>
    <n v="0.28470350753528384"/>
    <s v="Q4-2023"/>
    <s v="Europe → France → Lyon"/>
    <s v="Low"/>
  </r>
  <r>
    <s v="ORD-2023-855675"/>
    <d v="2023-02-05T00:00:00"/>
    <d v="2023-02-28T00:00:00"/>
    <d v="2023-02-05T00:00:00"/>
    <d v="2023-02-28T00:00:00"/>
    <n v="23"/>
    <x v="2"/>
    <s v="Americas"/>
    <x v="9"/>
    <s v="Austin"/>
    <s v="Non-Profit"/>
    <s v="Distributor"/>
    <s v="L. Okafor"/>
    <x v="3"/>
    <x v="371"/>
    <n v="1214.49"/>
    <n v="1533.95"/>
    <n v="0"/>
    <n v="11"/>
    <n v="16873.45"/>
    <n v="13359.39"/>
    <n v="3514.0600000000013"/>
    <n v="0.20825972163369086"/>
    <s v="Q1-2023"/>
    <s v="Americas → USA → Austin"/>
    <s v="Medium"/>
  </r>
  <r>
    <s v="ORD-2023-545150"/>
    <d v="2023-04-06T00:00:00"/>
    <d v="2023-04-08T00:00:00"/>
    <d v="2023-04-06T00:00:00"/>
    <d v="2023-04-08T00:00:00"/>
    <n v="2"/>
    <x v="12"/>
    <s v="Africa"/>
    <x v="1"/>
    <s v="Abuja"/>
    <s v="Small Business"/>
    <s v="Marketplace"/>
    <s v="K. Singh"/>
    <x v="5"/>
    <x v="372"/>
    <n v="720.35"/>
    <n v="1571.66"/>
    <n v="0.107"/>
    <n v="23"/>
    <n v="32280.32474"/>
    <n v="16568.05"/>
    <n v="15712.274740000001"/>
    <n v="0.4867446305622265"/>
    <s v="Q2-2023"/>
    <s v="Africa → Nigeria → Abuja"/>
    <s v="Medium"/>
  </r>
  <r>
    <s v="ORD-2025-269934"/>
    <d v="2025-04-04T00:00:00"/>
    <d v="2025-04-10T00:00:00"/>
    <d v="2025-04-04T00:00:00"/>
    <d v="2025-04-10T00:00:00"/>
    <n v="6"/>
    <x v="18"/>
    <s v="Europe"/>
    <x v="7"/>
    <s v="Birmingham"/>
    <s v="Non-Profit"/>
    <s v="Direct"/>
    <s v="N. Brown"/>
    <x v="1"/>
    <x v="373"/>
    <n v="290.14"/>
    <n v="250.73"/>
    <n v="3.4000000000000002E-2"/>
    <n v="17"/>
    <n v="4117.4880599999997"/>
    <n v="4932.38"/>
    <n v="-814.89194000000043"/>
    <n v="-0.19790997038131072"/>
    <s v="Q2-2025"/>
    <s v="Europe → United Kingdom → Birmingham"/>
    <s v="Low"/>
  </r>
  <r>
    <s v="ORD-2024-690270"/>
    <d v="2024-05-17T00:00:00"/>
    <d v="2024-05-27T00:00:00"/>
    <d v="2024-05-17T00:00:00"/>
    <d v="2024-05-27T00:00:00"/>
    <n v="10"/>
    <x v="7"/>
    <s v="Americas"/>
    <x v="9"/>
    <s v="Austin"/>
    <s v="Non-Profit"/>
    <s v="Online"/>
    <s v="C. Otieno"/>
    <x v="3"/>
    <x v="374"/>
    <n v="1484.23"/>
    <n v="3472.81"/>
    <n v="0.25600000000000001"/>
    <n v="12"/>
    <n v="31005.24768"/>
    <n v="17810.760000000002"/>
    <n v="13194.487679999998"/>
    <n v="0.42555659661803413"/>
    <s v="Q2-2024"/>
    <s v="Americas → USA → Austin"/>
    <s v="High"/>
  </r>
  <r>
    <s v="ORD-2024-868223"/>
    <d v="2024-03-03T00:00:00"/>
    <d v="2024-03-19T00:00:00"/>
    <d v="2024-03-03T00:00:00"/>
    <d v="2024-03-19T00:00:00"/>
    <n v="16"/>
    <x v="0"/>
    <s v="Asia"/>
    <x v="8"/>
    <s v="Beijing"/>
    <s v="Consumer"/>
    <s v="Distributor"/>
    <s v="G. Dubois"/>
    <x v="3"/>
    <x v="375"/>
    <n v="988.83"/>
    <n v="1206.04"/>
    <n v="6.3E-2"/>
    <n v="34"/>
    <n v="38422.022320000004"/>
    <n v="33620.22"/>
    <n v="4801.8023200000025"/>
    <n v="0.12497526236406606"/>
    <s v="Q1-2024"/>
    <s v="Asia → China → Beijing"/>
    <s v="Medium"/>
  </r>
  <r>
    <s v="ORD-2025-188059"/>
    <d v="2025-06-27T00:00:00"/>
    <d v="2025-07-11T00:00:00"/>
    <d v="2025-06-27T00:00:00"/>
    <d v="2025-07-11T00:00:00"/>
    <n v="14"/>
    <x v="22"/>
    <s v="Asia"/>
    <x v="8"/>
    <s v="Shanghai"/>
    <s v="Small Business"/>
    <s v="Marketplace"/>
    <s v="L. Okafor"/>
    <x v="2"/>
    <x v="376"/>
    <n v="1227.7"/>
    <n v="2197.23"/>
    <n v="9.9000000000000005E-2"/>
    <n v="22"/>
    <n v="43553.493060000001"/>
    <n v="27009.4"/>
    <n v="16544.093059999999"/>
    <n v="0.37985685871873898"/>
    <s v="Q2-2025"/>
    <s v="Asia → China → Shanghai"/>
    <s v="High"/>
  </r>
  <r>
    <s v="ORD-2023-281890"/>
    <d v="2023-03-13T00:00:00"/>
    <d v="2023-04-04T00:00:00"/>
    <d v="2023-03-13T00:00:00"/>
    <d v="2023-04-04T00:00:00"/>
    <n v="22"/>
    <x v="11"/>
    <s v="Africa"/>
    <x v="10"/>
    <s v="Durban"/>
    <s v="Small Business"/>
    <s v="Retail"/>
    <s v="A. Patel"/>
    <x v="0"/>
    <x v="377"/>
    <n v="1113.7"/>
    <n v="1620.6"/>
    <n v="0.13900000000000001"/>
    <n v="11"/>
    <n v="15348.702599999999"/>
    <n v="12250.7"/>
    <n v="3098.002599999998"/>
    <n v="0.20184133348182787"/>
    <s v="Q1-2023"/>
    <s v="Africa → South Africa → Durban"/>
    <s v="Medium"/>
  </r>
  <r>
    <s v="ORD-2025-636162"/>
    <d v="2025-01-07T00:00:00"/>
    <d v="2025-01-20T00:00:00"/>
    <d v="2025-01-07T00:00:00"/>
    <d v="2025-01-20T00:00:00"/>
    <n v="13"/>
    <x v="9"/>
    <s v="Africa"/>
    <x v="10"/>
    <s v="Cape Town"/>
    <s v="Corporate"/>
    <s v="Direct"/>
    <s v="K. Singh"/>
    <x v="2"/>
    <x v="378"/>
    <n v="432.13"/>
    <n v="1034.6600000000001"/>
    <n v="9.1999999999999998E-2"/>
    <n v="7"/>
    <n v="6576.298960000001"/>
    <n v="3024.91"/>
    <n v="3551.3889600000011"/>
    <n v="0.54002851476204794"/>
    <s v="Q1-2025"/>
    <s v="Africa → South Africa → Cape Town"/>
    <s v="Low"/>
  </r>
  <r>
    <s v="ORD-2025-915869"/>
    <d v="2025-02-06T00:00:00"/>
    <d v="2025-02-15T00:00:00"/>
    <d v="2025-02-06T00:00:00"/>
    <d v="2025-02-15T00:00:00"/>
    <n v="9"/>
    <x v="32"/>
    <s v="Americas"/>
    <x v="5"/>
    <s v="São Paulo"/>
    <s v="Non-Profit"/>
    <s v="Distributor"/>
    <s v="F. Müller"/>
    <x v="2"/>
    <x v="379"/>
    <n v="837.39"/>
    <n v="1905.42"/>
    <n v="3.2000000000000001E-2"/>
    <n v="18"/>
    <n v="33200.038079999998"/>
    <n v="15073.02"/>
    <n v="18127.018079999998"/>
    <n v="0.54599389423350919"/>
    <s v="Q1-2025"/>
    <s v="Americas → Brazil → São Paulo"/>
    <s v="Medium"/>
  </r>
  <r>
    <s v="ORD-2025-192876"/>
    <d v="2025-01-31T00:00:00"/>
    <d v="2025-02-17T00:00:00"/>
    <d v="2025-01-31T00:00:00"/>
    <d v="2025-02-17T00:00:00"/>
    <n v="17"/>
    <x v="9"/>
    <s v="Europe"/>
    <x v="7"/>
    <s v="London"/>
    <s v="Enterprise"/>
    <s v="Retail"/>
    <s v="H. Kim"/>
    <x v="0"/>
    <x v="78"/>
    <n v="378.26"/>
    <n v="541.55999999999995"/>
    <n v="0.16300000000000001"/>
    <n v="25"/>
    <n v="11332.142999999998"/>
    <n v="9456.5"/>
    <n v="1875.6429999999982"/>
    <n v="0.16551529573885526"/>
    <s v="Q1-2025"/>
    <s v="Europe → United Kingdom → London"/>
    <s v="Low"/>
  </r>
  <r>
    <s v="ORD-2025-822030"/>
    <d v="2025-08-07T00:00:00"/>
    <d v="2025-09-06T00:00:00"/>
    <d v="2025-08-07T00:00:00"/>
    <d v="2025-09-06T00:00:00"/>
    <n v="30"/>
    <x v="27"/>
    <s v="Americas"/>
    <x v="3"/>
    <s v="Montreal"/>
    <s v="Education"/>
    <s v="Direct"/>
    <s v="M. Rossi"/>
    <x v="2"/>
    <x v="380"/>
    <n v="833.73"/>
    <n v="1116.5999999999999"/>
    <n v="0.17599999999999999"/>
    <n v="14"/>
    <n v="12881.097599999999"/>
    <n v="11672.220000000001"/>
    <n v="1208.877599999998"/>
    <n v="9.3848958958279924E-2"/>
    <s v="Q3-2025"/>
    <s v="Americas → Canada → Montreal"/>
    <s v="Low"/>
  </r>
  <r>
    <s v="ORD-2025-789245"/>
    <d v="2025-07-23T00:00:00"/>
    <d v="2025-08-17T00:00:00"/>
    <d v="2025-07-23T00:00:00"/>
    <d v="2025-08-17T00:00:00"/>
    <n v="25"/>
    <x v="19"/>
    <s v="Europe"/>
    <x v="7"/>
    <s v="Birmingham"/>
    <s v="Education"/>
    <s v="Online"/>
    <s v="I. Johnson"/>
    <x v="1"/>
    <x v="381"/>
    <n v="1142.06"/>
    <n v="1455"/>
    <n v="7.8E-2"/>
    <n v="28"/>
    <n v="37562.28"/>
    <n v="31977.68"/>
    <n v="5584.5999999999985"/>
    <n v="0.1486757459877302"/>
    <s v="Q3-2025"/>
    <s v="Europe → United Kingdom → Birmingham"/>
    <s v="Medium"/>
  </r>
  <r>
    <s v="ORD-2023-594955"/>
    <d v="2023-06-20T00:00:00"/>
    <d v="2023-07-08T00:00:00"/>
    <d v="2023-06-20T00:00:00"/>
    <d v="2023-07-08T00:00:00"/>
    <n v="18"/>
    <x v="16"/>
    <s v="Americas"/>
    <x v="9"/>
    <s v="New York"/>
    <s v="Consumer"/>
    <s v="Marketplace"/>
    <s v="O. Wang"/>
    <x v="2"/>
    <x v="382"/>
    <n v="1145.53"/>
    <n v="1278.3"/>
    <n v="0.09"/>
    <n v="41"/>
    <n v="47693.373"/>
    <n v="46966.729999999996"/>
    <n v="726.64300000000367"/>
    <n v="1.5235722581416158E-2"/>
    <s v="Q2-2023"/>
    <s v="Americas → USA → New York"/>
    <s v="Medium"/>
  </r>
  <r>
    <s v="ORD-2024-398783"/>
    <d v="2024-07-18T00:00:00"/>
    <d v="2024-08-07T00:00:00"/>
    <d v="2024-07-18T00:00:00"/>
    <d v="2024-08-07T00:00:00"/>
    <n v="20"/>
    <x v="8"/>
    <s v="Europe"/>
    <x v="6"/>
    <s v="Marseille"/>
    <s v="Corporate"/>
    <s v="Retail"/>
    <s v="F. Müller"/>
    <x v="5"/>
    <x v="383"/>
    <n v="941.35"/>
    <n v="899.83"/>
    <n v="5.8000000000000003E-2"/>
    <n v="18"/>
    <n v="15257.51748"/>
    <n v="16944.3"/>
    <n v="-1686.7825199999988"/>
    <n v="-0.11055419220139073"/>
    <s v="Q3-2024"/>
    <s v="Europe → France → Marseille"/>
    <s v="Low"/>
  </r>
  <r>
    <s v="ORD-2023-676553"/>
    <d v="2023-05-20T00:00:00"/>
    <d v="2023-06-19T00:00:00"/>
    <d v="2023-05-20T00:00:00"/>
    <d v="2023-06-19T00:00:00"/>
    <n v="30"/>
    <x v="15"/>
    <s v="Asia"/>
    <x v="4"/>
    <s v="Delhi"/>
    <s v="Non-Profit"/>
    <s v="Marketplace"/>
    <s v="H. Kim"/>
    <x v="4"/>
    <x v="384"/>
    <n v="1161.2"/>
    <n v="878.73"/>
    <n v="0.19"/>
    <n v="31"/>
    <n v="22064.910300000003"/>
    <n v="35997.200000000004"/>
    <n v="-13932.289700000001"/>
    <n v="-0.63142290227212028"/>
    <s v="Q2-2023"/>
    <s v="Asia → India → Delhi"/>
    <s v="Low"/>
  </r>
  <r>
    <s v="ORD-2025-866565"/>
    <d v="2025-05-12T00:00:00"/>
    <d v="2025-05-26T00:00:00"/>
    <d v="2025-05-12T00:00:00"/>
    <d v="2025-05-26T00:00:00"/>
    <n v="14"/>
    <x v="14"/>
    <s v="Asia"/>
    <x v="4"/>
    <s v="Hyderabad"/>
    <s v="Corporate"/>
    <s v="Marketplace"/>
    <s v="G. Dubois"/>
    <x v="1"/>
    <x v="385"/>
    <n v="320.12"/>
    <n v="594.41999999999996"/>
    <n v="0.104"/>
    <n v="18"/>
    <n v="9586.8057599999993"/>
    <n v="5762.16"/>
    <n v="3824.6457599999994"/>
    <n v="0.39894891538931104"/>
    <s v="Q2-2025"/>
    <s v="Asia → India → Hyderabad"/>
    <s v="Low"/>
  </r>
  <r>
    <s v="ORD-2024-527858"/>
    <d v="2024-05-07T00:00:00"/>
    <d v="2024-05-12T00:00:00"/>
    <d v="2024-05-07T00:00:00"/>
    <d v="2024-05-12T00:00:00"/>
    <n v="5"/>
    <x v="7"/>
    <s v="Africa"/>
    <x v="1"/>
    <s v="Abuja"/>
    <s v="Non-Profit"/>
    <s v="Distributor"/>
    <s v="L. Okafor"/>
    <x v="4"/>
    <x v="386"/>
    <n v="1163.99"/>
    <n v="1617.85"/>
    <n v="0.127"/>
    <n v="14"/>
    <n v="19773.362699999998"/>
    <n v="16295.86"/>
    <n v="3477.5026999999973"/>
    <n v="0.17586804797749436"/>
    <s v="Q2-2024"/>
    <s v="Africa → Nigeria → Abuja"/>
    <s v="Medium"/>
  </r>
  <r>
    <s v="ORD-2023-619385"/>
    <d v="2023-09-30T00:00:00"/>
    <d v="2023-10-03T00:00:00"/>
    <d v="2023-09-30T00:00:00"/>
    <d v="2023-10-03T00:00:00"/>
    <n v="3"/>
    <x v="26"/>
    <s v="Asia"/>
    <x v="8"/>
    <s v="Beijing"/>
    <s v="Non-Profit"/>
    <s v="Retail"/>
    <s v="J. Njeri"/>
    <x v="4"/>
    <x v="387"/>
    <n v="1019.36"/>
    <n v="972.91"/>
    <n v="0.14699999999999999"/>
    <n v="17"/>
    <n v="14108.16791"/>
    <n v="17329.12"/>
    <n v="-3220.9520899999989"/>
    <n v="-0.22830406545678819"/>
    <s v="Q3-2023"/>
    <s v="Asia → China → Beijing"/>
    <s v="Low"/>
  </r>
  <r>
    <s v="ORD-2023-835226"/>
    <d v="2023-10-26T00:00:00"/>
    <d v="2023-11-05T00:00:00"/>
    <d v="2023-10-26T00:00:00"/>
    <d v="2023-11-05T00:00:00"/>
    <n v="10"/>
    <x v="30"/>
    <s v="Africa"/>
    <x v="10"/>
    <s v="Cape Town"/>
    <s v="Non-Profit"/>
    <s v="Online"/>
    <s v="I. Johnson"/>
    <x v="4"/>
    <x v="388"/>
    <n v="20.38"/>
    <n v="42.56"/>
    <n v="7.1999999999999995E-2"/>
    <n v="11"/>
    <n v="434.45248000000004"/>
    <n v="224.17999999999998"/>
    <n v="210.27248000000006"/>
    <n v="0.48399419885921713"/>
    <s v="Q4-2023"/>
    <s v="Africa → South Africa → Cape Town"/>
    <s v="Low"/>
  </r>
  <r>
    <s v="ORD-2025-485946"/>
    <d v="2025-06-15T00:00:00"/>
    <d v="2025-06-30T00:00:00"/>
    <d v="2025-06-15T00:00:00"/>
    <d v="2025-06-30T00:00:00"/>
    <n v="15"/>
    <x v="22"/>
    <s v="Africa"/>
    <x v="10"/>
    <s v="Johannesburg"/>
    <s v="Small Business"/>
    <s v="Direct"/>
    <s v="C. Otieno"/>
    <x v="5"/>
    <x v="389"/>
    <n v="1487.59"/>
    <n v="1480.83"/>
    <n v="8.9999999999999993E-3"/>
    <n v="11"/>
    <n v="16142.527829999999"/>
    <n v="16363.49"/>
    <n v="-220.9621700000007"/>
    <n v="-1.3688201273492908E-2"/>
    <s v="Q2-2025"/>
    <s v="Africa → South Africa → Johannesburg"/>
    <s v="Medium"/>
  </r>
  <r>
    <s v="ORD-2024-307849"/>
    <d v="2024-08-10T00:00:00"/>
    <d v="2024-09-07T00:00:00"/>
    <d v="2024-08-10T00:00:00"/>
    <d v="2024-09-07T00:00:00"/>
    <n v="28"/>
    <x v="21"/>
    <s v="Europe"/>
    <x v="6"/>
    <s v="Marseille"/>
    <s v="Non-Profit"/>
    <s v="Direct"/>
    <s v="F. Müller"/>
    <x v="1"/>
    <x v="390"/>
    <n v="229.96"/>
    <n v="564.26"/>
    <n v="0.105"/>
    <n v="5"/>
    <n v="2525.0635000000002"/>
    <n v="1149.8"/>
    <n v="1375.2635000000002"/>
    <n v="0.54464511486542821"/>
    <s v="Q3-2024"/>
    <s v="Europe → France → Marseille"/>
    <s v="Low"/>
  </r>
  <r>
    <s v="ORD-2023-368449"/>
    <d v="2023-10-09T00:00:00"/>
    <d v="2023-10-26T00:00:00"/>
    <d v="2023-10-09T00:00:00"/>
    <d v="2023-10-26T00:00:00"/>
    <n v="17"/>
    <x v="30"/>
    <s v="Asia"/>
    <x v="8"/>
    <s v="Shanghai"/>
    <s v="Consumer"/>
    <s v="Marketplace"/>
    <s v="C. Otieno"/>
    <x v="0"/>
    <x v="391"/>
    <n v="1132.03"/>
    <n v="2137.21"/>
    <n v="0.1186"/>
    <n v="35"/>
    <n v="65930.791290000008"/>
    <n v="39621.049999999996"/>
    <n v="26309.741290000013"/>
    <n v="0.39905089526796744"/>
    <s v="Q4-2023"/>
    <s v="Asia → China → Shanghai"/>
    <s v="High"/>
  </r>
  <r>
    <s v="ORD-2024-251426"/>
    <d v="2024-03-09T00:00:00"/>
    <d v="2024-03-26T00:00:00"/>
    <d v="2024-03-09T00:00:00"/>
    <d v="2024-03-26T00:00:00"/>
    <n v="17"/>
    <x v="0"/>
    <s v="Americas"/>
    <x v="9"/>
    <s v="San Francisco"/>
    <s v="Education"/>
    <s v="Direct"/>
    <s v="I. Johnson"/>
    <x v="3"/>
    <x v="392"/>
    <n v="1137.4100000000001"/>
    <n v="1680.93"/>
    <n v="0.254"/>
    <n v="9"/>
    <n v="11285.764020000001"/>
    <n v="10236.69"/>
    <n v="1049.07402"/>
    <n v="9.2955516183121464E-2"/>
    <s v="Q1-2024"/>
    <s v="Americas → USA → San Francisco"/>
    <s v="Medium"/>
  </r>
  <r>
    <s v="ORD-2023-927385"/>
    <d v="2023-05-29T00:00:00"/>
    <d v="2023-06-20T00:00:00"/>
    <d v="2023-05-29T00:00:00"/>
    <d v="2023-06-20T00:00:00"/>
    <n v="22"/>
    <x v="15"/>
    <s v="Europe"/>
    <x v="7"/>
    <s v="London"/>
    <s v="Small Business"/>
    <s v="Direct"/>
    <s v="K. Singh"/>
    <x v="0"/>
    <x v="393"/>
    <n v="1295.3900000000001"/>
    <n v="2905.06"/>
    <n v="0.14799999999999999"/>
    <n v="8"/>
    <n v="19800.88896"/>
    <n v="10363.120000000001"/>
    <n v="9437.7689599999994"/>
    <n v="0.47663359857556614"/>
    <s v="Q2-2023"/>
    <s v="Europe → United Kingdom → London"/>
    <s v="High"/>
  </r>
  <r>
    <s v="ORD-2024-215294"/>
    <d v="2024-06-30T00:00:00"/>
    <d v="2024-07-14T00:00:00"/>
    <d v="2024-06-30T00:00:00"/>
    <d v="2024-07-14T00:00:00"/>
    <n v="14"/>
    <x v="25"/>
    <s v="Americas"/>
    <x v="5"/>
    <s v="Brasília"/>
    <s v="Education"/>
    <s v="Retail"/>
    <s v="C. Otieno"/>
    <x v="6"/>
    <x v="394"/>
    <n v="1491.85"/>
    <n v="2583.02"/>
    <n v="0.16800000000000001"/>
    <n v="4"/>
    <n v="8596.2905599999995"/>
    <n v="5967.4"/>
    <n v="2628.8905599999998"/>
    <n v="0.30581685689321325"/>
    <s v="Q2-2024"/>
    <s v="Americas → Brazil → Brasília"/>
    <s v="High"/>
  </r>
  <r>
    <s v="ORD-2025-677880"/>
    <d v="2025-08-21T00:00:00"/>
    <d v="2025-09-14T00:00:00"/>
    <d v="2025-08-21T00:00:00"/>
    <d v="2025-09-14T00:00:00"/>
    <n v="24"/>
    <x v="27"/>
    <s v="Europe"/>
    <x v="11"/>
    <s v="Berlin"/>
    <s v="Non-Profit"/>
    <s v="Online"/>
    <s v="A. Patel"/>
    <x v="5"/>
    <x v="395"/>
    <n v="1397.67"/>
    <n v="3131.37"/>
    <n v="0.10299999999999999"/>
    <n v="20"/>
    <n v="56176.777799999996"/>
    <n v="27953.4"/>
    <n v="28223.377799999995"/>
    <n v="0.50240293062874808"/>
    <s v="Q3-2025"/>
    <s v="Europe → Germany → Berlin"/>
    <s v="High"/>
  </r>
  <r>
    <s v="ORD-2024-102866"/>
    <d v="2024-12-12T00:00:00"/>
    <d v="2024-12-20T00:00:00"/>
    <d v="2024-12-12T00:00:00"/>
    <d v="2024-12-20T00:00:00"/>
    <n v="8"/>
    <x v="6"/>
    <s v="Asia"/>
    <x v="2"/>
    <s v="Tokyo"/>
    <s v="Corporate"/>
    <s v="Retail"/>
    <s v="B. Chen"/>
    <x v="4"/>
    <x v="396"/>
    <n v="1202.47"/>
    <n v="1444.72"/>
    <n v="0.24099999999999999"/>
    <n v="17"/>
    <n v="18641.222160000001"/>
    <n v="20441.990000000002"/>
    <n v="-1800.7678400000004"/>
    <n v="-9.6601382921343834E-2"/>
    <s v="Q4-2024"/>
    <s v="Asia → Japan → Tokyo"/>
    <s v="Medium"/>
  </r>
  <r>
    <s v="ORD-2025-588029"/>
    <d v="2025-09-14T00:00:00"/>
    <d v="2025-09-23T00:00:00"/>
    <d v="2025-09-14T00:00:00"/>
    <d v="2025-09-23T00:00:00"/>
    <n v="9"/>
    <x v="13"/>
    <s v="Africa"/>
    <x v="10"/>
    <s v="Durban"/>
    <s v="Non-Profit"/>
    <s v="Online"/>
    <s v="D. Smith"/>
    <x v="0"/>
    <x v="397"/>
    <n v="1310.3"/>
    <n v="2875.8"/>
    <n v="8.3000000000000004E-2"/>
    <n v="5"/>
    <n v="13185.543"/>
    <n v="6551.5"/>
    <n v="6634.0429999999997"/>
    <n v="0.50313005691157353"/>
    <s v="Q3-2025"/>
    <s v="Africa → South Africa → Durban"/>
    <s v="High"/>
  </r>
  <r>
    <s v="ORD-2024-972999"/>
    <d v="2024-09-06T00:00:00"/>
    <d v="2024-10-04T00:00:00"/>
    <d v="2024-09-06T00:00:00"/>
    <d v="2024-10-04T00:00:00"/>
    <n v="28"/>
    <x v="28"/>
    <s v="Africa"/>
    <x v="10"/>
    <s v="Cape Town"/>
    <s v="Corporate"/>
    <s v="Marketplace"/>
    <s v="D. Smith"/>
    <x v="5"/>
    <x v="398"/>
    <n v="1174.17"/>
    <n v="1641.61"/>
    <n v="0.122"/>
    <n v="9"/>
    <n v="12972.00222"/>
    <n v="10567.53"/>
    <n v="2404.4722199999997"/>
    <n v="0.18535860380079394"/>
    <s v="Q3-2024"/>
    <s v="Africa → South Africa → Cape Town"/>
    <s v="Medium"/>
  </r>
  <r>
    <s v="ORD-2025-608069"/>
    <d v="2025-04-12T00:00:00"/>
    <d v="2025-04-30T00:00:00"/>
    <d v="2025-04-12T00:00:00"/>
    <d v="2025-04-30T00:00:00"/>
    <n v="18"/>
    <x v="18"/>
    <s v="Africa"/>
    <x v="0"/>
    <s v="Kisumu"/>
    <s v="Corporate"/>
    <s v="Marketplace"/>
    <s v="F. Müller"/>
    <x v="2"/>
    <x v="399"/>
    <n v="1119.04"/>
    <n v="1299.02"/>
    <n v="2.5000000000000001E-2"/>
    <n v="14"/>
    <n v="17731.623"/>
    <n v="15666.56"/>
    <n v="2065.0630000000001"/>
    <n v="0.11646215352085933"/>
    <s v="Q2-2025"/>
    <s v="Africa → Kenya → Kisumu"/>
    <s v="Medium"/>
  </r>
  <r>
    <s v="ORD-2024-626750"/>
    <d v="2024-08-12T00:00:00"/>
    <d v="2024-08-15T00:00:00"/>
    <d v="2024-08-12T00:00:00"/>
    <d v="2024-08-15T00:00:00"/>
    <n v="3"/>
    <x v="21"/>
    <s v="Americas"/>
    <x v="9"/>
    <s v="Chicago"/>
    <s v="Corporate"/>
    <s v="Marketplace"/>
    <s v="D. Smith"/>
    <x v="1"/>
    <x v="400"/>
    <n v="850.7"/>
    <n v="1118.56"/>
    <n v="0.18"/>
    <n v="19"/>
    <n v="17427.164800000002"/>
    <n v="16163.300000000001"/>
    <n v="1263.8648000000012"/>
    <n v="7.2522685962090688E-2"/>
    <s v="Q3-2024"/>
    <s v="Americas → USA → Chicago"/>
    <s v="Low"/>
  </r>
  <r>
    <s v="ORD-2024-170021"/>
    <d v="2024-11-05T00:00:00"/>
    <d v="2024-11-08T00:00:00"/>
    <d v="2024-11-05T00:00:00"/>
    <d v="2024-11-08T00:00:00"/>
    <n v="3"/>
    <x v="17"/>
    <s v="Americas"/>
    <x v="3"/>
    <s v="Toronto"/>
    <s v="Education"/>
    <s v="Marketplace"/>
    <s v="O. Wang"/>
    <x v="0"/>
    <x v="401"/>
    <n v="1020.4"/>
    <n v="1184.71"/>
    <n v="0.106"/>
    <n v="16"/>
    <n v="16946.091840000001"/>
    <n v="16326.4"/>
    <n v="619.69184000000132"/>
    <n v="3.6568422138328345E-2"/>
    <s v="Q4-2024"/>
    <s v="Americas → Canada → Toronto"/>
    <s v="Low"/>
  </r>
  <r>
    <s v="ORD-2024-678110"/>
    <d v="2024-07-24T00:00:00"/>
    <d v="2024-08-08T00:00:00"/>
    <d v="2024-07-24T00:00:00"/>
    <d v="2024-08-08T00:00:00"/>
    <n v="15"/>
    <x v="8"/>
    <s v="Europe"/>
    <x v="6"/>
    <s v="Marseille"/>
    <s v="Enterprise"/>
    <s v="Marketplace"/>
    <s v="H. Kim"/>
    <x v="4"/>
    <x v="402"/>
    <n v="501.5"/>
    <n v="1201.47"/>
    <n v="0.126"/>
    <n v="5"/>
    <n v="5250.4239000000007"/>
    <n v="2507.5"/>
    <n v="2742.9239000000007"/>
    <n v="0.52241951359394057"/>
    <s v="Q3-2024"/>
    <s v="Europe → France → Marseille"/>
    <s v="Medium"/>
  </r>
  <r>
    <s v="ORD-2025-931538"/>
    <d v="2025-02-09T00:00:00"/>
    <d v="2025-03-01T00:00:00"/>
    <d v="2025-02-09T00:00:00"/>
    <d v="2025-03-01T00:00:00"/>
    <n v="20"/>
    <x v="32"/>
    <s v="Americas"/>
    <x v="5"/>
    <s v="São Paulo"/>
    <s v="Corporate"/>
    <s v="Distributor"/>
    <s v="B. Chen"/>
    <x v="4"/>
    <x v="403"/>
    <n v="1154.6400000000001"/>
    <n v="2794.13"/>
    <n v="3.5000000000000003E-2"/>
    <n v="11"/>
    <n v="29659.68995"/>
    <n v="12701.04"/>
    <n v="16958.649949999999"/>
    <n v="0.57177435025749479"/>
    <s v="Q1-2025"/>
    <s v="Americas → Brazil → São Paulo"/>
    <s v="High"/>
  </r>
  <r>
    <s v="ORD-2023-854471"/>
    <d v="2023-03-06T00:00:00"/>
    <d v="2023-04-04T00:00:00"/>
    <d v="2023-03-06T00:00:00"/>
    <d v="2023-04-04T00:00:00"/>
    <n v="29"/>
    <x v="11"/>
    <s v="Asia"/>
    <x v="8"/>
    <s v="Beijing"/>
    <s v="Small Business"/>
    <s v="Direct"/>
    <s v="C. Otieno"/>
    <x v="5"/>
    <x v="404"/>
    <n v="1126.29"/>
    <n v="2050.87"/>
    <n v="6.4000000000000001E-2"/>
    <n v="7"/>
    <n v="13437.300239999999"/>
    <n v="7884.03"/>
    <n v="5553.2702399999989"/>
    <n v="0.41327276616690373"/>
    <s v="Q1-2023"/>
    <s v="Asia → China → Beijing"/>
    <s v="High"/>
  </r>
  <r>
    <s v="ORD-2024-390951"/>
    <d v="2024-12-20T00:00:00"/>
    <d v="2025-01-14T00:00:00"/>
    <d v="2024-12-20T00:00:00"/>
    <d v="2025-01-14T00:00:00"/>
    <n v="25"/>
    <x v="6"/>
    <s v="Asia"/>
    <x v="4"/>
    <s v="Delhi"/>
    <s v="Small Business"/>
    <s v="Retail"/>
    <s v="M. Rossi"/>
    <x v="1"/>
    <x v="405"/>
    <n v="1361.34"/>
    <n v="1737.9"/>
    <n v="7.6999999999999999E-2"/>
    <n v="14"/>
    <n v="22457.143800000002"/>
    <n v="19058.759999999998"/>
    <n v="3398.3838000000032"/>
    <n v="0.15132751654731813"/>
    <s v="Q4-2024"/>
    <s v="Asia → India → Delhi"/>
    <s v="Medium"/>
  </r>
  <r>
    <s v="ORD-2025-881624"/>
    <d v="2025-02-21T00:00:00"/>
    <d v="2025-03-21T00:00:00"/>
    <d v="2025-02-21T00:00:00"/>
    <d v="2025-03-21T00:00:00"/>
    <n v="28"/>
    <x v="32"/>
    <s v="Africa"/>
    <x v="1"/>
    <s v="Abuja"/>
    <s v="Enterprise"/>
    <s v="Marketplace"/>
    <s v="I. Johnson"/>
    <x v="3"/>
    <x v="406"/>
    <n v="1437.39"/>
    <n v="1388.31"/>
    <n v="0.13800000000000001"/>
    <n v="18"/>
    <n v="21541.017959999997"/>
    <n v="25873.02"/>
    <n v="-4332.002040000003"/>
    <n v="-0.20110479681341872"/>
    <s v="Q1-2025"/>
    <s v="Africa → Nigeria → Abuja"/>
    <s v="Medium"/>
  </r>
  <r>
    <s v="ORD-2025-512310"/>
    <d v="2025-03-08T00:00:00"/>
    <d v="2025-03-15T00:00:00"/>
    <d v="2025-03-08T00:00:00"/>
    <d v="2025-03-15T00:00:00"/>
    <n v="7"/>
    <x v="3"/>
    <s v="Asia"/>
    <x v="4"/>
    <s v="Bengaluru"/>
    <s v="Corporate"/>
    <s v="Distributor"/>
    <s v="K. Singh"/>
    <x v="4"/>
    <x v="407"/>
    <n v="475.66"/>
    <n v="529.14"/>
    <n v="0.19600000000000001"/>
    <n v="11"/>
    <n v="4679.7141600000004"/>
    <n v="5232.26"/>
    <n v="-552.54583999999977"/>
    <n v="-0.11807256193613323"/>
    <s v="Q1-2025"/>
    <s v="Asia → India → Bengaluru"/>
    <s v="Low"/>
  </r>
  <r>
    <s v="ORD-2025-856556"/>
    <d v="2025-06-15T00:00:00"/>
    <d v="2025-07-12T00:00:00"/>
    <d v="2025-06-15T00:00:00"/>
    <d v="2025-07-12T00:00:00"/>
    <n v="27"/>
    <x v="22"/>
    <s v="Europe"/>
    <x v="6"/>
    <s v="Marseille"/>
    <s v="Consumer"/>
    <s v="Direct"/>
    <s v="C. Otieno"/>
    <x v="6"/>
    <x v="408"/>
    <n v="318.83"/>
    <n v="699.5"/>
    <n v="0.08"/>
    <n v="13"/>
    <n v="8366.02"/>
    <n v="4144.79"/>
    <n v="4221.2300000000005"/>
    <n v="0.50456848059172699"/>
    <s v="Q2-2025"/>
    <s v="Europe → France → Marseille"/>
    <s v="Low"/>
  </r>
  <r>
    <s v="ORD-2024-542244"/>
    <d v="2024-08-30T00:00:00"/>
    <d v="2024-09-05T00:00:00"/>
    <d v="2024-08-30T00:00:00"/>
    <d v="2024-09-05T00:00:00"/>
    <n v="6"/>
    <x v="21"/>
    <s v="Asia"/>
    <x v="2"/>
    <s v="Nagoya"/>
    <s v="Education"/>
    <s v="Online"/>
    <s v="N. Brown"/>
    <x v="4"/>
    <x v="409"/>
    <n v="466.16"/>
    <n v="876.81"/>
    <n v="0.24099999999999999"/>
    <n v="8"/>
    <n v="5323.9903199999999"/>
    <n v="3729.28"/>
    <n v="1594.7103199999997"/>
    <n v="0.29953291124691594"/>
    <s v="Q3-2024"/>
    <s v="Asia → Japan → Nagoya"/>
    <s v="Low"/>
  </r>
  <r>
    <s v="ORD-2024-375848"/>
    <d v="2024-05-18T00:00:00"/>
    <d v="2024-05-21T00:00:00"/>
    <d v="2024-05-18T00:00:00"/>
    <d v="2024-05-21T00:00:00"/>
    <n v="3"/>
    <x v="7"/>
    <s v="Europe"/>
    <x v="6"/>
    <s v="Marseille"/>
    <s v="Non-Profit"/>
    <s v="Marketplace"/>
    <s v="D. Smith"/>
    <x v="1"/>
    <x v="410"/>
    <n v="663.66"/>
    <n v="824.26"/>
    <n v="0.23899999999999999"/>
    <n v="11"/>
    <n v="6899.8804600000003"/>
    <n v="7300.2599999999993"/>
    <n v="-400.379539999999"/>
    <n v="-5.8027025587048933E-2"/>
    <s v="Q2-2024"/>
    <s v="Europe → France → Marseille"/>
    <s v="Low"/>
  </r>
  <r>
    <s v="ORD-2023-933238"/>
    <d v="2023-03-17T00:00:00"/>
    <d v="2023-04-06T00:00:00"/>
    <d v="2023-03-17T00:00:00"/>
    <d v="2023-04-06T00:00:00"/>
    <n v="20"/>
    <x v="11"/>
    <s v="Europe"/>
    <x v="11"/>
    <s v="Munich"/>
    <s v="Consumer"/>
    <s v="Retail"/>
    <s v="O. Wang"/>
    <x v="3"/>
    <x v="411"/>
    <n v="692.18"/>
    <n v="1159.3499999999999"/>
    <n v="0.112"/>
    <n v="2"/>
    <n v="2059.0056"/>
    <n v="1384.36"/>
    <n v="674.64560000000006"/>
    <n v="0.32765602968734037"/>
    <s v="Q1-2023"/>
    <s v="Europe → Germany → Munich"/>
    <s v="Low"/>
  </r>
  <r>
    <s v="ORD-2023-732585"/>
    <d v="2023-08-25T00:00:00"/>
    <d v="2023-09-16T00:00:00"/>
    <d v="2023-08-25T00:00:00"/>
    <d v="2023-09-16T00:00:00"/>
    <n v="22"/>
    <x v="24"/>
    <s v="Africa"/>
    <x v="1"/>
    <s v="Abuja"/>
    <s v="Corporate"/>
    <s v="Marketplace"/>
    <s v="L. Okafor"/>
    <x v="3"/>
    <x v="412"/>
    <n v="1196.83"/>
    <n v="2513.5100000000002"/>
    <n v="8.3000000000000004E-2"/>
    <n v="7"/>
    <n v="16134.22069"/>
    <n v="8377.81"/>
    <n v="7756.4106900000006"/>
    <n v="0.48074281609445374"/>
    <s v="Q3-2023"/>
    <s v="Africa → Nigeria → Abuja"/>
    <s v="High"/>
  </r>
  <r>
    <s v="ORD-2024-465898"/>
    <d v="2024-06-06T00:00:00"/>
    <d v="2024-06-24T00:00:00"/>
    <d v="2024-06-06T00:00:00"/>
    <d v="2024-06-24T00:00:00"/>
    <n v="18"/>
    <x v="25"/>
    <s v="Asia"/>
    <x v="4"/>
    <s v="Bengaluru"/>
    <s v="Small Business"/>
    <s v="Direct"/>
    <s v="H. Kim"/>
    <x v="2"/>
    <x v="413"/>
    <n v="1253.25"/>
    <n v="3087.13"/>
    <n v="7.1999999999999995E-2"/>
    <n v="11"/>
    <n v="31513.423040000001"/>
    <n v="13785.75"/>
    <n v="17727.673040000001"/>
    <n v="0.562543555408064"/>
    <s v="Q2-2024"/>
    <s v="Asia → India → Bengaluru"/>
    <s v="High"/>
  </r>
  <r>
    <s v="ORD-2023-987081"/>
    <d v="2023-08-29T00:00:00"/>
    <d v="2023-09-13T00:00:00"/>
    <d v="2023-08-29T00:00:00"/>
    <d v="2023-09-13T00:00:00"/>
    <n v="15"/>
    <x v="24"/>
    <s v="Americas"/>
    <x v="3"/>
    <s v="Vancouver"/>
    <s v="Small Business"/>
    <s v="Marketplace"/>
    <s v="O. Wang"/>
    <x v="1"/>
    <x v="414"/>
    <n v="1287.6400000000001"/>
    <n v="2717.15"/>
    <n v="3.2000000000000001E-2"/>
    <n v="7"/>
    <n v="18411.4084"/>
    <n v="9013.4800000000014"/>
    <n v="9397.9283999999989"/>
    <n v="0.51044049405802105"/>
    <s v="Q3-2023"/>
    <s v="Americas → Canada → Vancouver"/>
    <s v="High"/>
  </r>
  <r>
    <s v="ORD-2025-411385"/>
    <d v="2025-06-05T00:00:00"/>
    <d v="2025-06-14T00:00:00"/>
    <d v="2025-06-05T00:00:00"/>
    <d v="2025-06-14T00:00:00"/>
    <n v="9"/>
    <x v="22"/>
    <s v="Asia"/>
    <x v="4"/>
    <s v="Delhi"/>
    <s v="Non-Profit"/>
    <s v="Retail"/>
    <s v="A. Patel"/>
    <x v="6"/>
    <x v="415"/>
    <n v="618.69000000000005"/>
    <n v="796.15"/>
    <n v="0.09"/>
    <n v="11"/>
    <n v="7969.4615000000003"/>
    <n v="6805.59"/>
    <n v="1163.8715000000002"/>
    <n v="0.14604142325049191"/>
    <s v="Q2-2025"/>
    <s v="Asia → India → Delhi"/>
    <s v="Low"/>
  </r>
  <r>
    <s v="ORD-2023-653343"/>
    <d v="2023-11-10T00:00:00"/>
    <d v="2023-11-28T00:00:00"/>
    <d v="2023-11-10T00:00:00"/>
    <d v="2023-11-28T00:00:00"/>
    <n v="18"/>
    <x v="29"/>
    <s v="Americas"/>
    <x v="5"/>
    <s v="Brasília"/>
    <s v="Education"/>
    <s v="Marketplace"/>
    <s v="L. Okafor"/>
    <x v="6"/>
    <x v="416"/>
    <n v="388.51"/>
    <n v="776.46"/>
    <n v="0.157"/>
    <n v="12"/>
    <n v="7854.6693599999999"/>
    <n v="4662.12"/>
    <n v="3192.54936"/>
    <n v="0.40645241876864946"/>
    <s v="Q4-2023"/>
    <s v="Americas → Brazil → Brasília"/>
    <s v="Low"/>
  </r>
  <r>
    <s v="ORD-2025-222035"/>
    <d v="2025-03-14T00:00:00"/>
    <d v="2025-04-08T00:00:00"/>
    <d v="2025-03-14T00:00:00"/>
    <d v="2025-04-08T00:00:00"/>
    <n v="25"/>
    <x v="3"/>
    <s v="Asia"/>
    <x v="8"/>
    <s v="Unknown City"/>
    <s v="Corporate"/>
    <s v="Distributor"/>
    <s v="D. Smith"/>
    <x v="1"/>
    <x v="417"/>
    <n v="80.59"/>
    <n v="157.82"/>
    <n v="0.217"/>
    <n v="6"/>
    <n v="741.43835999999999"/>
    <n v="483.54"/>
    <n v="257.89835999999997"/>
    <n v="0.34783519967863541"/>
    <s v="Q1-2025"/>
    <s v="Asia → China → Unknown City"/>
    <s v="Low"/>
  </r>
  <r>
    <s v="ORD-2024-749242"/>
    <d v="2024-01-16T00:00:00"/>
    <d v="2024-02-11T00:00:00"/>
    <d v="2024-01-16T00:00:00"/>
    <d v="2024-02-11T00:00:00"/>
    <n v="26"/>
    <x v="10"/>
    <s v="Europe"/>
    <x v="11"/>
    <s v="Frankfurt"/>
    <s v="Non-Profit"/>
    <s v="Distributor"/>
    <s v="E. Garcia"/>
    <x v="5"/>
    <x v="418"/>
    <n v="504.93"/>
    <n v="819.06"/>
    <n v="0.22600000000000001"/>
    <n v="15"/>
    <n v="9509.2865999999995"/>
    <n v="7573.95"/>
    <n v="1935.3365999999996"/>
    <n v="0.20352069312959814"/>
    <s v="Q1-2024"/>
    <s v="Europe → Germany → Frankfurt"/>
    <s v="Low"/>
  </r>
  <r>
    <s v="ORD-2023-623293"/>
    <d v="2023-10-12T00:00:00"/>
    <d v="2023-10-29T00:00:00"/>
    <d v="2023-10-12T00:00:00"/>
    <d v="2023-10-29T00:00:00"/>
    <n v="17"/>
    <x v="30"/>
    <s v="Asia"/>
    <x v="2"/>
    <s v="Nagoya"/>
    <s v="Non-Profit"/>
    <s v="Direct"/>
    <s v="H. Kim"/>
    <x v="3"/>
    <x v="419"/>
    <n v="1102.19"/>
    <n v="1711.16"/>
    <n v="0.151"/>
    <n v="10"/>
    <n v="14527.748400000002"/>
    <n v="11021.900000000001"/>
    <n v="3505.8484000000008"/>
    <n v="0.24132083675127525"/>
    <s v="Q4-2023"/>
    <s v="Asia → Japan → Nagoya"/>
    <s v="Medium"/>
  </r>
  <r>
    <s v="ORD-2025-276968"/>
    <d v="2025-02-25T00:00:00"/>
    <d v="2025-03-17T00:00:00"/>
    <d v="2025-02-25T00:00:00"/>
    <d v="2025-03-17T00:00:00"/>
    <n v="20"/>
    <x v="32"/>
    <s v="Americas"/>
    <x v="9"/>
    <s v="San Francisco"/>
    <s v="Non-Profit"/>
    <s v="Marketplace"/>
    <s v="H. Kim"/>
    <x v="3"/>
    <x v="420"/>
    <n v="1205.26"/>
    <n v="1696.35"/>
    <n v="1.9E-2"/>
    <n v="6"/>
    <n v="9984.7160999999978"/>
    <n v="7231.5599999999995"/>
    <n v="2753.1560999999983"/>
    <n v="0.27573704374028213"/>
    <s v="Q1-2025"/>
    <s v="Americas → USA → San Francisco"/>
    <s v="Medium"/>
  </r>
  <r>
    <s v="ORD-2025-650841"/>
    <d v="2025-07-03T00:00:00"/>
    <d v="2025-07-06T00:00:00"/>
    <d v="2025-07-03T00:00:00"/>
    <d v="2025-07-06T00:00:00"/>
    <n v="3"/>
    <x v="19"/>
    <s v="Africa"/>
    <x v="1"/>
    <s v="Lagos"/>
    <s v="Consumer"/>
    <s v="Online"/>
    <s v="Unknown Salesperson"/>
    <x v="4"/>
    <x v="421"/>
    <n v="1313.3"/>
    <n v="2884.34"/>
    <n v="0.157"/>
    <n v="42"/>
    <n v="102122.94203999999"/>
    <n v="55158.6"/>
    <n v="46964.342039999996"/>
    <n v="0.45988042551305253"/>
    <s v="Q3-2025"/>
    <s v="Africa → Nigeria → Lagos"/>
    <s v="High"/>
  </r>
  <r>
    <s v="ORD-2025-831576"/>
    <d v="2025-09-15T00:00:00"/>
    <d v="2025-09-25T00:00:00"/>
    <d v="2025-09-15T00:00:00"/>
    <d v="2025-09-25T00:00:00"/>
    <n v="10"/>
    <x v="13"/>
    <s v="Asia"/>
    <x v="4"/>
    <s v="Delhi"/>
    <s v="Consumer"/>
    <s v="Retail"/>
    <s v="A. Patel"/>
    <x v="3"/>
    <x v="422"/>
    <n v="1488.91"/>
    <n v="1483.74"/>
    <n v="0.16800000000000001"/>
    <n v="24"/>
    <n v="29627.320319999999"/>
    <n v="35733.840000000004"/>
    <n v="-6106.5196800000049"/>
    <n v="-0.20611110333450519"/>
    <s v="Q3-2025"/>
    <s v="Asia → India → Delhi"/>
    <s v="Medium"/>
  </r>
  <r>
    <s v="ORD-2024-468655"/>
    <d v="2024-02-19T00:00:00"/>
    <d v="2024-03-06T00:00:00"/>
    <d v="2024-02-19T00:00:00"/>
    <d v="2024-03-06T00:00:00"/>
    <n v="16"/>
    <x v="31"/>
    <s v="Asia"/>
    <x v="8"/>
    <s v="Beijing"/>
    <s v="Education"/>
    <s v="Marketplace"/>
    <s v="O. Wang"/>
    <x v="1"/>
    <x v="423"/>
    <n v="1477.84"/>
    <n v="3197.47"/>
    <n v="0.24299999999999999"/>
    <n v="24"/>
    <n v="58091.634960000003"/>
    <n v="35468.159999999996"/>
    <n v="22623.474960000007"/>
    <n v="0.38944462443823091"/>
    <s v="Q1-2024"/>
    <s v="Asia → China → Beijing"/>
    <s v="High"/>
  </r>
  <r>
    <s v="ORD-2024-515105"/>
    <d v="2024-02-27T00:00:00"/>
    <d v="2024-03-26T00:00:00"/>
    <d v="2024-02-27T00:00:00"/>
    <d v="2024-03-26T00:00:00"/>
    <n v="28"/>
    <x v="31"/>
    <s v="Asia"/>
    <x v="4"/>
    <s v="Mumbai"/>
    <s v="Education"/>
    <s v="Marketplace"/>
    <s v="G. Dubois"/>
    <x v="4"/>
    <x v="424"/>
    <n v="1035.19"/>
    <n v="2322.6999999999998"/>
    <n v="0.17299999999999999"/>
    <n v="8"/>
    <n v="15366.983199999999"/>
    <n v="8281.52"/>
    <n v="7085.4631999999983"/>
    <n v="0.46108355217047409"/>
    <s v="Q1-2024"/>
    <s v="Asia → India → Mumbai"/>
    <s v="High"/>
  </r>
  <r>
    <s v="ORD-2025-803803"/>
    <d v="2025-08-28T00:00:00"/>
    <d v="2025-09-05T00:00:00"/>
    <d v="2025-08-28T00:00:00"/>
    <d v="2025-09-05T00:00:00"/>
    <n v="8"/>
    <x v="27"/>
    <s v="Africa"/>
    <x v="1"/>
    <s v="Port Harcourt"/>
    <s v="Small Business"/>
    <s v="Marketplace"/>
    <s v="E. Garcia"/>
    <x v="4"/>
    <x v="425"/>
    <n v="1271.0999999999999"/>
    <n v="1932.42"/>
    <n v="0.25"/>
    <n v="21"/>
    <n v="30435.614999999998"/>
    <n v="26693.1"/>
    <n v="3742.5149999999994"/>
    <n v="0.12296498690760807"/>
    <s v="Q3-2025"/>
    <s v="Africa → Nigeria → Port Harcourt"/>
    <s v="High"/>
  </r>
  <r>
    <s v="ORD-2024-993481"/>
    <d v="2024-08-18T00:00:00"/>
    <d v="2024-09-12T00:00:00"/>
    <d v="2024-08-18T00:00:00"/>
    <d v="2024-09-12T00:00:00"/>
    <n v="25"/>
    <x v="21"/>
    <s v="Asia"/>
    <x v="4"/>
    <s v="Mumbai"/>
    <s v="Consumer"/>
    <s v="Marketplace"/>
    <s v="C. Otieno"/>
    <x v="3"/>
    <x v="426"/>
    <n v="1154.03"/>
    <n v="1590.36"/>
    <n v="0.1186"/>
    <n v="18"/>
    <n v="25231.379471999997"/>
    <n v="20772.54"/>
    <n v="4458.839471999996"/>
    <n v="0.17671802197529871"/>
    <s v="Q3-2024"/>
    <s v="Asia → India → Mumbai"/>
    <s v="Medium"/>
  </r>
  <r>
    <s v="ORD-2024-811752"/>
    <d v="2024-02-25T00:00:00"/>
    <d v="2024-03-09T00:00:00"/>
    <d v="2024-02-25T00:00:00"/>
    <d v="2024-03-09T00:00:00"/>
    <n v="13"/>
    <x v="31"/>
    <s v="Europe"/>
    <x v="6"/>
    <s v="Marseille"/>
    <s v="Small Business"/>
    <s v="Distributor"/>
    <s v="E. Garcia"/>
    <x v="5"/>
    <x v="427"/>
    <n v="322.44"/>
    <n v="395.61"/>
    <n v="0"/>
    <n v="34"/>
    <n v="13450.74"/>
    <n v="10962.96"/>
    <n v="2487.7800000000007"/>
    <n v="0.18495487980586947"/>
    <s v="Q1-2024"/>
    <s v="Europe → France → Marseille"/>
    <s v="Low"/>
  </r>
  <r>
    <s v="ORD-2025-673091"/>
    <d v="2025-05-07T00:00:00"/>
    <d v="2025-05-13T00:00:00"/>
    <d v="2025-05-07T00:00:00"/>
    <d v="2025-05-13T00:00:00"/>
    <n v="6"/>
    <x v="14"/>
    <s v="Asia"/>
    <x v="4"/>
    <s v="Bengaluru"/>
    <s v="Enterprise"/>
    <s v="Direct"/>
    <s v="J. Njeri"/>
    <x v="3"/>
    <x v="428"/>
    <n v="935.98"/>
    <n v="2077.69"/>
    <n v="0.17499999999999999"/>
    <n v="24"/>
    <n v="41138.261999999995"/>
    <n v="22463.52"/>
    <n v="18674.741999999995"/>
    <n v="0.45395067978321491"/>
    <s v="Q2-2025"/>
    <s v="Asia → India → Bengaluru"/>
    <s v="High"/>
  </r>
  <r>
    <s v="ORD-2024-381197"/>
    <d v="2024-11-01T00:00:00"/>
    <d v="2024-11-12T00:00:00"/>
    <d v="2024-11-01T00:00:00"/>
    <d v="2024-11-12T00:00:00"/>
    <n v="11"/>
    <x v="17"/>
    <s v="Europe"/>
    <x v="11"/>
    <s v="Frankfurt"/>
    <s v="Consumer"/>
    <s v="Online"/>
    <s v="B. Chen"/>
    <x v="1"/>
    <x v="429"/>
    <n v="599.84"/>
    <n v="1330.85"/>
    <n v="0.115"/>
    <n v="11"/>
    <n v="12955.824749999998"/>
    <n v="6598.2400000000007"/>
    <n v="6357.5847499999973"/>
    <n v="0.49071246892252063"/>
    <s v="Q4-2024"/>
    <s v="Europe → Germany → Frankfurt"/>
    <s v="Medium"/>
  </r>
  <r>
    <s v="ORD-2024-651852"/>
    <d v="2024-12-28T00:00:00"/>
    <d v="2025-01-08T00:00:00"/>
    <d v="2024-12-28T00:00:00"/>
    <d v="2025-01-08T00:00:00"/>
    <n v="11"/>
    <x v="6"/>
    <s v="Asia"/>
    <x v="8"/>
    <s v="Shenzhen"/>
    <s v="Enterprise"/>
    <s v="Online"/>
    <s v="K. Singh"/>
    <x v="4"/>
    <x v="430"/>
    <n v="1201.31"/>
    <n v="2764.65"/>
    <n v="0"/>
    <n v="21"/>
    <n v="58057.65"/>
    <n v="25227.51"/>
    <n v="32830.14"/>
    <n v="0.56547483406579491"/>
    <s v="Q4-2024"/>
    <s v="Asia → China → Shenzhen"/>
    <s v="High"/>
  </r>
  <r>
    <s v="ORD-2023-659070"/>
    <d v="2023-10-21T00:00:00"/>
    <d v="2023-10-21T00:00:00"/>
    <d v="2023-10-21T00:00:00"/>
    <d v="2023-10-21T00:00:00"/>
    <n v="0"/>
    <x v="30"/>
    <s v="Europe"/>
    <x v="7"/>
    <s v="Manchester"/>
    <s v="Enterprise"/>
    <s v="Distributor"/>
    <s v="J. Njeri"/>
    <x v="5"/>
    <x v="431"/>
    <n v="384.19"/>
    <n v="278.35000000000002"/>
    <n v="5.6000000000000001E-2"/>
    <n v="10"/>
    <n v="2627.6239999999998"/>
    <n v="3841.9"/>
    <n v="-1214.2760000000003"/>
    <n v="-0.46211938998882657"/>
    <s v="Q4-2023"/>
    <s v="Europe → United Kingdom → Manchester"/>
    <s v="Low"/>
  </r>
  <r>
    <s v="ORD-2024-837651"/>
    <d v="2024-12-10T00:00:00"/>
    <d v="2024-12-19T00:00:00"/>
    <d v="2024-12-10T00:00:00"/>
    <d v="2024-12-19T00:00:00"/>
    <n v="9"/>
    <x v="6"/>
    <s v="Africa"/>
    <x v="1"/>
    <s v="Lagos"/>
    <s v="Corporate"/>
    <s v="Retail"/>
    <s v="O. Wang"/>
    <x v="5"/>
    <x v="432"/>
    <n v="488.68"/>
    <n v="984.36"/>
    <n v="5.8999999999999997E-2"/>
    <n v="14"/>
    <n v="12967.958640000001"/>
    <n v="6841.52"/>
    <n v="6126.4386400000003"/>
    <n v="0.47242891576649876"/>
    <s v="Q4-2024"/>
    <s v="Africa → Nigeria → Lagos"/>
    <s v="Low"/>
  </r>
  <r>
    <s v="ORD-2024-581530"/>
    <d v="2024-09-07T00:00:00"/>
    <d v="2024-09-18T00:00:00"/>
    <d v="2024-09-07T00:00:00"/>
    <d v="2024-09-18T00:00:00"/>
    <n v="11"/>
    <x v="28"/>
    <s v="Asia"/>
    <x v="8"/>
    <s v="Beijing"/>
    <s v="Consumer"/>
    <s v="Distributor"/>
    <s v="O. Wang"/>
    <x v="2"/>
    <x v="433"/>
    <n v="181.74"/>
    <n v="190.84"/>
    <n v="0.214"/>
    <n v="13"/>
    <n v="1950.0031200000001"/>
    <n v="2362.62"/>
    <n v="-412.61687999999981"/>
    <n v="-0.21159806144310159"/>
    <s v="Q3-2024"/>
    <s v="Asia → China → Beijing"/>
    <s v="Low"/>
  </r>
  <r>
    <s v="ORD-2023-378104"/>
    <d v="2023-10-18T00:00:00"/>
    <d v="2023-10-20T00:00:00"/>
    <d v="2023-10-18T00:00:00"/>
    <d v="2023-10-20T00:00:00"/>
    <n v="2"/>
    <x v="30"/>
    <s v="Africa"/>
    <x v="0"/>
    <s v="Kisumu"/>
    <s v="Consumer"/>
    <s v="Retail"/>
    <s v="J. Njeri"/>
    <x v="3"/>
    <x v="434"/>
    <n v="774.12"/>
    <n v="908.3"/>
    <n v="0"/>
    <n v="30"/>
    <n v="27249"/>
    <n v="23223.599999999999"/>
    <n v="4025.4000000000015"/>
    <n v="0.14772652207420461"/>
    <s v="Q4-2023"/>
    <s v="Africa → Kenya → Kisumu"/>
    <s v="Low"/>
  </r>
  <r>
    <s v="ORD-2024-972318"/>
    <d v="2024-12-24T00:00:00"/>
    <d v="2025-01-13T00:00:00"/>
    <d v="2024-12-24T00:00:00"/>
    <d v="2025-01-13T00:00:00"/>
    <n v="20"/>
    <x v="6"/>
    <s v="Asia"/>
    <x v="4"/>
    <s v="Bengaluru"/>
    <s v="Corporate"/>
    <s v="Marketplace"/>
    <s v="D. Smith"/>
    <x v="2"/>
    <x v="435"/>
    <n v="126.15"/>
    <n v="284.23"/>
    <n v="0.113"/>
    <n v="22"/>
    <n v="5546.4642200000008"/>
    <n v="2775.3"/>
    <n v="2771.1642200000006"/>
    <n v="0.49962716968541088"/>
    <s v="Q4-2024"/>
    <s v="Asia → India → Bengaluru"/>
    <s v="Low"/>
  </r>
  <r>
    <s v="ORD-2023-752962"/>
    <d v="2023-04-21T00:00:00"/>
    <d v="2023-04-19T00:00:00"/>
    <d v="2023-04-19T00:00:00"/>
    <d v="2023-04-21T00:00:00"/>
    <n v="2"/>
    <x v="12"/>
    <s v="Asia"/>
    <x v="2"/>
    <s v="Nagoya"/>
    <s v="Small Business"/>
    <s v="Direct"/>
    <s v="M. Rossi"/>
    <x v="0"/>
    <x v="436"/>
    <n v="607.04"/>
    <n v="1229.3399999999999"/>
    <n v="0.14699999999999999"/>
    <n v="7"/>
    <n v="7340.3891399999993"/>
    <n v="4249.28"/>
    <n v="3091.1091399999996"/>
    <n v="0.42110970972310058"/>
    <s v="Q2-2023"/>
    <s v="Asia → Japan → Nagoya"/>
    <s v="Medium"/>
  </r>
  <r>
    <s v="ORD-2025-898843"/>
    <d v="2025-02-02T00:00:00"/>
    <d v="2025-03-04T00:00:00"/>
    <d v="2025-02-02T00:00:00"/>
    <d v="2025-03-04T00:00:00"/>
    <n v="30"/>
    <x v="32"/>
    <s v="Asia"/>
    <x v="2"/>
    <s v="Osaka"/>
    <s v="Education"/>
    <s v="Distributor"/>
    <s v="L. Okafor"/>
    <x v="6"/>
    <x v="437"/>
    <n v="766.59"/>
    <n v="1912.8"/>
    <n v="0.19600000000000001"/>
    <n v="5"/>
    <n v="7689.4560000000001"/>
    <n v="3832.9500000000003"/>
    <n v="3856.5059999999999"/>
    <n v="0.50153170783472845"/>
    <s v="Q1-2025"/>
    <s v="Asia → Japan → Osaka"/>
    <s v="High"/>
  </r>
  <r>
    <s v="ORD-2023-156396"/>
    <d v="2023-02-21T00:00:00"/>
    <d v="2023-03-12T00:00:00"/>
    <d v="2023-02-21T00:00:00"/>
    <d v="2023-03-12T00:00:00"/>
    <n v="19"/>
    <x v="2"/>
    <s v="Africa"/>
    <x v="0"/>
    <s v="Nakuru"/>
    <s v="Corporate"/>
    <s v="Online"/>
    <s v="F. Müller"/>
    <x v="2"/>
    <x v="438"/>
    <n v="352.65"/>
    <n v="485.86"/>
    <n v="4.1000000000000002E-2"/>
    <n v="6"/>
    <n v="2795.6384399999997"/>
    <n v="2115.8999999999996"/>
    <n v="679.73844000000008"/>
    <n v="0.24314247159943908"/>
    <s v="Q1-2023"/>
    <s v="Africa → Kenya → Nakuru"/>
    <s v="Low"/>
  </r>
  <r>
    <s v="ORD-2023-184577"/>
    <d v="2023-05-17T00:00:00"/>
    <d v="2023-06-03T00:00:00"/>
    <d v="2023-05-17T00:00:00"/>
    <d v="2023-06-03T00:00:00"/>
    <n v="17"/>
    <x v="15"/>
    <s v="Asia"/>
    <x v="8"/>
    <s v="Beijing"/>
    <s v="Non-Profit"/>
    <s v="Distributor"/>
    <s v="M. Rossi"/>
    <x v="1"/>
    <x v="439"/>
    <n v="979.59"/>
    <n v="2210.94"/>
    <n v="0.15"/>
    <n v="11"/>
    <n v="20672.289000000001"/>
    <n v="10775.49"/>
    <n v="9896.7990000000009"/>
    <n v="0.47874712858358359"/>
    <s v="Q2-2023"/>
    <s v="Asia → China → Beijing"/>
    <s v="High"/>
  </r>
  <r>
    <s v="ORD-2024-446030"/>
    <d v="2024-03-23T00:00:00"/>
    <d v="2024-03-26T00:00:00"/>
    <d v="2024-03-23T00:00:00"/>
    <d v="2024-03-26T00:00:00"/>
    <n v="3"/>
    <x v="0"/>
    <s v="Asia"/>
    <x v="4"/>
    <s v="Bengaluru"/>
    <s v="Education"/>
    <s v="Direct"/>
    <s v="G. Dubois"/>
    <x v="3"/>
    <x v="440"/>
    <n v="382.21"/>
    <n v="571.89"/>
    <n v="0.14799999999999999"/>
    <n v="26"/>
    <n v="12668.50728"/>
    <n v="9937.4599999999991"/>
    <n v="2731.0472800000007"/>
    <n v="0.2155776698578809"/>
    <s v="Q1-2024"/>
    <s v="Asia → India → Bengaluru"/>
    <s v="Low"/>
  </r>
  <r>
    <s v="ORD-2025-840976"/>
    <d v="2025-09-01T00:00:00"/>
    <d v="2025-09-30T00:00:00"/>
    <d v="2025-09-01T00:00:00"/>
    <d v="2025-09-30T00:00:00"/>
    <n v="29"/>
    <x v="13"/>
    <s v="Americas"/>
    <x v="5"/>
    <s v="Brasília"/>
    <s v="Education"/>
    <s v="Retail"/>
    <s v="K. Singh"/>
    <x v="6"/>
    <x v="441"/>
    <n v="780.59"/>
    <n v="631.57000000000005"/>
    <n v="0"/>
    <n v="12"/>
    <n v="7578.84"/>
    <n v="9367.08"/>
    <n v="-1788.2399999999998"/>
    <n v="-0.23595167598207639"/>
    <s v="Q3-2025"/>
    <s v="Americas → Brazil → Brasília"/>
    <s v="Low"/>
  </r>
  <r>
    <s v="ORD-2024-745424"/>
    <d v="2024-08-22T00:00:00"/>
    <d v="2024-09-04T00:00:00"/>
    <d v="2024-08-22T00:00:00"/>
    <d v="2024-09-04T00:00:00"/>
    <n v="13"/>
    <x v="21"/>
    <s v="Europe"/>
    <x v="11"/>
    <s v="Frankfurt"/>
    <s v="Non-Profit"/>
    <s v="Retail"/>
    <s v="L. Okafor"/>
    <x v="1"/>
    <x v="442"/>
    <n v="90.04"/>
    <n v="194.62"/>
    <n v="4.2999999999999997E-2"/>
    <n v="32"/>
    <n v="5960.04288"/>
    <n v="2881.28"/>
    <n v="3078.7628799999998"/>
    <n v="0.51656723650954672"/>
    <s v="Q3-2024"/>
    <s v="Europe → Germany → Frankfurt"/>
    <s v="Low"/>
  </r>
  <r>
    <s v="ORD-2024-510520"/>
    <d v="2024-09-25T00:00:00"/>
    <d v="2024-10-03T00:00:00"/>
    <d v="2024-09-25T00:00:00"/>
    <d v="2024-10-03T00:00:00"/>
    <n v="8"/>
    <x v="28"/>
    <s v="Americas"/>
    <x v="3"/>
    <s v="Toronto"/>
    <s v="Consumer"/>
    <s v="Online"/>
    <s v="E. Garcia"/>
    <x v="1"/>
    <x v="443"/>
    <n v="558.19000000000005"/>
    <n v="1031.6400000000001"/>
    <n v="0"/>
    <n v="21"/>
    <n v="21664.440000000002"/>
    <n v="11721.990000000002"/>
    <n v="9942.4500000000007"/>
    <n v="0.45892947152107322"/>
    <s v="Q3-2024"/>
    <s v="Americas → Canada → Toronto"/>
    <s v="Low"/>
  </r>
  <r>
    <s v="ORD-2023-769774"/>
    <d v="2023-06-13T00:00:00"/>
    <d v="2023-06-24T00:00:00"/>
    <d v="2023-06-13T00:00:00"/>
    <d v="2023-06-24T00:00:00"/>
    <n v="11"/>
    <x v="16"/>
    <s v="Americas"/>
    <x v="3"/>
    <s v="Toronto"/>
    <s v="Corporate"/>
    <s v="Online"/>
    <s v="C. Otieno"/>
    <x v="1"/>
    <x v="444"/>
    <n v="247.07"/>
    <n v="495.19"/>
    <n v="2.8000000000000001E-2"/>
    <n v="4"/>
    <n v="1925.29872"/>
    <n v="988.28"/>
    <n v="937.01872000000003"/>
    <n v="0.48668744764968214"/>
    <s v="Q2-2023"/>
    <s v="Americas → Canada → Toronto"/>
    <s v="Low"/>
  </r>
  <r>
    <s v="ORD-2023-580751"/>
    <d v="2023-12-24T00:00:00"/>
    <d v="2024-01-13T00:00:00"/>
    <d v="2023-12-24T00:00:00"/>
    <d v="2024-01-13T00:00:00"/>
    <n v="20"/>
    <x v="4"/>
    <s v="Asia"/>
    <x v="2"/>
    <s v="Nagoya"/>
    <s v="Education"/>
    <s v="Direct"/>
    <s v="B. Chen"/>
    <x v="4"/>
    <x v="445"/>
    <n v="625.37"/>
    <n v="1319.04"/>
    <n v="7.3999999999999996E-2"/>
    <n v="8"/>
    <n v="9771.4483199999995"/>
    <n v="5002.96"/>
    <n v="4768.4883199999995"/>
    <n v="0.48800220436513547"/>
    <s v="Q4-2023"/>
    <s v="Asia → Japan → Nagoya"/>
    <s v="Medium"/>
  </r>
  <r>
    <s v="ORD-2025-473192"/>
    <d v="2025-03-30T00:00:00"/>
    <d v="2025-04-29T00:00:00"/>
    <d v="2025-03-30T00:00:00"/>
    <d v="2025-04-29T00:00:00"/>
    <n v="30"/>
    <x v="3"/>
    <s v="Africa"/>
    <x v="10"/>
    <s v="Durban"/>
    <s v="Consumer"/>
    <s v="Marketplace"/>
    <s v="J. Njeri"/>
    <x v="5"/>
    <x v="446"/>
    <n v="194.6"/>
    <n v="314.87"/>
    <n v="0.29299999999999998"/>
    <n v="25"/>
    <n v="5565.3272500000003"/>
    <n v="4865"/>
    <n v="700.32725000000028"/>
    <n v="0.1258375686712763"/>
    <s v="Q1-2025"/>
    <s v="Africa → South Africa → Durban"/>
    <s v="Low"/>
  </r>
  <r>
    <s v="ORD-2024-886939"/>
    <d v="2024-06-03T00:00:00"/>
    <d v="2024-06-24T00:00:00"/>
    <d v="2024-06-03T00:00:00"/>
    <d v="2024-06-24T00:00:00"/>
    <n v="21"/>
    <x v="25"/>
    <s v="Americas"/>
    <x v="3"/>
    <s v="Toronto"/>
    <s v="Small Business"/>
    <s v="Direct"/>
    <s v="G. Dubois"/>
    <x v="5"/>
    <x v="447"/>
    <n v="1205.5"/>
    <n v="2210.17"/>
    <n v="0.104"/>
    <n v="23"/>
    <n v="45547.183360000003"/>
    <n v="27726.5"/>
    <n v="17820.683360000003"/>
    <n v="0.39125763758314652"/>
    <s v="Q2-2024"/>
    <s v="Americas → Canada → Toronto"/>
    <s v="High"/>
  </r>
  <r>
    <s v="ORD-2024-566589"/>
    <d v="2024-06-11T00:00:00"/>
    <d v="2024-07-09T00:00:00"/>
    <d v="2024-06-11T00:00:00"/>
    <d v="2024-07-09T00:00:00"/>
    <n v="28"/>
    <x v="25"/>
    <s v="Africa"/>
    <x v="1"/>
    <s v="Port Harcourt"/>
    <s v="Corporate"/>
    <s v="Marketplace"/>
    <s v="I. Johnson"/>
    <x v="3"/>
    <x v="448"/>
    <n v="895.54"/>
    <n v="1045"/>
    <n v="0.216"/>
    <n v="15"/>
    <n v="12289.2"/>
    <n v="13433.099999999999"/>
    <n v="-1143.8999999999978"/>
    <n v="-9.3081730299775234E-2"/>
    <s v="Q2-2024"/>
    <s v="Africa → Nigeria → Port Harcourt"/>
    <s v="Low"/>
  </r>
  <r>
    <s v="ORD-2023-109927"/>
    <d v="2023-07-22T00:00:00"/>
    <d v="2023-07-21T00:00:00"/>
    <d v="2023-07-21T00:00:00"/>
    <d v="2023-07-22T00:00:00"/>
    <n v="1"/>
    <x v="23"/>
    <s v="Asia"/>
    <x v="4"/>
    <s v="Delhi"/>
    <s v="Small Business"/>
    <s v="Distributor"/>
    <s v="E. Garcia"/>
    <x v="1"/>
    <x v="449"/>
    <n v="946.99"/>
    <n v="2132.19"/>
    <n v="0.16500000000000001"/>
    <n v="7"/>
    <n v="12462.65055"/>
    <n v="6628.93"/>
    <n v="5833.72055"/>
    <n v="0.46809629513362228"/>
    <s v="Q3-2023"/>
    <s v="Asia → India → Delhi"/>
    <s v="High"/>
  </r>
  <r>
    <s v="ORD-2023-888140"/>
    <d v="2023-10-11T00:00:00"/>
    <d v="2023-10-13T00:00:00"/>
    <d v="2023-10-11T00:00:00"/>
    <d v="2023-10-13T00:00:00"/>
    <n v="2"/>
    <x v="30"/>
    <s v="Americas"/>
    <x v="5"/>
    <s v="Brasília"/>
    <s v="Consumer"/>
    <s v="Distributor"/>
    <s v="Unknown Salesperson"/>
    <x v="6"/>
    <x v="450"/>
    <n v="715.94"/>
    <n v="550.07000000000005"/>
    <n v="0.14000000000000001"/>
    <n v="16"/>
    <n v="7568.9632000000001"/>
    <n v="11455.04"/>
    <n v="-3886.0768000000007"/>
    <n v="-0.51342260456491595"/>
    <s v="Q4-2023"/>
    <s v="Americas → Brazil → Brasília"/>
    <s v="Low"/>
  </r>
  <r>
    <s v="ORD-2024-851993"/>
    <d v="2024-05-01T00:00:00"/>
    <d v="2024-05-16T00:00:00"/>
    <d v="2024-05-01T00:00:00"/>
    <d v="2024-05-16T00:00:00"/>
    <n v="15"/>
    <x v="7"/>
    <s v="Asia"/>
    <x v="4"/>
    <s v="Bengaluru"/>
    <s v="Small Business"/>
    <s v="Retail"/>
    <s v="L. Okafor"/>
    <x v="0"/>
    <x v="451"/>
    <n v="901.19"/>
    <n v="2125.44"/>
    <n v="7.0999999999999994E-2"/>
    <n v="12"/>
    <n v="23694.405119999999"/>
    <n v="10814.28"/>
    <n v="12880.125119999999"/>
    <n v="0.54359352154100415"/>
    <s v="Q2-2024"/>
    <s v="Asia → India → Bengaluru"/>
    <s v="High"/>
  </r>
  <r>
    <s v="ORD-2025-417942"/>
    <d v="2025-06-09T00:00:00"/>
    <d v="2025-06-24T00:00:00"/>
    <d v="2025-06-09T00:00:00"/>
    <d v="2025-06-24T00:00:00"/>
    <n v="15"/>
    <x v="22"/>
    <s v="Asia"/>
    <x v="2"/>
    <s v="Nagoya"/>
    <s v="Corporate"/>
    <s v="Direct"/>
    <s v="B. Chen"/>
    <x v="3"/>
    <x v="452"/>
    <n v="400.39"/>
    <n v="712.75"/>
    <n v="0.115"/>
    <n v="19"/>
    <n v="11984.891250000001"/>
    <n v="7607.41"/>
    <n v="4377.4812500000007"/>
    <n v="0.36524997671547504"/>
    <s v="Q2-2025"/>
    <s v="Asia → Japan → Nagoya"/>
    <s v="Low"/>
  </r>
  <r>
    <s v="ORD-2023-172095"/>
    <d v="2023-05-24T00:00:00"/>
    <d v="2023-06-21T00:00:00"/>
    <d v="2023-05-24T00:00:00"/>
    <d v="2023-06-21T00:00:00"/>
    <n v="28"/>
    <x v="15"/>
    <s v="Americas"/>
    <x v="9"/>
    <s v="Austin"/>
    <s v="Small Business"/>
    <s v="Marketplace"/>
    <s v="G. Dubois"/>
    <x v="5"/>
    <x v="453"/>
    <n v="813.97"/>
    <n v="1568.83"/>
    <n v="1.7000000000000001E-2"/>
    <n v="15"/>
    <n v="23132.398349999996"/>
    <n v="12209.550000000001"/>
    <n v="10922.848349999995"/>
    <n v="0.4721883215364911"/>
    <s v="Q2-2023"/>
    <s v="Americas → USA → Austin"/>
    <s v="Medium"/>
  </r>
  <r>
    <s v="ORD-2025-703623"/>
    <d v="2025-07-23T00:00:00"/>
    <d v="2025-08-19T00:00:00"/>
    <d v="2025-07-23T00:00:00"/>
    <d v="2025-08-19T00:00:00"/>
    <n v="27"/>
    <x v="19"/>
    <s v="Asia"/>
    <x v="2"/>
    <s v="Nagoya"/>
    <s v="Consumer"/>
    <s v="Marketplace"/>
    <s v="B. Chen"/>
    <x v="6"/>
    <x v="454"/>
    <n v="896.09"/>
    <n v="744.27"/>
    <n v="8.3000000000000004E-2"/>
    <n v="11"/>
    <n v="7507.4514899999995"/>
    <n v="9856.99"/>
    <n v="-2349.5385100000003"/>
    <n v="-0.31296086469950679"/>
    <s v="Q3-2025"/>
    <s v="Asia → Japan → Nagoya"/>
    <s v="Low"/>
  </r>
  <r>
    <s v="ORD-2025-650719"/>
    <d v="2025-02-12T00:00:00"/>
    <d v="2025-02-28T00:00:00"/>
    <d v="2025-02-12T00:00:00"/>
    <d v="2025-02-28T00:00:00"/>
    <n v="16"/>
    <x v="32"/>
    <s v="Americas"/>
    <x v="5"/>
    <s v="São Paulo"/>
    <s v="Non-Profit"/>
    <s v="Direct"/>
    <s v="B. Chen"/>
    <x v="5"/>
    <x v="455"/>
    <n v="414.95"/>
    <n v="1027.73"/>
    <n v="6.3E-2"/>
    <n v="8"/>
    <n v="7703.8640800000003"/>
    <n v="3319.6"/>
    <n v="4384.2640800000008"/>
    <n v="0.56909935513815568"/>
    <s v="Q1-2025"/>
    <s v="Americas → Brazil → São Paulo"/>
    <s v="Low"/>
  </r>
  <r>
    <s v="ORD-2023-880296"/>
    <d v="2023-05-02T00:00:00"/>
    <d v="2023-05-19T00:00:00"/>
    <d v="2023-05-02T00:00:00"/>
    <d v="2023-05-19T00:00:00"/>
    <n v="17"/>
    <x v="15"/>
    <s v="Asia"/>
    <x v="8"/>
    <s v="Shanghai"/>
    <s v="Non-Profit"/>
    <s v="Direct"/>
    <s v="J. Njeri"/>
    <x v="5"/>
    <x v="456"/>
    <n v="714.28"/>
    <n v="757.59"/>
    <n v="0.13600000000000001"/>
    <n v="12"/>
    <n v="7854.6931199999999"/>
    <n v="8571.36"/>
    <n v="-716.66688000000067"/>
    <n v="-9.1240595787910383E-2"/>
    <s v="Q2-2023"/>
    <s v="Asia → China → Shanghai"/>
    <s v="Low"/>
  </r>
  <r>
    <s v="ORD-2023-191563"/>
    <d v="2023-11-30T00:00:00"/>
    <d v="2023-12-10T00:00:00"/>
    <d v="2023-11-30T00:00:00"/>
    <d v="2023-12-10T00:00:00"/>
    <n v="10"/>
    <x v="29"/>
    <s v="Europe"/>
    <x v="11"/>
    <s v="Munich"/>
    <s v="Small Business"/>
    <s v="Direct"/>
    <s v="F. Müller"/>
    <x v="4"/>
    <x v="457"/>
    <n v="174.74"/>
    <n v="415.96"/>
    <n v="0.125"/>
    <n v="21"/>
    <n v="7643.2649999999994"/>
    <n v="3669.54"/>
    <n v="3973.7249999999995"/>
    <n v="0.51989889137691803"/>
    <s v="Q4-2023"/>
    <s v="Europe → Germany → Munich"/>
    <s v="Low"/>
  </r>
  <r>
    <s v="ORD-2024-202166"/>
    <d v="2024-05-05T00:00:00"/>
    <d v="2024-05-18T00:00:00"/>
    <d v="2024-05-05T00:00:00"/>
    <d v="2024-05-18T00:00:00"/>
    <n v="13"/>
    <x v="7"/>
    <s v="Europe"/>
    <x v="6"/>
    <s v="Marseille"/>
    <s v="Corporate"/>
    <s v="Marketplace"/>
    <s v="A. Patel"/>
    <x v="0"/>
    <x v="458"/>
    <n v="1264.04"/>
    <n v="1870.89"/>
    <n v="0"/>
    <n v="13"/>
    <n v="24321.57"/>
    <n v="16432.52"/>
    <n v="7889.0499999999993"/>
    <n v="0.32436433996653996"/>
    <s v="Q2-2024"/>
    <s v="Europe → France → Marseille"/>
    <s v="Medium"/>
  </r>
  <r>
    <s v="ORD-2023-539967"/>
    <d v="2023-07-09T00:00:00"/>
    <d v="2023-07-19T00:00:00"/>
    <d v="2023-07-09T00:00:00"/>
    <d v="2023-07-19T00:00:00"/>
    <n v="10"/>
    <x v="23"/>
    <s v="Asia"/>
    <x v="2"/>
    <s v="Tokyo"/>
    <s v="Enterprise"/>
    <s v="Distributor"/>
    <s v="N. Brown"/>
    <x v="0"/>
    <x v="459"/>
    <n v="141.26"/>
    <n v="206.88"/>
    <n v="0.107"/>
    <n v="9"/>
    <n v="1662.6945600000001"/>
    <n v="1271.3399999999999"/>
    <n v="391.35456000000022"/>
    <n v="0.23537369365062469"/>
    <s v="Q3-2023"/>
    <s v="Asia → Japan → Tokyo"/>
    <s v="Low"/>
  </r>
  <r>
    <s v="ORD-2023-375011"/>
    <d v="2023-08-23T00:00:00"/>
    <d v="2023-09-22T00:00:00"/>
    <d v="2023-08-23T00:00:00"/>
    <d v="2023-09-22T00:00:00"/>
    <n v="30"/>
    <x v="24"/>
    <s v="Europe"/>
    <x v="7"/>
    <s v="London"/>
    <s v="Consumer"/>
    <s v="Distributor"/>
    <s v="O. Wang"/>
    <x v="6"/>
    <x v="460"/>
    <n v="209.81"/>
    <n v="523"/>
    <n v="5.8999999999999997E-2"/>
    <n v="15"/>
    <n v="7382.1450000000004"/>
    <n v="3147.15"/>
    <n v="4234.9950000000008"/>
    <n v="0.57368082041195356"/>
    <s v="Q3-2023"/>
    <s v="Europe → United Kingdom → London"/>
    <s v="Low"/>
  </r>
  <r>
    <s v="ORD-2024-356812"/>
    <d v="2024-03-07T00:00:00"/>
    <d v="2024-04-03T00:00:00"/>
    <d v="2024-03-07T00:00:00"/>
    <d v="2024-04-03T00:00:00"/>
    <n v="27"/>
    <x v="0"/>
    <s v="Europe"/>
    <x v="11"/>
    <s v="Frankfurt"/>
    <s v="Corporate"/>
    <s v="Direct"/>
    <s v="M. Rossi"/>
    <x v="1"/>
    <x v="461"/>
    <n v="738.16"/>
    <n v="956.49"/>
    <n v="0.152"/>
    <n v="5"/>
    <n v="4055.5175999999997"/>
    <n v="3690.7999999999997"/>
    <n v="364.71759999999995"/>
    <n v="8.9931208780847108E-2"/>
    <s v="Q1-2024"/>
    <s v="Europe → Germany → Frankfurt"/>
    <s v="Low"/>
  </r>
  <r>
    <s v="ORD-2025-306251"/>
    <d v="2025-04-10T00:00:00"/>
    <d v="2025-04-19T00:00:00"/>
    <d v="2025-04-10T00:00:00"/>
    <d v="2025-04-19T00:00:00"/>
    <n v="9"/>
    <x v="18"/>
    <s v="Africa"/>
    <x v="10"/>
    <s v="Durban"/>
    <s v="Enterprise"/>
    <s v="Unknown Channel"/>
    <s v="G. Dubois"/>
    <x v="2"/>
    <x v="462"/>
    <n v="113.74"/>
    <n v="165.7"/>
    <n v="0.124"/>
    <n v="13"/>
    <n v="1886.9915999999998"/>
    <n v="1478.62"/>
    <n v="408.37159999999994"/>
    <n v="0.21641410592394794"/>
    <s v="Q2-2025"/>
    <s v="Africa → South Africa → Durban"/>
    <s v="Low"/>
  </r>
  <r>
    <s v="ORD-2025-496178"/>
    <d v="2025-07-27T00:00:00"/>
    <d v="2025-08-15T00:00:00"/>
    <d v="2025-07-27T00:00:00"/>
    <d v="2025-08-15T00:00:00"/>
    <n v="19"/>
    <x v="19"/>
    <s v="Asia"/>
    <x v="2"/>
    <s v="Tokyo"/>
    <s v="Small Business"/>
    <s v="Marketplace"/>
    <s v="J. Njeri"/>
    <x v="0"/>
    <x v="463"/>
    <n v="275.43"/>
    <n v="608.36"/>
    <n v="0.25700000000000001"/>
    <n v="4"/>
    <n v="1808.04592"/>
    <n v="1101.72"/>
    <n v="706.32592"/>
    <n v="0.39065706915231446"/>
    <s v="Q3-2025"/>
    <s v="Asia → Japan → Tokyo"/>
    <s v="Low"/>
  </r>
  <r>
    <s v="ORD-2024-508213"/>
    <d v="2024-11-22T00:00:00"/>
    <d v="2024-12-15T00:00:00"/>
    <d v="2024-11-22T00:00:00"/>
    <d v="2024-12-15T00:00:00"/>
    <n v="23"/>
    <x v="17"/>
    <s v="Africa"/>
    <x v="0"/>
    <s v="Mombasa"/>
    <s v="Non-Profit"/>
    <s v="Distributor"/>
    <s v="C. Otieno"/>
    <x v="0"/>
    <x v="464"/>
    <n v="1335.76"/>
    <n v="2665.91"/>
    <n v="0.21099999999999999"/>
    <n v="40"/>
    <n v="84136.119600000005"/>
    <n v="53430.400000000001"/>
    <n v="30705.719600000004"/>
    <n v="0.36495288522909253"/>
    <s v="Q4-2024"/>
    <s v="Africa → Kenya → Mombasa"/>
    <s v="High"/>
  </r>
  <r>
    <s v="ORD-2023-253245"/>
    <d v="2023-08-03T00:00:00"/>
    <d v="2023-08-14T00:00:00"/>
    <d v="2023-08-03T00:00:00"/>
    <d v="2023-08-14T00:00:00"/>
    <n v="11"/>
    <x v="24"/>
    <s v="Americas"/>
    <x v="5"/>
    <s v="Brasília"/>
    <s v="Corporate"/>
    <s v="Direct"/>
    <s v="J. Njeri"/>
    <x v="6"/>
    <x v="465"/>
    <n v="232.73"/>
    <n v="334.19"/>
    <n v="0.13400000000000001"/>
    <n v="25"/>
    <n v="7235.2134999999998"/>
    <n v="5818.25"/>
    <n v="1416.9634999999998"/>
    <n v="0.1958426658729559"/>
    <s v="Q3-2023"/>
    <s v="Americas → Brazil → Brasília"/>
    <s v="Low"/>
  </r>
  <r>
    <s v="ORD-2023-728177"/>
    <d v="2023-12-18T00:00:00"/>
    <d v="2024-01-14T00:00:00"/>
    <d v="2023-12-18T00:00:00"/>
    <d v="2024-01-14T00:00:00"/>
    <n v="27"/>
    <x v="4"/>
    <s v="Asia"/>
    <x v="4"/>
    <s v="Mumbai"/>
    <s v="Consumer"/>
    <s v="Distributor"/>
    <s v="D. Smith"/>
    <x v="2"/>
    <x v="466"/>
    <n v="1408.3"/>
    <n v="2193.13"/>
    <n v="7.0999999999999994E-2"/>
    <n v="7"/>
    <n v="14261.92439"/>
    <n v="9858.1"/>
    <n v="4403.8243899999998"/>
    <n v="0.30878191957656281"/>
    <s v="Q4-2023"/>
    <s v="Asia → India → Mumbai"/>
    <s v="High"/>
  </r>
  <r>
    <s v="ORD-2025-795385"/>
    <d v="2025-06-01T00:00:00"/>
    <d v="2025-06-05T00:00:00"/>
    <d v="2025-06-01T00:00:00"/>
    <d v="2025-06-05T00:00:00"/>
    <n v="4"/>
    <x v="22"/>
    <s v="Europe"/>
    <x v="11"/>
    <s v="Munich"/>
    <s v="Enterprise"/>
    <s v="Direct"/>
    <s v="M. Rossi"/>
    <x v="0"/>
    <x v="467"/>
    <n v="1171.42"/>
    <n v="2187.8000000000002"/>
    <n v="0.23"/>
    <n v="15"/>
    <n v="25269.09"/>
    <n v="17571.300000000003"/>
    <n v="7697.7899999999972"/>
    <n v="0.30463265594447592"/>
    <s v="Q2-2025"/>
    <s v="Europe → Germany → Munich"/>
    <s v="High"/>
  </r>
  <r>
    <s v="ORD-2025-947929"/>
    <d v="2025-03-23T00:00:00"/>
    <d v="2025-04-02T00:00:00"/>
    <d v="2025-03-23T00:00:00"/>
    <d v="2025-04-02T00:00:00"/>
    <n v="10"/>
    <x v="3"/>
    <s v="Europe"/>
    <x v="11"/>
    <s v="Berlin"/>
    <s v="Enterprise"/>
    <s v="Online"/>
    <s v="E. Garcia"/>
    <x v="1"/>
    <x v="468"/>
    <n v="663.61"/>
    <n v="1002.11"/>
    <n v="4.5999999999999999E-2"/>
    <n v="17"/>
    <n v="16252.219979999998"/>
    <n v="11281.37"/>
    <n v="4970.8499799999972"/>
    <n v="0.30585667595670812"/>
    <s v="Q1-2025"/>
    <s v="Europe → Germany → Berlin"/>
    <s v="Low"/>
  </r>
  <r>
    <s v="ORD-2023-931633"/>
    <d v="2023-05-14T00:00:00"/>
    <d v="2023-05-22T00:00:00"/>
    <d v="2023-05-14T00:00:00"/>
    <d v="2023-05-22T00:00:00"/>
    <n v="8"/>
    <x v="15"/>
    <s v="Africa"/>
    <x v="0"/>
    <s v="Mombasa"/>
    <s v="Small Business"/>
    <s v="Distributor"/>
    <s v="F. Müller"/>
    <x v="1"/>
    <x v="469"/>
    <n v="432.01"/>
    <n v="913.78"/>
    <n v="4.9000000000000002E-2"/>
    <n v="12"/>
    <n v="10428.057360000001"/>
    <n v="5184.12"/>
    <n v="5243.9373600000008"/>
    <n v="0.50286809699711899"/>
    <s v="Q2-2023"/>
    <s v="Africa → Kenya → Mombasa"/>
    <s v="Low"/>
  </r>
  <r>
    <s v="ORD-2023-243704"/>
    <d v="2023-08-29T00:00:00"/>
    <d v="2023-09-19T00:00:00"/>
    <d v="2023-08-29T00:00:00"/>
    <d v="2023-09-19T00:00:00"/>
    <n v="21"/>
    <x v="24"/>
    <s v="Europe"/>
    <x v="6"/>
    <s v="Lyon"/>
    <s v="Small Business"/>
    <s v="Direct"/>
    <s v="B. Chen"/>
    <x v="1"/>
    <x v="470"/>
    <n v="784.46"/>
    <n v="1843.51"/>
    <n v="0.13800000000000001"/>
    <n v="23"/>
    <n v="36549.429260000004"/>
    <n v="18042.580000000002"/>
    <n v="18506.849260000003"/>
    <n v="0.50635125184441798"/>
    <s v="Q3-2023"/>
    <s v="Europe → France → Lyon"/>
    <s v="Medium"/>
  </r>
  <r>
    <s v="ORD-2025-779659"/>
    <d v="2025-07-03T00:00:00"/>
    <d v="2025-07-23T00:00:00"/>
    <d v="2025-07-03T00:00:00"/>
    <d v="2025-07-23T00:00:00"/>
    <n v="20"/>
    <x v="19"/>
    <s v="Asia"/>
    <x v="8"/>
    <s v="Beijing"/>
    <s v="Small Business"/>
    <s v="Online"/>
    <s v="M. Rossi"/>
    <x v="0"/>
    <x v="471"/>
    <n v="647.36"/>
    <n v="1383.6"/>
    <n v="7.3999999999999996E-2"/>
    <n v="12"/>
    <n v="15374.563199999999"/>
    <n v="7768.32"/>
    <n v="7606.243199999999"/>
    <n v="0.49472906000997802"/>
    <s v="Q3-2025"/>
    <s v="Asia → China → Beijing"/>
    <s v="Medium"/>
  </r>
  <r>
    <s v="ORD-2024-647571"/>
    <d v="2024-02-06T00:00:00"/>
    <d v="2024-02-28T00:00:00"/>
    <d v="2024-02-06T00:00:00"/>
    <d v="2024-02-28T00:00:00"/>
    <n v="22"/>
    <x v="31"/>
    <s v="Africa"/>
    <x v="0"/>
    <s v="Kisumu"/>
    <s v="Non-Profit"/>
    <s v="Online"/>
    <s v="K. Singh"/>
    <x v="5"/>
    <x v="472"/>
    <n v="834.93"/>
    <n v="1588.53"/>
    <n v="0.126"/>
    <n v="6"/>
    <n v="8330.2513199999994"/>
    <n v="5009.58"/>
    <n v="3320.6713199999995"/>
    <n v="0.39862798761274343"/>
    <s v="Q1-2024"/>
    <s v="Africa → Kenya → Kisumu"/>
    <s v="Medium"/>
  </r>
  <r>
    <s v="ORD-2025-683043"/>
    <d v="2025-08-13T00:00:00"/>
    <d v="2025-09-03T00:00:00"/>
    <d v="2025-08-13T00:00:00"/>
    <d v="2025-09-03T00:00:00"/>
    <n v="21"/>
    <x v="27"/>
    <s v="Europe"/>
    <x v="6"/>
    <s v="Paris"/>
    <s v="Education"/>
    <s v="Retail"/>
    <s v="I. Johnson"/>
    <x v="3"/>
    <x v="473"/>
    <n v="603.47"/>
    <n v="1344.05"/>
    <n v="0.20499999999999999"/>
    <n v="18"/>
    <n v="19233.355499999998"/>
    <n v="10862.460000000001"/>
    <n v="8370.8954999999969"/>
    <n v="0.43522803392262976"/>
    <s v="Q3-2025"/>
    <s v="Europe → France → Paris"/>
    <s v="Medium"/>
  </r>
  <r>
    <s v="ORD-2025-487261"/>
    <d v="2025-03-06T00:00:00"/>
    <d v="2025-03-31T00:00:00"/>
    <d v="2025-03-06T00:00:00"/>
    <d v="2025-03-31T00:00:00"/>
    <n v="25"/>
    <x v="3"/>
    <s v="Americas"/>
    <x v="5"/>
    <s v="Brasília"/>
    <s v="Non-Profit"/>
    <s v="Online"/>
    <s v="J. Njeri"/>
    <x v="0"/>
    <x v="474"/>
    <n v="331.57"/>
    <n v="548.4"/>
    <n v="9.4E-2"/>
    <n v="10"/>
    <n v="4968.5039999999999"/>
    <n v="3315.7"/>
    <n v="1652.8040000000001"/>
    <n v="0.33265626836568918"/>
    <s v="Q1-2025"/>
    <s v="Americas → Brazil → Brasília"/>
    <s v="Low"/>
  </r>
  <r>
    <s v="ORD-2024-641220"/>
    <d v="2024-05-10T00:00:00"/>
    <d v="2024-05-16T00:00:00"/>
    <d v="2024-05-10T00:00:00"/>
    <d v="2024-05-16T00:00:00"/>
    <n v="6"/>
    <x v="7"/>
    <s v="Europe"/>
    <x v="7"/>
    <s v="Birmingham"/>
    <s v="Non-Profit"/>
    <s v="Direct"/>
    <s v="G. Dubois"/>
    <x v="4"/>
    <x v="475"/>
    <n v="210.76"/>
    <n v="221.58"/>
    <n v="8.8999999999999996E-2"/>
    <n v="5"/>
    <n v="1009.2969000000002"/>
    <n v="1053.8"/>
    <n v="-44.50309999999979"/>
    <n v="-4.4093170205912434E-2"/>
    <s v="Q2-2024"/>
    <s v="Europe → United Kingdom → Birmingham"/>
    <s v="Low"/>
  </r>
  <r>
    <s v="ORD-2023-799597"/>
    <d v="2023-03-14T00:00:00"/>
    <d v="2023-03-18T00:00:00"/>
    <d v="2023-03-14T00:00:00"/>
    <d v="2023-03-18T00:00:00"/>
    <n v="4"/>
    <x v="11"/>
    <s v="Europe"/>
    <x v="11"/>
    <s v="Frankfurt"/>
    <s v="Enterprise"/>
    <s v="Direct"/>
    <s v="A. Patel"/>
    <x v="0"/>
    <x v="476"/>
    <n v="472.33"/>
    <n v="360.34"/>
    <n v="0.16500000000000001"/>
    <n v="14"/>
    <n v="4212.3745999999992"/>
    <n v="6612.62"/>
    <n v="-2400.2454000000007"/>
    <n v="-0.56980815523861561"/>
    <s v="Q1-2023"/>
    <s v="Europe → Germany → Frankfurt"/>
    <s v="Low"/>
  </r>
  <r>
    <s v="ORD-2023-569862"/>
    <d v="2023-07-16T00:00:00"/>
    <d v="2023-08-13T00:00:00"/>
    <d v="2023-07-16T00:00:00"/>
    <d v="2023-08-13T00:00:00"/>
    <n v="28"/>
    <x v="23"/>
    <s v="Europe"/>
    <x v="7"/>
    <s v="Manchester"/>
    <s v="Non-Profit"/>
    <s v="Online"/>
    <s v="J. Njeri"/>
    <x v="4"/>
    <x v="477"/>
    <n v="1039.03"/>
    <n v="2545.81"/>
    <n v="0.216"/>
    <n v="21"/>
    <n v="41914.215840000004"/>
    <n v="21819.63"/>
    <n v="20094.585840000003"/>
    <n v="0.47942172929364774"/>
    <s v="Q3-2023"/>
    <s v="Europe → United Kingdom → Manchester"/>
    <s v="High"/>
  </r>
  <r>
    <s v="ORD-2023-944052"/>
    <d v="2023-08-30T00:00:00"/>
    <d v="2023-09-03T00:00:00"/>
    <d v="2023-08-30T00:00:00"/>
    <d v="2023-09-03T00:00:00"/>
    <n v="4"/>
    <x v="24"/>
    <s v="Asia"/>
    <x v="4"/>
    <s v="Delhi"/>
    <s v="Small Business"/>
    <s v="Marketplace"/>
    <s v="L. Okafor"/>
    <x v="6"/>
    <x v="478"/>
    <n v="1082.25"/>
    <n v="2433.34"/>
    <n v="0.27"/>
    <n v="4"/>
    <n v="7105.3528000000006"/>
    <n v="4329"/>
    <n v="2776.3528000000006"/>
    <n v="0.3907410199251472"/>
    <s v="Q3-2023"/>
    <s v="Asia → India → Delhi"/>
    <s v="High"/>
  </r>
  <r>
    <s v="ORD-2024-105586"/>
    <d v="2024-01-02T00:00:00"/>
    <d v="2024-01-15T00:00:00"/>
    <d v="2024-01-02T00:00:00"/>
    <d v="2024-01-15T00:00:00"/>
    <n v="13"/>
    <x v="10"/>
    <s v="Asia"/>
    <x v="2"/>
    <s v="Nagoya"/>
    <s v="Small Business"/>
    <s v="Marketplace"/>
    <s v="G. Dubois"/>
    <x v="2"/>
    <x v="479"/>
    <n v="1219.06"/>
    <n v="2738.69"/>
    <n v="7.5999999999999998E-2"/>
    <n v="16"/>
    <n v="40488.792960000006"/>
    <n v="19504.96"/>
    <n v="20983.832960000007"/>
    <n v="0.51826274447673737"/>
    <s v="Q1-2024"/>
    <s v="Asia → Japan → Nagoya"/>
    <s v="High"/>
  </r>
  <r>
    <s v="ORD-2024-207792"/>
    <d v="2024-09-03T00:00:00"/>
    <d v="2024-09-07T00:00:00"/>
    <d v="2024-09-03T00:00:00"/>
    <d v="2024-09-07T00:00:00"/>
    <n v="4"/>
    <x v="28"/>
    <s v="Asia"/>
    <x v="2"/>
    <s v="Tokyo"/>
    <s v="Small Business"/>
    <s v="Distributor"/>
    <s v="N. Brown"/>
    <x v="1"/>
    <x v="480"/>
    <n v="43.23"/>
    <n v="94.78"/>
    <n v="9.0999999999999998E-2"/>
    <n v="55"/>
    <n v="4738.5261"/>
    <n v="2377.6499999999996"/>
    <n v="2360.8761000000004"/>
    <n v="0.49823005090127082"/>
    <s v="Q3-2024"/>
    <s v="Asia → Japan → Tokyo"/>
    <s v="Low"/>
  </r>
  <r>
    <s v="ORD-2025-417336"/>
    <d v="2025-08-30T00:00:00"/>
    <d v="2025-09-03T00:00:00"/>
    <d v="2025-08-30T00:00:00"/>
    <d v="2025-09-03T00:00:00"/>
    <n v="4"/>
    <x v="27"/>
    <s v="Europe"/>
    <x v="6"/>
    <s v="Marseille"/>
    <s v="Small Business"/>
    <s v="Marketplace"/>
    <s v="J. Njeri"/>
    <x v="4"/>
    <x v="481"/>
    <n v="1286.56"/>
    <n v="2777.35"/>
    <n v="0.13200000000000001"/>
    <n v="15"/>
    <n v="36161.097000000002"/>
    <n v="19298.399999999998"/>
    <n v="16862.697000000004"/>
    <n v="0.46632150014696744"/>
    <s v="Q3-2025"/>
    <s v="Europe → France → Marseille"/>
    <s v="High"/>
  </r>
  <r>
    <s v="ORD-2025-252117"/>
    <d v="2025-04-28T00:00:00"/>
    <d v="2025-05-19T00:00:00"/>
    <d v="2025-04-28T00:00:00"/>
    <d v="2025-05-19T00:00:00"/>
    <n v="21"/>
    <x v="18"/>
    <s v="Europe"/>
    <x v="11"/>
    <s v="Berlin"/>
    <s v="Corporate"/>
    <s v="Distributor"/>
    <s v="B. Chen"/>
    <x v="3"/>
    <x v="482"/>
    <n v="350.76"/>
    <n v="492.18"/>
    <n v="5.2999999999999999E-2"/>
    <n v="11"/>
    <n v="5127.0390600000001"/>
    <n v="3858.3599999999997"/>
    <n v="1268.6790600000004"/>
    <n v="0.24744868239798437"/>
    <s v="Q2-2025"/>
    <s v="Europe → Germany → Berlin"/>
    <s v="Low"/>
  </r>
  <r>
    <s v="ORD-2025-680118"/>
    <d v="2025-03-10T00:00:00"/>
    <d v="2025-03-27T00:00:00"/>
    <d v="2025-03-10T00:00:00"/>
    <d v="2025-03-27T00:00:00"/>
    <n v="17"/>
    <x v="3"/>
    <s v="Americas"/>
    <x v="5"/>
    <s v="Rio de Janeiro"/>
    <s v="Enterprise"/>
    <s v="Direct"/>
    <s v="F. Müller"/>
    <x v="2"/>
    <x v="483"/>
    <n v="996.73"/>
    <n v="1217.43"/>
    <n v="7.0000000000000007E-2"/>
    <n v="9"/>
    <n v="10189.8891"/>
    <n v="8970.57"/>
    <n v="1219.3191000000006"/>
    <n v="0.11965970267527255"/>
    <s v="Q1-2025"/>
    <s v="Americas → Brazil → Rio de Janeiro"/>
    <s v="Medium"/>
  </r>
  <r>
    <s v="ORD-2024-382152"/>
    <d v="2024-12-08T00:00:00"/>
    <d v="2024-12-08T00:00:00"/>
    <d v="2024-12-08T00:00:00"/>
    <d v="2024-12-08T00:00:00"/>
    <n v="0"/>
    <x v="6"/>
    <s v="Europe"/>
    <x v="6"/>
    <s v="Lyon"/>
    <s v="Enterprise"/>
    <s v="Retail"/>
    <s v="H. Kim"/>
    <x v="0"/>
    <x v="484"/>
    <n v="257.44"/>
    <n v="290.33"/>
    <n v="9.1999999999999998E-2"/>
    <n v="23"/>
    <n v="6063.2517199999993"/>
    <n v="5921.12"/>
    <n v="142.1317199999994"/>
    <n v="2.3441500792581216E-2"/>
    <s v="Q4-2024"/>
    <s v="Europe → France → Lyon"/>
    <s v="Low"/>
  </r>
  <r>
    <s v="ORD-2023-597666"/>
    <d v="2023-10-25T00:00:00"/>
    <d v="2023-11-24T00:00:00"/>
    <d v="2023-10-25T00:00:00"/>
    <d v="2023-11-24T00:00:00"/>
    <n v="30"/>
    <x v="30"/>
    <s v="Europe"/>
    <x v="6"/>
    <s v="Paris"/>
    <s v="Enterprise"/>
    <s v="Distributor"/>
    <s v="C. Otieno"/>
    <x v="3"/>
    <x v="485"/>
    <n v="287.85000000000002"/>
    <n v="602.91999999999996"/>
    <n v="0.222"/>
    <n v="11"/>
    <n v="5159.7893599999998"/>
    <n v="3166.3500000000004"/>
    <n v="1993.4393599999994"/>
    <n v="0.38634122847216373"/>
    <s v="Q4-2023"/>
    <s v="Europe → France → Paris"/>
    <s v="Low"/>
  </r>
  <r>
    <s v="ORD-2024-371409"/>
    <d v="2024-11-17T00:00:00"/>
    <d v="2024-11-28T00:00:00"/>
    <d v="2024-11-17T00:00:00"/>
    <d v="2024-11-28T00:00:00"/>
    <n v="11"/>
    <x v="17"/>
    <s v="Americas"/>
    <x v="3"/>
    <s v="Unknown City"/>
    <s v="Consumer"/>
    <s v="Distributor"/>
    <s v="A. Patel"/>
    <x v="1"/>
    <x v="486"/>
    <n v="1008.16"/>
    <n v="2077.5"/>
    <n v="7.3999999999999996E-2"/>
    <n v="15"/>
    <n v="28856.475000000002"/>
    <n v="15122.4"/>
    <n v="13734.075000000003"/>
    <n v="0.47594430712691005"/>
    <s v="Q4-2024"/>
    <s v="Americas → Canada → Unknown City"/>
    <s v="High"/>
  </r>
  <r>
    <s v="ORD-2024-973420"/>
    <d v="2024-05-12T00:00:00"/>
    <d v="2024-05-24T00:00:00"/>
    <d v="2024-05-12T00:00:00"/>
    <d v="2024-05-24T00:00:00"/>
    <n v="12"/>
    <x v="7"/>
    <s v="Europe"/>
    <x v="7"/>
    <s v="Manchester"/>
    <s v="Education"/>
    <s v="Marketplace"/>
    <s v="K. Singh"/>
    <x v="1"/>
    <x v="487"/>
    <n v="111.02"/>
    <n v="172.88"/>
    <n v="0.19700000000000001"/>
    <n v="29"/>
    <n v="4025.8565599999993"/>
    <n v="3219.58"/>
    <n v="806.27655999999934"/>
    <n v="0.20027453735212053"/>
    <s v="Q2-2024"/>
    <s v="Europe → United Kingdom → Manchester"/>
    <s v="Low"/>
  </r>
  <r>
    <s v="ORD-2025-254721"/>
    <d v="2025-05-15T00:00:00"/>
    <d v="2025-06-05T00:00:00"/>
    <d v="2025-05-15T00:00:00"/>
    <d v="2025-06-05T00:00:00"/>
    <n v="21"/>
    <x v="14"/>
    <s v="Asia"/>
    <x v="2"/>
    <s v="Osaka"/>
    <s v="Enterprise"/>
    <s v="Direct"/>
    <s v="H. Kim"/>
    <x v="3"/>
    <x v="488"/>
    <n v="1466.5"/>
    <n v="2778.74"/>
    <n v="0.13500000000000001"/>
    <n v="4"/>
    <n v="9614.4403999999995"/>
    <n v="5866"/>
    <n v="3748.4403999999995"/>
    <n v="0.38987608680792279"/>
    <s v="Q2-2025"/>
    <s v="Asia → Japan → Osaka"/>
    <s v="High"/>
  </r>
  <r>
    <s v="ORD-2023-173313"/>
    <d v="2023-06-15T00:00:00"/>
    <d v="2023-07-12T00:00:00"/>
    <d v="2023-06-15T00:00:00"/>
    <d v="2023-07-12T00:00:00"/>
    <n v="27"/>
    <x v="16"/>
    <s v="Europe"/>
    <x v="7"/>
    <s v="Manchester"/>
    <s v="Consumer"/>
    <s v="Direct"/>
    <s v="I. Johnson"/>
    <x v="6"/>
    <x v="489"/>
    <n v="751.28"/>
    <n v="1111.8800000000001"/>
    <n v="0.13500000000000001"/>
    <n v="7"/>
    <n v="6732.4334000000008"/>
    <n v="5258.96"/>
    <n v="1473.4734000000008"/>
    <n v="0.21886193482433863"/>
    <s v="Q2-2023"/>
    <s v="Europe → United Kingdom → Manchester"/>
    <s v="Low"/>
  </r>
  <r>
    <s v="ORD-2024-792353"/>
    <d v="2024-08-19T00:00:00"/>
    <d v="2024-09-07T00:00:00"/>
    <d v="2024-08-19T00:00:00"/>
    <d v="2024-09-07T00:00:00"/>
    <n v="19"/>
    <x v="21"/>
    <s v="Europe"/>
    <x v="6"/>
    <s v="Lyon"/>
    <s v="Corporate"/>
    <s v="Direct"/>
    <s v="J. Njeri"/>
    <x v="0"/>
    <x v="490"/>
    <n v="297.58999999999997"/>
    <n v="666.41"/>
    <n v="0"/>
    <n v="10"/>
    <n v="6664.0999999999995"/>
    <n v="2975.8999999999996"/>
    <n v="3688.2"/>
    <n v="0.55344307558409989"/>
    <s v="Q3-2024"/>
    <s v="Europe → France → Lyon"/>
    <s v="Low"/>
  </r>
  <r>
    <s v="ORD-2025-678328"/>
    <d v="2025-06-24T00:00:00"/>
    <d v="2025-07-14T00:00:00"/>
    <d v="2025-06-24T00:00:00"/>
    <d v="2025-07-14T00:00:00"/>
    <n v="20"/>
    <x v="22"/>
    <s v="Europe"/>
    <x v="11"/>
    <s v="Berlin"/>
    <s v="Corporate"/>
    <s v="Direct"/>
    <s v="O. Wang"/>
    <x v="6"/>
    <x v="491"/>
    <n v="385.08"/>
    <n v="893.19"/>
    <n v="0.151"/>
    <n v="8"/>
    <n v="6066.54648"/>
    <n v="3080.64"/>
    <n v="2985.9064800000001"/>
    <n v="0.49219213762621666"/>
    <s v="Q2-2025"/>
    <s v="Europe → Germany → Berlin"/>
    <s v="Low"/>
  </r>
  <r>
    <s v="ORD-2025-752845"/>
    <d v="2025-03-30T00:00:00"/>
    <d v="2025-04-07T00:00:00"/>
    <d v="2025-03-30T00:00:00"/>
    <d v="2025-04-07T00:00:00"/>
    <n v="8"/>
    <x v="3"/>
    <s v="Americas"/>
    <x v="5"/>
    <s v="São Paulo"/>
    <s v="Non-Profit"/>
    <s v="Direct"/>
    <s v="L. Okafor"/>
    <x v="1"/>
    <x v="492"/>
    <n v="71.62"/>
    <n v="118.37"/>
    <n v="0.156"/>
    <n v="11"/>
    <n v="1098.9470800000001"/>
    <n v="787.82"/>
    <n v="311.12708000000009"/>
    <n v="0.28311379652603474"/>
    <s v="Q1-2025"/>
    <s v="Americas → Brazil → São Paulo"/>
    <s v="Low"/>
  </r>
  <r>
    <s v="ORD-2024-478165"/>
    <d v="2024-12-05T00:00:00"/>
    <d v="2024-12-28T00:00:00"/>
    <d v="2024-12-05T00:00:00"/>
    <d v="2024-12-28T00:00:00"/>
    <n v="23"/>
    <x v="6"/>
    <s v="Americas"/>
    <x v="3"/>
    <s v="Vancouver"/>
    <s v="Corporate"/>
    <s v="Direct"/>
    <s v="F. Müller"/>
    <x v="6"/>
    <x v="493"/>
    <n v="107.03"/>
    <n v="242.29"/>
    <n v="0.18"/>
    <n v="30"/>
    <n v="5960.3340000000007"/>
    <n v="3210.9"/>
    <n v="2749.4340000000007"/>
    <n v="0.46128857879440988"/>
    <s v="Q4-2024"/>
    <s v="Americas → Canada → Vancouver"/>
    <s v="Low"/>
  </r>
  <r>
    <s v="ORD-2024-433936"/>
    <d v="2024-08-04T00:00:00"/>
    <d v="2024-08-17T00:00:00"/>
    <d v="2024-08-04T00:00:00"/>
    <d v="2024-08-17T00:00:00"/>
    <n v="13"/>
    <x v="21"/>
    <s v="Americas"/>
    <x v="9"/>
    <s v="Austin"/>
    <s v="Consumer"/>
    <s v="Retail"/>
    <s v="D. Smith"/>
    <x v="5"/>
    <x v="494"/>
    <n v="352.79"/>
    <n v="754.22"/>
    <n v="0.113"/>
    <n v="7"/>
    <n v="4682.9519799999998"/>
    <n v="2469.5300000000002"/>
    <n v="2213.4219799999996"/>
    <n v="0.47265528014233443"/>
    <s v="Q3-2024"/>
    <s v="Americas → USA → Austin"/>
    <s v="Low"/>
  </r>
  <r>
    <s v="ORD-2025-765220"/>
    <d v="2025-04-06T00:00:00"/>
    <d v="2025-04-30T00:00:00"/>
    <d v="2025-04-06T00:00:00"/>
    <d v="2025-04-30T00:00:00"/>
    <n v="24"/>
    <x v="18"/>
    <s v="Americas"/>
    <x v="5"/>
    <s v="Brasília"/>
    <s v="Education"/>
    <s v="Online"/>
    <s v="K. Singh"/>
    <x v="5"/>
    <x v="495"/>
    <n v="855.78"/>
    <n v="977.38"/>
    <n v="0.14699999999999999"/>
    <n v="38"/>
    <n v="31680.795320000001"/>
    <n v="32519.64"/>
    <n v="-838.84467999999833"/>
    <n v="-2.6478018355506307E-2"/>
    <s v="Q2-2025"/>
    <s v="Americas → Brazil → Brasília"/>
    <s v="Low"/>
  </r>
  <r>
    <s v="ORD-2024-728474"/>
    <d v="2024-09-09T00:00:00"/>
    <d v="2024-09-13T00:00:00"/>
    <d v="2024-09-09T00:00:00"/>
    <d v="2024-09-13T00:00:00"/>
    <n v="4"/>
    <x v="28"/>
    <s v="Europe"/>
    <x v="7"/>
    <s v="London"/>
    <s v="Consumer"/>
    <s v="Marketplace"/>
    <s v="F. Müller"/>
    <x v="2"/>
    <x v="496"/>
    <n v="1133.08"/>
    <n v="976.17"/>
    <n v="4.2000000000000003E-2"/>
    <n v="27"/>
    <n v="25249.613219999999"/>
    <n v="30593.159999999996"/>
    <n v="-5343.5467799999969"/>
    <n v="-0.21162885678452373"/>
    <s v="Q3-2024"/>
    <s v="Europe → United Kingdom → London"/>
    <s v="Low"/>
  </r>
  <r>
    <s v="ORD-2025-640677"/>
    <d v="2025-04-09T00:00:00"/>
    <d v="2025-05-06T00:00:00"/>
    <d v="2025-04-09T00:00:00"/>
    <d v="2025-05-06T00:00:00"/>
    <n v="27"/>
    <x v="18"/>
    <s v="Americas"/>
    <x v="5"/>
    <s v="Brasília"/>
    <s v="Enterprise"/>
    <s v="Marketplace"/>
    <s v="F. Müller"/>
    <x v="4"/>
    <x v="497"/>
    <n v="264.19"/>
    <n v="620.92999999999995"/>
    <n v="0.14199999999999999"/>
    <n v="12"/>
    <n v="6393.0952799999995"/>
    <n v="3170.2799999999997"/>
    <n v="3222.8152799999998"/>
    <n v="0.50410875152794532"/>
    <s v="Q2-2025"/>
    <s v="Americas → Brazil → Brasília"/>
    <s v="Low"/>
  </r>
  <r>
    <s v="ORD-2025-246692"/>
    <d v="2025-04-17T00:00:00"/>
    <d v="2025-04-17T00:00:00"/>
    <d v="2025-04-17T00:00:00"/>
    <d v="2025-04-17T00:00:00"/>
    <n v="0"/>
    <x v="18"/>
    <s v="Americas"/>
    <x v="5"/>
    <s v="São Paulo"/>
    <s v="Corporate"/>
    <s v="Distributor"/>
    <s v="L. Okafor"/>
    <x v="3"/>
    <x v="498"/>
    <n v="719.41"/>
    <n v="1125.99"/>
    <n v="4.1000000000000002E-2"/>
    <n v="21"/>
    <n v="22676.312610000001"/>
    <n v="15107.609999999999"/>
    <n v="7568.7026100000021"/>
    <n v="0.33377131194876403"/>
    <s v="Q2-2025"/>
    <s v="Americas → Brazil → São Paulo"/>
    <s v="Low"/>
  </r>
  <r>
    <s v="ORD-2023-573656"/>
    <d v="2023-05-02T00:00:00"/>
    <d v="2023-05-16T00:00:00"/>
    <d v="2023-05-02T00:00:00"/>
    <d v="2023-05-16T00:00:00"/>
    <n v="14"/>
    <x v="15"/>
    <s v="Asia"/>
    <x v="4"/>
    <s v="Bengaluru"/>
    <s v="Non-Profit"/>
    <s v="Retail"/>
    <s v="L. Okafor"/>
    <x v="5"/>
    <x v="499"/>
    <n v="475.37"/>
    <n v="963.73"/>
    <n v="4.1000000000000002E-2"/>
    <n v="22"/>
    <n v="20332.775539999999"/>
    <n v="10458.14"/>
    <n v="9874.6355399999993"/>
    <n v="0.48565113604750881"/>
    <s v="Q2-2023"/>
    <s v="Asia → India → Bengaluru"/>
    <s v="Low"/>
  </r>
  <r>
    <s v="ORD-2024-567435"/>
    <d v="2024-04-26T00:00:00"/>
    <d v="2024-04-24T00:00:00"/>
    <d v="2024-04-24T00:00:00"/>
    <d v="2024-04-26T00:00:00"/>
    <n v="2"/>
    <x v="20"/>
    <s v="Europe"/>
    <x v="7"/>
    <s v="London"/>
    <s v="Non-Profit"/>
    <s v="Distributor"/>
    <s v="N. Brown"/>
    <x v="3"/>
    <x v="500"/>
    <n v="1232.77"/>
    <n v="891.73"/>
    <n v="0.16700000000000001"/>
    <n v="10"/>
    <n v="7428.1108999999988"/>
    <n v="12327.7"/>
    <n v="-4899.589100000002"/>
    <n v="-0.65960096260813805"/>
    <s v="Q2-2024"/>
    <s v="Europe → United Kingdom → London"/>
    <s v="Low"/>
  </r>
  <r>
    <s v="ORD-2023-744942"/>
    <d v="2023-02-23T00:00:00"/>
    <d v="2023-03-18T00:00:00"/>
    <d v="2023-02-23T00:00:00"/>
    <d v="2023-03-18T00:00:00"/>
    <n v="23"/>
    <x v="2"/>
    <s v="Asia"/>
    <x v="8"/>
    <s v="Beijing"/>
    <s v="Education"/>
    <s v="Distributor"/>
    <s v="K. Singh"/>
    <x v="1"/>
    <x v="501"/>
    <n v="770.11"/>
    <n v="1667.82"/>
    <n v="6.9000000000000006E-2"/>
    <n v="7"/>
    <n v="10869.182940000001"/>
    <n v="5390.77"/>
    <n v="5478.4129400000002"/>
    <n v="0.50403171703355287"/>
    <s v="Q1-2023"/>
    <s v="Asia → China → Beijing"/>
    <s v="Medium"/>
  </r>
  <r>
    <s v="ORD-2025-331237"/>
    <d v="2025-03-24T00:00:00"/>
    <d v="2025-03-25T00:00:00"/>
    <d v="2025-03-24T00:00:00"/>
    <d v="2025-03-25T00:00:00"/>
    <n v="1"/>
    <x v="3"/>
    <s v="Asia"/>
    <x v="8"/>
    <s v="Beijing"/>
    <s v="Non-Profit"/>
    <s v="Online"/>
    <s v="G. Dubois"/>
    <x v="2"/>
    <x v="502"/>
    <n v="1133.03"/>
    <n v="1921.51"/>
    <n v="0.10100000000000001"/>
    <n v="5"/>
    <n v="8637.1874499999994"/>
    <n v="5665.15"/>
    <n v="2972.0374499999998"/>
    <n v="0.3440978289755654"/>
    <s v="Q1-2025"/>
    <s v="Asia → China → Beijing"/>
    <s v="High"/>
  </r>
  <r>
    <s v="ORD-2025-907040"/>
    <d v="2025-04-17T00:00:00"/>
    <d v="2025-05-03T00:00:00"/>
    <d v="2025-04-17T00:00:00"/>
    <d v="2025-05-03T00:00:00"/>
    <n v="16"/>
    <x v="18"/>
    <s v="Americas"/>
    <x v="5"/>
    <s v="Rio de Janeiro"/>
    <s v="Consumer"/>
    <s v="Marketplace"/>
    <s v="J. Njeri"/>
    <x v="2"/>
    <x v="503"/>
    <n v="168.68"/>
    <n v="413.34"/>
    <n v="0.186"/>
    <n v="7"/>
    <n v="2355.2113199999999"/>
    <n v="1180.76"/>
    <n v="1174.4513199999999"/>
    <n v="0.49866069767361682"/>
    <s v="Q2-2025"/>
    <s v="Americas → Brazil → Rio de Janeiro"/>
    <s v="Low"/>
  </r>
  <r>
    <s v="ORD-2024-310809"/>
    <d v="2024-04-05T00:00:00"/>
    <d v="2024-04-09T00:00:00"/>
    <d v="2024-04-05T00:00:00"/>
    <d v="2024-04-09T00:00:00"/>
    <n v="4"/>
    <x v="20"/>
    <s v="Africa"/>
    <x v="1"/>
    <s v="Lagos"/>
    <s v="Non-Profit"/>
    <s v="Direct"/>
    <s v="K. Singh"/>
    <x v="0"/>
    <x v="504"/>
    <n v="395.07"/>
    <n v="970.27"/>
    <n v="0.123"/>
    <n v="38"/>
    <n v="32335.21802"/>
    <n v="15012.66"/>
    <n v="17322.55802"/>
    <n v="0.53571799049833657"/>
    <s v="Q2-2024"/>
    <s v="Africa → Nigeria → Lagos"/>
    <s v="Low"/>
  </r>
  <r>
    <s v="ORD-2025-474368"/>
    <d v="2025-04-27T00:00:00"/>
    <d v="2025-05-17T00:00:00"/>
    <d v="2025-04-27T00:00:00"/>
    <d v="2025-05-17T00:00:00"/>
    <n v="20"/>
    <x v="18"/>
    <s v="Americas"/>
    <x v="9"/>
    <s v="Austin"/>
    <s v="Corporate"/>
    <s v="Direct"/>
    <s v="N. Brown"/>
    <x v="3"/>
    <x v="505"/>
    <n v="932.26"/>
    <n v="1624.67"/>
    <n v="0.23499999999999999"/>
    <n v="28"/>
    <n v="34800.431400000001"/>
    <n v="26103.279999999999"/>
    <n v="8697.1514000000025"/>
    <n v="0.24991504559337163"/>
    <s v="Q2-2025"/>
    <s v="Americas → USA → Austin"/>
    <s v="Medium"/>
  </r>
  <r>
    <s v="ORD-2024-732543"/>
    <d v="2024-10-24T00:00:00"/>
    <d v="2024-10-28T00:00:00"/>
    <d v="2024-10-24T00:00:00"/>
    <d v="2024-10-28T00:00:00"/>
    <n v="4"/>
    <x v="1"/>
    <s v="Asia"/>
    <x v="8"/>
    <s v="Shanghai"/>
    <s v="Small Business"/>
    <s v="Distributor"/>
    <s v="I. Johnson"/>
    <x v="2"/>
    <x v="506"/>
    <n v="1331.77"/>
    <n v="2606.11"/>
    <n v="0.02"/>
    <n v="6"/>
    <n v="15323.926799999999"/>
    <n v="7990.62"/>
    <n v="7333.3067999999994"/>
    <n v="0.47855271665745619"/>
    <s v="Q4-2024"/>
    <s v="Asia → China → Shanghai"/>
    <s v="High"/>
  </r>
  <r>
    <s v="ORD-2023-867166"/>
    <d v="2023-04-13T00:00:00"/>
    <d v="2023-04-20T00:00:00"/>
    <d v="2023-04-13T00:00:00"/>
    <d v="2023-04-20T00:00:00"/>
    <n v="7"/>
    <x v="12"/>
    <s v="Europe"/>
    <x v="6"/>
    <s v="Lyon"/>
    <s v="Small Business"/>
    <s v="Online"/>
    <s v="A. Patel"/>
    <x v="4"/>
    <x v="507"/>
    <n v="227.02"/>
    <n v="434.72"/>
    <n v="9.8000000000000004E-2"/>
    <n v="10"/>
    <n v="3921.1744000000008"/>
    <n v="2270.2000000000003"/>
    <n v="1650.9744000000005"/>
    <n v="0.42104079838938052"/>
    <s v="Q2-2023"/>
    <s v="Europe → France → Lyon"/>
    <s v="Low"/>
  </r>
  <r>
    <s v="ORD-2024-776337"/>
    <d v="2024-11-12T00:00:00"/>
    <d v="2024-11-21T00:00:00"/>
    <d v="2024-11-12T00:00:00"/>
    <d v="2024-11-21T00:00:00"/>
    <n v="9"/>
    <x v="17"/>
    <s v="Asia"/>
    <x v="4"/>
    <s v="Mumbai"/>
    <s v="Corporate"/>
    <s v="Direct"/>
    <s v="H. Kim"/>
    <x v="4"/>
    <x v="508"/>
    <n v="903.41"/>
    <n v="1860.41"/>
    <n v="0.108"/>
    <n v="5"/>
    <n v="8297.4286000000011"/>
    <n v="4517.05"/>
    <n v="3780.3786000000009"/>
    <n v="0.455608451996803"/>
    <s v="Q4-2024"/>
    <s v="Asia → India → Mumbai"/>
    <s v="Medium"/>
  </r>
  <r>
    <s v="ORD-2023-913592"/>
    <d v="2023-05-10T00:00:00"/>
    <d v="2023-05-14T00:00:00"/>
    <d v="2023-05-10T00:00:00"/>
    <d v="2023-05-14T00:00:00"/>
    <n v="4"/>
    <x v="15"/>
    <s v="Asia"/>
    <x v="4"/>
    <s v="Delhi"/>
    <s v="Non-Profit"/>
    <s v="Distributor"/>
    <s v="C. Otieno"/>
    <x v="5"/>
    <x v="509"/>
    <n v="622.6"/>
    <n v="833.69"/>
    <n v="0.20899999999999999"/>
    <n v="14"/>
    <n v="9232.2830599999998"/>
    <n v="8716.4"/>
    <n v="515.88306000000011"/>
    <n v="5.5878167582959715E-2"/>
    <s v="Q2-2023"/>
    <s v="Asia → India → Delhi"/>
    <s v="Low"/>
  </r>
  <r>
    <s v="ORD-2024-961501"/>
    <d v="2024-03-02T00:00:00"/>
    <d v="2024-03-23T00:00:00"/>
    <d v="2024-03-02T00:00:00"/>
    <d v="2024-03-23T00:00:00"/>
    <n v="21"/>
    <x v="0"/>
    <s v="Americas"/>
    <x v="9"/>
    <s v="Chicago"/>
    <s v="Small Business"/>
    <s v="Online"/>
    <s v="F. Müller"/>
    <x v="0"/>
    <x v="510"/>
    <n v="225.01"/>
    <n v="333.48"/>
    <n v="0.11899999999999999"/>
    <n v="12"/>
    <n v="3525.5505600000001"/>
    <n v="2700.12"/>
    <n v="825.43056000000024"/>
    <n v="0.23412813004729685"/>
    <s v="Q1-2024"/>
    <s v="Americas → USA → Chicago"/>
    <s v="Low"/>
  </r>
  <r>
    <s v="ORD-2024-964950"/>
    <d v="2024-10-10T00:00:00"/>
    <d v="2024-10-11T00:00:00"/>
    <d v="2024-10-10T00:00:00"/>
    <d v="2024-10-11T00:00:00"/>
    <n v="1"/>
    <x v="1"/>
    <s v="Europe"/>
    <x v="7"/>
    <s v="Manchester"/>
    <s v="Non-Profit"/>
    <s v="Distributor"/>
    <s v="L. Okafor"/>
    <x v="0"/>
    <x v="511"/>
    <n v="1389.46"/>
    <n v="1784.7"/>
    <n v="0.14599999999999999"/>
    <n v="33"/>
    <n v="50296.415399999998"/>
    <n v="45852.18"/>
    <n v="4444.2353999999978"/>
    <n v="8.8360877503011831E-2"/>
    <s v="Q4-2024"/>
    <s v="Europe → United Kingdom → Manchester"/>
    <s v="Medium"/>
  </r>
  <r>
    <s v="ORD-2023-349264"/>
    <d v="2023-06-01T00:00:00"/>
    <d v="2023-06-08T00:00:00"/>
    <d v="2023-06-01T00:00:00"/>
    <d v="2023-06-08T00:00:00"/>
    <n v="7"/>
    <x v="16"/>
    <s v="Europe"/>
    <x v="11"/>
    <s v="Frankfurt"/>
    <s v="Consumer"/>
    <s v="Online"/>
    <s v="A. Patel"/>
    <x v="3"/>
    <x v="512"/>
    <n v="804.17"/>
    <n v="1072.29"/>
    <n v="3.2000000000000001E-2"/>
    <n v="5"/>
    <n v="5189.8836000000001"/>
    <n v="4020.85"/>
    <n v="1169.0336000000002"/>
    <n v="0.2252523736755869"/>
    <s v="Q2-2023"/>
    <s v="Europe → Germany → Frankfurt"/>
    <s v="Low"/>
  </r>
  <r>
    <s v="ORD-2025-137394"/>
    <d v="2025-01-04T00:00:00"/>
    <d v="2025-01-05T00:00:00"/>
    <d v="2025-01-04T00:00:00"/>
    <d v="2025-01-05T00:00:00"/>
    <n v="1"/>
    <x v="9"/>
    <s v="Asia"/>
    <x v="4"/>
    <s v="Delhi"/>
    <s v="Education"/>
    <s v="Retail"/>
    <s v="I. Johnson"/>
    <x v="0"/>
    <x v="513"/>
    <n v="1428.33"/>
    <n v="3028.05"/>
    <n v="0"/>
    <n v="11"/>
    <n v="33308.550000000003"/>
    <n v="15711.63"/>
    <n v="17596.920000000006"/>
    <n v="0.52830039134096207"/>
    <s v="Q1-2025"/>
    <s v="Asia → India → Delhi"/>
    <s v="High"/>
  </r>
  <r>
    <s v="ORD-2025-635337"/>
    <d v="2025-08-05T00:00:00"/>
    <d v="2025-08-28T00:00:00"/>
    <d v="2025-08-05T00:00:00"/>
    <d v="2025-08-28T00:00:00"/>
    <n v="23"/>
    <x v="27"/>
    <s v="Asia"/>
    <x v="4"/>
    <s v="Mumbai"/>
    <s v="Non-Profit"/>
    <s v="Distributor"/>
    <s v="N. Brown"/>
    <x v="4"/>
    <x v="514"/>
    <n v="638.54"/>
    <n v="987.24"/>
    <n v="0"/>
    <n v="11"/>
    <n v="10859.64"/>
    <n v="7023.94"/>
    <n v="3835.7"/>
    <n v="0.35320692030306716"/>
    <s v="Q3-2025"/>
    <s v="Asia → India → Mumbai"/>
    <s v="Low"/>
  </r>
  <r>
    <s v="ORD-2023-568013"/>
    <d v="2023-09-30T00:00:00"/>
    <d v="2023-10-30T00:00:00"/>
    <d v="2023-09-30T00:00:00"/>
    <d v="2023-10-30T00:00:00"/>
    <n v="30"/>
    <x v="26"/>
    <s v="Asia"/>
    <x v="2"/>
    <s v="Tokyo"/>
    <s v="Enterprise"/>
    <s v="Online"/>
    <s v="D. Smith"/>
    <x v="1"/>
    <x v="515"/>
    <n v="649.13"/>
    <n v="975.43"/>
    <n v="0.157"/>
    <n v="27"/>
    <n v="22201.762229999997"/>
    <n v="17526.509999999998"/>
    <n v="4675.2522299999982"/>
    <n v="0.21058023149543473"/>
    <s v="Q3-2023"/>
    <s v="Asia → Japan → Tokyo"/>
    <s v="Low"/>
  </r>
  <r>
    <s v="ORD-2023-181257"/>
    <d v="2023-11-15T00:00:00"/>
    <d v="2023-12-06T00:00:00"/>
    <d v="2023-11-15T00:00:00"/>
    <d v="2023-12-06T00:00:00"/>
    <n v="21"/>
    <x v="29"/>
    <s v="Europe"/>
    <x v="7"/>
    <s v="Manchester"/>
    <s v="Education"/>
    <s v="Direct"/>
    <s v="H. Kim"/>
    <x v="6"/>
    <x v="516"/>
    <n v="1184.99"/>
    <n v="1154.3399999999999"/>
    <n v="2.8000000000000001E-2"/>
    <n v="5"/>
    <n v="5610.0923999999995"/>
    <n v="5924.95"/>
    <n v="-314.85760000000028"/>
    <n v="-5.6123424990290764E-2"/>
    <s v="Q4-2023"/>
    <s v="Europe → United Kingdom → Manchester"/>
    <s v="Low"/>
  </r>
  <r>
    <s v="ORD-2024-402240"/>
    <d v="2024-05-01T00:00:00"/>
    <d v="2024-05-26T00:00:00"/>
    <d v="2024-05-01T00:00:00"/>
    <d v="2024-05-26T00:00:00"/>
    <n v="25"/>
    <x v="7"/>
    <s v="Europe"/>
    <x v="11"/>
    <s v="Berlin"/>
    <s v="Non-Profit"/>
    <s v="Retail"/>
    <s v="B. Chen"/>
    <x v="2"/>
    <x v="517"/>
    <n v="930.71"/>
    <n v="1625.42"/>
    <n v="0.13800000000000001"/>
    <n v="7"/>
    <n v="9807.7842799999999"/>
    <n v="6514.97"/>
    <n v="3292.8142799999996"/>
    <n v="0.33573477821231196"/>
    <s v="Q2-2024"/>
    <s v="Europe → Germany → Berlin"/>
    <s v="Medium"/>
  </r>
  <r>
    <s v="ORD-2023-125739"/>
    <d v="2023-05-01T00:00:00"/>
    <d v="2023-05-18T00:00:00"/>
    <d v="2023-05-01T00:00:00"/>
    <d v="2023-05-18T00:00:00"/>
    <n v="17"/>
    <x v="15"/>
    <s v="Africa"/>
    <x v="1"/>
    <s v="Port Harcourt"/>
    <s v="Corporate"/>
    <s v="Direct"/>
    <s v="F. Müller"/>
    <x v="0"/>
    <x v="518"/>
    <n v="327.97"/>
    <n v="299.94"/>
    <n v="4.9000000000000002E-2"/>
    <n v="3"/>
    <n v="855.72881999999993"/>
    <n v="983.91000000000008"/>
    <n v="-128.18118000000015"/>
    <n v="-0.14979182306843442"/>
    <s v="Q2-2023"/>
    <s v="Africa → Nigeria → Port Harcourt"/>
    <s v="Low"/>
  </r>
  <r>
    <s v="ORD-2024-892879"/>
    <d v="2024-07-09T00:00:00"/>
    <d v="2024-08-08T00:00:00"/>
    <d v="2024-07-09T00:00:00"/>
    <d v="2024-08-08T00:00:00"/>
    <n v="30"/>
    <x v="8"/>
    <s v="Europe"/>
    <x v="6"/>
    <s v="Marseille"/>
    <s v="Corporate"/>
    <s v="Direct"/>
    <s v="J. Njeri"/>
    <x v="0"/>
    <x v="519"/>
    <n v="1062.3800000000001"/>
    <n v="1503.96"/>
    <n v="0.18"/>
    <n v="6"/>
    <n v="7399.4832000000006"/>
    <n v="6374.2800000000007"/>
    <n v="1025.2031999999999"/>
    <n v="0.13855064905073369"/>
    <s v="Q3-2024"/>
    <s v="Europe → France → Marseille"/>
    <s v="Medium"/>
  </r>
  <r>
    <s v="ORD-2023-472050"/>
    <d v="2023-05-10T00:00:00"/>
    <d v="2023-05-27T00:00:00"/>
    <d v="2023-05-10T00:00:00"/>
    <d v="2023-05-27T00:00:00"/>
    <n v="17"/>
    <x v="15"/>
    <s v="Asia"/>
    <x v="4"/>
    <s v="Mumbai"/>
    <s v="Consumer"/>
    <s v="Retail"/>
    <s v="M. Rossi"/>
    <x v="4"/>
    <x v="520"/>
    <n v="1286.1600000000001"/>
    <n v="3101.11"/>
    <n v="0.1"/>
    <n v="23"/>
    <n v="64192.976999999999"/>
    <n v="29581.68"/>
    <n v="34611.296999999999"/>
    <n v="0.53917575749758417"/>
    <s v="Q2-2023"/>
    <s v="Asia → India → Mumbai"/>
    <s v="High"/>
  </r>
  <r>
    <s v="ORD-2023-302041"/>
    <d v="2023-10-04T00:00:00"/>
    <d v="2023-10-29T00:00:00"/>
    <d v="2023-10-04T00:00:00"/>
    <d v="2023-10-29T00:00:00"/>
    <n v="25"/>
    <x v="30"/>
    <s v="Americas"/>
    <x v="9"/>
    <s v="San Francisco"/>
    <s v="Small Business"/>
    <s v="Distributor"/>
    <s v="O. Wang"/>
    <x v="6"/>
    <x v="521"/>
    <n v="1239.8399999999999"/>
    <n v="1482.75"/>
    <n v="6.7000000000000004E-2"/>
    <n v="4"/>
    <n v="5533.6230000000005"/>
    <n v="4959.3599999999997"/>
    <n v="574.26300000000083"/>
    <n v="0.10377703721413634"/>
    <s v="Q4-2023"/>
    <s v="Americas → USA → San Francisco"/>
    <s v="Medium"/>
  </r>
  <r>
    <s v="ORD-2024-833375"/>
    <d v="2024-04-24T00:00:00"/>
    <d v="2024-05-10T00:00:00"/>
    <d v="2024-04-24T00:00:00"/>
    <d v="2024-05-10T00:00:00"/>
    <n v="16"/>
    <x v="20"/>
    <s v="Africa"/>
    <x v="0"/>
    <s v="Kisumu"/>
    <s v="Non-Profit"/>
    <s v="Online"/>
    <s v="N. Brown"/>
    <x v="5"/>
    <x v="522"/>
    <n v="513.30999999999995"/>
    <n v="1186.26"/>
    <n v="9.4E-2"/>
    <n v="15"/>
    <n v="16121.273400000002"/>
    <n v="7699.65"/>
    <n v="8421.6234000000022"/>
    <n v="0.52239194702820446"/>
    <s v="Q2-2024"/>
    <s v="Africa → Kenya → Kisumu"/>
    <s v="Low"/>
  </r>
  <r>
    <s v="ORD-2024-206311"/>
    <d v="2024-01-13T00:00:00"/>
    <d v="2024-01-15T00:00:00"/>
    <d v="2024-01-13T00:00:00"/>
    <d v="2024-01-15T00:00:00"/>
    <n v="2"/>
    <x v="10"/>
    <s v="Americas"/>
    <x v="9"/>
    <s v="San Francisco"/>
    <s v="Non-Profit"/>
    <s v="Direct"/>
    <s v="E. Garcia"/>
    <x v="0"/>
    <x v="523"/>
    <n v="1061.3699999999999"/>
    <n v="1938.33"/>
    <n v="0.17"/>
    <n v="4"/>
    <n v="6435.2555999999995"/>
    <n v="4245.4799999999996"/>
    <n v="2189.7755999999999"/>
    <n v="0.34027795259600879"/>
    <s v="Q1-2024"/>
    <s v="Americas → USA → San Francisco"/>
    <s v="High"/>
  </r>
  <r>
    <s v="ORD-2024-364080"/>
    <d v="2024-04-16T00:00:00"/>
    <d v="2024-04-27T00:00:00"/>
    <d v="2024-04-16T00:00:00"/>
    <d v="2024-04-27T00:00:00"/>
    <n v="11"/>
    <x v="20"/>
    <s v="Africa"/>
    <x v="0"/>
    <s v="Nakuru"/>
    <s v="Enterprise"/>
    <s v="Online"/>
    <s v="D. Smith"/>
    <x v="1"/>
    <x v="524"/>
    <n v="401.3"/>
    <n v="826.47"/>
    <n v="0.22500000000000001"/>
    <n v="13"/>
    <n v="8326.6852500000005"/>
    <n v="5216.9000000000005"/>
    <n v="3109.7852499999999"/>
    <n v="0.37347217489696755"/>
    <s v="Q2-2024"/>
    <s v="Africa → Kenya → Nakuru"/>
    <s v="Low"/>
  </r>
  <r>
    <s v="ORD-2025-460466"/>
    <d v="2025-02-07T00:00:00"/>
    <d v="2025-02-16T00:00:00"/>
    <d v="2025-02-07T00:00:00"/>
    <d v="2025-02-16T00:00:00"/>
    <n v="9"/>
    <x v="32"/>
    <s v="Africa"/>
    <x v="1"/>
    <s v="Lagos"/>
    <s v="Small Business"/>
    <s v="Distributor"/>
    <s v="C. Otieno"/>
    <x v="1"/>
    <x v="525"/>
    <n v="90.68"/>
    <n v="118.17"/>
    <n v="0.13500000000000001"/>
    <n v="21"/>
    <n v="2146.5580500000001"/>
    <n v="1904.2800000000002"/>
    <n v="242.27804999999989"/>
    <n v="0.11286815653552899"/>
    <s v="Q1-2025"/>
    <s v="Africa → Nigeria → Lagos"/>
    <s v="Low"/>
  </r>
  <r>
    <s v="ORD-2023-700699"/>
    <d v="2023-01-12T00:00:00"/>
    <d v="2023-01-26T00:00:00"/>
    <d v="2023-01-12T00:00:00"/>
    <d v="2023-01-26T00:00:00"/>
    <n v="14"/>
    <x v="5"/>
    <s v="Asia"/>
    <x v="8"/>
    <s v="Shenzhen"/>
    <s v="Non-Profit"/>
    <s v="Retail"/>
    <s v="M. Rossi"/>
    <x v="1"/>
    <x v="526"/>
    <n v="1083.0899999999999"/>
    <n v="1425.87"/>
    <n v="0"/>
    <n v="8"/>
    <n v="11406.96"/>
    <n v="8664.7199999999993"/>
    <n v="2742.24"/>
    <n v="0.24040059752992909"/>
    <s v="Q1-2023"/>
    <s v="Asia → China → Shenzhen"/>
    <s v="Medium"/>
  </r>
  <r>
    <s v="ORD-2024-713332"/>
    <d v="2024-06-05T00:00:00"/>
    <d v="2024-06-23T00:00:00"/>
    <d v="2024-06-05T00:00:00"/>
    <d v="2024-06-23T00:00:00"/>
    <n v="18"/>
    <x v="25"/>
    <s v="Africa"/>
    <x v="0"/>
    <s v="Nairobi"/>
    <s v="Consumer"/>
    <s v="Distributor"/>
    <s v="D. Smith"/>
    <x v="4"/>
    <x v="527"/>
    <n v="1208.74"/>
    <n v="1594.78"/>
    <n v="5.8999999999999997E-2"/>
    <n v="39"/>
    <n v="58526.83122"/>
    <n v="47140.86"/>
    <n v="11385.971219999999"/>
    <n v="0.1945427589817838"/>
    <s v="Q2-2024"/>
    <s v="Africa → Kenya → Nairobi"/>
    <s v="Medium"/>
  </r>
  <r>
    <s v="ORD-2023-640022"/>
    <d v="2023-08-24T00:00:00"/>
    <d v="2023-09-20T00:00:00"/>
    <d v="2023-08-24T00:00:00"/>
    <d v="2023-09-20T00:00:00"/>
    <n v="27"/>
    <x v="24"/>
    <s v="Africa"/>
    <x v="10"/>
    <s v="Durban"/>
    <s v="Small Business"/>
    <s v="Marketplace"/>
    <s v="M. Rossi"/>
    <x v="1"/>
    <x v="528"/>
    <n v="1399.64"/>
    <n v="3342.11"/>
    <n v="0"/>
    <n v="10"/>
    <n v="33421.1"/>
    <n v="13996.400000000001"/>
    <n v="19424.699999999997"/>
    <n v="0.58121067229983447"/>
    <s v="Q3-2023"/>
    <s v="Africa → South Africa → Durban"/>
    <s v="High"/>
  </r>
  <r>
    <s v="ORD-2024-532184"/>
    <d v="2024-01-25T00:00:00"/>
    <d v="2024-02-08T00:00:00"/>
    <d v="2024-01-25T00:00:00"/>
    <d v="2024-02-08T00:00:00"/>
    <n v="14"/>
    <x v="10"/>
    <s v="Asia"/>
    <x v="2"/>
    <s v="Osaka"/>
    <s v="Consumer"/>
    <s v="Marketplace"/>
    <s v="I. Johnson"/>
    <x v="2"/>
    <x v="529"/>
    <n v="937.16"/>
    <n v="1069.77"/>
    <n v="3.7999999999999999E-2"/>
    <n v="9"/>
    <n v="9262.0686600000008"/>
    <n v="8434.44"/>
    <n v="827.62866000000031"/>
    <n v="8.9356783066645962E-2"/>
    <s v="Q1-2024"/>
    <s v="Asia → Japan → Osaka"/>
    <s v="Low"/>
  </r>
  <r>
    <s v="ORD-2025-926547"/>
    <d v="2025-03-11T00:00:00"/>
    <d v="2025-03-26T00:00:00"/>
    <d v="2025-03-11T00:00:00"/>
    <d v="2025-03-26T00:00:00"/>
    <n v="15"/>
    <x v="3"/>
    <s v="Europe"/>
    <x v="11"/>
    <s v="Berlin"/>
    <s v="Small Business"/>
    <s v="Online"/>
    <s v="I. Johnson"/>
    <x v="3"/>
    <x v="530"/>
    <n v="116.97"/>
    <n v="140.82"/>
    <n v="0.122"/>
    <n v="5"/>
    <n v="618.19979999999987"/>
    <n v="584.85"/>
    <n v="33.349799999999846"/>
    <n v="5.3946636669891926E-2"/>
    <s v="Q1-2025"/>
    <s v="Europe → Germany → Berlin"/>
    <s v="Low"/>
  </r>
  <r>
    <s v="ORD-2025-778145"/>
    <d v="2025-04-22T00:00:00"/>
    <d v="2025-05-12T00:00:00"/>
    <d v="2025-04-22T00:00:00"/>
    <d v="2025-05-12T00:00:00"/>
    <n v="20"/>
    <x v="18"/>
    <s v="Europe"/>
    <x v="6"/>
    <s v="Lyon"/>
    <s v="Enterprise"/>
    <s v="Marketplace"/>
    <s v="K. Singh"/>
    <x v="5"/>
    <x v="531"/>
    <n v="59.51"/>
    <n v="67.040000000000006"/>
    <n v="0.114"/>
    <n v="9"/>
    <n v="534.57695999999999"/>
    <n v="535.59"/>
    <n v="-1.0130400000000463"/>
    <n v="-1.8950311663264469E-3"/>
    <s v="Q2-2025"/>
    <s v="Europe → France → Lyon"/>
    <s v="Low"/>
  </r>
  <r>
    <s v="ORD-2023-525643"/>
    <d v="2023-08-17T00:00:00"/>
    <d v="2023-09-03T00:00:00"/>
    <d v="2023-08-17T00:00:00"/>
    <d v="2023-09-03T00:00:00"/>
    <n v="17"/>
    <x v="24"/>
    <s v="Africa"/>
    <x v="10"/>
    <s v="Durban"/>
    <s v="Enterprise"/>
    <s v="Retail"/>
    <s v="A. Patel"/>
    <x v="3"/>
    <x v="532"/>
    <n v="676.37"/>
    <n v="1276.67"/>
    <n v="6.6000000000000003E-2"/>
    <n v="10"/>
    <n v="11924.0978"/>
    <n v="6763.7"/>
    <n v="5160.3977999999997"/>
    <n v="0.4327705027712872"/>
    <s v="Q3-2023"/>
    <s v="Africa → South Africa → Durban"/>
    <s v="Medium"/>
  </r>
  <r>
    <s v="ORD-2025-312803"/>
    <d v="2025-06-24T00:00:00"/>
    <d v="2025-07-14T00:00:00"/>
    <d v="2025-06-24T00:00:00"/>
    <d v="2025-07-14T00:00:00"/>
    <n v="20"/>
    <x v="22"/>
    <s v="Africa"/>
    <x v="10"/>
    <s v="Johannesburg"/>
    <s v="Enterprise"/>
    <s v="Marketplace"/>
    <s v="J. Njeri"/>
    <x v="4"/>
    <x v="533"/>
    <n v="1151.06"/>
    <n v="2821.36"/>
    <n v="0.248"/>
    <n v="20"/>
    <n v="42433.254400000005"/>
    <n v="23021.199999999997"/>
    <n v="19412.054400000008"/>
    <n v="0.45747267501594235"/>
    <s v="Q2-2025"/>
    <s v="Africa → South Africa → Johannesburg"/>
    <s v="High"/>
  </r>
  <r>
    <s v="ORD-2025-757957"/>
    <d v="2025-04-24T00:00:00"/>
    <d v="2025-05-06T00:00:00"/>
    <d v="2025-04-24T00:00:00"/>
    <d v="2025-05-06T00:00:00"/>
    <n v="12"/>
    <x v="18"/>
    <s v="Americas"/>
    <x v="5"/>
    <s v="Brasília"/>
    <s v="Consumer"/>
    <s v="Online"/>
    <s v="C. Otieno"/>
    <x v="3"/>
    <x v="534"/>
    <n v="394.13"/>
    <n v="932.29"/>
    <n v="0.109"/>
    <n v="7"/>
    <n v="5814.6927299999998"/>
    <n v="2758.91"/>
    <n v="3055.7827299999999"/>
    <n v="0.5255278089303268"/>
    <s v="Q2-2025"/>
    <s v="Americas → Brazil → Brasília"/>
    <s v="Low"/>
  </r>
  <r>
    <s v="ORD-2023-215819"/>
    <d v="2023-07-01T00:00:00"/>
    <d v="2023-07-11T00:00:00"/>
    <d v="2023-07-01T00:00:00"/>
    <d v="2023-07-11T00:00:00"/>
    <n v="10"/>
    <x v="23"/>
    <s v="Europe"/>
    <x v="6"/>
    <s v="Paris"/>
    <s v="Corporate"/>
    <s v="Direct"/>
    <s v="F. Müller"/>
    <x v="2"/>
    <x v="535"/>
    <n v="479.5"/>
    <n v="656.66"/>
    <n v="0.14899999999999999"/>
    <n v="14"/>
    <n v="7823.4472399999995"/>
    <n v="6713"/>
    <n v="1110.4472399999995"/>
    <n v="0.14193835606412289"/>
    <s v="Q3-2023"/>
    <s v="Europe → France → Paris"/>
    <s v="Low"/>
  </r>
  <r>
    <s v="ORD-2024-353078"/>
    <d v="2024-08-16T00:00:00"/>
    <d v="2024-08-26T00:00:00"/>
    <d v="2024-08-16T00:00:00"/>
    <d v="2024-08-26T00:00:00"/>
    <n v="10"/>
    <x v="21"/>
    <s v="Americas"/>
    <x v="9"/>
    <s v="Chicago"/>
    <s v="Corporate"/>
    <s v="Distributor"/>
    <s v="L. Okafor"/>
    <x v="4"/>
    <x v="387"/>
    <n v="1291.7"/>
    <n v="2657.84"/>
    <n v="8.6999999999999994E-2"/>
    <n v="21"/>
    <n v="50958.766320000002"/>
    <n v="27125.7"/>
    <n v="23833.066320000002"/>
    <n v="0.46769315745083367"/>
    <s v="Q3-2024"/>
    <s v="Americas → USA → Chicago"/>
    <s v="High"/>
  </r>
  <r>
    <s v="ORD-2024-289089"/>
    <d v="2024-12-17T00:00:00"/>
    <d v="2024-12-18T00:00:00"/>
    <d v="2024-12-17T00:00:00"/>
    <d v="2024-12-18T00:00:00"/>
    <n v="1"/>
    <x v="6"/>
    <s v="Europe"/>
    <x v="11"/>
    <s v="Munich"/>
    <s v="Education"/>
    <s v="Retail"/>
    <s v="L. Okafor"/>
    <x v="6"/>
    <x v="536"/>
    <n v="346.82"/>
    <n v="701.95"/>
    <n v="0.14699999999999999"/>
    <n v="8"/>
    <n v="4790.1068000000005"/>
    <n v="2774.56"/>
    <n v="2015.5468000000005"/>
    <n v="0.42077283120284509"/>
    <s v="Q4-2024"/>
    <s v="Europe → Germany → Munich"/>
    <s v="Low"/>
  </r>
  <r>
    <s v="ORD-2023-974506"/>
    <d v="2023-12-28T00:00:00"/>
    <d v="2024-01-01T00:00:00"/>
    <d v="2023-12-28T00:00:00"/>
    <d v="2024-01-01T00:00:00"/>
    <n v="4"/>
    <x v="4"/>
    <s v="Africa"/>
    <x v="10"/>
    <s v="Cape Town"/>
    <s v="Education"/>
    <s v="Distributor"/>
    <s v="A. Patel"/>
    <x v="1"/>
    <x v="537"/>
    <n v="1141.8"/>
    <n v="2318.7399999999998"/>
    <n v="0.107"/>
    <n v="32"/>
    <n v="66260.314239999992"/>
    <n v="36537.599999999999"/>
    <n v="29722.714239999994"/>
    <n v="0.44857490612468304"/>
    <s v="Q4-2023"/>
    <s v="Africa → South Africa → Cape Town"/>
    <s v="High"/>
  </r>
  <r>
    <s v="ORD-2023-811823"/>
    <d v="2023-01-26T00:00:00"/>
    <d v="2023-02-15T00:00:00"/>
    <d v="2023-01-26T00:00:00"/>
    <d v="2023-02-15T00:00:00"/>
    <n v="20"/>
    <x v="5"/>
    <s v="Europe"/>
    <x v="11"/>
    <s v="Berlin"/>
    <s v="Small Business"/>
    <s v="Online"/>
    <s v="O. Wang"/>
    <x v="2"/>
    <x v="538"/>
    <n v="492.62"/>
    <n v="366.7"/>
    <n v="8.8999999999999996E-2"/>
    <n v="10"/>
    <n v="3340.6370000000002"/>
    <n v="4926.2"/>
    <n v="-1585.5629999999996"/>
    <n v="-0.47462894052840809"/>
    <s v="Q1-2023"/>
    <s v="Europe → Germany → Berlin"/>
    <s v="Low"/>
  </r>
  <r>
    <s v="ORD-2023-286720"/>
    <d v="2023-07-08T00:00:00"/>
    <d v="2023-07-09T00:00:00"/>
    <d v="2023-07-08T00:00:00"/>
    <d v="2023-07-09T00:00:00"/>
    <n v="1"/>
    <x v="23"/>
    <s v="Africa"/>
    <x v="0"/>
    <s v="Nairobi"/>
    <s v="Consumer"/>
    <s v="Online"/>
    <s v="D. Smith"/>
    <x v="4"/>
    <x v="539"/>
    <n v="1258.72"/>
    <n v="2797.41"/>
    <n v="0"/>
    <n v="7"/>
    <n v="19581.87"/>
    <n v="8811.0400000000009"/>
    <n v="10770.829999999998"/>
    <n v="0.55004093071805704"/>
    <s v="Q3-2023"/>
    <s v="Africa → Kenya → Nairobi"/>
    <s v="High"/>
  </r>
  <r>
    <s v="ORD-2024-626925"/>
    <d v="2024-06-07T00:00:00"/>
    <d v="2024-06-09T00:00:00"/>
    <d v="2024-06-07T00:00:00"/>
    <d v="2024-06-09T00:00:00"/>
    <n v="2"/>
    <x v="25"/>
    <s v="Asia"/>
    <x v="8"/>
    <s v="Shanghai"/>
    <s v="Corporate"/>
    <s v="Retail"/>
    <s v="O. Wang"/>
    <x v="5"/>
    <x v="540"/>
    <n v="1370.28"/>
    <n v="2209.66"/>
    <n v="0.13300000000000001"/>
    <n v="16"/>
    <n v="30652.403519999996"/>
    <n v="21924.48"/>
    <n v="8727.9235199999966"/>
    <n v="0.28473863442079589"/>
    <s v="Q2-2024"/>
    <s v="Asia → China → Shanghai"/>
    <s v="High"/>
  </r>
  <r>
    <s v="ORD-2023-960380"/>
    <d v="2023-02-11T00:00:00"/>
    <d v="2023-02-12T00:00:00"/>
    <d v="2023-02-11T00:00:00"/>
    <d v="2023-02-12T00:00:00"/>
    <n v="1"/>
    <x v="2"/>
    <s v="Africa"/>
    <x v="1"/>
    <s v="Port Harcourt"/>
    <s v="Non-Profit"/>
    <s v="Direct"/>
    <s v="D. Smith"/>
    <x v="6"/>
    <x v="541"/>
    <n v="944.61"/>
    <n v="839.04"/>
    <n v="5.8999999999999997E-2"/>
    <n v="6"/>
    <n v="4737.2198399999997"/>
    <n v="5667.66"/>
    <n v="-930.44016000000011"/>
    <n v="-0.19641059343363726"/>
    <s v="Q1-2023"/>
    <s v="Africa → Nigeria → Port Harcourt"/>
    <s v="Low"/>
  </r>
  <r>
    <s v="ORD-2023-453699"/>
    <d v="2023-07-01T00:00:00"/>
    <d v="2023-07-08T00:00:00"/>
    <d v="2023-07-01T00:00:00"/>
    <d v="2023-07-08T00:00:00"/>
    <n v="7"/>
    <x v="23"/>
    <s v="Europe"/>
    <x v="11"/>
    <s v="Frankfurt"/>
    <s v="Small Business"/>
    <s v="Distributor"/>
    <s v="N. Brown"/>
    <x v="4"/>
    <x v="542"/>
    <n v="460.21"/>
    <n v="1139.1500000000001"/>
    <n v="0.115"/>
    <n v="14"/>
    <n v="14114.068500000001"/>
    <n v="6442.94"/>
    <n v="7671.1285000000016"/>
    <n v="0.54350937151821255"/>
    <s v="Q3-2023"/>
    <s v="Europe → Germany → Frankfurt"/>
    <s v="Low"/>
  </r>
  <r>
    <s v="ORD-2025-960931"/>
    <d v="2025-08-20T00:00:00"/>
    <d v="2025-08-26T00:00:00"/>
    <d v="2025-08-20T00:00:00"/>
    <d v="2025-08-26T00:00:00"/>
    <n v="6"/>
    <x v="27"/>
    <s v="Americas"/>
    <x v="9"/>
    <s v="New York"/>
    <s v="Corporate"/>
    <s v="Retail"/>
    <s v="M. Rossi"/>
    <x v="2"/>
    <x v="543"/>
    <n v="1304.95"/>
    <n v="1712.03"/>
    <n v="0.21199999999999999"/>
    <n v="8"/>
    <n v="10792.637119999999"/>
    <n v="10439.6"/>
    <n v="353.03711999999905"/>
    <n v="3.2710922833287949E-2"/>
    <s v="Q3-2025"/>
    <s v="Americas → USA → New York"/>
    <s v="Medium"/>
  </r>
  <r>
    <s v="ORD-2024-419248"/>
    <d v="2024-03-04T00:00:00"/>
    <d v="2024-03-16T00:00:00"/>
    <d v="2024-03-04T00:00:00"/>
    <d v="2024-03-16T00:00:00"/>
    <n v="12"/>
    <x v="0"/>
    <s v="Africa"/>
    <x v="10"/>
    <s v="Johannesburg"/>
    <s v="Enterprise"/>
    <s v="Distributor"/>
    <s v="M. Rossi"/>
    <x v="5"/>
    <x v="544"/>
    <n v="441.08"/>
    <n v="1054.29"/>
    <n v="0.23699999999999999"/>
    <n v="6"/>
    <n v="4826.5396199999996"/>
    <n v="2646.48"/>
    <n v="2180.0596199999995"/>
    <n v="0.45168169985932899"/>
    <s v="Q1-2024"/>
    <s v="Africa → South Africa → Johannesburg"/>
    <s v="Low"/>
  </r>
  <r>
    <s v="ORD-2023-868460"/>
    <d v="2023-06-01T00:00:00"/>
    <d v="2023-06-01T00:00:00"/>
    <d v="2023-06-01T00:00:00"/>
    <d v="2023-06-01T00:00:00"/>
    <n v="0"/>
    <x v="16"/>
    <s v="Asia"/>
    <x v="4"/>
    <s v="Bengaluru"/>
    <s v="Corporate"/>
    <s v="Retail"/>
    <s v="E. Garcia"/>
    <x v="6"/>
    <x v="545"/>
    <n v="669.37"/>
    <n v="997.2"/>
    <n v="8.2000000000000003E-2"/>
    <n v="5"/>
    <n v="4577.1480000000001"/>
    <n v="3346.85"/>
    <n v="1230.2980000000002"/>
    <n v="0.26879139586484863"/>
    <s v="Q2-2023"/>
    <s v="Asia → India → Bengaluru"/>
    <s v="Low"/>
  </r>
  <r>
    <s v="ORD-2023-472078"/>
    <d v="2023-02-28T00:00:00"/>
    <d v="2023-03-06T00:00:00"/>
    <d v="2023-02-28T00:00:00"/>
    <d v="2023-03-06T00:00:00"/>
    <n v="6"/>
    <x v="2"/>
    <s v="Europe"/>
    <x v="11"/>
    <s v="Frankfurt"/>
    <s v="Small Business"/>
    <s v="Marketplace"/>
    <s v="D. Smith"/>
    <x v="1"/>
    <x v="546"/>
    <n v="880.02"/>
    <n v="1251.21"/>
    <n v="0.123"/>
    <n v="29"/>
    <n v="31822.023930000003"/>
    <n v="25520.579999999998"/>
    <n v="6301.4439300000049"/>
    <n v="0.19802146915172672"/>
    <s v="Q1-2023"/>
    <s v="Europe → Germany → Frankfurt"/>
    <s v="Medium"/>
  </r>
  <r>
    <s v="ORD-2025-779530"/>
    <d v="2025-05-19T00:00:00"/>
    <d v="2025-05-17T00:00:00"/>
    <d v="2025-05-17T00:00:00"/>
    <d v="2025-05-19T00:00:00"/>
    <n v="2"/>
    <x v="14"/>
    <s v="Americas"/>
    <x v="5"/>
    <s v="São Paulo"/>
    <s v="Small Business"/>
    <s v="Distributor"/>
    <s v="L. Okafor"/>
    <x v="5"/>
    <x v="547"/>
    <n v="383.77"/>
    <n v="952.56"/>
    <n v="0.1186"/>
    <n v="10"/>
    <n v="8395.8638399999982"/>
    <n v="3837.7"/>
    <n v="4558.1638399999983"/>
    <n v="0.54290587923588807"/>
    <s v="Q2-2025"/>
    <s v="Americas → Brazil → São Paulo"/>
    <s v="Low"/>
  </r>
  <r>
    <s v="ORD-2024-140633"/>
    <d v="2024-12-07T00:00:00"/>
    <d v="2024-12-26T00:00:00"/>
    <d v="2024-12-07T00:00:00"/>
    <d v="2024-12-26T00:00:00"/>
    <n v="19"/>
    <x v="6"/>
    <s v="Europe"/>
    <x v="7"/>
    <s v="London"/>
    <s v="Enterprise"/>
    <s v="Online"/>
    <s v="D. Smith"/>
    <x v="2"/>
    <x v="548"/>
    <n v="1035.24"/>
    <n v="2383.41"/>
    <n v="0.17"/>
    <n v="15"/>
    <n v="29673.454499999993"/>
    <n v="15528.6"/>
    <n v="14144.854499999992"/>
    <n v="0.47668378145860962"/>
    <s v="Q4-2024"/>
    <s v="Europe → United Kingdom → London"/>
    <s v="High"/>
  </r>
  <r>
    <s v="ORD-2025-997421"/>
    <d v="2025-05-21T00:00:00"/>
    <d v="2025-06-09T00:00:00"/>
    <d v="2025-05-21T00:00:00"/>
    <d v="2025-06-09T00:00:00"/>
    <n v="19"/>
    <x v="14"/>
    <s v="Americas"/>
    <x v="5"/>
    <s v="São Paulo"/>
    <s v="Non-Profit"/>
    <s v="Online"/>
    <s v="A. Patel"/>
    <x v="0"/>
    <x v="549"/>
    <n v="1331.38"/>
    <n v="2309.56"/>
    <n v="0.14899999999999999"/>
    <n v="31"/>
    <n v="60928.502359999999"/>
    <n v="41272.780000000006"/>
    <n v="19655.722359999992"/>
    <n v="0.32260307735553528"/>
    <s v="Q2-2025"/>
    <s v="Americas → Brazil → São Paulo"/>
    <s v="High"/>
  </r>
  <r>
    <s v="ORD-2023-139236"/>
    <d v="2023-03-03T00:00:00"/>
    <d v="2023-03-20T00:00:00"/>
    <d v="2023-03-03T00:00:00"/>
    <d v="2023-03-20T00:00:00"/>
    <n v="17"/>
    <x v="11"/>
    <s v="Asia"/>
    <x v="2"/>
    <s v="Nagoya"/>
    <s v="Small Business"/>
    <s v="Online"/>
    <s v="D. Smith"/>
    <x v="2"/>
    <x v="550"/>
    <n v="1171.17"/>
    <n v="2030.64"/>
    <n v="0.157"/>
    <n v="11"/>
    <n v="18830.12472"/>
    <n v="12882.87"/>
    <n v="5947.254719999999"/>
    <n v="0.31583724528830415"/>
    <s v="Q1-2023"/>
    <s v="Asia → Japan → Nagoya"/>
    <s v="High"/>
  </r>
  <r>
    <s v="ORD-2025-762301"/>
    <d v="2025-05-02T00:00:00"/>
    <d v="2025-05-13T00:00:00"/>
    <d v="2025-05-02T00:00:00"/>
    <d v="2025-05-13T00:00:00"/>
    <n v="11"/>
    <x v="14"/>
    <s v="Africa"/>
    <x v="0"/>
    <s v="Nakuru"/>
    <s v="Small Business"/>
    <s v="Online"/>
    <s v="A. Patel"/>
    <x v="6"/>
    <x v="551"/>
    <n v="1057.5999999999999"/>
    <n v="1437.06"/>
    <n v="0.20499999999999999"/>
    <n v="4"/>
    <n v="4569.8508000000002"/>
    <n v="4230.3999999999996"/>
    <n v="339.45080000000053"/>
    <n v="7.4280499485891424E-2"/>
    <s v="Q2-2025"/>
    <s v="Africa → Kenya → Nakuru"/>
    <s v="Medium"/>
  </r>
  <r>
    <s v="ORD-2025-501927"/>
    <d v="2025-03-03T00:00:00"/>
    <d v="2025-03-24T00:00:00"/>
    <d v="2025-03-03T00:00:00"/>
    <d v="2025-03-24T00:00:00"/>
    <n v="21"/>
    <x v="3"/>
    <s v="Africa"/>
    <x v="1"/>
    <s v="Abuja"/>
    <s v="Enterprise"/>
    <s v="Direct"/>
    <s v="H. Kim"/>
    <x v="6"/>
    <x v="552"/>
    <n v="555.95000000000005"/>
    <n v="468.09"/>
    <n v="0.14199999999999999"/>
    <n v="11"/>
    <n v="4417.8334199999999"/>
    <n v="6115.4500000000007"/>
    <n v="-1697.6165800000008"/>
    <n v="-0.38426450674095375"/>
    <s v="Q1-2025"/>
    <s v="Africa → Nigeria → Abuja"/>
    <s v="Low"/>
  </r>
  <r>
    <s v="ORD-2024-536442"/>
    <d v="2024-08-31T00:00:00"/>
    <d v="2024-09-26T00:00:00"/>
    <d v="2024-08-31T00:00:00"/>
    <d v="2024-09-26T00:00:00"/>
    <n v="26"/>
    <x v="21"/>
    <s v="Asia"/>
    <x v="2"/>
    <s v="Tokyo"/>
    <s v="Education"/>
    <s v="Online"/>
    <s v="I. Johnson"/>
    <x v="3"/>
    <x v="553"/>
    <n v="1189.03"/>
    <n v="2949.62"/>
    <n v="0.125"/>
    <n v="13"/>
    <n v="33551.927499999998"/>
    <n v="15457.39"/>
    <n v="18094.537499999999"/>
    <n v="0.53929949330034765"/>
    <s v="Q3-2024"/>
    <s v="Asia → Japan → Tokyo"/>
    <s v="High"/>
  </r>
  <r>
    <s v="ORD-2024-961756"/>
    <d v="2024-11-25T00:00:00"/>
    <d v="2024-12-07T00:00:00"/>
    <d v="2024-11-25T00:00:00"/>
    <d v="2024-12-07T00:00:00"/>
    <n v="12"/>
    <x v="17"/>
    <s v="Asia"/>
    <x v="8"/>
    <s v="Shanghai"/>
    <s v="Corporate"/>
    <s v="Distributor"/>
    <s v="A. Patel"/>
    <x v="6"/>
    <x v="554"/>
    <n v="769.9"/>
    <n v="814.36"/>
    <n v="0"/>
    <n v="5"/>
    <n v="4071.8"/>
    <n v="3849.5"/>
    <n v="222.30000000000018"/>
    <n v="5.4595019401738831E-2"/>
    <s v="Q4-2024"/>
    <s v="Asia → China → Shanghai"/>
    <s v="Low"/>
  </r>
  <r>
    <s v="ORD-2025-874124"/>
    <d v="2025-05-14T00:00:00"/>
    <d v="2025-05-12T00:00:00"/>
    <d v="2025-05-12T00:00:00"/>
    <d v="2025-05-14T00:00:00"/>
    <n v="2"/>
    <x v="14"/>
    <s v="Americas"/>
    <x v="3"/>
    <s v="Vancouver"/>
    <s v="Non-Profit"/>
    <s v="Distributor"/>
    <s v="F. Müller"/>
    <x v="1"/>
    <x v="555"/>
    <n v="883.5"/>
    <n v="1978.91"/>
    <n v="5.3999999999999999E-2"/>
    <n v="27"/>
    <n v="50545.319219999998"/>
    <n v="23854.5"/>
    <n v="26690.819219999998"/>
    <n v="0.52805718970390547"/>
    <s v="Q2-2025"/>
    <s v="Americas → Canada → Vancouver"/>
    <s v="High"/>
  </r>
  <r>
    <s v="ORD-2024-687073"/>
    <d v="2024-03-11T00:00:00"/>
    <d v="2024-03-29T00:00:00"/>
    <d v="2024-03-11T00:00:00"/>
    <d v="2024-03-29T00:00:00"/>
    <n v="18"/>
    <x v="0"/>
    <s v="Americas"/>
    <x v="9"/>
    <s v="New York"/>
    <s v="Corporate"/>
    <s v="Retail"/>
    <s v="M. Rossi"/>
    <x v="5"/>
    <x v="556"/>
    <n v="710.98"/>
    <n v="1481.45"/>
    <n v="0.21099999999999999"/>
    <n v="9"/>
    <n v="10519.776450000001"/>
    <n v="6398.82"/>
    <n v="4120.9564500000015"/>
    <n v="0.39173422264120461"/>
    <s v="Q1-2024"/>
    <s v="Americas → USA → New York"/>
    <s v="Medium"/>
  </r>
  <r>
    <s v="ORD-2023-660608"/>
    <d v="2023-07-25T00:00:00"/>
    <d v="2023-08-10T00:00:00"/>
    <d v="2023-07-25T00:00:00"/>
    <d v="2023-08-10T00:00:00"/>
    <n v="16"/>
    <x v="23"/>
    <s v="Africa"/>
    <x v="1"/>
    <s v="Port Harcourt"/>
    <s v="Corporate"/>
    <s v="Distributor"/>
    <s v="I. Johnson"/>
    <x v="6"/>
    <x v="557"/>
    <n v="506.83"/>
    <n v="441.74"/>
    <n v="0.24"/>
    <n v="9"/>
    <n v="3021.5016000000001"/>
    <n v="4561.47"/>
    <n v="-1539.9684000000002"/>
    <n v="-0.50966989393618067"/>
    <s v="Q3-2023"/>
    <s v="Africa → Nigeria → Port Harcourt"/>
    <s v="Low"/>
  </r>
  <r>
    <s v="ORD-2024-872291"/>
    <d v="2024-01-08T00:00:00"/>
    <d v="2024-01-12T00:00:00"/>
    <d v="2024-01-08T00:00:00"/>
    <d v="2024-01-12T00:00:00"/>
    <n v="4"/>
    <x v="10"/>
    <s v="Asia"/>
    <x v="4"/>
    <s v="Bengaluru"/>
    <s v="Corporate"/>
    <s v="Direct"/>
    <s v="E. Garcia"/>
    <x v="1"/>
    <x v="558"/>
    <n v="802.32"/>
    <n v="602.34"/>
    <n v="0.12"/>
    <n v="25"/>
    <n v="13251.48"/>
    <n v="20058"/>
    <n v="-6806.52"/>
    <n v="-0.51364224977134632"/>
    <s v="Q1-2024"/>
    <s v="Asia → India → Bengaluru"/>
    <s v="Low"/>
  </r>
  <r>
    <s v="ORD-2024-250862"/>
    <d v="2024-10-25T00:00:00"/>
    <d v="2024-11-05T00:00:00"/>
    <d v="2024-10-25T00:00:00"/>
    <d v="2024-11-05T00:00:00"/>
    <n v="11"/>
    <x v="1"/>
    <s v="Americas"/>
    <x v="9"/>
    <s v="New York"/>
    <s v="Corporate"/>
    <s v="Distributor"/>
    <s v="N. Brown"/>
    <x v="0"/>
    <x v="559"/>
    <n v="446.66"/>
    <n v="527.64"/>
    <n v="0.14499999999999999"/>
    <n v="15"/>
    <n v="6766.9829999999993"/>
    <n v="6699.9000000000005"/>
    <n v="67.082999999998719"/>
    <n v="9.9132804087137105E-3"/>
    <s v="Q4-2024"/>
    <s v="Americas → USA → New York"/>
    <s v="Low"/>
  </r>
  <r>
    <s v="ORD-2024-331226"/>
    <d v="2024-11-30T00:00:00"/>
    <d v="2024-12-19T00:00:00"/>
    <d v="2024-11-30T00:00:00"/>
    <d v="2024-12-19T00:00:00"/>
    <n v="19"/>
    <x v="17"/>
    <s v="Africa"/>
    <x v="0"/>
    <s v="Kisumu"/>
    <s v="Corporate"/>
    <s v="Online"/>
    <s v="L. Okafor"/>
    <x v="3"/>
    <x v="560"/>
    <n v="1195.98"/>
    <n v="1841.9"/>
    <n v="5.5E-2"/>
    <n v="19"/>
    <n v="33071.3145"/>
    <n v="22723.62"/>
    <n v="10347.694500000001"/>
    <n v="0.31289032977506842"/>
    <s v="Q4-2024"/>
    <s v="Africa → Kenya → Kisumu"/>
    <s v="Medium"/>
  </r>
  <r>
    <s v="ORD-2023-356427"/>
    <d v="2023-04-13T00:00:00"/>
    <d v="2023-05-02T00:00:00"/>
    <d v="2023-04-13T00:00:00"/>
    <d v="2023-05-02T00:00:00"/>
    <n v="19"/>
    <x v="12"/>
    <s v="Americas"/>
    <x v="3"/>
    <s v="Montreal"/>
    <s v="Consumer"/>
    <s v="Distributor"/>
    <s v="E. Garcia"/>
    <x v="5"/>
    <x v="561"/>
    <n v="671.05"/>
    <n v="1645.48"/>
    <n v="0.13700000000000001"/>
    <n v="6"/>
    <n v="8520.2954399999999"/>
    <n v="4026.2999999999997"/>
    <n v="4493.9954400000006"/>
    <n v="0.52744596377517172"/>
    <s v="Q2-2023"/>
    <s v="Americas → Canada → Montreal"/>
    <s v="Medium"/>
  </r>
  <r>
    <s v="ORD-2025-659650"/>
    <d v="2025-02-04T00:00:00"/>
    <d v="2025-02-08T00:00:00"/>
    <d v="2025-02-04T00:00:00"/>
    <d v="2025-02-08T00:00:00"/>
    <n v="4"/>
    <x v="32"/>
    <s v="Europe"/>
    <x v="7"/>
    <s v="Manchester"/>
    <s v="Enterprise"/>
    <s v="Marketplace"/>
    <s v="L. Okafor"/>
    <x v="2"/>
    <x v="562"/>
    <n v="586.21"/>
    <n v="727.22"/>
    <n v="6.8000000000000005E-2"/>
    <n v="15"/>
    <n v="10166.535600000001"/>
    <n v="8793.1500000000015"/>
    <n v="1373.3855999999996"/>
    <n v="0.13508884973559721"/>
    <s v="Q1-2025"/>
    <s v="Europe → United Kingdom → Manchester"/>
    <s v="Low"/>
  </r>
  <r>
    <s v="ORD-2024-207669"/>
    <d v="2024-01-24T00:00:00"/>
    <d v="2024-02-04T00:00:00"/>
    <d v="2024-01-24T00:00:00"/>
    <d v="2024-02-04T00:00:00"/>
    <n v="11"/>
    <x v="10"/>
    <s v="Europe"/>
    <x v="7"/>
    <s v="Manchester"/>
    <s v="Consumer"/>
    <s v="Retail"/>
    <s v="B. Chen"/>
    <x v="4"/>
    <x v="563"/>
    <n v="525.34"/>
    <n v="1233.79"/>
    <n v="0.14299999999999999"/>
    <n v="4"/>
    <n v="4229.4321199999995"/>
    <n v="2101.36"/>
    <n v="2128.0721199999994"/>
    <n v="0.50315788494082736"/>
    <s v="Q1-2024"/>
    <s v="Europe → United Kingdom → Manchester"/>
    <s v="Medium"/>
  </r>
  <r>
    <s v="ORD-2024-979401"/>
    <d v="2024-02-08T00:00:00"/>
    <d v="2024-02-09T00:00:00"/>
    <d v="2024-02-08T00:00:00"/>
    <d v="2024-02-09T00:00:00"/>
    <n v="1"/>
    <x v="31"/>
    <s v="Africa"/>
    <x v="0"/>
    <s v="Mombasa"/>
    <s v="Corporate"/>
    <s v="Direct"/>
    <s v="F. Müller"/>
    <x v="0"/>
    <x v="564"/>
    <n v="1233.52"/>
    <n v="1543.76"/>
    <n v="0.126"/>
    <n v="13"/>
    <n v="17540.201120000002"/>
    <n v="16035.76"/>
    <n v="1504.4411200000013"/>
    <n v="8.5771030201277493E-2"/>
    <s v="Q1-2024"/>
    <s v="Africa → Kenya → Mombasa"/>
    <s v="Medium"/>
  </r>
  <r>
    <s v="ORD-2025-929414"/>
    <d v="2025-06-26T00:00:00"/>
    <d v="2025-07-11T00:00:00"/>
    <d v="2025-06-26T00:00:00"/>
    <d v="2025-07-11T00:00:00"/>
    <n v="15"/>
    <x v="22"/>
    <s v="Africa"/>
    <x v="1"/>
    <s v="Port Harcourt"/>
    <s v="Small Business"/>
    <s v="Online"/>
    <s v="A. Patel"/>
    <x v="4"/>
    <x v="565"/>
    <n v="1170.1500000000001"/>
    <n v="2115.19"/>
    <n v="9.1999999999999998E-2"/>
    <n v="23"/>
    <n v="44173.627960000005"/>
    <n v="26913.45"/>
    <n v="17260.177960000005"/>
    <n v="0.39073489674946776"/>
    <s v="Q2-2025"/>
    <s v="Africa → Nigeria → Port Harcourt"/>
    <s v="High"/>
  </r>
  <r>
    <s v="ORD-2024-766980"/>
    <d v="2024-11-04T00:00:00"/>
    <d v="2024-11-07T00:00:00"/>
    <d v="2024-11-04T00:00:00"/>
    <d v="2024-11-07T00:00:00"/>
    <n v="3"/>
    <x v="17"/>
    <s v="Europe"/>
    <x v="6"/>
    <s v="Lyon"/>
    <s v="Corporate"/>
    <s v="Online"/>
    <s v="O. Wang"/>
    <x v="5"/>
    <x v="566"/>
    <n v="740.68"/>
    <n v="1837.19"/>
    <n v="0.19700000000000001"/>
    <n v="17"/>
    <n v="25079.480689999997"/>
    <n v="12591.56"/>
    <n v="12487.920689999997"/>
    <n v="0.4979337827748298"/>
    <s v="Q4-2024"/>
    <s v="Europe → France → Lyon"/>
    <s v="Medium"/>
  </r>
  <r>
    <s v="ORD-2024-437164"/>
    <d v="2024-02-20T00:00:00"/>
    <d v="2024-02-20T00:00:00"/>
    <d v="2024-02-20T00:00:00"/>
    <d v="2024-02-20T00:00:00"/>
    <n v="0"/>
    <x v="31"/>
    <s v="Americas"/>
    <x v="9"/>
    <s v="New York"/>
    <s v="Enterprise"/>
    <s v="Online"/>
    <s v="C. Otieno"/>
    <x v="2"/>
    <x v="567"/>
    <n v="1407.05"/>
    <n v="2858.93"/>
    <n v="0"/>
    <n v="12"/>
    <n v="34307.159999999996"/>
    <n v="16884.599999999999"/>
    <n v="17422.559999999998"/>
    <n v="0.50784034586366222"/>
    <s v="Q1-2024"/>
    <s v="Americas → USA → New York"/>
    <s v="High"/>
  </r>
  <r>
    <s v="ORD-2025-169093"/>
    <d v="2025-04-13T00:00:00"/>
    <d v="2025-04-14T00:00:00"/>
    <d v="2025-04-13T00:00:00"/>
    <d v="2025-04-14T00:00:00"/>
    <n v="1"/>
    <x v="18"/>
    <s v="Asia"/>
    <x v="2"/>
    <s v="Osaka"/>
    <s v="Enterprise"/>
    <s v="Online"/>
    <s v="G. Dubois"/>
    <x v="0"/>
    <x v="568"/>
    <n v="138.9"/>
    <n v="289.92"/>
    <n v="2.9000000000000001E-2"/>
    <n v="12"/>
    <n v="3378.1478400000001"/>
    <n v="1666.8000000000002"/>
    <n v="1711.3478399999999"/>
    <n v="0.50659353025828491"/>
    <s v="Q2-2025"/>
    <s v="Asia → Japan → Osaka"/>
    <s v="Low"/>
  </r>
  <r>
    <s v="ORD-2024-787018"/>
    <d v="2024-06-23T00:00:00"/>
    <d v="2024-06-28T00:00:00"/>
    <d v="2024-06-23T00:00:00"/>
    <d v="2024-06-28T00:00:00"/>
    <n v="5"/>
    <x v="25"/>
    <s v="Africa"/>
    <x v="1"/>
    <s v="Port Harcourt"/>
    <s v="Non-Profit"/>
    <s v="Direct"/>
    <s v="M. Rossi"/>
    <x v="6"/>
    <x v="569"/>
    <n v="242.31"/>
    <n v="587.95000000000005"/>
    <n v="0.22900000000000001"/>
    <n v="6"/>
    <n v="2719.8567000000003"/>
    <n v="1453.8600000000001"/>
    <n v="1265.9967000000001"/>
    <n v="0.46546448568411714"/>
    <s v="Q2-2024"/>
    <s v="Africa → Nigeria → Port Harcourt"/>
    <s v="Low"/>
  </r>
  <r>
    <s v="ORD-2025-177994"/>
    <d v="2025-03-24T00:00:00"/>
    <d v="2025-04-04T00:00:00"/>
    <d v="2025-03-24T00:00:00"/>
    <d v="2025-04-04T00:00:00"/>
    <n v="11"/>
    <x v="3"/>
    <s v="Asia"/>
    <x v="4"/>
    <s v="Mumbai"/>
    <s v="Education"/>
    <s v="Marketplace"/>
    <s v="J. Njeri"/>
    <x v="3"/>
    <x v="570"/>
    <n v="23.83"/>
    <n v="47.29"/>
    <n v="6.4000000000000001E-2"/>
    <n v="19"/>
    <n v="841.00536"/>
    <n v="452.77"/>
    <n v="388.23536000000001"/>
    <n v="0.46163244429262618"/>
    <s v="Q1-2025"/>
    <s v="Asia → India → Mumbai"/>
    <s v="Low"/>
  </r>
  <r>
    <s v="ORD-2024-355095"/>
    <d v="2024-01-02T00:00:00"/>
    <d v="2024-01-02T00:00:00"/>
    <d v="2024-01-02T00:00:00"/>
    <d v="2024-01-02T00:00:00"/>
    <n v="0"/>
    <x v="10"/>
    <s v="Americas"/>
    <x v="3"/>
    <s v="Vancouver"/>
    <s v="Education"/>
    <s v="Direct"/>
    <s v="A. Patel"/>
    <x v="4"/>
    <x v="571"/>
    <n v="444.41"/>
    <n v="754.24"/>
    <n v="0.20699999999999999"/>
    <n v="32"/>
    <n v="19139.594240000002"/>
    <n v="14221.12"/>
    <n v="4918.4742400000014"/>
    <n v="0.25697902360546598"/>
    <s v="Q1-2024"/>
    <s v="Americas → Canada → Vancouver"/>
    <s v="Low"/>
  </r>
  <r>
    <s v="ORD-2023-126505"/>
    <d v="2023-12-19T00:00:00"/>
    <d v="2024-01-01T00:00:00"/>
    <d v="2023-12-19T00:00:00"/>
    <d v="2024-01-01T00:00:00"/>
    <n v="13"/>
    <x v="4"/>
    <s v="Americas"/>
    <x v="3"/>
    <s v="Toronto"/>
    <s v="Enterprise"/>
    <s v="Retail"/>
    <s v="K. Singh"/>
    <x v="5"/>
    <x v="572"/>
    <n v="856.1"/>
    <n v="901.48"/>
    <n v="5.6000000000000001E-2"/>
    <n v="17"/>
    <n v="14466.95104"/>
    <n v="14553.7"/>
    <n v="-86.748960000000807"/>
    <n v="-5.9963540182134192E-3"/>
    <s v="Q4-2023"/>
    <s v="Americas → Canada → Toronto"/>
    <s v="Low"/>
  </r>
  <r>
    <s v="ORD-2023-340056"/>
    <d v="2023-04-26T00:00:00"/>
    <d v="2023-04-26T00:00:00"/>
    <d v="2023-04-26T00:00:00"/>
    <d v="2023-04-26T00:00:00"/>
    <n v="0"/>
    <x v="12"/>
    <s v="Europe"/>
    <x v="6"/>
    <s v="Marseille"/>
    <s v="Consumer"/>
    <s v="Direct"/>
    <s v="M. Rossi"/>
    <x v="0"/>
    <x v="573"/>
    <n v="81.489999999999995"/>
    <n v="113.08"/>
    <n v="0.121"/>
    <n v="5"/>
    <n v="496.98660000000001"/>
    <n v="407.45"/>
    <n v="89.536600000000021"/>
    <n v="0.18015898215364362"/>
    <s v="Q2-2023"/>
    <s v="Europe → France → Marseille"/>
    <s v="Low"/>
  </r>
  <r>
    <s v="ORD-2025-281413"/>
    <d v="2025-08-03T00:00:00"/>
    <d v="2025-08-16T00:00:00"/>
    <d v="2025-08-03T00:00:00"/>
    <d v="2025-08-16T00:00:00"/>
    <n v="13"/>
    <x v="27"/>
    <s v="Americas"/>
    <x v="3"/>
    <s v="Montreal"/>
    <s v="Enterprise"/>
    <s v="Distributor"/>
    <s v="O. Wang"/>
    <x v="2"/>
    <x v="574"/>
    <n v="698.66"/>
    <n v="868.62"/>
    <n v="7.1999999999999995E-2"/>
    <n v="15"/>
    <n v="12091.190399999999"/>
    <n v="10479.9"/>
    <n v="1611.2903999999999"/>
    <n v="0.13326151906432637"/>
    <s v="Q3-2025"/>
    <s v="Americas → Canada → Montreal"/>
    <s v="Low"/>
  </r>
  <r>
    <s v="ORD-2023-713614"/>
    <d v="2023-08-02T00:00:00"/>
    <d v="2023-08-19T00:00:00"/>
    <d v="2023-08-02T00:00:00"/>
    <d v="2023-08-19T00:00:00"/>
    <n v="17"/>
    <x v="24"/>
    <s v="Americas"/>
    <x v="3"/>
    <s v="Vancouver"/>
    <s v="Corporate"/>
    <s v="Online"/>
    <s v="F. Müller"/>
    <x v="2"/>
    <x v="575"/>
    <n v="175.38"/>
    <n v="347.9"/>
    <n v="7.1999999999999995E-2"/>
    <n v="43"/>
    <n v="13882.6016"/>
    <n v="7541.34"/>
    <n v="6341.2615999999998"/>
    <n v="0.45677761148169804"/>
    <s v="Q3-2023"/>
    <s v="Americas → Canada → Vancouver"/>
    <s v="Low"/>
  </r>
  <r>
    <s v="ORD-2025-649239"/>
    <d v="2025-01-17T00:00:00"/>
    <d v="2025-01-24T00:00:00"/>
    <d v="2025-01-17T00:00:00"/>
    <d v="2025-01-24T00:00:00"/>
    <n v="7"/>
    <x v="9"/>
    <s v="Americas"/>
    <x v="9"/>
    <s v="Austin"/>
    <s v="Enterprise"/>
    <s v="Online"/>
    <s v="G. Dubois"/>
    <x v="6"/>
    <x v="576"/>
    <n v="142.09"/>
    <n v="218.5"/>
    <n v="0.11899999999999999"/>
    <n v="11"/>
    <n v="2117.4834999999998"/>
    <n v="1562.99"/>
    <n v="554.49349999999981"/>
    <n v="0.26186437816398561"/>
    <s v="Q1-2025"/>
    <s v="Americas → USA → Austin"/>
    <s v="Low"/>
  </r>
  <r>
    <s v="ORD-2024-496601"/>
    <d v="2024-11-11T00:00:00"/>
    <d v="2024-11-24T00:00:00"/>
    <d v="2024-11-11T00:00:00"/>
    <d v="2024-11-24T00:00:00"/>
    <n v="13"/>
    <x v="17"/>
    <s v="Europe"/>
    <x v="7"/>
    <s v="London"/>
    <s v="Corporate"/>
    <s v="Retail"/>
    <s v="E. Garcia"/>
    <x v="2"/>
    <x v="577"/>
    <n v="164.53"/>
    <n v="327.72"/>
    <n v="6.7000000000000004E-2"/>
    <n v="14"/>
    <n v="4280.6786400000001"/>
    <n v="2303.42"/>
    <n v="1977.25864"/>
    <n v="0.46190307805960412"/>
    <s v="Q4-2024"/>
    <s v="Europe → United Kingdom → London"/>
    <s v="Low"/>
  </r>
  <r>
    <s v="ORD-2025-155182"/>
    <d v="2025-07-11T00:00:00"/>
    <d v="2025-08-03T00:00:00"/>
    <d v="2025-07-11T00:00:00"/>
    <d v="2025-08-03T00:00:00"/>
    <n v="23"/>
    <x v="19"/>
    <s v="Africa"/>
    <x v="0"/>
    <s v="Nakuru"/>
    <s v="Small Business"/>
    <s v="Retail"/>
    <s v="C. Otieno"/>
    <x v="3"/>
    <x v="578"/>
    <n v="389.93"/>
    <n v="486.13"/>
    <n v="0.13200000000000001"/>
    <n v="17"/>
    <n v="7173.3342799999991"/>
    <n v="6628.81"/>
    <n v="544.52427999999873"/>
    <n v="7.5909508569562828E-2"/>
    <s v="Q3-2025"/>
    <s v="Africa → Kenya → Nakuru"/>
    <s v="Low"/>
  </r>
  <r>
    <s v="ORD-2024-247032"/>
    <d v="2024-04-21T00:00:00"/>
    <d v="2024-05-19T00:00:00"/>
    <d v="2024-04-21T00:00:00"/>
    <d v="2024-05-19T00:00:00"/>
    <n v="28"/>
    <x v="20"/>
    <s v="Africa"/>
    <x v="1"/>
    <s v="Lagos"/>
    <s v="Corporate"/>
    <s v="Distributor"/>
    <s v="A. Patel"/>
    <x v="6"/>
    <x v="579"/>
    <n v="187.22"/>
    <n v="309.47000000000003"/>
    <n v="0"/>
    <n v="5"/>
    <n v="1547.3500000000001"/>
    <n v="936.1"/>
    <n v="611.25000000000011"/>
    <n v="0.39503021294471197"/>
    <s v="Q2-2024"/>
    <s v="Africa → Nigeria → Lagos"/>
    <s v="Low"/>
  </r>
  <r>
    <s v="ORD-2025-419532"/>
    <d v="2025-08-06T00:00:00"/>
    <d v="2025-08-23T00:00:00"/>
    <d v="2025-08-06T00:00:00"/>
    <d v="2025-08-23T00:00:00"/>
    <n v="17"/>
    <x v="27"/>
    <s v="Americas"/>
    <x v="5"/>
    <s v="Brasília"/>
    <s v="Consumer"/>
    <s v="Distributor"/>
    <s v="A. Patel"/>
    <x v="5"/>
    <x v="580"/>
    <n v="86.64"/>
    <n v="213.06"/>
    <n v="0.21199999999999999"/>
    <n v="11"/>
    <n v="1846.8040799999999"/>
    <n v="953.04"/>
    <n v="893.76407999999992"/>
    <n v="0.48395175735154322"/>
    <s v="Q3-2025"/>
    <s v="Americas → Brazil → Brasília"/>
    <s v="Low"/>
  </r>
  <r>
    <s v="ORD-2024-594527"/>
    <d v="2024-09-06T00:00:00"/>
    <d v="2024-09-04T00:00:00"/>
    <d v="2024-09-04T00:00:00"/>
    <d v="2024-09-06T00:00:00"/>
    <n v="2"/>
    <x v="28"/>
    <s v="Asia"/>
    <x v="2"/>
    <s v="Osaka"/>
    <s v="Corporate"/>
    <s v="Direct"/>
    <s v="A. Patel"/>
    <x v="4"/>
    <x v="581"/>
    <n v="1368.17"/>
    <n v="2307.75"/>
    <n v="0.16300000000000001"/>
    <n v="21"/>
    <n v="40563.321749999996"/>
    <n v="28731.57"/>
    <n v="11831.751749999996"/>
    <n v="0.29168596750831921"/>
    <s v="Q3-2024"/>
    <s v="Asia → Japan → Osaka"/>
    <s v="High"/>
  </r>
  <r>
    <s v="ORD-2024-689872"/>
    <d v="2024-08-03T00:00:00"/>
    <d v="2024-08-09T00:00:00"/>
    <d v="2024-08-03T00:00:00"/>
    <d v="2024-08-09T00:00:00"/>
    <n v="6"/>
    <x v="21"/>
    <s v="Africa"/>
    <x v="0"/>
    <s v="Mombasa"/>
    <s v="Consumer"/>
    <s v="Marketplace"/>
    <s v="H. Kim"/>
    <x v="4"/>
    <x v="582"/>
    <n v="643.21"/>
    <n v="1112.81"/>
    <n v="0.14099999999999999"/>
    <n v="4"/>
    <n v="3823.6151599999998"/>
    <n v="2572.84"/>
    <n v="1250.7751599999997"/>
    <n v="0.32711847496702562"/>
    <s v="Q3-2024"/>
    <s v="Africa → Kenya → Mombasa"/>
    <s v="Low"/>
  </r>
  <r>
    <s v="ORD-2025-949776"/>
    <d v="2025-08-14T00:00:00"/>
    <d v="2025-09-11T00:00:00"/>
    <d v="2025-08-14T00:00:00"/>
    <d v="2025-09-11T00:00:00"/>
    <n v="28"/>
    <x v="27"/>
    <s v="Americas"/>
    <x v="5"/>
    <s v="São Paulo"/>
    <s v="Non-Profit"/>
    <s v="Direct"/>
    <s v="F. Müller"/>
    <x v="1"/>
    <x v="583"/>
    <n v="1203.02"/>
    <n v="2439.33"/>
    <n v="0"/>
    <n v="18"/>
    <n v="43907.94"/>
    <n v="21654.36"/>
    <n v="22253.58"/>
    <n v="0.50682359500354612"/>
    <s v="Q3-2025"/>
    <s v="Americas → Brazil → São Paulo"/>
    <s v="High"/>
  </r>
  <r>
    <s v="ORD-2023-378676"/>
    <d v="2023-05-03T00:00:00"/>
    <d v="2023-05-16T00:00:00"/>
    <d v="2023-05-03T00:00:00"/>
    <d v="2023-05-16T00:00:00"/>
    <n v="13"/>
    <x v="15"/>
    <s v="Americas"/>
    <x v="9"/>
    <s v="New York"/>
    <s v="Corporate"/>
    <s v="Marketplace"/>
    <s v="L. Okafor"/>
    <x v="3"/>
    <x v="584"/>
    <n v="64.5"/>
    <n v="123.62"/>
    <n v="0"/>
    <n v="3"/>
    <n v="370.86"/>
    <n v="193.5"/>
    <n v="177.36"/>
    <n v="0.47823976702798904"/>
    <s v="Q2-2023"/>
    <s v="Americas → USA → New York"/>
    <s v="Low"/>
  </r>
  <r>
    <s v="ORD-2024-243988"/>
    <d v="2024-03-13T00:00:00"/>
    <d v="2024-04-06T00:00:00"/>
    <d v="2024-03-13T00:00:00"/>
    <d v="2024-04-06T00:00:00"/>
    <n v="24"/>
    <x v="0"/>
    <s v="Africa"/>
    <x v="1"/>
    <s v="Abuja"/>
    <s v="Consumer"/>
    <s v="Distributor"/>
    <s v="L. Okafor"/>
    <x v="0"/>
    <x v="585"/>
    <n v="1232.78"/>
    <n v="1731.75"/>
    <n v="9.2999999999999999E-2"/>
    <n v="16"/>
    <n v="25131.155999999999"/>
    <n v="19724.48"/>
    <n v="5406.6759999999995"/>
    <n v="0.21513837246484005"/>
    <s v="Q1-2024"/>
    <s v="Africa → Nigeria → Abuja"/>
    <s v="Medium"/>
  </r>
  <r>
    <s v="ORD-2024-572312"/>
    <d v="2024-06-16T00:00:00"/>
    <d v="2024-06-21T00:00:00"/>
    <d v="2024-06-16T00:00:00"/>
    <d v="2024-06-21T00:00:00"/>
    <n v="5"/>
    <x v="25"/>
    <s v="Asia"/>
    <x v="2"/>
    <s v="Tokyo"/>
    <s v="Small Business"/>
    <s v="Distributor"/>
    <s v="F. Müller"/>
    <x v="3"/>
    <x v="586"/>
    <n v="1367.13"/>
    <n v="3062.01"/>
    <n v="0.10299999999999999"/>
    <n v="25"/>
    <n v="68665.574250000005"/>
    <n v="34178.25"/>
    <n v="34487.324250000005"/>
    <n v="0.50225057645971705"/>
    <s v="Q2-2024"/>
    <s v="Asia → Japan → Tokyo"/>
    <s v="High"/>
  </r>
  <r>
    <s v="ORD-2024-232632"/>
    <d v="2024-02-14T00:00:00"/>
    <d v="2024-02-14T00:00:00"/>
    <d v="2024-02-14T00:00:00"/>
    <d v="2024-02-14T00:00:00"/>
    <n v="0"/>
    <x v="31"/>
    <s v="Asia"/>
    <x v="8"/>
    <s v="Beijing"/>
    <s v="Corporate"/>
    <s v="Distributor"/>
    <s v="L. Okafor"/>
    <x v="6"/>
    <x v="587"/>
    <n v="65.930000000000007"/>
    <n v="84.9"/>
    <n v="0.25900000000000001"/>
    <n v="23"/>
    <n v="1446.9507000000001"/>
    <n v="1516.39"/>
    <n v="-69.439300000000003"/>
    <n v="-4.7990093926489688E-2"/>
    <s v="Q1-2024"/>
    <s v="Asia → China → Beijing"/>
    <s v="Low"/>
  </r>
  <r>
    <s v="ORD-2023-755337"/>
    <d v="2023-09-08T00:00:00"/>
    <d v="2023-09-14T00:00:00"/>
    <d v="2023-09-08T00:00:00"/>
    <d v="2023-09-14T00:00:00"/>
    <n v="6"/>
    <x v="26"/>
    <s v="Africa"/>
    <x v="0"/>
    <s v="Nakuru"/>
    <s v="Education"/>
    <s v="Direct"/>
    <s v="I. Johnson"/>
    <x v="6"/>
    <x v="588"/>
    <n v="251.03"/>
    <n v="411.48"/>
    <n v="0.16500000000000001"/>
    <n v="3"/>
    <n v="1030.7574"/>
    <n v="753.09"/>
    <n v="277.66739999999993"/>
    <n v="0.26938191275658069"/>
    <s v="Q3-2023"/>
    <s v="Africa → Kenya → Nakuru"/>
    <s v="Low"/>
  </r>
  <r>
    <s v="ORD-2025-993993"/>
    <d v="2025-08-30T00:00:00"/>
    <d v="2025-09-22T00:00:00"/>
    <d v="2025-08-30T00:00:00"/>
    <d v="2025-09-22T00:00:00"/>
    <n v="23"/>
    <x v="27"/>
    <s v="Europe"/>
    <x v="6"/>
    <s v="Marseille"/>
    <s v="Corporate"/>
    <s v="Direct"/>
    <s v="E. Garcia"/>
    <x v="0"/>
    <x v="589"/>
    <n v="663.9"/>
    <n v="947.77"/>
    <n v="0.17399999999999999"/>
    <n v="15"/>
    <n v="11742.8703"/>
    <n v="9958.5"/>
    <n v="1784.3703000000005"/>
    <n v="0.1519535049280073"/>
    <s v="Q3-2025"/>
    <s v="Europe → France → Marseille"/>
    <s v="Low"/>
  </r>
  <r>
    <s v="ORD-2023-619493"/>
    <d v="2023-02-27T00:00:00"/>
    <d v="2023-02-26T00:00:00"/>
    <d v="2023-02-26T00:00:00"/>
    <d v="2023-02-27T00:00:00"/>
    <n v="1"/>
    <x v="2"/>
    <s v="Americas"/>
    <x v="9"/>
    <s v="San Francisco"/>
    <s v="Non-Profit"/>
    <s v="Online"/>
    <s v="L. Okafor"/>
    <x v="2"/>
    <x v="590"/>
    <n v="1015.91"/>
    <n v="2331.48"/>
    <n v="0.14599999999999999"/>
    <n v="26"/>
    <n v="51768.181920000003"/>
    <n v="26413.66"/>
    <n v="25354.521920000003"/>
    <n v="0.48977037592669626"/>
    <s v="Q1-2023"/>
    <s v="Americas → USA → San Francisco"/>
    <s v="High"/>
  </r>
  <r>
    <s v="ORD-2024-947056"/>
    <d v="2024-07-31T00:00:00"/>
    <d v="2024-08-15T00:00:00"/>
    <d v="2024-07-31T00:00:00"/>
    <d v="2024-08-15T00:00:00"/>
    <n v="15"/>
    <x v="8"/>
    <s v="Asia"/>
    <x v="2"/>
    <s v="Tokyo"/>
    <s v="Corporate"/>
    <s v="Marketplace"/>
    <s v="F. Müller"/>
    <x v="5"/>
    <x v="591"/>
    <n v="1252.52"/>
    <n v="1417.24"/>
    <n v="0.192"/>
    <n v="5"/>
    <n v="5725.6496000000006"/>
    <n v="6262.6"/>
    <n v="-536.95039999999972"/>
    <n v="-9.3779821943696953E-2"/>
    <s v="Q3-2024"/>
    <s v="Asia → Japan → Tokyo"/>
    <s v="Medium"/>
  </r>
  <r>
    <s v="ORD-2025-828263"/>
    <d v="2025-05-17T00:00:00"/>
    <d v="2025-05-30T00:00:00"/>
    <d v="2025-05-17T00:00:00"/>
    <d v="2025-05-30T00:00:00"/>
    <n v="13"/>
    <x v="14"/>
    <s v="Africa"/>
    <x v="1"/>
    <s v="Lagos"/>
    <s v="Consumer"/>
    <s v="Distributor"/>
    <s v="F. Müller"/>
    <x v="6"/>
    <x v="592"/>
    <n v="66.400000000000006"/>
    <n v="141.43"/>
    <n v="0.107"/>
    <n v="8"/>
    <n v="1010.3759200000001"/>
    <n v="531.20000000000005"/>
    <n v="479.17592000000002"/>
    <n v="0.47425508715607551"/>
    <s v="Q2-2025"/>
    <s v="Africa → Nigeria → Lagos"/>
    <s v="Low"/>
  </r>
  <r>
    <s v="ORD-2024-442776"/>
    <d v="2024-06-30T00:00:00"/>
    <d v="2024-07-21T00:00:00"/>
    <d v="2024-06-30T00:00:00"/>
    <d v="2024-07-21T00:00:00"/>
    <n v="21"/>
    <x v="25"/>
    <s v="Africa"/>
    <x v="0"/>
    <s v="Kisumu"/>
    <s v="Small Business"/>
    <s v="Retail"/>
    <s v="K. Singh"/>
    <x v="4"/>
    <x v="593"/>
    <n v="753.43"/>
    <n v="1787.2"/>
    <n v="7.2999999999999995E-2"/>
    <n v="9"/>
    <n v="14910.609600000002"/>
    <n v="6780.87"/>
    <n v="8129.7396000000017"/>
    <n v="0.54523187301476939"/>
    <s v="Q2-2024"/>
    <s v="Africa → Kenya → Kisumu"/>
    <s v="Medium"/>
  </r>
  <r>
    <s v="ORD-2025-705398"/>
    <d v="2025-02-17T00:00:00"/>
    <d v="2025-02-15T00:00:00"/>
    <d v="2025-02-15T00:00:00"/>
    <d v="2025-02-17T00:00:00"/>
    <n v="2"/>
    <x v="32"/>
    <s v="Americas"/>
    <x v="3"/>
    <s v="Toronto"/>
    <s v="Small Business"/>
    <s v="Retail"/>
    <s v="D. Smith"/>
    <x v="0"/>
    <x v="594"/>
    <n v="1133.47"/>
    <n v="1698.75"/>
    <n v="4.2999999999999997E-2"/>
    <n v="5"/>
    <n v="8128.5187499999993"/>
    <n v="5667.35"/>
    <n v="2461.1687499999989"/>
    <n v="0.30278194904821976"/>
    <s v="Q1-2025"/>
    <s v="Americas → Canada → Toronto"/>
    <s v="Medium"/>
  </r>
  <r>
    <s v="ORD-2023-689428"/>
    <d v="2023-01-07T00:00:00"/>
    <d v="2023-01-30T00:00:00"/>
    <d v="2023-01-07T00:00:00"/>
    <d v="2023-01-30T00:00:00"/>
    <n v="23"/>
    <x v="5"/>
    <s v="Africa"/>
    <x v="10"/>
    <s v="Cape Town"/>
    <s v="Consumer"/>
    <s v="Online"/>
    <s v="A. Patel"/>
    <x v="1"/>
    <x v="595"/>
    <n v="299.02"/>
    <n v="724.7"/>
    <n v="0.14000000000000001"/>
    <n v="5"/>
    <n v="3116.21"/>
    <n v="1495.1"/>
    <n v="1621.1100000000001"/>
    <n v="0.52021847051386139"/>
    <s v="Q1-2023"/>
    <s v="Africa → South Africa → Cape Town"/>
    <s v="Low"/>
  </r>
  <r>
    <s v="ORD-2025-683247"/>
    <d v="2025-03-10T00:00:00"/>
    <d v="2025-04-04T00:00:00"/>
    <d v="2025-03-10T00:00:00"/>
    <d v="2025-04-04T00:00:00"/>
    <n v="25"/>
    <x v="3"/>
    <s v="Asia"/>
    <x v="2"/>
    <s v="Osaka"/>
    <s v="Corporate"/>
    <s v="Direct"/>
    <s v="H. Kim"/>
    <x v="1"/>
    <x v="596"/>
    <n v="783.72"/>
    <n v="1355.94"/>
    <n v="0.187"/>
    <n v="4"/>
    <n v="4409.5168800000001"/>
    <n v="3134.88"/>
    <n v="1274.63688"/>
    <n v="0.28906497348525856"/>
    <s v="Q1-2025"/>
    <s v="Asia → Japan → Osaka"/>
    <s v="Medium"/>
  </r>
  <r>
    <s v="ORD-2023-704111"/>
    <d v="2023-05-17T00:00:00"/>
    <d v="2023-06-15T00:00:00"/>
    <d v="2023-05-17T00:00:00"/>
    <d v="2023-06-15T00:00:00"/>
    <n v="29"/>
    <x v="15"/>
    <s v="Africa"/>
    <x v="10"/>
    <s v="Durban"/>
    <s v="Enterprise"/>
    <s v="Retail"/>
    <s v="K. Singh"/>
    <x v="6"/>
    <x v="597"/>
    <n v="40.89"/>
    <n v="62.82"/>
    <n v="0.129"/>
    <n v="17"/>
    <n v="930.17574000000002"/>
    <n v="695.13"/>
    <n v="235.04574000000002"/>
    <n v="0.25268960465470752"/>
    <s v="Q2-2023"/>
    <s v="Africa → South Africa → Durban"/>
    <s v="Low"/>
  </r>
  <r>
    <s v="ORD-2024-907733"/>
    <d v="2024-03-09T00:00:00"/>
    <d v="2024-03-22T00:00:00"/>
    <d v="2024-03-09T00:00:00"/>
    <d v="2024-03-22T00:00:00"/>
    <n v="13"/>
    <x v="0"/>
    <s v="Europe"/>
    <x v="7"/>
    <s v="Manchester"/>
    <s v="Consumer"/>
    <s v="Online"/>
    <s v="E. Garcia"/>
    <x v="4"/>
    <x v="598"/>
    <n v="985.45"/>
    <n v="1802.44"/>
    <n v="8.9999999999999993E-3"/>
    <n v="19"/>
    <n v="33938.142760000002"/>
    <n v="18723.55"/>
    <n v="15214.592760000003"/>
    <n v="0.44830363486867486"/>
    <s v="Q1-2024"/>
    <s v="Europe → United Kingdom → Manchester"/>
    <s v="Medium"/>
  </r>
  <r>
    <s v="ORD-2024-550400"/>
    <d v="2024-08-19T00:00:00"/>
    <d v="2024-09-02T00:00:00"/>
    <d v="2024-08-19T00:00:00"/>
    <d v="2024-09-02T00:00:00"/>
    <n v="14"/>
    <x v="21"/>
    <s v="Americas"/>
    <x v="3"/>
    <s v="Toronto"/>
    <s v="Consumer"/>
    <s v="Distributor"/>
    <s v="C. Otieno"/>
    <x v="1"/>
    <x v="599"/>
    <n v="1337.01"/>
    <n v="1269.78"/>
    <n v="0.16"/>
    <n v="7"/>
    <n v="7466.3063999999986"/>
    <n v="9359.07"/>
    <n v="-1892.7636000000011"/>
    <n v="-0.25350735672996244"/>
    <s v="Q3-2024"/>
    <s v="Americas → Canada → Toronto"/>
    <s v="Medium"/>
  </r>
  <r>
    <s v="ORD-2025-189846"/>
    <d v="2025-08-11T00:00:00"/>
    <d v="2025-08-28T00:00:00"/>
    <d v="2025-08-11T00:00:00"/>
    <d v="2025-08-28T00:00:00"/>
    <n v="17"/>
    <x v="27"/>
    <s v="Europe"/>
    <x v="6"/>
    <s v="Paris"/>
    <s v="Education"/>
    <s v="Online"/>
    <s v="F. Müller"/>
    <x v="2"/>
    <x v="600"/>
    <n v="416.16"/>
    <n v="571.9"/>
    <n v="7.0999999999999994E-2"/>
    <n v="2"/>
    <n v="1062.5902000000001"/>
    <n v="832.32"/>
    <n v="230.27020000000005"/>
    <n v="0.21670649701079497"/>
    <s v="Q3-2025"/>
    <s v="Europe → France → Paris"/>
    <s v="Low"/>
  </r>
  <r>
    <s v="ORD-2025-752192"/>
    <d v="2025-05-16T00:00:00"/>
    <d v="2025-05-18T00:00:00"/>
    <d v="2025-05-16T00:00:00"/>
    <d v="2025-05-18T00:00:00"/>
    <n v="2"/>
    <x v="14"/>
    <s v="Asia"/>
    <x v="2"/>
    <s v="Tokyo"/>
    <s v="Enterprise"/>
    <s v="Retail"/>
    <s v="J. Njeri"/>
    <x v="1"/>
    <x v="601"/>
    <n v="1144.3800000000001"/>
    <n v="2755.04"/>
    <n v="0.15"/>
    <n v="17"/>
    <n v="39810.328000000001"/>
    <n v="19454.460000000003"/>
    <n v="20355.867999999999"/>
    <n v="0.51132128326096682"/>
    <s v="Q2-2025"/>
    <s v="Asia → Japan → Tokyo"/>
    <s v="High"/>
  </r>
  <r>
    <s v="ORD-2023-294716"/>
    <d v="2023-04-10T00:00:00"/>
    <d v="2023-04-25T00:00:00"/>
    <d v="2023-04-10T00:00:00"/>
    <d v="2023-04-25T00:00:00"/>
    <n v="15"/>
    <x v="12"/>
    <s v="Europe"/>
    <x v="7"/>
    <s v="London"/>
    <s v="Small Business"/>
    <s v="Retail"/>
    <s v="D. Smith"/>
    <x v="1"/>
    <x v="602"/>
    <n v="405.66"/>
    <n v="962.51"/>
    <n v="0.19"/>
    <n v="7"/>
    <n v="5457.4317000000001"/>
    <n v="2839.6200000000003"/>
    <n v="2617.8116999999997"/>
    <n v="0.47967832561239376"/>
    <s v="Q2-2023"/>
    <s v="Europe → United Kingdom → London"/>
    <s v="Low"/>
  </r>
  <r>
    <s v="ORD-2025-823055"/>
    <d v="2025-09-08T00:00:00"/>
    <d v="2025-10-05T00:00:00"/>
    <d v="2025-09-08T00:00:00"/>
    <d v="2025-10-05T00:00:00"/>
    <n v="27"/>
    <x v="13"/>
    <s v="Americas"/>
    <x v="5"/>
    <s v="Rio de Janeiro"/>
    <s v="Education"/>
    <s v="Online"/>
    <s v="C. Otieno"/>
    <x v="5"/>
    <x v="603"/>
    <n v="660.78"/>
    <n v="1630.39"/>
    <n v="0.218"/>
    <n v="13"/>
    <n v="16574.544740000001"/>
    <n v="8590.14"/>
    <n v="7984.4047400000018"/>
    <n v="0.48172694123724097"/>
    <s v="Q3-2025"/>
    <s v="Americas → Brazil → Rio de Janeiro"/>
    <s v="Medium"/>
  </r>
  <r>
    <s v="ORD-2023-271918"/>
    <d v="2023-09-25T00:00:00"/>
    <d v="2023-10-02T00:00:00"/>
    <d v="2023-09-25T00:00:00"/>
    <d v="2023-10-02T00:00:00"/>
    <n v="7"/>
    <x v="26"/>
    <s v="Americas"/>
    <x v="9"/>
    <s v="New York"/>
    <s v="Education"/>
    <s v="Marketplace"/>
    <s v="I. Johnson"/>
    <x v="6"/>
    <x v="604"/>
    <n v="145.58000000000001"/>
    <n v="228.15"/>
    <n v="0.20399999999999999"/>
    <n v="5"/>
    <n v="908.03700000000003"/>
    <n v="727.90000000000009"/>
    <n v="180.13699999999994"/>
    <n v="0.19838068272548359"/>
    <s v="Q3-2023"/>
    <s v="Americas → USA → New York"/>
    <s v="Low"/>
  </r>
  <r>
    <s v="ORD-2025-262434"/>
    <d v="2025-06-19T00:00:00"/>
    <d v="2025-06-21T00:00:00"/>
    <d v="2025-06-19T00:00:00"/>
    <d v="2025-06-21T00:00:00"/>
    <n v="2"/>
    <x v="22"/>
    <s v="Africa"/>
    <x v="10"/>
    <s v="Johannesburg"/>
    <s v="Small Business"/>
    <s v="Unknown Channel"/>
    <s v="H. Kim"/>
    <x v="3"/>
    <x v="605"/>
    <n v="1466.27"/>
    <n v="3589.89"/>
    <n v="9.7000000000000003E-2"/>
    <n v="9"/>
    <n v="29175.036029999999"/>
    <n v="13196.43"/>
    <n v="15978.606029999999"/>
    <n v="0.54768076425234147"/>
    <s v="Q2-2025"/>
    <s v="Africa → South Africa → Johannesburg"/>
    <s v="High"/>
  </r>
  <r>
    <s v="ORD-2024-266562"/>
    <d v="2024-11-27T00:00:00"/>
    <d v="2024-12-24T00:00:00"/>
    <d v="2024-11-27T00:00:00"/>
    <d v="2024-12-24T00:00:00"/>
    <n v="27"/>
    <x v="17"/>
    <s v="Africa"/>
    <x v="0"/>
    <s v="Mombasa"/>
    <s v="Corporate"/>
    <s v="Distributor"/>
    <s v="B. Chen"/>
    <x v="1"/>
    <x v="606"/>
    <n v="143.33000000000001"/>
    <n v="233.51"/>
    <n v="0.16300000000000001"/>
    <n v="14"/>
    <n v="2736.27018"/>
    <n v="2006.6200000000001"/>
    <n v="729.65017999999986"/>
    <n v="0.26665867476580835"/>
    <s v="Q4-2024"/>
    <s v="Africa → Kenya → Mombasa"/>
    <s v="Low"/>
  </r>
  <r>
    <s v="ORD-2024-838925"/>
    <d v="2024-01-28T00:00:00"/>
    <d v="2024-01-27T00:00:00"/>
    <d v="2024-01-27T00:00:00"/>
    <d v="2024-01-28T00:00:00"/>
    <n v="1"/>
    <x v="10"/>
    <s v="Africa"/>
    <x v="10"/>
    <s v="Cape Town"/>
    <s v="Enterprise"/>
    <s v="Direct"/>
    <s v="O. Wang"/>
    <x v="0"/>
    <x v="607"/>
    <n v="109.75"/>
    <n v="124.25"/>
    <n v="0.12"/>
    <n v="19"/>
    <n v="2077.46"/>
    <n v="2085.25"/>
    <n v="-7.7899999999999636"/>
    <n v="-3.7497713554051405E-3"/>
    <s v="Q1-2024"/>
    <s v="Africa → South Africa → Cape Town"/>
    <s v="Low"/>
  </r>
  <r>
    <s v="ORD-2023-664790"/>
    <d v="2023-04-16T00:00:00"/>
    <d v="2023-04-23T00:00:00"/>
    <d v="2023-04-16T00:00:00"/>
    <d v="2023-04-23T00:00:00"/>
    <n v="7"/>
    <x v="12"/>
    <s v="Americas"/>
    <x v="9"/>
    <s v="Austin"/>
    <s v="Corporate"/>
    <s v="Distributor"/>
    <s v="O. Wang"/>
    <x v="1"/>
    <x v="608"/>
    <n v="1099.1500000000001"/>
    <n v="1431.37"/>
    <n v="0.104"/>
    <n v="8"/>
    <n v="10260.060159999999"/>
    <n v="8793.2000000000007"/>
    <n v="1466.8601599999984"/>
    <n v="0.14296798821109433"/>
    <s v="Q2-2023"/>
    <s v="Americas → USA → Austin"/>
    <s v="Medium"/>
  </r>
  <r>
    <s v="ORD-2024-331408"/>
    <d v="2024-02-01T00:00:00"/>
    <d v="2024-02-01T00:00:00"/>
    <d v="2024-02-01T00:00:00"/>
    <d v="2024-02-01T00:00:00"/>
    <n v="0"/>
    <x v="31"/>
    <s v="Americas"/>
    <x v="9"/>
    <s v="Austin"/>
    <s v="Consumer"/>
    <s v="Distributor"/>
    <s v="H. Kim"/>
    <x v="1"/>
    <x v="609"/>
    <n v="714.43"/>
    <n v="1595.52"/>
    <n v="0.19400000000000001"/>
    <n v="14"/>
    <n v="18003.847679999999"/>
    <n v="10002.019999999999"/>
    <n v="8001.8276800000003"/>
    <n v="0.44445097638151093"/>
    <s v="Q1-2024"/>
    <s v="Americas → USA → Austin"/>
    <s v="Medium"/>
  </r>
  <r>
    <s v="ORD-2024-741404"/>
    <d v="2024-10-19T00:00:00"/>
    <d v="2024-11-06T00:00:00"/>
    <d v="2024-10-19T00:00:00"/>
    <d v="2024-11-06T00:00:00"/>
    <n v="18"/>
    <x v="1"/>
    <s v="Americas"/>
    <x v="9"/>
    <s v="Chicago"/>
    <s v="Education"/>
    <s v="Unknown Channel"/>
    <s v="C. Otieno"/>
    <x v="5"/>
    <x v="610"/>
    <n v="942.02"/>
    <n v="1028.46"/>
    <n v="0"/>
    <n v="9"/>
    <n v="9256.14"/>
    <n v="8478.18"/>
    <n v="777.95999999999913"/>
    <n v="8.4047994088248354E-2"/>
    <s v="Q4-2024"/>
    <s v="Americas → USA → Chicago"/>
    <s v="Low"/>
  </r>
  <r>
    <s v="ORD-2024-341535"/>
    <d v="2024-06-25T00:00:00"/>
    <d v="2024-06-30T00:00:00"/>
    <d v="2024-06-25T00:00:00"/>
    <d v="2024-06-30T00:00:00"/>
    <n v="5"/>
    <x v="25"/>
    <s v="Africa"/>
    <x v="0"/>
    <s v="Kisumu"/>
    <s v="Education"/>
    <s v="Direct"/>
    <s v="M. Rossi"/>
    <x v="2"/>
    <x v="611"/>
    <n v="1323.55"/>
    <n v="3230.35"/>
    <n v="2.1999999999999999E-2"/>
    <n v="26"/>
    <n v="82141.339799999987"/>
    <n v="34412.299999999996"/>
    <n v="47729.039799999991"/>
    <n v="0.58105991351263542"/>
    <s v="Q2-2024"/>
    <s v="Africa → Kenya → Kisumu"/>
    <s v="High"/>
  </r>
  <r>
    <s v="ORD-2023-451931"/>
    <d v="2023-07-30T00:00:00"/>
    <d v="2023-08-19T00:00:00"/>
    <d v="2023-07-30T00:00:00"/>
    <d v="2023-08-19T00:00:00"/>
    <n v="20"/>
    <x v="23"/>
    <s v="Europe"/>
    <x v="6"/>
    <s v="Paris"/>
    <s v="Enterprise"/>
    <s v="Marketplace"/>
    <s v="G. Dubois"/>
    <x v="2"/>
    <x v="612"/>
    <n v="1418.51"/>
    <n v="2789.61"/>
    <n v="0.17100000000000001"/>
    <n v="8"/>
    <n v="18500.693520000001"/>
    <n v="11348.08"/>
    <n v="7152.6135200000008"/>
    <n v="0.38661326464695689"/>
    <s v="Q3-2023"/>
    <s v="Europe → France → Paris"/>
    <s v="High"/>
  </r>
  <r>
    <s v="ORD-2025-532859"/>
    <d v="2025-03-11T00:00:00"/>
    <d v="2025-03-27T00:00:00"/>
    <d v="2025-03-11T00:00:00"/>
    <d v="2025-03-27T00:00:00"/>
    <n v="16"/>
    <x v="3"/>
    <s v="Asia"/>
    <x v="2"/>
    <s v="Tokyo"/>
    <s v="Enterprise"/>
    <s v="Distributor"/>
    <s v="B. Chen"/>
    <x v="1"/>
    <x v="613"/>
    <n v="1317.58"/>
    <n v="1897.74"/>
    <n v="8.1000000000000003E-2"/>
    <n v="6"/>
    <n v="10464.138360000001"/>
    <n v="7905.48"/>
    <n v="2558.6583600000013"/>
    <n v="0.24451687009230266"/>
    <s v="Q1-2025"/>
    <s v="Asia → Japan → Tokyo"/>
    <s v="Medium"/>
  </r>
  <r>
    <s v="ORD-2023-502205"/>
    <d v="2023-10-09T00:00:00"/>
    <d v="2023-10-11T00:00:00"/>
    <d v="2023-10-09T00:00:00"/>
    <d v="2023-10-11T00:00:00"/>
    <n v="2"/>
    <x v="30"/>
    <s v="Africa"/>
    <x v="1"/>
    <s v="Port Harcourt"/>
    <s v="Education"/>
    <s v="Marketplace"/>
    <s v="K. Singh"/>
    <x v="2"/>
    <x v="614"/>
    <n v="391.16"/>
    <n v="902.47"/>
    <n v="4.0000000000000001E-3"/>
    <n v="12"/>
    <n v="10786.32144"/>
    <n v="4693.92"/>
    <n v="6092.4014399999996"/>
    <n v="0.56482661618139207"/>
    <s v="Q4-2023"/>
    <s v="Africa → Nigeria → Port Harcourt"/>
    <s v="Low"/>
  </r>
  <r>
    <s v="ORD-2024-930679"/>
    <d v="2024-12-17T00:00:00"/>
    <d v="2025-01-16T00:00:00"/>
    <d v="2024-12-17T00:00:00"/>
    <d v="2025-01-16T00:00:00"/>
    <n v="30"/>
    <x v="6"/>
    <s v="Europe"/>
    <x v="7"/>
    <s v="Manchester"/>
    <s v="Corporate"/>
    <s v="Retail"/>
    <s v="D. Smith"/>
    <x v="5"/>
    <x v="615"/>
    <n v="722.87"/>
    <n v="33.659999999999997"/>
    <n v="0.10199999999999999"/>
    <n v="28"/>
    <n v="846.34703999999988"/>
    <n v="20240.36"/>
    <n v="-19394.01296"/>
    <n v="-22.914965189693348"/>
    <s v="Q4-2024"/>
    <s v="Europe → United Kingdom → Manchester"/>
    <s v="Low"/>
  </r>
  <r>
    <s v="ORD-2025-150713"/>
    <d v="2025-07-11T00:00:00"/>
    <d v="2025-07-16T00:00:00"/>
    <d v="2025-07-11T00:00:00"/>
    <d v="2025-07-16T00:00:00"/>
    <n v="5"/>
    <x v="19"/>
    <s v="Europe"/>
    <x v="7"/>
    <s v="London"/>
    <s v="Enterprise"/>
    <s v="Online"/>
    <s v="K. Singh"/>
    <x v="1"/>
    <x v="616"/>
    <n v="930.03"/>
    <n v="1086.68"/>
    <n v="0.109"/>
    <n v="26"/>
    <n v="25174.028880000002"/>
    <n v="24180.78"/>
    <n v="993.24888000000283"/>
    <n v="3.9455300728168656E-2"/>
    <s v="Q3-2025"/>
    <s v="Europe → United Kingdom → London"/>
    <s v="Low"/>
  </r>
  <r>
    <s v="ORD-2024-756884"/>
    <d v="2024-10-13T00:00:00"/>
    <d v="2024-10-24T00:00:00"/>
    <d v="2024-10-13T00:00:00"/>
    <d v="2024-10-24T00:00:00"/>
    <n v="11"/>
    <x v="1"/>
    <s v="Europe"/>
    <x v="6"/>
    <s v="Paris"/>
    <s v="Education"/>
    <s v="Distributor"/>
    <s v="F. Müller"/>
    <x v="0"/>
    <x v="617"/>
    <n v="816.7"/>
    <n v="1010.75"/>
    <n v="4.7E-2"/>
    <n v="43"/>
    <n v="41419.524249999995"/>
    <n v="35118.1"/>
    <n v="6301.4242499999964"/>
    <n v="0.15213656757537472"/>
    <s v="Q4-2024"/>
    <s v="Europe → France → Paris"/>
    <s v="Low"/>
  </r>
  <r>
    <s v="ORD-2024-166150"/>
    <d v="2024-06-02T00:00:00"/>
    <d v="2024-06-08T00:00:00"/>
    <d v="2024-06-02T00:00:00"/>
    <d v="2024-06-08T00:00:00"/>
    <n v="6"/>
    <x v="25"/>
    <s v="Africa"/>
    <x v="0"/>
    <s v="Kisumu"/>
    <s v="Consumer"/>
    <s v="Marketplace"/>
    <s v="A. Patel"/>
    <x v="6"/>
    <x v="618"/>
    <n v="292.94"/>
    <n v="356.55"/>
    <n v="0.22900000000000001"/>
    <n v="2"/>
    <n v="549.80010000000004"/>
    <n v="585.88"/>
    <n v="-36.079899999999952"/>
    <n v="-6.5623669402751925E-2"/>
    <s v="Q2-2024"/>
    <s v="Africa → Kenya → Kisumu"/>
    <s v="Low"/>
  </r>
  <r>
    <s v="ORD-2025-639542"/>
    <d v="2025-06-09T00:00:00"/>
    <d v="2025-06-18T00:00:00"/>
    <d v="2025-06-09T00:00:00"/>
    <d v="2025-06-18T00:00:00"/>
    <n v="9"/>
    <x v="22"/>
    <s v="Europe"/>
    <x v="6"/>
    <s v="Marseille"/>
    <s v="Small Business"/>
    <s v="Marketplace"/>
    <s v="H. Kim"/>
    <x v="6"/>
    <x v="619"/>
    <n v="1225.5"/>
    <n v="5.27"/>
    <n v="7.4999999999999997E-2"/>
    <n v="56"/>
    <n v="272.98599999999999"/>
    <n v="68628"/>
    <n v="-68355.013999999996"/>
    <n v="-250.39750756449047"/>
    <s v="Q2-2025"/>
    <s v="Europe → France → Marseille"/>
    <s v="Low"/>
  </r>
  <r>
    <s v="ORD-2024-817997"/>
    <d v="2024-07-28T00:00:00"/>
    <d v="2024-08-23T00:00:00"/>
    <d v="2024-07-28T00:00:00"/>
    <d v="2024-08-23T00:00:00"/>
    <n v="26"/>
    <x v="8"/>
    <s v="Asia"/>
    <x v="4"/>
    <s v="Hyderabad"/>
    <s v="Corporate"/>
    <s v="Retail"/>
    <s v="J. Njeri"/>
    <x v="2"/>
    <x v="620"/>
    <n v="1339.24"/>
    <n v="1558.89"/>
    <n v="0.192"/>
    <n v="24"/>
    <n v="30229.994880000002"/>
    <n v="32141.760000000002"/>
    <n v="-1911.76512"/>
    <n v="-6.3240669659021781E-2"/>
    <s v="Q3-2024"/>
    <s v="Asia → India → Hyderabad"/>
    <s v="Medium"/>
  </r>
  <r>
    <s v="ORD-2025-667201"/>
    <d v="2025-09-15T00:00:00"/>
    <d v="2025-09-18T00:00:00"/>
    <d v="2025-09-15T00:00:00"/>
    <d v="2025-09-18T00:00:00"/>
    <n v="3"/>
    <x v="13"/>
    <s v="Americas"/>
    <x v="5"/>
    <s v="Rio de Janeiro"/>
    <s v="Non-Profit"/>
    <s v="Direct"/>
    <s v="L. Okafor"/>
    <x v="6"/>
    <x v="621"/>
    <n v="5.5"/>
    <n v="5.92"/>
    <n v="0.21199999999999999"/>
    <n v="4"/>
    <n v="18.659839999999999"/>
    <n v="22"/>
    <n v="-3.3401600000000009"/>
    <n v="-0.17900260666758133"/>
    <s v="Q3-2025"/>
    <s v="Americas → Brazil → Rio de Janeiro"/>
    <s v="Low"/>
  </r>
  <r>
    <s v="ORD-2023-885216"/>
    <d v="2023-08-03T00:00:00"/>
    <d v="2023-08-02T00:00:00"/>
    <d v="2023-08-02T00:00:00"/>
    <d v="2023-08-03T00:00:00"/>
    <n v="1"/>
    <x v="24"/>
    <s v="Asia"/>
    <x v="8"/>
    <s v="Shanghai"/>
    <s v="Non-Profit"/>
    <s v="Direct"/>
    <s v="J. Njeri"/>
    <x v="2"/>
    <x v="622"/>
    <n v="1021.97"/>
    <n v="2296.25"/>
    <n v="0.161"/>
    <n v="26"/>
    <n v="50090.397499999999"/>
    <n v="26571.22"/>
    <n v="23519.177499999998"/>
    <n v="0.46953465482081669"/>
    <s v="Q3-2023"/>
    <s v="Asia → China → Shanghai"/>
    <s v="High"/>
  </r>
  <r>
    <s v="ORD-2023-561823"/>
    <d v="2023-11-19T00:00:00"/>
    <d v="2023-12-12T00:00:00"/>
    <d v="2023-11-19T00:00:00"/>
    <d v="2023-12-12T00:00:00"/>
    <n v="23"/>
    <x v="29"/>
    <s v="Asia"/>
    <x v="4"/>
    <s v="Delhi"/>
    <s v="Small Business"/>
    <s v="Direct"/>
    <s v="C. Otieno"/>
    <x v="2"/>
    <x v="623"/>
    <n v="1349.04"/>
    <n v="2636.6"/>
    <n v="0.114"/>
    <n v="14"/>
    <n v="32704.386400000003"/>
    <n v="18886.559999999998"/>
    <n v="13817.826400000005"/>
    <n v="0.42250682312143928"/>
    <s v="Q4-2023"/>
    <s v="Asia → India → Delhi"/>
    <s v="High"/>
  </r>
  <r>
    <s v="ORD-2023-249805"/>
    <d v="2023-12-22T00:00:00"/>
    <d v="2024-01-16T00:00:00"/>
    <d v="2023-12-22T00:00:00"/>
    <d v="2024-01-16T00:00:00"/>
    <n v="25"/>
    <x v="4"/>
    <s v="Asia"/>
    <x v="4"/>
    <s v="Hyderabad"/>
    <s v="Small Business"/>
    <s v="Retail"/>
    <s v="A. Patel"/>
    <x v="0"/>
    <x v="624"/>
    <n v="1346.81"/>
    <n v="978.09"/>
    <n v="0.159"/>
    <n v="17"/>
    <n v="13983.752729999998"/>
    <n v="22895.77"/>
    <n v="-8912.0172700000021"/>
    <n v="-0.6373122753293996"/>
    <s v="Q4-2023"/>
    <s v="Asia → India → Hyderabad"/>
    <s v="Low"/>
  </r>
  <r>
    <s v="ORD-2023-548934"/>
    <d v="2023-08-03T00:00:00"/>
    <d v="2023-08-30T00:00:00"/>
    <d v="2023-08-03T00:00:00"/>
    <d v="2023-08-30T00:00:00"/>
    <n v="27"/>
    <x v="24"/>
    <s v="Asia"/>
    <x v="8"/>
    <s v="Shanghai"/>
    <s v="Consumer"/>
    <s v="Distributor"/>
    <s v="N. Brown"/>
    <x v="5"/>
    <x v="625"/>
    <n v="226.04"/>
    <n v="545.72"/>
    <n v="0.151"/>
    <n v="11"/>
    <n v="5096.4790800000001"/>
    <n v="2486.44"/>
    <n v="2610.03908"/>
    <n v="0.51212592831834014"/>
    <s v="Q3-2023"/>
    <s v="Asia → China → Shanghai"/>
    <s v="Low"/>
  </r>
  <r>
    <s v="ORD-2023-921939"/>
    <d v="2023-06-23T00:00:00"/>
    <d v="2023-07-18T00:00:00"/>
    <d v="2023-06-23T00:00:00"/>
    <d v="2023-07-18T00:00:00"/>
    <n v="25"/>
    <x v="16"/>
    <s v="Americas"/>
    <x v="3"/>
    <s v="Vancouver"/>
    <s v="Enterprise"/>
    <s v="Online"/>
    <s v="N. Brown"/>
    <x v="3"/>
    <x v="626"/>
    <n v="807.02"/>
    <n v="1435.54"/>
    <n v="0"/>
    <n v="23"/>
    <n v="33017.42"/>
    <n v="18561.46"/>
    <n v="14455.96"/>
    <n v="0.43782827368098415"/>
    <s v="Q2-2023"/>
    <s v="Americas → Canada → Vancouver"/>
    <s v="Medium"/>
  </r>
  <r>
    <s v="ORD-2023-961864"/>
    <d v="2023-12-07T00:00:00"/>
    <d v="2024-01-02T00:00:00"/>
    <d v="2023-12-07T00:00:00"/>
    <d v="2024-01-02T00:00:00"/>
    <n v="26"/>
    <x v="4"/>
    <s v="Europe"/>
    <x v="11"/>
    <s v="Frankfurt"/>
    <s v="Enterprise"/>
    <s v="Distributor"/>
    <s v="E. Garcia"/>
    <x v="0"/>
    <x v="627"/>
    <n v="1071.99"/>
    <n v="2397.3000000000002"/>
    <n v="6.2E-2"/>
    <n v="18"/>
    <n v="40476.013200000001"/>
    <n v="19295.82"/>
    <n v="21180.193200000002"/>
    <n v="0.52327765324476183"/>
    <s v="Q4-2023"/>
    <s v="Europe → Germany → Frankfurt"/>
    <s v="High"/>
  </r>
  <r>
    <s v="ORD-2023-455933"/>
    <d v="2023-11-19T00:00:00"/>
    <d v="2023-12-19T00:00:00"/>
    <d v="2023-11-19T00:00:00"/>
    <d v="2023-12-19T00:00:00"/>
    <n v="30"/>
    <x v="29"/>
    <s v="Asia"/>
    <x v="2"/>
    <s v="Nagoya"/>
    <s v="Consumer"/>
    <s v="Retail"/>
    <s v="Unknown Salesperson"/>
    <x v="3"/>
    <x v="628"/>
    <n v="807.11"/>
    <n v="1853.86"/>
    <n v="0.13900000000000001"/>
    <n v="8"/>
    <n v="12769.38768"/>
    <n v="6456.88"/>
    <n v="6312.5076799999997"/>
    <n v="0.49434693645388639"/>
    <s v="Q4-2023"/>
    <s v="Asia → Japan → Nagoya"/>
    <s v="Medium"/>
  </r>
  <r>
    <s v="ORD-2025-728935"/>
    <d v="2025-02-28T00:00:00"/>
    <d v="2025-03-10T00:00:00"/>
    <d v="2025-02-28T00:00:00"/>
    <d v="2025-03-10T00:00:00"/>
    <n v="10"/>
    <x v="32"/>
    <s v="Asia"/>
    <x v="2"/>
    <s v="Osaka"/>
    <s v="Education"/>
    <s v="Distributor"/>
    <s v="N. Brown"/>
    <x v="4"/>
    <x v="629"/>
    <n v="51.86"/>
    <n v="45.98"/>
    <n v="0.17299999999999999"/>
    <n v="7"/>
    <n v="266.17821999999995"/>
    <n v="363.02"/>
    <n v="-96.841780000000028"/>
    <n v="-0.3638230806412337"/>
    <s v="Q1-2025"/>
    <s v="Asia → Japan → Osaka"/>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AE6" firstHeaderRow="1" firstDataRow="2" firstDataCol="1"/>
  <pivotFields count="26">
    <pivotField showAll="0"/>
    <pivotField numFmtId="14" showAll="0"/>
    <pivotField numFmtId="14" showAll="0"/>
    <pivotField numFmtId="14" showAll="0"/>
    <pivotField numFmtId="14" showAll="0"/>
    <pivotField numFmtId="1" showAll="0"/>
    <pivotField axis="axisCol" showAll="0">
      <items count="34">
        <item x="30"/>
        <item x="1"/>
        <item x="29"/>
        <item x="17"/>
        <item x="5"/>
        <item x="10"/>
        <item x="9"/>
        <item x="4"/>
        <item x="6"/>
        <item x="2"/>
        <item x="31"/>
        <item x="32"/>
        <item x="11"/>
        <item x="0"/>
        <item x="3"/>
        <item x="12"/>
        <item x="20"/>
        <item x="18"/>
        <item x="15"/>
        <item x="7"/>
        <item x="14"/>
        <item x="16"/>
        <item x="25"/>
        <item x="22"/>
        <item x="23"/>
        <item x="8"/>
        <item x="19"/>
        <item x="24"/>
        <item x="21"/>
        <item x="27"/>
        <item x="26"/>
        <item x="28"/>
        <item x="13"/>
        <item t="default"/>
      </items>
    </pivotField>
    <pivotField showAll="0"/>
    <pivotField axis="axisRow" showAll="0">
      <items count="13">
        <item x="5"/>
        <item h="1" x="3"/>
        <item h="1" x="8"/>
        <item h="1" x="6"/>
        <item h="1" x="11"/>
        <item h="1" x="4"/>
        <item h="1" x="2"/>
        <item h="1" x="0"/>
        <item h="1" x="1"/>
        <item h="1" x="10"/>
        <item h="1" x="7"/>
        <item h="1" x="9"/>
        <item t="default"/>
      </items>
    </pivotField>
    <pivotField showAll="0"/>
    <pivotField showAll="0"/>
    <pivotField showAll="0"/>
    <pivotField showAll="0"/>
    <pivotField showAll="0"/>
    <pivotField showAll="0"/>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s>
  <rowFields count="1">
    <field x="8"/>
  </rowFields>
  <rowItems count="2">
    <i>
      <x/>
    </i>
    <i t="grand">
      <x/>
    </i>
  </rowItems>
  <colFields count="1">
    <field x="6"/>
  </colFields>
  <colItems count="30">
    <i>
      <x/>
    </i>
    <i>
      <x v="2"/>
    </i>
    <i>
      <x v="3"/>
    </i>
    <i>
      <x v="4"/>
    </i>
    <i>
      <x v="5"/>
    </i>
    <i>
      <x v="6"/>
    </i>
    <i>
      <x v="7"/>
    </i>
    <i>
      <x v="9"/>
    </i>
    <i>
      <x v="10"/>
    </i>
    <i>
      <x v="11"/>
    </i>
    <i>
      <x v="12"/>
    </i>
    <i>
      <x v="14"/>
    </i>
    <i>
      <x v="15"/>
    </i>
    <i>
      <x v="16"/>
    </i>
    <i>
      <x v="17"/>
    </i>
    <i>
      <x v="18"/>
    </i>
    <i>
      <x v="19"/>
    </i>
    <i>
      <x v="20"/>
    </i>
    <i>
      <x v="21"/>
    </i>
    <i>
      <x v="22"/>
    </i>
    <i>
      <x v="24"/>
    </i>
    <i>
      <x v="25"/>
    </i>
    <i>
      <x v="26"/>
    </i>
    <i>
      <x v="27"/>
    </i>
    <i>
      <x v="28"/>
    </i>
    <i>
      <x v="29"/>
    </i>
    <i>
      <x v="30"/>
    </i>
    <i>
      <x v="31"/>
    </i>
    <i>
      <x v="32"/>
    </i>
    <i t="grand">
      <x/>
    </i>
  </colItems>
  <dataFields count="1">
    <dataField name="Sum of GrossRevenue"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41" firstHeaderRow="1" firstDataRow="1" firstDataCol="1"/>
  <pivotFields count="26">
    <pivotField showAll="0"/>
    <pivotField numFmtId="14" showAll="0"/>
    <pivotField numFmtId="14" showAll="0"/>
    <pivotField numFmtId="14" showAll="0"/>
    <pivotField numFmtId="14" showAll="0"/>
    <pivotField numFmtId="1" showAll="0"/>
    <pivotField showAll="0"/>
    <pivotField showAll="0"/>
    <pivotField showAll="0"/>
    <pivotField showAll="0"/>
    <pivotField showAll="0"/>
    <pivotField showAll="0"/>
    <pivotField showAll="0"/>
    <pivotField axis="axisRow" showAll="0">
      <items count="8">
        <item x="6"/>
        <item x="0"/>
        <item x="4"/>
        <item x="5"/>
        <item x="2"/>
        <item x="3"/>
        <item x="1"/>
        <item t="default"/>
      </items>
    </pivotField>
    <pivotField axis="axisRow" showAll="0" sortType="descending">
      <items count="631">
        <item x="587"/>
        <item x="338"/>
        <item x="516"/>
        <item x="333"/>
        <item x="70"/>
        <item x="291"/>
        <item x="103"/>
        <item x="460"/>
        <item x="454"/>
        <item x="312"/>
        <item x="109"/>
        <item x="441"/>
        <item x="154"/>
        <item x="619"/>
        <item x="207"/>
        <item x="551"/>
        <item x="355"/>
        <item x="493"/>
        <item x="290"/>
        <item x="340"/>
        <item x="360"/>
        <item x="415"/>
        <item x="319"/>
        <item x="22"/>
        <item x="579"/>
        <item x="478"/>
        <item x="147"/>
        <item x="592"/>
        <item x="346"/>
        <item x="275"/>
        <item x="604"/>
        <item x="450"/>
        <item x="185"/>
        <item x="158"/>
        <item x="489"/>
        <item x="465"/>
        <item x="332"/>
        <item x="352"/>
        <item x="552"/>
        <item x="325"/>
        <item x="187"/>
        <item x="59"/>
        <item x="576"/>
        <item x="545"/>
        <item x="130"/>
        <item x="588"/>
        <item x="358"/>
        <item x="521"/>
        <item x="261"/>
        <item x="170"/>
        <item x="77"/>
        <item x="597"/>
        <item x="416"/>
        <item x="131"/>
        <item x="306"/>
        <item x="536"/>
        <item x="113"/>
        <item x="277"/>
        <item x="293"/>
        <item x="139"/>
        <item x="10"/>
        <item x="621"/>
        <item x="554"/>
        <item x="97"/>
        <item x="317"/>
        <item x="299"/>
        <item x="569"/>
        <item x="292"/>
        <item x="66"/>
        <item x="408"/>
        <item x="227"/>
        <item x="491"/>
        <item x="58"/>
        <item x="557"/>
        <item x="541"/>
        <item x="144"/>
        <item x="288"/>
        <item x="394"/>
        <item x="209"/>
        <item x="182"/>
        <item x="221"/>
        <item x="93"/>
        <item x="50"/>
        <item x="162"/>
        <item x="57"/>
        <item x="437"/>
        <item x="142"/>
        <item x="618"/>
        <item x="75"/>
        <item x="169"/>
        <item x="513"/>
        <item x="471"/>
        <item x="25"/>
        <item x="607"/>
        <item x="624"/>
        <item x="34"/>
        <item x="172"/>
        <item x="627"/>
        <item x="401"/>
        <item x="126"/>
        <item x="391"/>
        <item x="124"/>
        <item x="484"/>
        <item x="523"/>
        <item x="377"/>
        <item x="12"/>
        <item x="87"/>
        <item x="82"/>
        <item x="323"/>
        <item x="510"/>
        <item x="367"/>
        <item x="458"/>
        <item x="474"/>
        <item x="136"/>
        <item x="54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357"/>
        <item x="289"/>
        <item x="476"/>
        <item x="237"/>
        <item x="585"/>
        <item x="177"/>
        <item x="300"/>
        <item x="267"/>
        <item x="559"/>
        <item x="225"/>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497"/>
        <item x="309"/>
        <item x="304"/>
        <item x="542"/>
        <item x="242"/>
        <item x="457"/>
        <item x="123"/>
        <item x="23"/>
        <item x="255"/>
        <item x="508"/>
        <item x="104"/>
        <item x="190"/>
        <item x="563"/>
        <item x="387"/>
        <item x="251"/>
        <item x="151"/>
        <item x="520"/>
        <item x="593"/>
        <item x="368"/>
        <item x="403"/>
        <item x="409"/>
        <item x="219"/>
        <item x="173"/>
        <item x="102"/>
        <item x="388"/>
        <item x="356"/>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4"/>
        <item x="247"/>
        <item x="311"/>
        <item x="89"/>
        <item x="547"/>
        <item x="249"/>
        <item x="135"/>
        <item x="273"/>
        <item x="427"/>
        <item x="83"/>
        <item x="398"/>
        <item x="121"/>
        <item x="625"/>
        <item x="418"/>
        <item x="615"/>
        <item x="268"/>
        <item x="351"/>
        <item x="580"/>
        <item x="297"/>
        <item x="51"/>
        <item x="252"/>
        <item x="372"/>
        <item x="432"/>
        <item x="499"/>
        <item x="495"/>
        <item x="204"/>
        <item x="456"/>
        <item x="455"/>
        <item x="63"/>
        <item x="233"/>
        <item x="178"/>
        <item x="305"/>
        <item x="447"/>
        <item x="280"/>
        <item x="298"/>
        <item x="183"/>
        <item x="363"/>
        <item x="389"/>
        <item x="561"/>
        <item x="572"/>
        <item x="522"/>
        <item x="302"/>
        <item x="310"/>
        <item x="328"/>
        <item x="165"/>
        <item x="67"/>
        <item x="453"/>
        <item x="8"/>
        <item x="175"/>
        <item x="556"/>
        <item x="446"/>
        <item x="9"/>
        <item x="191"/>
        <item x="168"/>
        <item x="383"/>
        <item x="258"/>
        <item x="211"/>
        <item x="76"/>
        <item x="79"/>
        <item x="610"/>
        <item x="544"/>
        <item x="6"/>
        <item x="272"/>
        <item x="540"/>
        <item x="431"/>
        <item x="184"/>
        <item x="494"/>
        <item x="254"/>
        <item x="88"/>
        <item x="118"/>
        <item x="531"/>
        <item x="163"/>
        <item x="603"/>
        <item x="318"/>
        <item x="395"/>
        <item x="266"/>
        <item x="160"/>
        <item x="40"/>
        <item x="496"/>
        <item x="270"/>
        <item x="55"/>
        <item x="590"/>
        <item x="380"/>
        <item x="41"/>
        <item x="223"/>
        <item x="226"/>
        <item x="71"/>
        <item x="98"/>
        <item x="341"/>
        <item x="73"/>
        <item x="479"/>
        <item x="90"/>
        <item x="45"/>
        <item x="47"/>
        <item x="65"/>
        <item x="257"/>
        <item x="623"/>
        <item x="438"/>
        <item x="562"/>
        <item x="248"/>
        <item x="115"/>
        <item x="577"/>
        <item x="114"/>
        <item x="21"/>
        <item x="399"/>
        <item x="198"/>
        <item x="376"/>
        <item x="575"/>
        <item x="506"/>
        <item x="307"/>
        <item x="574"/>
        <item x="382"/>
        <item x="262"/>
        <item x="180"/>
        <item x="129"/>
        <item x="517"/>
        <item x="112"/>
        <item x="548"/>
        <item x="321"/>
        <item x="620"/>
        <item x="622"/>
        <item x="80"/>
        <item x="322"/>
        <item x="543"/>
        <item x="48"/>
        <item x="462"/>
        <item x="612"/>
        <item x="379"/>
        <item x="276"/>
        <item x="194"/>
        <item x="611"/>
        <item x="466"/>
        <item x="203"/>
        <item x="600"/>
        <item x="483"/>
        <item x="120"/>
        <item x="108"/>
        <item x="535"/>
        <item x="413"/>
        <item x="84"/>
        <item x="550"/>
        <item x="215"/>
        <item x="378"/>
        <item x="155"/>
        <item x="32"/>
        <item x="433"/>
        <item x="502"/>
        <item x="281"/>
        <item x="337"/>
        <item x="503"/>
        <item x="156"/>
        <item x="538"/>
        <item x="614"/>
        <item x="353"/>
        <item x="331"/>
        <item x="92"/>
        <item x="567"/>
        <item x="529"/>
        <item x="344"/>
        <item x="2"/>
        <item x="29"/>
        <item x="435"/>
        <item x="287"/>
        <item x="54"/>
        <item x="420"/>
        <item x="17"/>
        <item x="282"/>
        <item x="347"/>
        <item x="213"/>
        <item x="343"/>
        <item x="28"/>
        <item x="560"/>
        <item x="512"/>
        <item x="202"/>
        <item x="371"/>
        <item x="327"/>
        <item x="107"/>
        <item x="448"/>
        <item x="238"/>
        <item x="482"/>
        <item x="534"/>
        <item x="422"/>
        <item x="133"/>
        <item x="530"/>
        <item x="214"/>
        <item x="426"/>
        <item x="200"/>
        <item x="392"/>
        <item x="91"/>
        <item x="241"/>
        <item x="286"/>
        <item x="263"/>
        <item x="334"/>
        <item x="412"/>
        <item x="440"/>
        <item x="128"/>
        <item x="570"/>
        <item x="3"/>
        <item x="498"/>
        <item x="149"/>
        <item x="188"/>
        <item x="626"/>
        <item x="245"/>
        <item x="31"/>
        <item x="375"/>
        <item x="197"/>
        <item x="303"/>
        <item x="584"/>
        <item x="361"/>
        <item x="259"/>
        <item x="452"/>
        <item x="428"/>
        <item x="406"/>
        <item x="485"/>
        <item x="553"/>
        <item x="316"/>
        <item x="330"/>
        <item x="488"/>
        <item x="189"/>
        <item x="285"/>
        <item x="278"/>
        <item x="27"/>
        <item x="366"/>
        <item x="94"/>
        <item x="11"/>
        <item x="18"/>
        <item x="195"/>
        <item x="605"/>
        <item x="181"/>
        <item x="578"/>
        <item x="336"/>
        <item x="244"/>
        <item x="122"/>
        <item x="374"/>
        <item x="137"/>
        <item x="141"/>
        <item x="532"/>
        <item x="62"/>
        <item x="100"/>
        <item x="419"/>
        <item x="411"/>
        <item x="505"/>
        <item x="236"/>
        <item x="434"/>
        <item x="106"/>
        <item x="500"/>
        <item x="628"/>
        <item x="159"/>
        <item x="320"/>
        <item x="473"/>
        <item x="586"/>
        <item x="196"/>
        <item x="501"/>
        <item x="335"/>
        <item x="232"/>
        <item x="390"/>
        <item x="24"/>
        <item x="265"/>
        <item x="486"/>
        <item x="49"/>
        <item x="526"/>
        <item x="537"/>
        <item x="410"/>
        <item x="515"/>
        <item x="525"/>
        <item x="439"/>
        <item x="228"/>
        <item x="313"/>
        <item x="449"/>
        <item x="555"/>
        <item x="429"/>
        <item x="46"/>
        <item x="524"/>
        <item x="324"/>
        <item x="253"/>
        <item x="308"/>
        <item x="212"/>
        <item x="42"/>
        <item x="468"/>
        <item x="364"/>
        <item x="369"/>
        <item x="174"/>
        <item x="480"/>
        <item x="164"/>
        <item x="26"/>
        <item x="148"/>
        <item x="143"/>
        <item x="35"/>
        <item x="528"/>
        <item x="595"/>
        <item x="134"/>
        <item x="442"/>
        <item x="342"/>
        <item x="609"/>
        <item x="138"/>
        <item x="193"/>
        <item x="240"/>
        <item x="602"/>
        <item x="176"/>
        <item x="613"/>
        <item x="231"/>
        <item x="243"/>
        <item x="606"/>
        <item x="400"/>
        <item x="218"/>
        <item x="616"/>
        <item x="487"/>
        <item x="417"/>
        <item x="381"/>
        <item x="208"/>
        <item x="601"/>
        <item x="150"/>
        <item x="7"/>
        <item x="423"/>
        <item x="116"/>
        <item x="56"/>
        <item x="301"/>
        <item x="39"/>
        <item x="558"/>
        <item x="359"/>
        <item x="269"/>
        <item x="16"/>
        <item x="461"/>
        <item x="199"/>
        <item x="229"/>
        <item x="470"/>
        <item x="153"/>
        <item x="38"/>
        <item x="350"/>
        <item x="235"/>
        <item x="296"/>
        <item x="444"/>
        <item x="4"/>
        <item x="179"/>
        <item x="152"/>
        <item x="13"/>
        <item x="201"/>
        <item x="373"/>
        <item x="274"/>
        <item x="492"/>
        <item x="385"/>
        <item x="95"/>
        <item x="608"/>
        <item x="1"/>
        <item x="405"/>
        <item x="469"/>
        <item x="583"/>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s>
  <rowFields count="2">
    <field x="13"/>
    <field x="14"/>
  </rowFields>
  <rowItems count="638">
    <i>
      <x/>
    </i>
    <i r="1">
      <x v="60"/>
    </i>
    <i r="1">
      <x v="23"/>
    </i>
    <i r="1">
      <x v="82"/>
    </i>
    <i r="1">
      <x v="84"/>
    </i>
    <i r="1">
      <x v="72"/>
    </i>
    <i r="1">
      <x v="41"/>
    </i>
    <i r="1">
      <x v="68"/>
    </i>
    <i r="1">
      <x v="4"/>
    </i>
    <i r="1">
      <x v="50"/>
    </i>
    <i r="1">
      <x v="81"/>
    </i>
    <i r="1">
      <x v="63"/>
    </i>
    <i r="1">
      <x v="6"/>
    </i>
    <i r="1">
      <x v="10"/>
    </i>
    <i r="1">
      <x v="56"/>
    </i>
    <i r="1">
      <x v="44"/>
    </i>
    <i r="1">
      <x v="53"/>
    </i>
    <i r="1">
      <x v="59"/>
    </i>
    <i r="1">
      <x v="86"/>
    </i>
    <i r="1">
      <x v="75"/>
    </i>
    <i r="1">
      <x v="26"/>
    </i>
    <i r="1">
      <x v="12"/>
    </i>
    <i r="1">
      <x v="33"/>
    </i>
    <i r="1">
      <x v="83"/>
    </i>
    <i r="1">
      <x v="49"/>
    </i>
    <i r="1">
      <x v="79"/>
    </i>
    <i r="1">
      <x v="32"/>
    </i>
    <i r="1">
      <x v="40"/>
    </i>
    <i r="1">
      <x v="14"/>
    </i>
    <i r="1">
      <x v="78"/>
    </i>
    <i r="1">
      <x v="80"/>
    </i>
    <i r="1">
      <x v="70"/>
    </i>
    <i r="1">
      <x v="48"/>
    </i>
    <i r="1">
      <x v="29"/>
    </i>
    <i r="1">
      <x v="57"/>
    </i>
    <i r="1">
      <x v="76"/>
    </i>
    <i r="1">
      <x v="18"/>
    </i>
    <i r="1">
      <x v="5"/>
    </i>
    <i r="1">
      <x v="67"/>
    </i>
    <i r="1">
      <x v="58"/>
    </i>
    <i r="1">
      <x v="65"/>
    </i>
    <i r="1">
      <x v="54"/>
    </i>
    <i r="1">
      <x v="9"/>
    </i>
    <i r="1">
      <x v="64"/>
    </i>
    <i r="1">
      <x v="22"/>
    </i>
    <i r="1">
      <x v="39"/>
    </i>
    <i r="1">
      <x v="36"/>
    </i>
    <i r="1">
      <x v="3"/>
    </i>
    <i r="1">
      <x v="1"/>
    </i>
    <i r="1">
      <x v="19"/>
    </i>
    <i r="1">
      <x v="28"/>
    </i>
    <i r="1">
      <x v="37"/>
    </i>
    <i r="1">
      <x v="16"/>
    </i>
    <i r="1">
      <x v="46"/>
    </i>
    <i r="1">
      <x v="20"/>
    </i>
    <i r="1">
      <x v="77"/>
    </i>
    <i r="1">
      <x v="69"/>
    </i>
    <i r="1">
      <x v="21"/>
    </i>
    <i r="1">
      <x v="52"/>
    </i>
    <i r="1">
      <x v="85"/>
    </i>
    <i r="1">
      <x v="11"/>
    </i>
    <i r="1">
      <x v="31"/>
    </i>
    <i r="1">
      <x v="8"/>
    </i>
    <i r="1">
      <x v="7"/>
    </i>
    <i r="1">
      <x v="35"/>
    </i>
    <i r="1">
      <x v="25"/>
    </i>
    <i r="1">
      <x v="34"/>
    </i>
    <i r="1">
      <x v="71"/>
    </i>
    <i r="1">
      <x v="17"/>
    </i>
    <i r="1">
      <x v="2"/>
    </i>
    <i r="1">
      <x v="47"/>
    </i>
    <i r="1">
      <x v="55"/>
    </i>
    <i r="1">
      <x v="74"/>
    </i>
    <i r="1">
      <x v="43"/>
    </i>
    <i r="1">
      <x v="15"/>
    </i>
    <i r="1">
      <x v="38"/>
    </i>
    <i r="1">
      <x v="62"/>
    </i>
    <i r="1">
      <x v="73"/>
    </i>
    <i r="1">
      <x v="66"/>
    </i>
    <i r="1">
      <x v="42"/>
    </i>
    <i r="1">
      <x v="24"/>
    </i>
    <i r="1">
      <x/>
    </i>
    <i r="1">
      <x v="45"/>
    </i>
    <i r="1">
      <x v="27"/>
    </i>
    <i r="1">
      <x v="51"/>
    </i>
    <i r="1">
      <x v="30"/>
    </i>
    <i r="1">
      <x v="87"/>
    </i>
    <i r="1">
      <x v="13"/>
    </i>
    <i r="1">
      <x v="61"/>
    </i>
    <i>
      <x v="1"/>
    </i>
    <i r="1">
      <x v="171"/>
    </i>
    <i r="1">
      <x v="117"/>
    </i>
    <i r="1">
      <x v="100"/>
    </i>
    <i r="1">
      <x v="99"/>
    </i>
    <i r="1">
      <x v="114"/>
    </i>
    <i r="1">
      <x v="160"/>
    </i>
    <i r="1">
      <x v="128"/>
    </i>
    <i r="1">
      <x v="97"/>
    </i>
    <i r="1">
      <x v="158"/>
    </i>
    <i r="1">
      <x v="90"/>
    </i>
    <i r="1">
      <x v="145"/>
    </i>
    <i r="1">
      <x v="151"/>
    </i>
    <i r="1">
      <x v="143"/>
    </i>
    <i r="1">
      <x v="95"/>
    </i>
    <i r="1">
      <x v="124"/>
    </i>
    <i r="1">
      <x v="108"/>
    </i>
    <i r="1">
      <x v="174"/>
    </i>
    <i r="1">
      <x v="120"/>
    </i>
    <i r="1">
      <x v="172"/>
    </i>
    <i r="1">
      <x v="105"/>
    </i>
    <i r="1">
      <x v="111"/>
    </i>
    <i r="1">
      <x v="116"/>
    </i>
    <i r="1">
      <x v="147"/>
    </i>
    <i r="1">
      <x v="123"/>
    </i>
    <i r="1">
      <x v="137"/>
    </i>
    <i r="1">
      <x v="152"/>
    </i>
    <i r="1">
      <x v="166"/>
    </i>
    <i r="1">
      <x v="125"/>
    </i>
    <i r="1">
      <x v="157"/>
    </i>
    <i r="1">
      <x v="110"/>
    </i>
    <i r="1">
      <x v="118"/>
    </i>
    <i r="1">
      <x v="140"/>
    </i>
    <i r="1">
      <x v="175"/>
    </i>
    <i r="1">
      <x v="139"/>
    </i>
    <i r="1">
      <x v="98"/>
    </i>
    <i r="1">
      <x v="91"/>
    </i>
    <i r="1">
      <x v="104"/>
    </i>
    <i r="1">
      <x v="163"/>
    </i>
    <i r="1">
      <x v="162"/>
    </i>
    <i r="1">
      <x v="94"/>
    </i>
    <i r="1">
      <x v="127"/>
    </i>
    <i r="1">
      <x v="148"/>
    </i>
    <i r="1">
      <x v="121"/>
    </i>
    <i r="1">
      <x v="156"/>
    </i>
    <i r="1">
      <x v="159"/>
    </i>
    <i r="1">
      <x v="165"/>
    </i>
    <i r="1">
      <x v="133"/>
    </i>
    <i r="1">
      <x v="169"/>
    </i>
    <i r="1">
      <x v="149"/>
    </i>
    <i r="1">
      <x v="113"/>
    </i>
    <i r="1">
      <x v="155"/>
    </i>
    <i r="1">
      <x v="132"/>
    </i>
    <i r="1">
      <x v="142"/>
    </i>
    <i r="1">
      <x v="115"/>
    </i>
    <i r="1">
      <x v="119"/>
    </i>
    <i r="1">
      <x v="129"/>
    </i>
    <i r="1">
      <x v="168"/>
    </i>
    <i r="1">
      <x v="138"/>
    </i>
    <i r="1">
      <x v="167"/>
    </i>
    <i r="1">
      <x v="88"/>
    </i>
    <i r="1">
      <x v="176"/>
    </i>
    <i r="1">
      <x v="154"/>
    </i>
    <i r="1">
      <x v="134"/>
    </i>
    <i r="1">
      <x v="103"/>
    </i>
    <i r="1">
      <x v="161"/>
    </i>
    <i r="1">
      <x v="92"/>
    </i>
    <i r="1">
      <x v="102"/>
    </i>
    <i r="1">
      <x v="131"/>
    </i>
    <i r="1">
      <x v="122"/>
    </i>
    <i r="1">
      <x v="107"/>
    </i>
    <i r="1">
      <x v="112"/>
    </i>
    <i r="1">
      <x v="164"/>
    </i>
    <i r="1">
      <x v="153"/>
    </i>
    <i r="1">
      <x v="170"/>
    </i>
    <i r="1">
      <x v="109"/>
    </i>
    <i r="1">
      <x v="144"/>
    </i>
    <i r="1">
      <x v="130"/>
    </i>
    <i r="1">
      <x v="89"/>
    </i>
    <i r="1">
      <x v="93"/>
    </i>
    <i r="1">
      <x v="101"/>
    </i>
    <i r="1">
      <x v="136"/>
    </i>
    <i r="1">
      <x v="146"/>
    </i>
    <i r="1">
      <x v="106"/>
    </i>
    <i r="1">
      <x v="135"/>
    </i>
    <i r="1">
      <x v="141"/>
    </i>
    <i r="1">
      <x v="177"/>
    </i>
    <i r="1">
      <x v="150"/>
    </i>
    <i r="1">
      <x v="126"/>
    </i>
    <i r="1">
      <x v="173"/>
    </i>
    <i r="1">
      <x v="96"/>
    </i>
    <i>
      <x v="2"/>
    </i>
    <i r="1">
      <x v="248"/>
    </i>
    <i r="1">
      <x v="207"/>
    </i>
    <i r="1">
      <x v="241"/>
    </i>
    <i r="1">
      <x v="223"/>
    </i>
    <i r="1">
      <x v="226"/>
    </i>
    <i r="1">
      <x v="185"/>
    </i>
    <i r="1">
      <x v="247"/>
    </i>
    <i r="1">
      <x v="236"/>
    </i>
    <i r="1">
      <x v="180"/>
    </i>
    <i r="1">
      <x v="179"/>
    </i>
    <i r="1">
      <x v="209"/>
    </i>
    <i r="1">
      <x v="201"/>
    </i>
    <i r="1">
      <x v="199"/>
    </i>
    <i r="1">
      <x v="197"/>
    </i>
    <i r="1">
      <x v="214"/>
    </i>
    <i r="1">
      <x v="246"/>
    </i>
    <i r="1">
      <x v="232"/>
    </i>
    <i r="1">
      <x v="237"/>
    </i>
    <i r="1">
      <x v="252"/>
    </i>
    <i r="1">
      <x v="229"/>
    </i>
    <i r="1">
      <x v="250"/>
    </i>
    <i r="1">
      <x v="200"/>
    </i>
    <i r="1">
      <x v="205"/>
    </i>
    <i r="1">
      <x v="239"/>
    </i>
    <i r="1">
      <x v="218"/>
    </i>
    <i r="1">
      <x v="255"/>
    </i>
    <i r="1">
      <x v="193"/>
    </i>
    <i r="1">
      <x v="225"/>
    </i>
    <i r="1">
      <x v="183"/>
    </i>
    <i r="1">
      <x v="217"/>
    </i>
    <i r="1">
      <x v="244"/>
    </i>
    <i r="1">
      <x v="251"/>
    </i>
    <i r="1">
      <x v="188"/>
    </i>
    <i r="1">
      <x v="221"/>
    </i>
    <i r="1">
      <x v="203"/>
    </i>
    <i r="1">
      <x v="242"/>
    </i>
    <i r="1">
      <x v="224"/>
    </i>
    <i r="1">
      <x v="257"/>
    </i>
    <i r="1">
      <x v="253"/>
    </i>
    <i r="1">
      <x v="243"/>
    </i>
    <i r="1">
      <x v="235"/>
    </i>
    <i r="1">
      <x v="227"/>
    </i>
    <i r="1">
      <x v="181"/>
    </i>
    <i r="1">
      <x v="213"/>
    </i>
    <i r="1">
      <x v="228"/>
    </i>
    <i r="1">
      <x v="233"/>
    </i>
    <i r="1">
      <x v="204"/>
    </i>
    <i r="1">
      <x v="258"/>
    </i>
    <i r="1">
      <x v="182"/>
    </i>
    <i r="1">
      <x v="220"/>
    </i>
    <i r="1">
      <x v="189"/>
    </i>
    <i r="1">
      <x v="249"/>
    </i>
    <i r="1">
      <x v="208"/>
    </i>
    <i r="1">
      <x v="211"/>
    </i>
    <i r="1">
      <x v="192"/>
    </i>
    <i r="1">
      <x v="186"/>
    </i>
    <i r="1">
      <x v="191"/>
    </i>
    <i r="1">
      <x v="231"/>
    </i>
    <i r="1">
      <x v="254"/>
    </i>
    <i r="1">
      <x v="219"/>
    </i>
    <i r="1">
      <x v="215"/>
    </i>
    <i r="1">
      <x v="184"/>
    </i>
    <i r="1">
      <x v="216"/>
    </i>
    <i r="1">
      <x v="210"/>
    </i>
    <i r="1">
      <x v="212"/>
    </i>
    <i r="1">
      <x v="238"/>
    </i>
    <i r="1">
      <x v="230"/>
    </i>
    <i r="1">
      <x v="256"/>
    </i>
    <i r="1">
      <x v="240"/>
    </i>
    <i r="1">
      <x v="222"/>
    </i>
    <i r="1">
      <x v="245"/>
    </i>
    <i r="1">
      <x v="195"/>
    </i>
    <i r="1">
      <x v="202"/>
    </i>
    <i r="1">
      <x v="187"/>
    </i>
    <i r="1">
      <x v="194"/>
    </i>
    <i r="1">
      <x v="198"/>
    </i>
    <i r="1">
      <x v="206"/>
    </i>
    <i r="1">
      <x v="178"/>
    </i>
    <i r="1">
      <x v="190"/>
    </i>
    <i r="1">
      <x v="234"/>
    </i>
    <i r="1">
      <x v="196"/>
    </i>
    <i>
      <x v="3"/>
    </i>
    <i r="1">
      <x v="323"/>
    </i>
    <i r="1">
      <x v="270"/>
    </i>
    <i r="1">
      <x v="319"/>
    </i>
    <i r="1">
      <x v="303"/>
    </i>
    <i r="1">
      <x v="349"/>
    </i>
    <i r="1">
      <x v="307"/>
    </i>
    <i r="1">
      <x v="352"/>
    </i>
    <i r="1">
      <x v="350"/>
    </i>
    <i r="1">
      <x v="337"/>
    </i>
    <i r="1">
      <x v="296"/>
    </i>
    <i r="1">
      <x v="299"/>
    </i>
    <i r="1">
      <x v="318"/>
    </i>
    <i r="1">
      <x v="317"/>
    </i>
    <i r="1">
      <x v="338"/>
    </i>
    <i r="1">
      <x v="282"/>
    </i>
    <i r="1">
      <x v="332"/>
    </i>
    <i r="1">
      <x v="281"/>
    </i>
    <i r="1">
      <x v="340"/>
    </i>
    <i r="1">
      <x v="266"/>
    </i>
    <i r="1">
      <x v="259"/>
    </i>
    <i r="1">
      <x v="300"/>
    </i>
    <i r="1">
      <x v="260"/>
    </i>
    <i r="1">
      <x v="275"/>
    </i>
    <i r="1">
      <x v="321"/>
    </i>
    <i r="1">
      <x v="286"/>
    </i>
    <i r="1">
      <x v="351"/>
    </i>
    <i r="1">
      <x v="298"/>
    </i>
    <i r="1">
      <x v="295"/>
    </i>
    <i r="1">
      <x v="308"/>
    </i>
    <i r="1">
      <x v="347"/>
    </i>
    <i r="1">
      <x v="291"/>
    </i>
    <i r="1">
      <x v="312"/>
    </i>
    <i r="1">
      <x v="315"/>
    </i>
    <i r="1">
      <x v="329"/>
    </i>
    <i r="1">
      <x v="322"/>
    </i>
    <i r="1">
      <x v="314"/>
    </i>
    <i r="1">
      <x v="320"/>
    </i>
    <i r="1">
      <x v="283"/>
    </i>
    <i r="1">
      <x v="268"/>
    </i>
    <i r="1">
      <x v="285"/>
    </i>
    <i r="1">
      <x v="297"/>
    </i>
    <i r="1">
      <x v="269"/>
    </i>
    <i r="1">
      <x v="346"/>
    </i>
    <i r="1">
      <x v="343"/>
    </i>
    <i r="1">
      <x v="280"/>
    </i>
    <i r="1">
      <x v="316"/>
    </i>
    <i r="1">
      <x v="324"/>
    </i>
    <i r="1">
      <x v="288"/>
    </i>
    <i r="1">
      <x v="334"/>
    </i>
    <i r="1">
      <x v="273"/>
    </i>
    <i r="1">
      <x v="327"/>
    </i>
    <i r="1">
      <x v="310"/>
    </i>
    <i r="1">
      <x v="271"/>
    </i>
    <i r="1">
      <x v="290"/>
    </i>
    <i r="1">
      <x v="313"/>
    </i>
    <i r="1">
      <x v="279"/>
    </i>
    <i r="1">
      <x v="272"/>
    </i>
    <i r="1">
      <x v="301"/>
    </i>
    <i r="1">
      <x v="264"/>
    </i>
    <i r="1">
      <x v="302"/>
    </i>
    <i r="1">
      <x v="311"/>
    </i>
    <i r="1">
      <x v="262"/>
    </i>
    <i r="1">
      <x v="305"/>
    </i>
    <i r="1">
      <x v="328"/>
    </i>
    <i r="1">
      <x v="342"/>
    </i>
    <i r="1">
      <x v="277"/>
    </i>
    <i r="1">
      <x v="344"/>
    </i>
    <i r="1">
      <x v="263"/>
    </i>
    <i r="1">
      <x v="325"/>
    </i>
    <i r="1">
      <x v="304"/>
    </i>
    <i r="1">
      <x v="287"/>
    </i>
    <i r="1">
      <x v="261"/>
    </i>
    <i r="1">
      <x v="333"/>
    </i>
    <i r="1">
      <x v="265"/>
    </i>
    <i r="1">
      <x v="335"/>
    </i>
    <i r="1">
      <x v="341"/>
    </i>
    <i r="1">
      <x v="330"/>
    </i>
    <i r="1">
      <x v="293"/>
    </i>
    <i r="1">
      <x v="348"/>
    </i>
    <i r="1">
      <x v="336"/>
    </i>
    <i r="1">
      <x v="339"/>
    </i>
    <i r="1">
      <x v="274"/>
    </i>
    <i r="1">
      <x v="292"/>
    </i>
    <i r="1">
      <x v="326"/>
    </i>
    <i r="1">
      <x v="331"/>
    </i>
    <i r="1">
      <x v="306"/>
    </i>
    <i r="1">
      <x v="289"/>
    </i>
    <i r="1">
      <x v="278"/>
    </i>
    <i r="1">
      <x v="276"/>
    </i>
    <i r="1">
      <x v="294"/>
    </i>
    <i r="1">
      <x v="345"/>
    </i>
    <i r="1">
      <x v="284"/>
    </i>
    <i r="1">
      <x v="267"/>
    </i>
    <i r="1">
      <x v="309"/>
    </i>
    <i>
      <x v="4"/>
    </i>
    <i r="1">
      <x v="368"/>
    </i>
    <i r="1">
      <x v="405"/>
    </i>
    <i r="1">
      <x v="403"/>
    </i>
    <i r="1">
      <x v="359"/>
    </i>
    <i r="1">
      <x v="396"/>
    </i>
    <i r="1">
      <x v="356"/>
    </i>
    <i r="1">
      <x v="395"/>
    </i>
    <i r="1">
      <x v="387"/>
    </i>
    <i r="1">
      <x v="407"/>
    </i>
    <i r="1">
      <x v="386"/>
    </i>
    <i r="1">
      <x v="381"/>
    </i>
    <i r="1">
      <x v="365"/>
    </i>
    <i r="1">
      <x v="361"/>
    </i>
    <i r="1">
      <x v="397"/>
    </i>
    <i r="1">
      <x v="410"/>
    </i>
    <i r="1">
      <x v="399"/>
    </i>
    <i r="1">
      <x v="428"/>
    </i>
    <i r="1">
      <x v="431"/>
    </i>
    <i r="1">
      <x v="402"/>
    </i>
    <i r="1">
      <x v="371"/>
    </i>
    <i r="1">
      <x v="367"/>
    </i>
    <i r="1">
      <x v="413"/>
    </i>
    <i r="1">
      <x v="355"/>
    </i>
    <i r="1">
      <x v="360"/>
    </i>
    <i r="1">
      <x v="394"/>
    </i>
    <i r="1">
      <x v="392"/>
    </i>
    <i r="1">
      <x v="369"/>
    </i>
    <i r="1">
      <x v="353"/>
    </i>
    <i r="1">
      <x v="375"/>
    </i>
    <i r="1">
      <x v="414"/>
    </i>
    <i r="1">
      <x v="435"/>
    </i>
    <i r="1">
      <x v="437"/>
    </i>
    <i r="1">
      <x v="378"/>
    </i>
    <i r="1">
      <x v="415"/>
    </i>
    <i r="1">
      <x v="401"/>
    </i>
    <i r="1">
      <x v="379"/>
    </i>
    <i r="1">
      <x v="422"/>
    </i>
    <i r="1">
      <x v="388"/>
    </i>
    <i r="1">
      <x v="389"/>
    </i>
    <i r="1">
      <x v="383"/>
    </i>
    <i r="1">
      <x v="416"/>
    </i>
    <i r="1">
      <x v="406"/>
    </i>
    <i r="1">
      <x v="382"/>
    </i>
    <i r="1">
      <x v="357"/>
    </i>
    <i r="1">
      <x v="385"/>
    </i>
    <i r="1">
      <x v="423"/>
    </i>
    <i r="1">
      <x v="398"/>
    </i>
    <i r="1">
      <x v="427"/>
    </i>
    <i r="1">
      <x v="358"/>
    </i>
    <i r="1">
      <x v="409"/>
    </i>
    <i r="1">
      <x v="373"/>
    </i>
    <i r="1">
      <x v="390"/>
    </i>
    <i r="1">
      <x v="419"/>
    </i>
    <i r="1">
      <x v="364"/>
    </i>
    <i r="1">
      <x v="432"/>
    </i>
    <i r="1">
      <x v="418"/>
    </i>
    <i r="1">
      <x v="429"/>
    </i>
    <i r="1">
      <x v="421"/>
    </i>
    <i r="1">
      <x v="380"/>
    </i>
    <i r="1">
      <x v="366"/>
    </i>
    <i r="1">
      <x v="430"/>
    </i>
    <i r="1">
      <x v="412"/>
    </i>
    <i r="1">
      <x v="393"/>
    </i>
    <i r="1">
      <x v="425"/>
    </i>
    <i r="1">
      <x v="417"/>
    </i>
    <i r="1">
      <x v="436"/>
    </i>
    <i r="1">
      <x v="362"/>
    </i>
    <i r="1">
      <x v="376"/>
    </i>
    <i r="1">
      <x v="404"/>
    </i>
    <i r="1">
      <x v="384"/>
    </i>
    <i r="1">
      <x v="374"/>
    </i>
    <i r="1">
      <x v="426"/>
    </i>
    <i r="1">
      <x v="433"/>
    </i>
    <i r="1">
      <x v="372"/>
    </i>
    <i r="1">
      <x v="370"/>
    </i>
    <i r="1">
      <x v="424"/>
    </i>
    <i r="1">
      <x v="420"/>
    </i>
    <i r="1">
      <x v="400"/>
    </i>
    <i r="1">
      <x v="411"/>
    </i>
    <i r="1">
      <x v="377"/>
    </i>
    <i r="1">
      <x v="363"/>
    </i>
    <i r="1">
      <x v="408"/>
    </i>
    <i r="1">
      <x v="354"/>
    </i>
    <i r="1">
      <x v="434"/>
    </i>
    <i r="1">
      <x v="438"/>
    </i>
    <i r="1">
      <x v="391"/>
    </i>
    <i>
      <x v="5"/>
    </i>
    <i r="1">
      <x v="525"/>
    </i>
    <i r="1">
      <x v="513"/>
    </i>
    <i r="1">
      <x v="474"/>
    </i>
    <i r="1">
      <x v="503"/>
    </i>
    <i r="1">
      <x v="486"/>
    </i>
    <i r="1">
      <x v="479"/>
    </i>
    <i r="1">
      <x v="517"/>
    </i>
    <i r="1">
      <x v="440"/>
    </i>
    <i r="1">
      <x v="495"/>
    </i>
    <i r="1">
      <x v="516"/>
    </i>
    <i r="1">
      <x v="489"/>
    </i>
    <i r="1">
      <x v="446"/>
    </i>
    <i r="1">
      <x v="476"/>
    </i>
    <i r="1">
      <x v="508"/>
    </i>
    <i r="1">
      <x v="456"/>
    </i>
    <i r="1">
      <x v="522"/>
    </i>
    <i r="1">
      <x v="502"/>
    </i>
    <i r="1">
      <x v="505"/>
    </i>
    <i r="1">
      <x v="518"/>
    </i>
    <i r="1">
      <x v="478"/>
    </i>
    <i r="1">
      <x v="448"/>
    </i>
    <i r="1">
      <x v="460"/>
    </i>
    <i r="1">
      <x v="443"/>
    </i>
    <i r="1">
      <x v="451"/>
    </i>
    <i r="1">
      <x v="473"/>
    </i>
    <i r="1">
      <x v="523"/>
    </i>
    <i r="1">
      <x v="526"/>
    </i>
    <i r="1">
      <x v="501"/>
    </i>
    <i r="1">
      <x v="487"/>
    </i>
    <i r="1">
      <x v="493"/>
    </i>
    <i r="1">
      <x v="497"/>
    </i>
    <i r="1">
      <x v="463"/>
    </i>
    <i r="1">
      <x v="524"/>
    </i>
    <i r="1">
      <x v="449"/>
    </i>
    <i r="1">
      <x v="468"/>
    </i>
    <i r="1">
      <x v="507"/>
    </i>
    <i r="1">
      <x v="461"/>
    </i>
    <i r="1">
      <x v="514"/>
    </i>
    <i r="1">
      <x v="521"/>
    </i>
    <i r="1">
      <x v="469"/>
    </i>
    <i r="1">
      <x v="452"/>
    </i>
    <i r="1">
      <x v="500"/>
    </i>
    <i r="1">
      <x v="475"/>
    </i>
    <i r="1">
      <x v="485"/>
    </i>
    <i r="1">
      <x v="511"/>
    </i>
    <i r="1">
      <x v="480"/>
    </i>
    <i r="1">
      <x v="462"/>
    </i>
    <i r="1">
      <x v="512"/>
    </i>
    <i r="1">
      <x v="499"/>
    </i>
    <i r="1">
      <x v="439"/>
    </i>
    <i r="1">
      <x v="464"/>
    </i>
    <i r="1">
      <x v="492"/>
    </i>
    <i r="1">
      <x v="490"/>
    </i>
    <i r="1">
      <x v="444"/>
    </i>
    <i r="1">
      <x v="510"/>
    </i>
    <i r="1">
      <x v="484"/>
    </i>
    <i r="1">
      <x v="481"/>
    </i>
    <i r="1">
      <x v="520"/>
    </i>
    <i r="1">
      <x v="504"/>
    </i>
    <i r="1">
      <x v="459"/>
    </i>
    <i r="1">
      <x v="453"/>
    </i>
    <i r="1">
      <x v="455"/>
    </i>
    <i r="1">
      <x v="498"/>
    </i>
    <i r="1">
      <x v="472"/>
    </i>
    <i r="1">
      <x v="447"/>
    </i>
    <i r="1">
      <x v="488"/>
    </i>
    <i r="1">
      <x v="454"/>
    </i>
    <i r="1">
      <x v="467"/>
    </i>
    <i r="1">
      <x v="483"/>
    </i>
    <i r="1">
      <x v="509"/>
    </i>
    <i r="1">
      <x v="496"/>
    </i>
    <i r="1">
      <x v="494"/>
    </i>
    <i r="1">
      <x v="445"/>
    </i>
    <i r="1">
      <x v="450"/>
    </i>
    <i r="1">
      <x v="457"/>
    </i>
    <i r="1">
      <x v="477"/>
    </i>
    <i r="1">
      <x v="470"/>
    </i>
    <i r="1">
      <x v="491"/>
    </i>
    <i r="1">
      <x v="442"/>
    </i>
    <i r="1">
      <x v="515"/>
    </i>
    <i r="1">
      <x v="471"/>
    </i>
    <i r="1">
      <x v="441"/>
    </i>
    <i r="1">
      <x v="458"/>
    </i>
    <i r="1">
      <x v="466"/>
    </i>
    <i r="1">
      <x v="519"/>
    </i>
    <i r="1">
      <x v="482"/>
    </i>
    <i r="1">
      <x v="506"/>
    </i>
    <i r="1">
      <x v="465"/>
    </i>
    <i>
      <x v="6"/>
    </i>
    <i r="1">
      <x v="536"/>
    </i>
    <i r="1">
      <x v="588"/>
    </i>
    <i r="1">
      <x v="598"/>
    </i>
    <i r="1">
      <x v="544"/>
    </i>
    <i r="1">
      <x v="621"/>
    </i>
    <i r="1">
      <x v="616"/>
    </i>
    <i r="1">
      <x v="542"/>
    </i>
    <i r="1">
      <x v="585"/>
    </i>
    <i r="1">
      <x v="552"/>
    </i>
    <i r="1">
      <x v="575"/>
    </i>
    <i r="1">
      <x v="583"/>
    </i>
    <i r="1">
      <x v="600"/>
    </i>
    <i r="1">
      <x v="569"/>
    </i>
    <i r="1">
      <x v="534"/>
    </i>
    <i r="1">
      <x v="563"/>
    </i>
    <i r="1">
      <x v="623"/>
    </i>
    <i r="1">
      <x v="601"/>
    </i>
    <i r="1">
      <x v="533"/>
    </i>
    <i r="1">
      <x v="548"/>
    </i>
    <i r="1">
      <x v="531"/>
    </i>
    <i r="1">
      <x v="596"/>
    </i>
    <i r="1">
      <x v="549"/>
    </i>
    <i r="1">
      <x v="580"/>
    </i>
    <i r="1">
      <x v="619"/>
    </i>
    <i r="1">
      <x v="538"/>
    </i>
    <i r="1">
      <x v="622"/>
    </i>
    <i r="1">
      <x v="610"/>
    </i>
    <i r="1">
      <x v="540"/>
    </i>
    <i r="1">
      <x v="567"/>
    </i>
    <i r="1">
      <x v="629"/>
    </i>
    <i r="1">
      <x v="624"/>
    </i>
    <i r="1">
      <x v="568"/>
    </i>
    <i r="1">
      <x v="618"/>
    </i>
    <i r="1">
      <x v="578"/>
    </i>
    <i r="1">
      <x v="604"/>
    </i>
    <i r="1">
      <x v="541"/>
    </i>
    <i r="1">
      <x v="553"/>
    </i>
    <i r="1">
      <x v="528"/>
    </i>
    <i r="1">
      <x v="584"/>
    </i>
    <i r="1">
      <x v="573"/>
    </i>
    <i r="1">
      <x v="602"/>
    </i>
    <i r="1">
      <x v="560"/>
    </i>
    <i r="1">
      <x v="594"/>
    </i>
    <i r="1">
      <x v="593"/>
    </i>
    <i r="1">
      <x v="545"/>
    </i>
    <i r="1">
      <x v="554"/>
    </i>
    <i r="1">
      <x v="532"/>
    </i>
    <i r="1">
      <x v="543"/>
    </i>
    <i r="1">
      <x v="565"/>
    </i>
    <i r="1">
      <x v="558"/>
    </i>
    <i r="1">
      <x v="613"/>
    </i>
    <i r="1">
      <x v="535"/>
    </i>
    <i r="1">
      <x v="607"/>
    </i>
    <i r="1">
      <x v="527"/>
    </i>
    <i r="1">
      <x v="625"/>
    </i>
    <i r="1">
      <x v="574"/>
    </i>
    <i r="1">
      <x v="620"/>
    </i>
    <i r="1">
      <x v="617"/>
    </i>
    <i r="1">
      <x v="590"/>
    </i>
    <i r="1">
      <x v="561"/>
    </i>
    <i r="1">
      <x v="591"/>
    </i>
    <i r="1">
      <x v="615"/>
    </i>
    <i r="1">
      <x v="547"/>
    </i>
    <i r="1">
      <x v="586"/>
    </i>
    <i r="1">
      <x v="595"/>
    </i>
    <i r="1">
      <x v="626"/>
    </i>
    <i r="1">
      <x v="599"/>
    </i>
    <i r="1">
      <x v="546"/>
    </i>
    <i r="1">
      <x v="551"/>
    </i>
    <i r="1">
      <x v="537"/>
    </i>
    <i r="1">
      <x v="562"/>
    </i>
    <i r="1">
      <x v="579"/>
    </i>
    <i r="1">
      <x v="566"/>
    </i>
    <i r="1">
      <x v="572"/>
    </i>
    <i r="1">
      <x v="550"/>
    </i>
    <i r="1">
      <x v="557"/>
    </i>
    <i r="1">
      <x v="611"/>
    </i>
    <i r="1">
      <x v="555"/>
    </i>
    <i r="1">
      <x v="571"/>
    </i>
    <i r="1">
      <x v="608"/>
    </i>
    <i r="1">
      <x v="627"/>
    </i>
    <i r="1">
      <x v="570"/>
    </i>
    <i r="1">
      <x v="605"/>
    </i>
    <i r="1">
      <x v="609"/>
    </i>
    <i r="1">
      <x v="603"/>
    </i>
    <i r="1">
      <x v="612"/>
    </i>
    <i r="1">
      <x v="597"/>
    </i>
    <i r="1">
      <x v="581"/>
    </i>
    <i r="1">
      <x v="592"/>
    </i>
    <i r="1">
      <x v="564"/>
    </i>
    <i r="1">
      <x v="529"/>
    </i>
    <i r="1">
      <x v="577"/>
    </i>
    <i r="1">
      <x v="530"/>
    </i>
    <i r="1">
      <x v="539"/>
    </i>
    <i r="1">
      <x v="556"/>
    </i>
    <i r="1">
      <x v="606"/>
    </i>
    <i r="1">
      <x v="559"/>
    </i>
    <i r="1">
      <x v="628"/>
    </i>
    <i r="1">
      <x v="614"/>
    </i>
    <i r="1">
      <x v="589"/>
    </i>
    <i r="1">
      <x v="576"/>
    </i>
    <i r="1">
      <x v="582"/>
    </i>
    <i r="1">
      <x v="587"/>
    </i>
    <i t="grand">
      <x/>
    </i>
  </rowItems>
  <colItems count="1">
    <i/>
  </colItems>
  <dataFields count="1">
    <dataField name="Sum of GrossRevenue" fld="19" baseField="0" baseItem="0"/>
  </dataFields>
  <formats count="38">
    <format dxfId="182">
      <pivotArea collapsedLevelsAreSubtotals="1" fieldPosition="0">
        <references count="2">
          <reference field="13" count="0" selected="0"/>
          <reference field="14"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format>
    <format dxfId="181">
      <pivotArea collapsedLevelsAreSubtotals="1" fieldPosition="0">
        <references count="1">
          <reference field="13" count="0"/>
        </references>
      </pivotArea>
    </format>
    <format dxfId="180">
      <pivotArea collapsedLevelsAreSubtotals="1" fieldPosition="0">
        <references count="2">
          <reference field="13" count="0" selected="0"/>
          <reference field="14" count="70">
            <x v="1"/>
            <x v="2"/>
            <x v="3"/>
            <x v="4"/>
            <x v="5"/>
            <x v="6"/>
            <x v="7"/>
            <x v="8"/>
            <x v="9"/>
            <x v="10"/>
            <x v="11"/>
            <x v="12"/>
            <x v="14"/>
            <x v="16"/>
            <x v="17"/>
            <x v="18"/>
            <x v="19"/>
            <x v="20"/>
            <x v="21"/>
            <x v="22"/>
            <x v="23"/>
            <x v="25"/>
            <x v="26"/>
            <x v="28"/>
            <x v="29"/>
            <x v="31"/>
            <x v="32"/>
            <x v="33"/>
            <x v="34"/>
            <x v="35"/>
            <x v="36"/>
            <x v="37"/>
            <x v="39"/>
            <x v="40"/>
            <x v="41"/>
            <x v="44"/>
            <x v="46"/>
            <x v="47"/>
            <x v="48"/>
            <x v="49"/>
            <x v="50"/>
            <x v="52"/>
            <x v="53"/>
            <x v="54"/>
            <x v="56"/>
            <x v="57"/>
            <x v="58"/>
            <x v="59"/>
            <x v="60"/>
            <x v="63"/>
            <x v="64"/>
            <x v="65"/>
            <x v="67"/>
            <x v="68"/>
            <x v="69"/>
            <x v="70"/>
            <x v="71"/>
            <x v="72"/>
            <x v="75"/>
            <x v="76"/>
            <x v="77"/>
            <x v="78"/>
            <x v="79"/>
            <x v="80"/>
            <x v="81"/>
            <x v="82"/>
            <x v="83"/>
            <x v="84"/>
            <x v="85"/>
            <x v="86"/>
          </reference>
        </references>
      </pivotArea>
    </format>
    <format dxfId="179">
      <pivotArea collapsedLevelsAreSubtotals="1" fieldPosition="0">
        <references count="2">
          <reference field="13" count="0" selected="0"/>
          <reference field="14" count="5">
            <x v="13"/>
            <x v="30"/>
            <x v="51"/>
            <x v="61"/>
            <x v="87"/>
          </reference>
        </references>
      </pivotArea>
    </format>
    <format dxfId="178">
      <pivotArea collapsedLevelsAreSubtotals="1" fieldPosition="0">
        <references count="2">
          <reference field="13" count="0" selected="0"/>
          <reference field="14" count="13">
            <x v="0"/>
            <x v="15"/>
            <x v="24"/>
            <x v="27"/>
            <x v="38"/>
            <x v="42"/>
            <x v="43"/>
            <x v="45"/>
            <x v="55"/>
            <x v="62"/>
            <x v="66"/>
            <x v="73"/>
            <x v="74"/>
          </reference>
        </references>
      </pivotArea>
    </format>
    <format dxfId="177">
      <pivotArea collapsedLevelsAreSubtotals="1" fieldPosition="0">
        <references count="2">
          <reference field="13" count="0" selected="0"/>
          <reference field="14" count="72">
            <x v="88"/>
            <x v="90"/>
            <x v="91"/>
            <x v="92"/>
            <x v="94"/>
            <x v="95"/>
            <x v="97"/>
            <x v="98"/>
            <x v="99"/>
            <x v="100"/>
            <x v="102"/>
            <x v="103"/>
            <x v="104"/>
            <x v="105"/>
            <x v="107"/>
            <x v="108"/>
            <x v="110"/>
            <x v="111"/>
            <x v="112"/>
            <x v="113"/>
            <x v="114"/>
            <x v="115"/>
            <x v="116"/>
            <x v="117"/>
            <x v="118"/>
            <x v="119"/>
            <x v="120"/>
            <x v="121"/>
            <x v="122"/>
            <x v="123"/>
            <x v="124"/>
            <x v="125"/>
            <x v="127"/>
            <x v="128"/>
            <x v="129"/>
            <x v="131"/>
            <x v="132"/>
            <x v="133"/>
            <x v="134"/>
            <x v="137"/>
            <x v="138"/>
            <x v="139"/>
            <x v="140"/>
            <x v="142"/>
            <x v="143"/>
            <x v="145"/>
            <x v="147"/>
            <x v="148"/>
            <x v="149"/>
            <x v="151"/>
            <x v="152"/>
            <x v="154"/>
            <x v="155"/>
            <x v="156"/>
            <x v="157"/>
            <x v="158"/>
            <x v="159"/>
            <x v="160"/>
            <x v="161"/>
            <x v="162"/>
            <x v="163"/>
            <x v="164"/>
            <x v="165"/>
            <x v="166"/>
            <x v="167"/>
            <x v="168"/>
            <x v="169"/>
            <x v="171"/>
            <x v="172"/>
            <x v="174"/>
            <x v="175"/>
            <x v="176"/>
          </reference>
        </references>
      </pivotArea>
    </format>
    <format dxfId="176">
      <pivotArea collapsedLevelsAreSubtotals="1" fieldPosition="0">
        <references count="2">
          <reference field="13" count="0" selected="0"/>
          <reference field="14" count="14">
            <x v="89"/>
            <x v="93"/>
            <x v="101"/>
            <x v="106"/>
            <x v="109"/>
            <x v="130"/>
            <x v="135"/>
            <x v="136"/>
            <x v="141"/>
            <x v="144"/>
            <x v="146"/>
            <x v="153"/>
            <x v="170"/>
            <x v="177"/>
          </reference>
        </references>
      </pivotArea>
    </format>
    <format dxfId="175">
      <pivotArea collapsedLevelsAreSubtotals="1" fieldPosition="0">
        <references count="2">
          <reference field="13" count="0" selected="0"/>
          <reference field="14" count="4">
            <x v="96"/>
            <x v="126"/>
            <x v="150"/>
            <x v="173"/>
          </reference>
        </references>
      </pivotArea>
    </format>
    <format dxfId="174">
      <pivotArea collapsedLevelsAreSubtotals="1" fieldPosition="0">
        <references count="2">
          <reference field="13" count="1" selected="0">
            <x v="1"/>
          </reference>
          <reference field="14" count="4">
            <x v="96"/>
            <x v="126"/>
            <x v="150"/>
            <x v="173"/>
          </reference>
        </references>
      </pivotArea>
    </format>
    <format dxfId="173">
      <pivotArea collapsedLevelsAreSubtotals="1" fieldPosition="0">
        <references count="2">
          <reference field="13" count="1" selected="0">
            <x v="0"/>
          </reference>
          <reference field="14" count="88">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reference>
        </references>
      </pivotArea>
    </format>
    <format dxfId="172">
      <pivotArea collapsedLevelsAreSubtotals="1" fieldPosition="0">
        <references count="1">
          <reference field="13" count="1">
            <x v="1"/>
          </reference>
        </references>
      </pivotArea>
    </format>
    <format dxfId="171">
      <pivotArea collapsedLevelsAreSubtotals="1" fieldPosition="0">
        <references count="2">
          <reference field="13" count="1" selected="0">
            <x v="1"/>
          </reference>
          <reference field="14" count="90">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reference>
        </references>
      </pivotArea>
    </format>
    <format dxfId="170">
      <pivotArea collapsedLevelsAreSubtotals="1" fieldPosition="0">
        <references count="1">
          <reference field="13" count="1">
            <x v="2"/>
          </reference>
        </references>
      </pivotArea>
    </format>
    <format dxfId="169">
      <pivotArea collapsedLevelsAreSubtotals="1" fieldPosition="0">
        <references count="2">
          <reference field="13" count="1" selected="0">
            <x v="2"/>
          </reference>
          <reference field="14" count="81">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reference>
        </references>
      </pivotArea>
    </format>
    <format dxfId="168">
      <pivotArea collapsedLevelsAreSubtotals="1" fieldPosition="0">
        <references count="1">
          <reference field="13" count="1">
            <x v="3"/>
          </reference>
        </references>
      </pivotArea>
    </format>
    <format dxfId="167">
      <pivotArea collapsedLevelsAreSubtotals="1" fieldPosition="0">
        <references count="2">
          <reference field="13" count="1" selected="0">
            <x v="3"/>
          </reference>
          <reference field="14" count="94">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reference>
        </references>
      </pivotArea>
    </format>
    <format dxfId="166">
      <pivotArea collapsedLevelsAreSubtotals="1" fieldPosition="0">
        <references count="1">
          <reference field="13" count="1">
            <x v="4"/>
          </reference>
        </references>
      </pivotArea>
    </format>
    <format dxfId="165">
      <pivotArea collapsedLevelsAreSubtotals="1" fieldPosition="0">
        <references count="2">
          <reference field="13" count="1" selected="0">
            <x v="4"/>
          </reference>
          <reference field="14" count="86">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reference>
        </references>
      </pivotArea>
    </format>
    <format dxfId="164">
      <pivotArea collapsedLevelsAreSubtotals="1" fieldPosition="0">
        <references count="1">
          <reference field="13" count="1">
            <x v="5"/>
          </reference>
        </references>
      </pivotArea>
    </format>
    <format dxfId="163">
      <pivotArea collapsedLevelsAreSubtotals="1" fieldPosition="0">
        <references count="2">
          <reference field="13" count="1" selected="0">
            <x v="5"/>
          </reference>
          <reference field="14" count="8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reference>
        </references>
      </pivotArea>
    </format>
    <format dxfId="162">
      <pivotArea collapsedLevelsAreSubtotals="1" fieldPosition="0">
        <references count="1">
          <reference field="13" count="1">
            <x v="6"/>
          </reference>
        </references>
      </pivotArea>
    </format>
    <format dxfId="161">
      <pivotArea collapsedLevelsAreSubtotals="1" fieldPosition="0">
        <references count="2">
          <reference field="13" count="1" selected="0">
            <x v="6"/>
          </reference>
          <reference field="14" count="103">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reference>
        </references>
      </pivotArea>
    </format>
    <format dxfId="160">
      <pivotArea grandRow="1" outline="0" collapsedLevelsAreSubtotals="1" fieldPosition="0"/>
    </format>
    <format dxfId="159">
      <pivotArea collapsedLevelsAreSubtotals="1" fieldPosition="0">
        <references count="2">
          <reference field="13" count="1" selected="0">
            <x v="2"/>
          </reference>
          <reference field="14" count="65">
            <x v="179"/>
            <x v="180"/>
            <x v="181"/>
            <x v="182"/>
            <x v="183"/>
            <x v="184"/>
            <x v="185"/>
            <x v="186"/>
            <x v="188"/>
            <x v="189"/>
            <x v="191"/>
            <x v="192"/>
            <x v="193"/>
            <x v="197"/>
            <x v="199"/>
            <x v="200"/>
            <x v="201"/>
            <x v="203"/>
            <x v="204"/>
            <x v="205"/>
            <x v="207"/>
            <x v="208"/>
            <x v="209"/>
            <x v="210"/>
            <x v="211"/>
            <x v="212"/>
            <x v="213"/>
            <x v="214"/>
            <x v="215"/>
            <x v="216"/>
            <x v="217"/>
            <x v="218"/>
            <x v="219"/>
            <x v="220"/>
            <x v="221"/>
            <x v="223"/>
            <x v="224"/>
            <x v="225"/>
            <x v="226"/>
            <x v="227"/>
            <x v="228"/>
            <x v="229"/>
            <x v="231"/>
            <x v="232"/>
            <x v="233"/>
            <x v="235"/>
            <x v="236"/>
            <x v="237"/>
            <x v="239"/>
            <x v="241"/>
            <x v="242"/>
            <x v="243"/>
            <x v="244"/>
            <x v="246"/>
            <x v="247"/>
            <x v="248"/>
            <x v="249"/>
            <x v="250"/>
            <x v="251"/>
            <x v="252"/>
            <x v="253"/>
            <x v="254"/>
            <x v="255"/>
            <x v="257"/>
            <x v="258"/>
          </reference>
        </references>
      </pivotArea>
    </format>
    <format dxfId="158">
      <pivotArea collapsedLevelsAreSubtotals="1" fieldPosition="0">
        <references count="2">
          <reference field="13" count="1" selected="0">
            <x v="2"/>
          </reference>
          <reference field="14" count="12">
            <x v="187"/>
            <x v="194"/>
            <x v="195"/>
            <x v="198"/>
            <x v="202"/>
            <x v="206"/>
            <x v="222"/>
            <x v="230"/>
            <x v="238"/>
            <x v="240"/>
            <x v="245"/>
            <x v="256"/>
          </reference>
        </references>
      </pivotArea>
    </format>
    <format dxfId="157">
      <pivotArea collapsedLevelsAreSubtotals="1" fieldPosition="0">
        <references count="2">
          <reference field="13" count="1" selected="0">
            <x v="2"/>
          </reference>
          <reference field="14" count="4">
            <x v="178"/>
            <x v="190"/>
            <x v="196"/>
            <x v="234"/>
          </reference>
        </references>
      </pivotArea>
    </format>
    <format dxfId="156">
      <pivotArea collapsedLevelsAreSubtotals="1" fieldPosition="0">
        <references count="2">
          <reference field="13" count="1" selected="0">
            <x v="3"/>
          </reference>
          <reference field="14" count="75">
            <x v="259"/>
            <x v="260"/>
            <x v="261"/>
            <x v="262"/>
            <x v="263"/>
            <x v="264"/>
            <x v="265"/>
            <x v="266"/>
            <x v="268"/>
            <x v="269"/>
            <x v="270"/>
            <x v="271"/>
            <x v="272"/>
            <x v="273"/>
            <x v="275"/>
            <x v="277"/>
            <x v="279"/>
            <x v="280"/>
            <x v="281"/>
            <x v="282"/>
            <x v="283"/>
            <x v="285"/>
            <x v="286"/>
            <x v="287"/>
            <x v="288"/>
            <x v="290"/>
            <x v="291"/>
            <x v="295"/>
            <x v="296"/>
            <x v="297"/>
            <x v="298"/>
            <x v="299"/>
            <x v="300"/>
            <x v="301"/>
            <x v="302"/>
            <x v="303"/>
            <x v="304"/>
            <x v="305"/>
            <x v="307"/>
            <x v="308"/>
            <x v="310"/>
            <x v="311"/>
            <x v="312"/>
            <x v="313"/>
            <x v="314"/>
            <x v="315"/>
            <x v="316"/>
            <x v="317"/>
            <x v="318"/>
            <x v="319"/>
            <x v="320"/>
            <x v="321"/>
            <x v="322"/>
            <x v="323"/>
            <x v="324"/>
            <x v="325"/>
            <x v="327"/>
            <x v="328"/>
            <x v="329"/>
            <x v="332"/>
            <x v="333"/>
            <x v="334"/>
            <x v="335"/>
            <x v="337"/>
            <x v="338"/>
            <x v="340"/>
            <x v="342"/>
            <x v="343"/>
            <x v="344"/>
            <x v="346"/>
            <x v="347"/>
            <x v="349"/>
            <x v="350"/>
            <x v="351"/>
            <x v="352"/>
          </reference>
        </references>
      </pivotArea>
    </format>
    <format dxfId="155">
      <pivotArea collapsedLevelsAreSubtotals="1" fieldPosition="0">
        <references count="2">
          <reference field="13" count="1" selected="0">
            <x v="3"/>
          </reference>
          <reference field="14" count="14">
            <x v="274"/>
            <x v="276"/>
            <x v="278"/>
            <x v="289"/>
            <x v="292"/>
            <x v="293"/>
            <x v="306"/>
            <x v="326"/>
            <x v="330"/>
            <x v="331"/>
            <x v="336"/>
            <x v="339"/>
            <x v="341"/>
            <x v="348"/>
          </reference>
        </references>
      </pivotArea>
    </format>
    <format dxfId="154">
      <pivotArea collapsedLevelsAreSubtotals="1" fieldPosition="0">
        <references count="2">
          <reference field="13" count="1" selected="0">
            <x v="3"/>
          </reference>
          <reference field="14" count="5">
            <x v="267"/>
            <x v="284"/>
            <x v="294"/>
            <x v="309"/>
            <x v="345"/>
          </reference>
        </references>
      </pivotArea>
    </format>
    <format dxfId="153">
      <pivotArea collapsedLevelsAreSubtotals="1" fieldPosition="0">
        <references count="2">
          <reference field="13" count="1" selected="0">
            <x v="4"/>
          </reference>
          <reference field="14" count="69">
            <x v="353"/>
            <x v="355"/>
            <x v="356"/>
            <x v="357"/>
            <x v="358"/>
            <x v="359"/>
            <x v="360"/>
            <x v="361"/>
            <x v="362"/>
            <x v="364"/>
            <x v="365"/>
            <x v="366"/>
            <x v="367"/>
            <x v="368"/>
            <x v="369"/>
            <x v="371"/>
            <x v="373"/>
            <x v="375"/>
            <x v="376"/>
            <x v="378"/>
            <x v="379"/>
            <x v="380"/>
            <x v="381"/>
            <x v="382"/>
            <x v="383"/>
            <x v="385"/>
            <x v="386"/>
            <x v="387"/>
            <x v="388"/>
            <x v="389"/>
            <x v="390"/>
            <x v="392"/>
            <x v="393"/>
            <x v="394"/>
            <x v="395"/>
            <x v="396"/>
            <x v="397"/>
            <x v="398"/>
            <x v="399"/>
            <x v="401"/>
            <x v="402"/>
            <x v="403"/>
            <x v="404"/>
            <x v="405"/>
            <x v="406"/>
            <x v="407"/>
            <x v="409"/>
            <x v="410"/>
            <x v="412"/>
            <x v="413"/>
            <x v="414"/>
            <x v="415"/>
            <x v="416"/>
            <x v="417"/>
            <x v="418"/>
            <x v="419"/>
            <x v="421"/>
            <x v="422"/>
            <x v="423"/>
            <x v="425"/>
            <x v="427"/>
            <x v="428"/>
            <x v="429"/>
            <x v="430"/>
            <x v="431"/>
            <x v="432"/>
            <x v="435"/>
            <x v="436"/>
            <x v="437"/>
          </reference>
        </references>
      </pivotArea>
    </format>
    <format dxfId="152">
      <pivotArea collapsedLevelsAreSubtotals="1" fieldPosition="0">
        <references count="2">
          <reference field="13" count="1" selected="0">
            <x v="4"/>
          </reference>
          <reference field="14" count="13">
            <x v="363"/>
            <x v="370"/>
            <x v="372"/>
            <x v="374"/>
            <x v="377"/>
            <x v="384"/>
            <x v="400"/>
            <x v="408"/>
            <x v="411"/>
            <x v="420"/>
            <x v="424"/>
            <x v="426"/>
            <x v="433"/>
          </reference>
        </references>
      </pivotArea>
    </format>
    <format dxfId="151">
      <pivotArea collapsedLevelsAreSubtotals="1" fieldPosition="0">
        <references count="2">
          <reference field="13" count="1" selected="0">
            <x v="4"/>
          </reference>
          <reference field="14" count="4">
            <x v="354"/>
            <x v="391"/>
            <x v="434"/>
            <x v="438"/>
          </reference>
        </references>
      </pivotArea>
    </format>
    <format dxfId="150">
      <pivotArea collapsedLevelsAreSubtotals="1" fieldPosition="0">
        <references count="2">
          <reference field="13" count="1" selected="0">
            <x v="5"/>
          </reference>
          <reference field="14" count="70">
            <x v="439"/>
            <x v="440"/>
            <x v="443"/>
            <x v="444"/>
            <x v="446"/>
            <x v="447"/>
            <x v="448"/>
            <x v="449"/>
            <x v="451"/>
            <x v="452"/>
            <x v="453"/>
            <x v="454"/>
            <x v="455"/>
            <x v="456"/>
            <x v="459"/>
            <x v="460"/>
            <x v="461"/>
            <x v="462"/>
            <x v="463"/>
            <x v="464"/>
            <x v="467"/>
            <x v="468"/>
            <x v="469"/>
            <x v="472"/>
            <x v="473"/>
            <x v="474"/>
            <x v="475"/>
            <x v="476"/>
            <x v="478"/>
            <x v="479"/>
            <x v="480"/>
            <x v="481"/>
            <x v="483"/>
            <x v="484"/>
            <x v="485"/>
            <x v="486"/>
            <x v="487"/>
            <x v="488"/>
            <x v="489"/>
            <x v="490"/>
            <x v="492"/>
            <x v="493"/>
            <x v="495"/>
            <x v="497"/>
            <x v="498"/>
            <x v="499"/>
            <x v="500"/>
            <x v="501"/>
            <x v="502"/>
            <x v="503"/>
            <x v="504"/>
            <x v="505"/>
            <x v="507"/>
            <x v="508"/>
            <x v="509"/>
            <x v="510"/>
            <x v="511"/>
            <x v="512"/>
            <x v="513"/>
            <x v="514"/>
            <x v="516"/>
            <x v="517"/>
            <x v="518"/>
            <x v="520"/>
            <x v="521"/>
            <x v="522"/>
            <x v="523"/>
            <x v="524"/>
            <x v="525"/>
            <x v="526"/>
          </reference>
        </references>
      </pivotArea>
    </format>
    <format dxfId="149">
      <pivotArea collapsedLevelsAreSubtotals="1" fieldPosition="0">
        <references count="2">
          <reference field="13" count="1" selected="0">
            <x v="5"/>
          </reference>
          <reference field="14" count="13">
            <x v="441"/>
            <x v="442"/>
            <x v="445"/>
            <x v="450"/>
            <x v="457"/>
            <x v="458"/>
            <x v="470"/>
            <x v="471"/>
            <x v="477"/>
            <x v="491"/>
            <x v="494"/>
            <x v="496"/>
            <x v="515"/>
          </reference>
        </references>
      </pivotArea>
    </format>
    <format dxfId="148">
      <pivotArea collapsedLevelsAreSubtotals="1" fieldPosition="0">
        <references count="2">
          <reference field="13" count="1" selected="0">
            <x v="5"/>
          </reference>
          <reference field="14" count="5">
            <x v="465"/>
            <x v="466"/>
            <x v="482"/>
            <x v="506"/>
            <x v="519"/>
          </reference>
        </references>
      </pivotArea>
    </format>
    <format dxfId="147">
      <pivotArea collapsedLevelsAreSubtotals="1" fieldPosition="0">
        <references count="2">
          <reference field="13" count="1" selected="0">
            <x v="6"/>
          </reference>
          <reference field="14" count="82">
            <x v="527"/>
            <x v="528"/>
            <x v="531"/>
            <x v="532"/>
            <x v="533"/>
            <x v="534"/>
            <x v="535"/>
            <x v="536"/>
            <x v="537"/>
            <x v="538"/>
            <x v="540"/>
            <x v="541"/>
            <x v="542"/>
            <x v="543"/>
            <x v="544"/>
            <x v="545"/>
            <x v="546"/>
            <x v="547"/>
            <x v="548"/>
            <x v="549"/>
            <x v="550"/>
            <x v="551"/>
            <x v="552"/>
            <x v="553"/>
            <x v="554"/>
            <x v="555"/>
            <x v="557"/>
            <x v="558"/>
            <x v="560"/>
            <x v="561"/>
            <x v="562"/>
            <x v="563"/>
            <x v="565"/>
            <x v="566"/>
            <x v="567"/>
            <x v="568"/>
            <x v="569"/>
            <x v="570"/>
            <x v="571"/>
            <x v="572"/>
            <x v="573"/>
            <x v="574"/>
            <x v="575"/>
            <x v="578"/>
            <x v="579"/>
            <x v="580"/>
            <x v="583"/>
            <x v="584"/>
            <x v="585"/>
            <x v="586"/>
            <x v="588"/>
            <x v="590"/>
            <x v="591"/>
            <x v="593"/>
            <x v="594"/>
            <x v="595"/>
            <x v="596"/>
            <x v="598"/>
            <x v="599"/>
            <x v="600"/>
            <x v="601"/>
            <x v="602"/>
            <x v="604"/>
            <x v="607"/>
            <x v="608"/>
            <x v="610"/>
            <x v="611"/>
            <x v="613"/>
            <x v="615"/>
            <x v="616"/>
            <x v="617"/>
            <x v="618"/>
            <x v="619"/>
            <x v="620"/>
            <x v="621"/>
            <x v="622"/>
            <x v="623"/>
            <x v="624"/>
            <x v="625"/>
            <x v="626"/>
            <x v="627"/>
            <x v="629"/>
          </reference>
        </references>
      </pivotArea>
    </format>
    <format dxfId="146">
      <pivotArea collapsedLevelsAreSubtotals="1" fieldPosition="0">
        <references count="2">
          <reference field="13" count="1" selected="0">
            <x v="6"/>
          </reference>
          <reference field="14" count="15">
            <x v="529"/>
            <x v="530"/>
            <x v="539"/>
            <x v="556"/>
            <x v="559"/>
            <x v="564"/>
            <x v="577"/>
            <x v="581"/>
            <x v="592"/>
            <x v="597"/>
            <x v="603"/>
            <x v="605"/>
            <x v="606"/>
            <x v="609"/>
            <x v="612"/>
          </reference>
        </references>
      </pivotArea>
    </format>
    <format dxfId="145">
      <pivotArea collapsedLevelsAreSubtotals="1" fieldPosition="0">
        <references count="2">
          <reference field="13" count="1" selected="0">
            <x v="6"/>
          </reference>
          <reference field="14" count="6">
            <x v="576"/>
            <x v="582"/>
            <x v="587"/>
            <x v="589"/>
            <x v="614"/>
            <x v="62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D5" firstHeaderRow="0" firstDataRow="1" firstDataCol="1"/>
  <pivotFields count="28">
    <pivotField dataField="1" showAll="0"/>
    <pivotField numFmtId="14" showAll="0"/>
    <pivotField numFmtId="14" showAll="0"/>
    <pivotField numFmtId="14" showAll="0"/>
    <pivotField numFmtId="14" showAll="0"/>
    <pivotField numFmtId="1" showAll="0"/>
    <pivotField showAll="0"/>
    <pivotField showAll="0"/>
    <pivotField showAll="0"/>
    <pivotField showAll="0"/>
    <pivotField showAll="0"/>
    <pivotField showAll="0"/>
    <pivotField axis="axisRow" showAll="0" sortType="descending">
      <items count="18">
        <item h="1" x="14"/>
        <item x="5"/>
        <item h="1" x="0"/>
        <item h="1" x="8"/>
        <item h="1" x="6"/>
        <item h="1" x="9"/>
        <item h="1" x="3"/>
        <item h="1" x="11"/>
        <item h="1" x="2"/>
        <item h="1" x="1"/>
        <item h="1" x="12"/>
        <item h="1" x="4"/>
        <item h="1" x="13"/>
        <item h="1" x="10"/>
        <item h="1" x="7"/>
        <item h="1" x="15"/>
        <item h="1" f="1" x="16"/>
        <item t="default"/>
      </items>
      <autoSortScope>
        <pivotArea dataOnly="0" outline="0" fieldPosition="0">
          <references count="1">
            <reference field="4294967294" count="1" selected="0">
              <x v="2"/>
            </reference>
          </references>
        </pivotArea>
      </autoSortScope>
    </pivotField>
    <pivotField showAll="0"/>
    <pivotField showAll="0"/>
    <pivotField numFmtId="164" showAll="0"/>
    <pivotField numFmtId="164" showAll="0"/>
    <pivotField numFmtId="10" showAll="0"/>
    <pivotField numFmtId="1" showAll="0"/>
    <pivotField dataField="1" numFmtId="164" showAll="0"/>
    <pivotField numFmtId="164" showAll="0"/>
    <pivotField dataField="1" numFmtId="164" showAll="0"/>
    <pivotField numFmtId="10" showAll="0"/>
    <pivotField showAll="0"/>
    <pivotField showAll="0"/>
    <pivotField showAll="0"/>
    <pivotField showAll="0"/>
    <pivotField showAll="0"/>
  </pivotFields>
  <rowFields count="1">
    <field x="12"/>
  </rowFields>
  <rowItems count="2">
    <i>
      <x v="1"/>
    </i>
    <i t="grand">
      <x/>
    </i>
  </rowItems>
  <colFields count="1">
    <field x="-2"/>
  </colFields>
  <colItems count="3">
    <i>
      <x/>
    </i>
    <i i="1">
      <x v="1"/>
    </i>
    <i i="2">
      <x v="2"/>
    </i>
  </colItems>
  <dataFields count="3">
    <dataField name="Sum of GrossRevenue" fld="19" baseField="0" baseItem="0" numFmtId="164"/>
    <dataField name="Sum of GrossProfit" fld="21" baseField="0" baseItem="0" numFmtId="164"/>
    <dataField name="Count of OrderID" fld="0" subtotal="count" baseField="0" baseItem="0"/>
  </dataFields>
  <formats count="2">
    <format dxfId="144">
      <pivotArea outline="0" collapsedLevelsAreSubtotals="1" fieldPosition="0">
        <references count="1">
          <reference field="4294967294" count="1" selected="0">
            <x v="0"/>
          </reference>
        </references>
      </pivotArea>
    </format>
    <format dxfId="14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B7" firstHeaderRow="1" firstDataRow="1" firstDataCol="1"/>
  <pivotFields count="29">
    <pivotField dataField="1" showAll="0"/>
    <pivotField numFmtId="14" showAll="0"/>
    <pivotField numFmtId="14" showAll="0"/>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4" showAll="0"/>
    <pivotField numFmtId="164" showAll="0"/>
    <pivotField numFmtId="10" showAll="0"/>
    <pivotField numFmtId="1" showAll="0"/>
    <pivotField numFmtId="164" showAll="0"/>
    <pivotField numFmtId="164" showAll="0"/>
    <pivotField numFmtId="164" showAll="0"/>
    <pivotField numFmtId="10" showAll="0"/>
    <pivotField showAll="0"/>
    <pivotField showAll="0"/>
    <pivotField showAll="0"/>
    <pivotField showAll="0"/>
    <pivotField showAll="0"/>
    <pivotField axis="axisRow" showAll="0">
      <items count="3">
        <item x="0"/>
        <item x="1"/>
        <item t="default"/>
      </items>
    </pivotField>
  </pivotFields>
  <rowFields count="1">
    <field x="28"/>
  </rowFields>
  <rowItems count="3">
    <i>
      <x/>
    </i>
    <i>
      <x v="1"/>
    </i>
    <i t="grand">
      <x/>
    </i>
  </rowItems>
  <colItems count="1">
    <i/>
  </colItems>
  <dataFields count="1">
    <dataField name="Count of OrderID" fld="0" subtotal="count" showDataAs="percentOfTotal" baseField="28"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30">
    <pivotField showAll="0"/>
    <pivotField numFmtId="14" showAll="0"/>
    <pivotField numFmtId="14" showAll="0"/>
    <pivotField numFmtId="14" showAll="0"/>
    <pivotField numFmtId="14" showAll="0"/>
    <pivotField numFmtId="1" showAll="0"/>
    <pivotField showAll="0"/>
    <pivotField showAll="0">
      <items count="5">
        <item h="1" x="0"/>
        <item h="1" x="2"/>
        <item h="1" x="1"/>
        <item x="3"/>
        <item t="default"/>
      </items>
    </pivotField>
    <pivotField showAll="0"/>
    <pivotField showAll="0"/>
    <pivotField showAll="0"/>
    <pivotField showAll="0"/>
    <pivotField showAll="0">
      <items count="17">
        <item h="1" x="14"/>
        <item h="1" x="5"/>
        <item h="1" x="0"/>
        <item x="8"/>
        <item h="1" x="6"/>
        <item h="1" x="9"/>
        <item h="1" x="3"/>
        <item h="1" x="11"/>
        <item h="1" x="2"/>
        <item h="1" x="1"/>
        <item h="1" x="12"/>
        <item h="1" x="4"/>
        <item h="1" x="13"/>
        <item h="1" x="10"/>
        <item h="1" x="7"/>
        <item h="1" x="15"/>
        <item t="default"/>
      </items>
    </pivotField>
    <pivotField showAll="0"/>
    <pivotField showAll="0"/>
    <pivotField numFmtId="164" showAll="0"/>
    <pivotField numFmtId="164" showAll="0"/>
    <pivotField dataField="1" numFmtId="10" showAll="0"/>
    <pivotField numFmtId="1" showAll="0"/>
    <pivotField numFmtId="164" showAll="0"/>
    <pivotField numFmtId="164" showAll="0"/>
    <pivotField numFmtId="164" showAll="0"/>
    <pivotField numFmtId="10" showAll="0"/>
    <pivotField showAll="0"/>
    <pivotField showAll="0"/>
    <pivotField showAll="0"/>
    <pivotField showAll="0"/>
    <pivotField showAll="0">
      <items count="13">
        <item x="4"/>
        <item x="2"/>
        <item x="0"/>
        <item x="7"/>
        <item x="5"/>
        <item x="9"/>
        <item x="6"/>
        <item x="11"/>
        <item x="8"/>
        <item x="1"/>
        <item x="10"/>
        <item x="3"/>
        <item t="default"/>
      </items>
    </pivotField>
    <pivotField showAll="0"/>
    <pivotField axis="axisRow" showAll="0">
      <items count="3">
        <item x="0"/>
        <item x="1"/>
        <item t="default"/>
      </items>
    </pivotField>
  </pivotFields>
  <rowFields count="1">
    <field x="29"/>
  </rowFields>
  <rowItems count="3">
    <i>
      <x/>
    </i>
    <i>
      <x v="1"/>
    </i>
    <i t="grand">
      <x/>
    </i>
  </rowItems>
  <colItems count="1">
    <i/>
  </colItems>
  <dataFields count="1">
    <dataField name="Count of DiscountPct" fld="17" subtotal="count" showDataAs="percentOfTotal" baseField="29" baseItem="0" numFmtId="10"/>
  </dataField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9" count="1" selected="0">
            <x v="0"/>
          </reference>
        </references>
      </pivotArea>
    </chartFormat>
    <chartFormat chart="2" format="2">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1" firstHeaderRow="1" firstDataRow="1" firstDataCol="1"/>
  <pivotFields count="30">
    <pivotField showAll="0"/>
    <pivotField numFmtId="14" showAll="0"/>
    <pivotField numFmtId="14" showAll="0"/>
    <pivotField numFmtId="14" showAll="0"/>
    <pivotField numFmtId="14" showAll="0"/>
    <pivotField numFmtId="1" showAll="0"/>
    <pivotField showAll="0"/>
    <pivotField showAll="0">
      <items count="5">
        <item h="1" x="0"/>
        <item h="1" x="2"/>
        <item h="1" x="1"/>
        <item x="3"/>
        <item t="default"/>
      </items>
    </pivotField>
    <pivotField showAll="0"/>
    <pivotField showAll="0"/>
    <pivotField showAll="0"/>
    <pivotField showAll="0"/>
    <pivotField showAll="0">
      <items count="17">
        <item h="1" x="14"/>
        <item h="1" x="5"/>
        <item h="1" x="0"/>
        <item x="8"/>
        <item h="1" x="6"/>
        <item h="1" x="9"/>
        <item h="1" x="3"/>
        <item h="1" x="11"/>
        <item h="1" x="2"/>
        <item h="1" x="1"/>
        <item h="1" x="12"/>
        <item h="1" x="4"/>
        <item h="1" x="13"/>
        <item h="1" x="10"/>
        <item h="1" x="7"/>
        <item h="1" x="15"/>
        <item t="default"/>
      </items>
    </pivotField>
    <pivotField showAll="0"/>
    <pivotField showAll="0"/>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 showAll="0"/>
    <pivotField axis="axisRow" showAll="0">
      <items count="13">
        <item x="4"/>
        <item x="2"/>
        <item x="0"/>
        <item x="7"/>
        <item x="5"/>
        <item x="9"/>
        <item x="6"/>
        <item x="11"/>
        <item x="8"/>
        <item x="1"/>
        <item x="10"/>
        <item x="3"/>
        <item t="default"/>
      </items>
    </pivotField>
    <pivotField showAll="0"/>
    <pivotField showAll="0"/>
  </pivotFields>
  <rowFields count="1">
    <field x="27"/>
  </rowFields>
  <rowItems count="8">
    <i>
      <x/>
    </i>
    <i>
      <x v="1"/>
    </i>
    <i>
      <x v="3"/>
    </i>
    <i>
      <x v="4"/>
    </i>
    <i>
      <x v="5"/>
    </i>
    <i>
      <x v="7"/>
    </i>
    <i>
      <x v="11"/>
    </i>
    <i t="grand">
      <x/>
    </i>
  </rowItems>
  <colItems count="1">
    <i/>
  </colItems>
  <dataFields count="1">
    <dataField name="Sum of GrossRevenue" fld="1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H6" firstHeaderRow="1" firstDataRow="2" firstDataCol="1"/>
  <pivotFields count="30">
    <pivotField showAll="0"/>
    <pivotField numFmtId="14" showAll="0"/>
    <pivotField numFmtId="14" showAll="0"/>
    <pivotField numFmtId="14" showAll="0"/>
    <pivotField numFmtId="14" showAll="0"/>
    <pivotField numFmtId="1" showAll="0"/>
    <pivotField showAll="0"/>
    <pivotField axis="axisRow" showAll="0">
      <items count="5">
        <item h="1" x="0"/>
        <item h="1" x="2"/>
        <item h="1" x="1"/>
        <item x="3"/>
        <item t="default"/>
      </items>
    </pivotField>
    <pivotField showAll="0"/>
    <pivotField showAll="0"/>
    <pivotField showAll="0"/>
    <pivotField axis="axisCol" showAll="0">
      <items count="7">
        <item x="4"/>
        <item x="3"/>
        <item x="2"/>
        <item x="1"/>
        <item x="0"/>
        <item x="5"/>
        <item t="default"/>
      </items>
    </pivotField>
    <pivotField showAll="0">
      <items count="17">
        <item h="1" x="14"/>
        <item h="1" x="5"/>
        <item h="1" x="0"/>
        <item x="8"/>
        <item h="1" x="6"/>
        <item h="1" x="9"/>
        <item h="1" x="3"/>
        <item h="1" x="11"/>
        <item h="1" x="2"/>
        <item h="1" x="1"/>
        <item h="1" x="12"/>
        <item h="1" x="4"/>
        <item h="1" x="13"/>
        <item h="1" x="10"/>
        <item h="1" x="7"/>
        <item h="1" x="15"/>
        <item t="default"/>
      </items>
    </pivotField>
    <pivotField showAll="0">
      <items count="8">
        <item x="6"/>
        <item x="0"/>
        <item x="4"/>
        <item x="5"/>
        <item x="2"/>
        <item x="3"/>
        <item x="1"/>
        <item t="default"/>
      </items>
    </pivotField>
    <pivotField showAll="0"/>
    <pivotField numFmtId="164" showAll="0"/>
    <pivotField numFmtId="164" showAll="0"/>
    <pivotField numFmtId="10" showAll="0"/>
    <pivotField numFmtId="1" showAll="0"/>
    <pivotField numFmtId="164" showAll="0"/>
    <pivotField numFmtId="164" showAll="0"/>
    <pivotField dataField="1" numFmtId="164" showAll="0"/>
    <pivotField numFmtId="10" showAll="0"/>
    <pivotField showAll="0"/>
    <pivotField showAll="0"/>
    <pivotField showAll="0"/>
    <pivotField showAll="0"/>
    <pivotField showAll="0">
      <items count="13">
        <item x="4"/>
        <item x="2"/>
        <item x="0"/>
        <item x="7"/>
        <item x="5"/>
        <item x="9"/>
        <item x="6"/>
        <item x="11"/>
        <item x="8"/>
        <item x="1"/>
        <item x="10"/>
        <item x="3"/>
        <item t="default"/>
      </items>
    </pivotField>
    <pivotField showAll="0"/>
    <pivotField showAll="0"/>
  </pivotFields>
  <rowFields count="1">
    <field x="7"/>
  </rowFields>
  <rowItems count="2">
    <i>
      <x v="3"/>
    </i>
    <i t="grand">
      <x/>
    </i>
  </rowItems>
  <colFields count="1">
    <field x="11"/>
  </colFields>
  <colItems count="7">
    <i>
      <x/>
    </i>
    <i>
      <x v="1"/>
    </i>
    <i>
      <x v="2"/>
    </i>
    <i>
      <x v="3"/>
    </i>
    <i>
      <x v="4"/>
    </i>
    <i>
      <x v="5"/>
    </i>
    <i t="grand">
      <x/>
    </i>
  </colItems>
  <dataFields count="1">
    <dataField name="Sum of GrossProfit" fld="21" baseField="0"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5" format="12" series="1">
      <pivotArea type="data" outline="0" fieldPosition="0">
        <references count="2">
          <reference field="4294967294" count="1" selected="0">
            <x v="0"/>
          </reference>
          <reference field="11" count="1" selected="0">
            <x v="0"/>
          </reference>
        </references>
      </pivotArea>
    </chartFormat>
    <chartFormat chart="5" format="13"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2"/>
          </reference>
        </references>
      </pivotArea>
    </chartFormat>
    <chartFormat chart="5" format="15" series="1">
      <pivotArea type="data" outline="0" fieldPosition="0">
        <references count="2">
          <reference field="4294967294" count="1" selected="0">
            <x v="0"/>
          </reference>
          <reference field="11" count="1" selected="0">
            <x v="3"/>
          </reference>
        </references>
      </pivotArea>
    </chartFormat>
    <chartFormat chart="5" format="16" series="1">
      <pivotArea type="data" outline="0" fieldPosition="0">
        <references count="2">
          <reference field="4294967294" count="1" selected="0">
            <x v="0"/>
          </reference>
          <reference field="11" count="1" selected="0">
            <x v="4"/>
          </reference>
        </references>
      </pivotArea>
    </chartFormat>
    <chartFormat chart="5"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4" firstHeaderRow="1" firstDataRow="1" firstDataCol="1"/>
  <pivotFields count="30">
    <pivotField showAll="0"/>
    <pivotField numFmtId="14" showAll="0"/>
    <pivotField numFmtId="14" showAll="0"/>
    <pivotField numFmtId="14" showAll="0"/>
    <pivotField numFmtId="14" showAll="0"/>
    <pivotField numFmtId="1" showAll="0"/>
    <pivotField showAll="0"/>
    <pivotField showAll="0">
      <items count="5">
        <item h="1" x="0"/>
        <item h="1" x="2"/>
        <item h="1" x="1"/>
        <item x="3"/>
        <item t="default"/>
      </items>
    </pivotField>
    <pivotField showAll="0"/>
    <pivotField showAll="0"/>
    <pivotField showAll="0"/>
    <pivotField showAll="0"/>
    <pivotField showAll="0">
      <items count="17">
        <item h="1" x="14"/>
        <item h="1" x="5"/>
        <item h="1" x="0"/>
        <item x="8"/>
        <item h="1" x="6"/>
        <item h="1" x="9"/>
        <item h="1" x="3"/>
        <item h="1" x="11"/>
        <item h="1" x="2"/>
        <item h="1" x="1"/>
        <item h="1" x="12"/>
        <item h="1" x="4"/>
        <item h="1" x="13"/>
        <item h="1" x="10"/>
        <item h="1" x="7"/>
        <item h="1" x="15"/>
        <item t="default"/>
      </items>
    </pivotField>
    <pivotField showAll="0"/>
    <pivotField axis="axisRow" showAll="0" measureFilter="1" sortType="descending">
      <items count="631">
        <item x="587"/>
        <item x="338"/>
        <item x="516"/>
        <item x="333"/>
        <item x="70"/>
        <item x="291"/>
        <item x="103"/>
        <item x="460"/>
        <item x="454"/>
        <item x="312"/>
        <item x="109"/>
        <item x="441"/>
        <item x="154"/>
        <item x="619"/>
        <item x="207"/>
        <item x="551"/>
        <item x="355"/>
        <item x="493"/>
        <item x="290"/>
        <item x="340"/>
        <item x="360"/>
        <item x="415"/>
        <item x="319"/>
        <item x="22"/>
        <item x="579"/>
        <item x="478"/>
        <item x="147"/>
        <item x="592"/>
        <item x="346"/>
        <item x="275"/>
        <item x="604"/>
        <item x="450"/>
        <item x="185"/>
        <item x="158"/>
        <item x="489"/>
        <item x="465"/>
        <item x="332"/>
        <item x="352"/>
        <item x="552"/>
        <item x="325"/>
        <item x="187"/>
        <item x="59"/>
        <item x="576"/>
        <item x="545"/>
        <item x="130"/>
        <item x="588"/>
        <item x="358"/>
        <item x="521"/>
        <item x="261"/>
        <item x="170"/>
        <item x="77"/>
        <item x="597"/>
        <item x="416"/>
        <item x="131"/>
        <item x="306"/>
        <item x="536"/>
        <item x="113"/>
        <item x="277"/>
        <item x="293"/>
        <item x="139"/>
        <item x="10"/>
        <item x="621"/>
        <item x="554"/>
        <item x="97"/>
        <item x="317"/>
        <item x="299"/>
        <item x="569"/>
        <item x="292"/>
        <item x="66"/>
        <item x="408"/>
        <item x="227"/>
        <item x="491"/>
        <item x="58"/>
        <item x="557"/>
        <item x="541"/>
        <item x="144"/>
        <item x="288"/>
        <item x="394"/>
        <item x="209"/>
        <item x="182"/>
        <item x="221"/>
        <item x="93"/>
        <item x="50"/>
        <item x="162"/>
        <item x="57"/>
        <item x="437"/>
        <item x="142"/>
        <item x="618"/>
        <item x="75"/>
        <item x="169"/>
        <item x="513"/>
        <item x="471"/>
        <item x="25"/>
        <item x="607"/>
        <item x="624"/>
        <item x="34"/>
        <item x="172"/>
        <item x="627"/>
        <item x="401"/>
        <item x="126"/>
        <item x="391"/>
        <item x="124"/>
        <item x="484"/>
        <item x="523"/>
        <item x="377"/>
        <item x="12"/>
        <item x="87"/>
        <item x="82"/>
        <item x="323"/>
        <item x="510"/>
        <item x="367"/>
        <item x="458"/>
        <item x="474"/>
        <item x="136"/>
        <item x="54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357"/>
        <item x="289"/>
        <item x="476"/>
        <item x="237"/>
        <item x="585"/>
        <item x="177"/>
        <item x="300"/>
        <item x="267"/>
        <item x="559"/>
        <item x="225"/>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497"/>
        <item x="309"/>
        <item x="304"/>
        <item x="542"/>
        <item x="242"/>
        <item x="457"/>
        <item x="123"/>
        <item x="23"/>
        <item x="255"/>
        <item x="508"/>
        <item x="104"/>
        <item x="190"/>
        <item x="563"/>
        <item x="387"/>
        <item x="251"/>
        <item x="151"/>
        <item x="520"/>
        <item x="593"/>
        <item x="368"/>
        <item x="403"/>
        <item x="409"/>
        <item x="219"/>
        <item x="173"/>
        <item x="102"/>
        <item x="388"/>
        <item x="356"/>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4"/>
        <item x="247"/>
        <item x="311"/>
        <item x="89"/>
        <item x="547"/>
        <item x="249"/>
        <item x="135"/>
        <item x="273"/>
        <item x="427"/>
        <item x="83"/>
        <item x="398"/>
        <item x="121"/>
        <item x="625"/>
        <item x="418"/>
        <item x="615"/>
        <item x="268"/>
        <item x="351"/>
        <item x="580"/>
        <item x="297"/>
        <item x="51"/>
        <item x="252"/>
        <item x="372"/>
        <item x="432"/>
        <item x="499"/>
        <item x="495"/>
        <item x="204"/>
        <item x="456"/>
        <item x="455"/>
        <item x="63"/>
        <item x="233"/>
        <item x="178"/>
        <item x="305"/>
        <item x="447"/>
        <item x="280"/>
        <item x="298"/>
        <item x="183"/>
        <item x="363"/>
        <item x="389"/>
        <item x="561"/>
        <item x="572"/>
        <item x="522"/>
        <item x="302"/>
        <item x="310"/>
        <item x="328"/>
        <item x="165"/>
        <item x="67"/>
        <item x="453"/>
        <item x="8"/>
        <item x="175"/>
        <item x="556"/>
        <item x="446"/>
        <item x="9"/>
        <item x="191"/>
        <item x="168"/>
        <item x="383"/>
        <item x="258"/>
        <item x="211"/>
        <item x="76"/>
        <item x="79"/>
        <item x="610"/>
        <item x="544"/>
        <item x="6"/>
        <item x="272"/>
        <item x="540"/>
        <item x="431"/>
        <item x="184"/>
        <item x="494"/>
        <item x="254"/>
        <item x="88"/>
        <item x="118"/>
        <item x="531"/>
        <item x="163"/>
        <item x="603"/>
        <item x="318"/>
        <item x="395"/>
        <item x="266"/>
        <item x="160"/>
        <item x="40"/>
        <item x="496"/>
        <item x="270"/>
        <item x="55"/>
        <item x="590"/>
        <item x="380"/>
        <item x="41"/>
        <item x="223"/>
        <item x="226"/>
        <item x="71"/>
        <item x="98"/>
        <item x="341"/>
        <item x="73"/>
        <item x="479"/>
        <item x="90"/>
        <item x="45"/>
        <item x="47"/>
        <item x="65"/>
        <item x="257"/>
        <item x="623"/>
        <item x="438"/>
        <item x="562"/>
        <item x="248"/>
        <item x="115"/>
        <item x="577"/>
        <item x="114"/>
        <item x="21"/>
        <item x="399"/>
        <item x="198"/>
        <item x="376"/>
        <item x="575"/>
        <item x="506"/>
        <item x="307"/>
        <item x="574"/>
        <item x="382"/>
        <item x="262"/>
        <item x="180"/>
        <item x="129"/>
        <item x="517"/>
        <item x="112"/>
        <item x="548"/>
        <item x="321"/>
        <item x="620"/>
        <item x="622"/>
        <item x="80"/>
        <item x="322"/>
        <item x="543"/>
        <item x="48"/>
        <item x="462"/>
        <item x="612"/>
        <item x="379"/>
        <item x="276"/>
        <item x="194"/>
        <item x="611"/>
        <item x="466"/>
        <item x="203"/>
        <item x="600"/>
        <item x="483"/>
        <item x="120"/>
        <item x="108"/>
        <item x="535"/>
        <item x="413"/>
        <item x="84"/>
        <item x="550"/>
        <item x="215"/>
        <item x="378"/>
        <item x="155"/>
        <item x="32"/>
        <item x="433"/>
        <item x="502"/>
        <item x="281"/>
        <item x="337"/>
        <item x="503"/>
        <item x="156"/>
        <item x="538"/>
        <item x="614"/>
        <item x="353"/>
        <item x="331"/>
        <item x="92"/>
        <item x="567"/>
        <item x="529"/>
        <item x="344"/>
        <item x="2"/>
        <item x="29"/>
        <item x="435"/>
        <item x="287"/>
        <item x="54"/>
        <item x="420"/>
        <item x="17"/>
        <item x="282"/>
        <item x="347"/>
        <item x="213"/>
        <item x="343"/>
        <item x="28"/>
        <item x="560"/>
        <item x="512"/>
        <item x="202"/>
        <item x="371"/>
        <item x="327"/>
        <item x="107"/>
        <item x="448"/>
        <item x="238"/>
        <item x="482"/>
        <item x="534"/>
        <item x="422"/>
        <item x="133"/>
        <item x="530"/>
        <item x="214"/>
        <item x="426"/>
        <item x="200"/>
        <item x="392"/>
        <item x="91"/>
        <item x="241"/>
        <item x="286"/>
        <item x="263"/>
        <item x="334"/>
        <item x="412"/>
        <item x="440"/>
        <item x="128"/>
        <item x="570"/>
        <item x="3"/>
        <item x="498"/>
        <item x="149"/>
        <item x="188"/>
        <item x="626"/>
        <item x="245"/>
        <item x="31"/>
        <item x="375"/>
        <item x="197"/>
        <item x="303"/>
        <item x="584"/>
        <item x="361"/>
        <item x="259"/>
        <item x="452"/>
        <item x="428"/>
        <item x="406"/>
        <item x="485"/>
        <item x="553"/>
        <item x="316"/>
        <item x="330"/>
        <item x="488"/>
        <item x="189"/>
        <item x="285"/>
        <item x="278"/>
        <item x="27"/>
        <item x="366"/>
        <item x="94"/>
        <item x="11"/>
        <item x="18"/>
        <item x="195"/>
        <item x="605"/>
        <item x="181"/>
        <item x="578"/>
        <item x="336"/>
        <item x="244"/>
        <item x="122"/>
        <item x="374"/>
        <item x="137"/>
        <item x="141"/>
        <item x="532"/>
        <item x="62"/>
        <item x="100"/>
        <item x="419"/>
        <item x="411"/>
        <item x="505"/>
        <item x="236"/>
        <item x="434"/>
        <item x="106"/>
        <item x="500"/>
        <item x="628"/>
        <item x="159"/>
        <item x="320"/>
        <item x="473"/>
        <item x="586"/>
        <item x="196"/>
        <item x="501"/>
        <item x="335"/>
        <item x="232"/>
        <item x="390"/>
        <item x="24"/>
        <item x="265"/>
        <item x="486"/>
        <item x="49"/>
        <item x="526"/>
        <item x="537"/>
        <item x="410"/>
        <item x="515"/>
        <item x="525"/>
        <item x="439"/>
        <item x="228"/>
        <item x="313"/>
        <item x="449"/>
        <item x="555"/>
        <item x="429"/>
        <item x="46"/>
        <item x="524"/>
        <item x="324"/>
        <item x="253"/>
        <item x="308"/>
        <item x="212"/>
        <item x="42"/>
        <item x="468"/>
        <item x="364"/>
        <item x="369"/>
        <item x="174"/>
        <item x="480"/>
        <item x="164"/>
        <item x="26"/>
        <item x="148"/>
        <item x="143"/>
        <item x="35"/>
        <item x="528"/>
        <item x="595"/>
        <item x="134"/>
        <item x="442"/>
        <item x="342"/>
        <item x="609"/>
        <item x="138"/>
        <item x="193"/>
        <item x="240"/>
        <item x="602"/>
        <item x="176"/>
        <item x="613"/>
        <item x="231"/>
        <item x="243"/>
        <item x="606"/>
        <item x="400"/>
        <item x="218"/>
        <item x="616"/>
        <item x="487"/>
        <item x="417"/>
        <item x="381"/>
        <item x="208"/>
        <item x="601"/>
        <item x="150"/>
        <item x="7"/>
        <item x="423"/>
        <item x="116"/>
        <item x="56"/>
        <item x="301"/>
        <item x="39"/>
        <item x="558"/>
        <item x="359"/>
        <item x="269"/>
        <item x="16"/>
        <item x="461"/>
        <item x="199"/>
        <item x="229"/>
        <item x="470"/>
        <item x="153"/>
        <item x="38"/>
        <item x="350"/>
        <item x="235"/>
        <item x="296"/>
        <item x="444"/>
        <item x="4"/>
        <item x="179"/>
        <item x="152"/>
        <item x="13"/>
        <item x="201"/>
        <item x="373"/>
        <item x="274"/>
        <item x="492"/>
        <item x="385"/>
        <item x="95"/>
        <item x="608"/>
        <item x="1"/>
        <item x="405"/>
        <item x="469"/>
        <item x="583"/>
        <item x="443"/>
        <item x="546"/>
        <item x="81"/>
        <item x="43"/>
        <item x="599"/>
        <item x="596"/>
        <item x="354"/>
        <item x="414"/>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 showAll="0"/>
    <pivotField showAll="0">
      <items count="13">
        <item x="4"/>
        <item x="2"/>
        <item x="0"/>
        <item x="7"/>
        <item x="5"/>
        <item x="9"/>
        <item x="6"/>
        <item x="11"/>
        <item x="8"/>
        <item x="1"/>
        <item x="10"/>
        <item x="3"/>
        <item t="default"/>
      </items>
    </pivotField>
    <pivotField showAll="0"/>
    <pivotField showAll="0"/>
  </pivotFields>
  <rowFields count="1">
    <field x="14"/>
  </rowFields>
  <rowItems count="11">
    <i>
      <x v="352"/>
    </i>
    <i>
      <x v="623"/>
    </i>
    <i>
      <x v="392"/>
    </i>
    <i>
      <x v="300"/>
    </i>
    <i>
      <x v="26"/>
    </i>
    <i>
      <x v="258"/>
    </i>
    <i>
      <x v="211"/>
    </i>
    <i>
      <x v="537"/>
    </i>
    <i>
      <x v="572"/>
    </i>
    <i>
      <x v="483"/>
    </i>
    <i t="grand">
      <x/>
    </i>
  </rowItems>
  <colItems count="1">
    <i/>
  </colItems>
  <dataFields count="1">
    <dataField name="Sum of GrossRevenue"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4" firstHeaderRow="0" firstDataRow="1" firstDataCol="0"/>
  <pivotFields count="36">
    <pivotField showAll="0"/>
    <pivotField numFmtId="14" showAll="0"/>
    <pivotField numFmtId="14" showAll="0"/>
    <pivotField numFmtId="14" showAll="0"/>
    <pivotField numFmtId="14" showAll="0"/>
    <pivotField numFmtId="1" showAll="0"/>
    <pivotField showAll="0"/>
    <pivotField showAll="0">
      <items count="5">
        <item x="0"/>
        <item x="2"/>
        <item x="1"/>
        <item x="3"/>
        <item t="default"/>
      </items>
    </pivotField>
    <pivotField showAll="0">
      <items count="13">
        <item h="1" x="5"/>
        <item h="1" x="3"/>
        <item h="1" x="8"/>
        <item h="1" x="6"/>
        <item x="11"/>
        <item h="1" x="4"/>
        <item h="1" x="2"/>
        <item h="1" x="0"/>
        <item h="1" x="1"/>
        <item h="1" x="10"/>
        <item h="1" x="7"/>
        <item h="1" x="9"/>
        <item t="default"/>
      </items>
    </pivotField>
    <pivotField showAll="0"/>
    <pivotField showAll="0"/>
    <pivotField showAll="0">
      <items count="7">
        <item x="4"/>
        <item x="3"/>
        <item x="2"/>
        <item x="1"/>
        <item x="0"/>
        <item x="5"/>
        <item t="default"/>
      </items>
    </pivotField>
    <pivotField showAll="0"/>
    <pivotField showAll="0"/>
    <pivotField showAll="0"/>
    <pivotField numFmtId="164" showAll="0"/>
    <pivotField numFmtId="164" showAll="0"/>
    <pivotField numFmtId="10" showAll="0"/>
    <pivotField numFmtId="1" showAll="0"/>
    <pivotField dataField="1" numFmtId="164" showAll="0"/>
    <pivotField dataField="1" numFmtId="164" showAll="0"/>
    <pivotField dataField="1" numFmtId="164" showAll="0"/>
    <pivotField numFmtId="10" showAll="0"/>
    <pivotField showAll="0"/>
    <pivotField showAll="0"/>
    <pivotField showAll="0"/>
    <pivotField showAll="0"/>
    <pivotField showAll="0"/>
    <pivotField showAll="0"/>
    <pivotField showAll="0"/>
    <pivotField numFmtId="10" showAll="0"/>
    <pivotField showAll="0"/>
    <pivotField showAll="0"/>
    <pivotField numFmtId="164" showAll="0"/>
    <pivotField numFmtId="164" showAll="0"/>
    <pivotField numFmtId="164" showAll="0"/>
  </pivotFields>
  <rowItems count="1">
    <i/>
  </rowItems>
  <colFields count="1">
    <field x="-2"/>
  </colFields>
  <colItems count="3">
    <i>
      <x/>
    </i>
    <i i="1">
      <x v="1"/>
    </i>
    <i i="2">
      <x v="2"/>
    </i>
  </colItems>
  <dataFields count="3">
    <dataField name="Sum of GrossRevenue" fld="19" baseField="0" baseItem="0" numFmtId="164"/>
    <dataField name="Sum of GrossProfit" fld="21" baseField="0" baseItem="0" numFmtId="164"/>
    <dataField name="Sum of CostOfGoods" fld="20" baseField="0" baseItem="0" numFmtId="164"/>
  </dataFields>
  <formats count="3">
    <format dxfId="139">
      <pivotArea outline="0" collapsedLevelsAreSubtotals="1" fieldPosition="0">
        <references count="1">
          <reference field="4294967294" count="1" selected="0">
            <x v="0"/>
          </reference>
        </references>
      </pivotArea>
    </format>
    <format dxfId="138">
      <pivotArea outline="0" collapsedLevelsAreSubtotals="1" fieldPosition="0">
        <references count="1">
          <reference field="4294967294" count="1" selected="0">
            <x v="1"/>
          </reference>
        </references>
      </pivotArea>
    </format>
    <format dxfId="13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9:C10" firstHeaderRow="0" firstDataRow="1" firstDataCol="0"/>
  <pivotFields count="36">
    <pivotField showAll="0"/>
    <pivotField numFmtId="14" showAll="0"/>
    <pivotField numFmtId="14" showAll="0"/>
    <pivotField numFmtId="14" showAll="0"/>
    <pivotField numFmtId="14" showAll="0"/>
    <pivotField numFmtId="1" showAll="0"/>
    <pivotField showAll="0"/>
    <pivotField showAll="0">
      <items count="5">
        <item x="0"/>
        <item x="2"/>
        <item x="1"/>
        <item x="3"/>
        <item t="default"/>
      </items>
    </pivotField>
    <pivotField showAll="0">
      <items count="13">
        <item h="1" x="5"/>
        <item h="1" x="3"/>
        <item h="1" x="8"/>
        <item h="1" x="6"/>
        <item x="11"/>
        <item h="1" x="4"/>
        <item h="1" x="2"/>
        <item h="1" x="0"/>
        <item h="1" x="1"/>
        <item h="1" x="10"/>
        <item h="1" x="7"/>
        <item h="1" x="9"/>
        <item t="default"/>
      </items>
    </pivotField>
    <pivotField showAll="0"/>
    <pivotField showAll="0"/>
    <pivotField showAll="0">
      <items count="7">
        <item x="4"/>
        <item x="3"/>
        <item x="2"/>
        <item x="1"/>
        <item x="0"/>
        <item x="5"/>
        <item t="default"/>
      </items>
    </pivotField>
    <pivotField showAll="0"/>
    <pivotField showAll="0"/>
    <pivotField showAll="0"/>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 showAll="0"/>
    <pivotField showAll="0"/>
    <pivotField showAll="0"/>
    <pivotField showAll="0"/>
    <pivotField numFmtId="10" showAll="0"/>
    <pivotField showAll="0"/>
    <pivotField showAll="0"/>
    <pivotField dataField="1" numFmtId="164" showAll="0"/>
    <pivotField numFmtId="164" showAll="0"/>
    <pivotField dataField="1" numFmtId="164" showAll="0"/>
  </pivotFields>
  <rowItems count="1">
    <i/>
  </rowItems>
  <colFields count="1">
    <field x="-2"/>
  </colFields>
  <colItems count="3">
    <i>
      <x/>
    </i>
    <i i="1">
      <x v="1"/>
    </i>
    <i i="2">
      <x v="2"/>
    </i>
  </colItems>
  <dataFields count="3">
    <dataField name="Average of GrossRevenue" fld="19" subtotal="average" baseField="0" baseItem="1" numFmtId="164"/>
    <dataField name="Sum of ScenarioGrossRevenue" fld="33" baseField="0" baseItem="0" numFmtId="164"/>
    <dataField name="Sum of ScenarioGrossProfit" fld="35" baseField="0" baseItem="0" numFmtId="164"/>
  </dataFields>
  <formats count="3">
    <format dxfId="142">
      <pivotArea outline="0" collapsedLevelsAreSubtotals="1" fieldPosition="0">
        <references count="1">
          <reference field="4294967294" count="1" selected="0">
            <x v="0"/>
          </reference>
        </references>
      </pivotArea>
    </format>
    <format dxfId="141">
      <pivotArea outline="0" collapsedLevelsAreSubtotals="1" fieldPosition="0">
        <references count="1">
          <reference field="4294967294" count="1" selected="0">
            <x v="1"/>
          </reference>
        </references>
      </pivotArea>
    </format>
    <format dxfId="14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10" firstHeaderRow="1" firstDataRow="1" firstDataCol="1"/>
  <pivotFields count="36">
    <pivotField showAll="0"/>
    <pivotField numFmtId="14" showAll="0"/>
    <pivotField numFmtId="14" showAll="0"/>
    <pivotField numFmtId="14" showAll="0"/>
    <pivotField numFmtId="14" showAll="0"/>
    <pivotField numFmtId="1" showAll="0"/>
    <pivotField showAll="0"/>
    <pivotField axis="axisRow" showAll="0">
      <items count="5">
        <item x="0"/>
        <item x="2"/>
        <item x="1"/>
        <item x="3"/>
        <item t="default"/>
      </items>
    </pivotField>
    <pivotField showAll="0">
      <items count="13">
        <item h="1" x="5"/>
        <item h="1" x="3"/>
        <item h="1" x="8"/>
        <item h="1" x="6"/>
        <item x="11"/>
        <item h="1" x="4"/>
        <item h="1" x="2"/>
        <item h="1" x="0"/>
        <item h="1" x="1"/>
        <item h="1" x="10"/>
        <item h="1" x="7"/>
        <item h="1" x="9"/>
        <item t="default"/>
      </items>
    </pivotField>
    <pivotField showAll="0"/>
    <pivotField showAll="0"/>
    <pivotField axis="axisRow" showAll="0">
      <items count="7">
        <item x="4"/>
        <item x="3"/>
        <item x="2"/>
        <item x="1"/>
        <item x="0"/>
        <item x="5"/>
        <item t="default"/>
      </items>
    </pivotField>
    <pivotField showAll="0"/>
    <pivotField showAll="0"/>
    <pivotField showAll="0"/>
    <pivotField numFmtId="164" showAll="0"/>
    <pivotField numFmtId="164" showAll="0"/>
    <pivotField numFmtId="10" showAll="0"/>
    <pivotField numFmtId="1" showAll="0"/>
    <pivotField dataField="1" numFmtId="164" showAll="0"/>
    <pivotField numFmtId="164" showAll="0"/>
    <pivotField numFmtId="164" showAll="0"/>
    <pivotField numFmtId="10" showAll="0"/>
    <pivotField showAll="0"/>
    <pivotField showAll="0"/>
    <pivotField showAll="0"/>
    <pivotField showAll="0"/>
    <pivotField showAll="0"/>
    <pivotField showAll="0"/>
    <pivotField showAll="0"/>
    <pivotField numFmtId="10" showAll="0"/>
    <pivotField showAll="0"/>
    <pivotField showAll="0"/>
    <pivotField numFmtId="164" showAll="0"/>
    <pivotField numFmtId="164" showAll="0"/>
    <pivotField numFmtId="164" showAll="0"/>
  </pivotFields>
  <rowFields count="2">
    <field x="7"/>
    <field x="11"/>
  </rowFields>
  <rowItems count="7">
    <i>
      <x v="3"/>
    </i>
    <i r="1">
      <x/>
    </i>
    <i r="1">
      <x v="1"/>
    </i>
    <i r="1">
      <x v="2"/>
    </i>
    <i r="1">
      <x v="3"/>
    </i>
    <i r="1">
      <x v="4"/>
    </i>
    <i t="grand">
      <x/>
    </i>
  </rowItems>
  <colItems count="1">
    <i/>
  </colItems>
  <dataFields count="1">
    <dataField name="Sum of GrossRevenue" fld="19"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7" count="1" selected="0">
            <x v="0"/>
          </reference>
          <reference field="11" count="1" selected="0">
            <x v="0"/>
          </reference>
        </references>
      </pivotArea>
    </chartFormat>
    <chartFormat chart="0" format="2">
      <pivotArea type="data" outline="0" fieldPosition="0">
        <references count="3">
          <reference field="4294967294" count="1" selected="0">
            <x v="0"/>
          </reference>
          <reference field="7" count="1" selected="0">
            <x v="0"/>
          </reference>
          <reference field="11" count="1" selected="0">
            <x v="1"/>
          </reference>
        </references>
      </pivotArea>
    </chartFormat>
    <chartFormat chart="0" format="3">
      <pivotArea type="data" outline="0" fieldPosition="0">
        <references count="3">
          <reference field="4294967294" count="1" selected="0">
            <x v="0"/>
          </reference>
          <reference field="7" count="1" selected="0">
            <x v="0"/>
          </reference>
          <reference field="11" count="1" selected="0">
            <x v="2"/>
          </reference>
        </references>
      </pivotArea>
    </chartFormat>
    <chartFormat chart="0" format="4">
      <pivotArea type="data" outline="0" fieldPosition="0">
        <references count="3">
          <reference field="4294967294" count="1" selected="0">
            <x v="0"/>
          </reference>
          <reference field="7" count="1" selected="0">
            <x v="0"/>
          </reference>
          <reference field="11" count="1" selected="0">
            <x v="3"/>
          </reference>
        </references>
      </pivotArea>
    </chartFormat>
    <chartFormat chart="0" format="5">
      <pivotArea type="data" outline="0" fieldPosition="0">
        <references count="3">
          <reference field="4294967294" count="1" selected="0">
            <x v="0"/>
          </reference>
          <reference field="7" count="1" selected="0">
            <x v="0"/>
          </reference>
          <reference field="11" count="1" selected="0">
            <x v="4"/>
          </reference>
        </references>
      </pivotArea>
    </chartFormat>
    <chartFormat chart="0" format="6">
      <pivotArea type="data" outline="0" fieldPosition="0">
        <references count="3">
          <reference field="4294967294" count="1" selected="0">
            <x v="0"/>
          </reference>
          <reference field="7" count="1" selected="0">
            <x v="0"/>
          </reference>
          <reference field="11" count="1" selected="0">
            <x v="5"/>
          </reference>
        </references>
      </pivotArea>
    </chartFormat>
    <chartFormat chart="0" format="7">
      <pivotArea type="data" outline="0" fieldPosition="0">
        <references count="3">
          <reference field="4294967294" count="1" selected="0">
            <x v="0"/>
          </reference>
          <reference field="7" count="1" selected="0">
            <x v="1"/>
          </reference>
          <reference field="11" count="1" selected="0">
            <x v="0"/>
          </reference>
        </references>
      </pivotArea>
    </chartFormat>
    <chartFormat chart="0" format="8">
      <pivotArea type="data" outline="0" fieldPosition="0">
        <references count="3">
          <reference field="4294967294" count="1" selected="0">
            <x v="0"/>
          </reference>
          <reference field="7" count="1" selected="0">
            <x v="1"/>
          </reference>
          <reference field="11" count="1" selected="0">
            <x v="1"/>
          </reference>
        </references>
      </pivotArea>
    </chartFormat>
    <chartFormat chart="0" format="9">
      <pivotArea type="data" outline="0" fieldPosition="0">
        <references count="3">
          <reference field="4294967294" count="1" selected="0">
            <x v="0"/>
          </reference>
          <reference field="7" count="1" selected="0">
            <x v="1"/>
          </reference>
          <reference field="11" count="1" selected="0">
            <x v="2"/>
          </reference>
        </references>
      </pivotArea>
    </chartFormat>
    <chartFormat chart="0" format="10">
      <pivotArea type="data" outline="0" fieldPosition="0">
        <references count="3">
          <reference field="4294967294" count="1" selected="0">
            <x v="0"/>
          </reference>
          <reference field="7" count="1" selected="0">
            <x v="1"/>
          </reference>
          <reference field="11" count="1" selected="0">
            <x v="3"/>
          </reference>
        </references>
      </pivotArea>
    </chartFormat>
    <chartFormat chart="0" format="11">
      <pivotArea type="data" outline="0" fieldPosition="0">
        <references count="3">
          <reference field="4294967294" count="1" selected="0">
            <x v="0"/>
          </reference>
          <reference field="7" count="1" selected="0">
            <x v="1"/>
          </reference>
          <reference field="11" count="1" selected="0">
            <x v="4"/>
          </reference>
        </references>
      </pivotArea>
    </chartFormat>
    <chartFormat chart="0" format="12">
      <pivotArea type="data" outline="0" fieldPosition="0">
        <references count="3">
          <reference field="4294967294" count="1" selected="0">
            <x v="0"/>
          </reference>
          <reference field="7" count="1" selected="0">
            <x v="1"/>
          </reference>
          <reference field="11" count="1" selected="0">
            <x v="5"/>
          </reference>
        </references>
      </pivotArea>
    </chartFormat>
    <chartFormat chart="0" format="13">
      <pivotArea type="data" outline="0" fieldPosition="0">
        <references count="3">
          <reference field="4294967294" count="1" selected="0">
            <x v="0"/>
          </reference>
          <reference field="7" count="1" selected="0">
            <x v="2"/>
          </reference>
          <reference field="11" count="1" selected="0">
            <x v="0"/>
          </reference>
        </references>
      </pivotArea>
    </chartFormat>
    <chartFormat chart="0" format="14">
      <pivotArea type="data" outline="0" fieldPosition="0">
        <references count="3">
          <reference field="4294967294" count="1" selected="0">
            <x v="0"/>
          </reference>
          <reference field="7" count="1" selected="0">
            <x v="2"/>
          </reference>
          <reference field="11" count="1" selected="0">
            <x v="1"/>
          </reference>
        </references>
      </pivotArea>
    </chartFormat>
    <chartFormat chart="0" format="15">
      <pivotArea type="data" outline="0" fieldPosition="0">
        <references count="3">
          <reference field="4294967294" count="1" selected="0">
            <x v="0"/>
          </reference>
          <reference field="7" count="1" selected="0">
            <x v="2"/>
          </reference>
          <reference field="11" count="1" selected="0">
            <x v="2"/>
          </reference>
        </references>
      </pivotArea>
    </chartFormat>
    <chartFormat chart="0" format="16">
      <pivotArea type="data" outline="0" fieldPosition="0">
        <references count="3">
          <reference field="4294967294" count="1" selected="0">
            <x v="0"/>
          </reference>
          <reference field="7" count="1" selected="0">
            <x v="2"/>
          </reference>
          <reference field="11" count="1" selected="0">
            <x v="3"/>
          </reference>
        </references>
      </pivotArea>
    </chartFormat>
    <chartFormat chart="0" format="17">
      <pivotArea type="data" outline="0" fieldPosition="0">
        <references count="3">
          <reference field="4294967294" count="1" selected="0">
            <x v="0"/>
          </reference>
          <reference field="7" count="1" selected="0">
            <x v="2"/>
          </reference>
          <reference field="11" count="1" selected="0">
            <x v="4"/>
          </reference>
        </references>
      </pivotArea>
    </chartFormat>
    <chartFormat chart="0" format="18">
      <pivotArea type="data" outline="0" fieldPosition="0">
        <references count="3">
          <reference field="4294967294" count="1" selected="0">
            <x v="0"/>
          </reference>
          <reference field="7" count="1" selected="0">
            <x v="2"/>
          </reference>
          <reference field="11" count="1" selected="0">
            <x v="5"/>
          </reference>
        </references>
      </pivotArea>
    </chartFormat>
    <chartFormat chart="0" format="19">
      <pivotArea type="data" outline="0" fieldPosition="0">
        <references count="3">
          <reference field="4294967294" count="1" selected="0">
            <x v="0"/>
          </reference>
          <reference field="7" count="1" selected="0">
            <x v="3"/>
          </reference>
          <reference field="11" count="1" selected="0">
            <x v="0"/>
          </reference>
        </references>
      </pivotArea>
    </chartFormat>
    <chartFormat chart="0" format="20">
      <pivotArea type="data" outline="0" fieldPosition="0">
        <references count="3">
          <reference field="4294967294" count="1" selected="0">
            <x v="0"/>
          </reference>
          <reference field="7" count="1" selected="0">
            <x v="3"/>
          </reference>
          <reference field="11" count="1" selected="0">
            <x v="1"/>
          </reference>
        </references>
      </pivotArea>
    </chartFormat>
    <chartFormat chart="0" format="21">
      <pivotArea type="data" outline="0" fieldPosition="0">
        <references count="3">
          <reference field="4294967294" count="1" selected="0">
            <x v="0"/>
          </reference>
          <reference field="7" count="1" selected="0">
            <x v="3"/>
          </reference>
          <reference field="11" count="1" selected="0">
            <x v="2"/>
          </reference>
        </references>
      </pivotArea>
    </chartFormat>
    <chartFormat chart="0" format="22">
      <pivotArea type="data" outline="0" fieldPosition="0">
        <references count="3">
          <reference field="4294967294" count="1" selected="0">
            <x v="0"/>
          </reference>
          <reference field="7" count="1" selected="0">
            <x v="3"/>
          </reference>
          <reference field="11" count="1" selected="0">
            <x v="3"/>
          </reference>
        </references>
      </pivotArea>
    </chartFormat>
    <chartFormat chart="0" format="23">
      <pivotArea type="data" outline="0" fieldPosition="0">
        <references count="3">
          <reference field="4294967294" count="1" selected="0">
            <x v="0"/>
          </reference>
          <reference field="7" count="1" selected="0">
            <x v="3"/>
          </reference>
          <reference field="11" count="1" selected="0">
            <x v="4"/>
          </reference>
        </references>
      </pivotArea>
    </chartFormat>
    <chartFormat chart="0" format="24">
      <pivotArea type="data" outline="0" fieldPosition="0">
        <references count="3">
          <reference field="4294967294" count="1" selected="0">
            <x v="0"/>
          </reference>
          <reference field="7" count="1" selected="0">
            <x v="3"/>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25" name="PivotTable6"/>
    <pivotTable tabId="23" name="PivotTable5"/>
    <pivotTable tabId="23" name="PivotTable4"/>
  </pivotTables>
  <data>
    <tabular pivotCacheId="5">
      <items count="6">
        <i x="4" s="1"/>
        <i x="3" s="1"/>
        <i x="2" s="1"/>
        <i x="1" s="1"/>
        <i x="0"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Month" sourceName="Order Month">
  <pivotTables>
    <pivotTable tabId="20" name="PivotTable3"/>
    <pivotTable tabId="17" name="PivotTable10"/>
    <pivotTable tabId="21" name="PivotTable4"/>
    <pivotTable tabId="22" name="PivotTable5"/>
  </pivotTables>
  <data>
    <tabular pivotCacheId="4">
      <items count="12">
        <i x="4" s="1"/>
        <i x="2" s="1"/>
        <i x="7" s="1"/>
        <i x="5" s="1"/>
        <i x="9" s="1"/>
        <i x="11" s="1"/>
        <i x="3" s="1"/>
        <i x="0" s="1" nd="1"/>
        <i x="6" s="1" nd="1"/>
        <i x="8" s="1" nd="1"/>
        <i x="1"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11" name="PivotTable4"/>
  </pivotTables>
  <data>
    <tabular pivotCacheId="2">
      <items count="17">
        <i x="14"/>
        <i x="5" s="1"/>
        <i x="0"/>
        <i x="8"/>
        <i x="6"/>
        <i x="9"/>
        <i x="16"/>
        <i x="3"/>
        <i x="11"/>
        <i x="2"/>
        <i x="1"/>
        <i x="12"/>
        <i x="4"/>
        <i x="13"/>
        <i x="10"/>
        <i x="7"/>
        <i x="1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5" name="PivotTable6"/>
    <pivotTable tabId="23" name="PivotTable4"/>
    <pivotTable tabId="23" name="PivotTable5"/>
  </pivotTables>
  <data>
    <tabular pivotCacheId="5">
      <items count="12">
        <i x="5"/>
        <i x="3"/>
        <i x="8"/>
        <i x="6"/>
        <i x="11" s="1"/>
        <i x="4"/>
        <i x="2"/>
        <i x="0"/>
        <i x="1"/>
        <i x="10"/>
        <i x="7"/>
        <i x="9"/>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5" name="PivotTable6"/>
    <pivotTable tabId="23" name="PivotTable4"/>
    <pivotTable tabId="23" name="PivotTable5"/>
  </pivotTables>
  <data>
    <tabular pivotCacheId="5">
      <items count="4">
        <i x="3" s="1"/>
        <i x="0" s="1" nd="1"/>
        <i x="2" s="1" nd="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21" name="PivotTable4"/>
    <pivotTable tabId="17" name="PivotTable10"/>
    <pivotTable tabId="20" name="PivotTable3"/>
    <pivotTable tabId="22" name="PivotTable5"/>
  </pivotTables>
  <data>
    <tabular pivotCacheId="4">
      <items count="4">
        <i x="0"/>
        <i x="2"/>
        <i x="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21" name="PivotTable4"/>
  </pivotTables>
  <data>
    <tabular pivotCacheId="4">
      <items count="7">
        <i x="6" s="1"/>
        <i x="4" s="1"/>
        <i x="5" s="1"/>
        <i x="2" s="1"/>
        <i x="3" s="1"/>
        <i x="1" s="1"/>
        <i x="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Salesperson1" sourceName="Salesperson">
  <pivotTables>
    <pivotTable tabId="21" name="PivotTable4"/>
    <pivotTable tabId="17" name="PivotTable10"/>
    <pivotTable tabId="20" name="PivotTable3"/>
    <pivotTable tabId="22" name="PivotTable5"/>
  </pivotTables>
  <data>
    <tabular pivotCacheId="4">
      <items count="16">
        <i x="14"/>
        <i x="5"/>
        <i x="0"/>
        <i x="8" s="1"/>
        <i x="6"/>
        <i x="9"/>
        <i x="3"/>
        <i x="11"/>
        <i x="2"/>
        <i x="1"/>
        <i x="12"/>
        <i x="4"/>
        <i x="13"/>
        <i x="10"/>
        <i x="7"/>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Month" cache="Slicer_Order_Month" caption="Order Month"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2" cache="Slicer_Region1" caption="Region" rowHeight="241300"/>
  <slicer name="ProductCategory" cache="Slicer_ProductCategory" caption="ProductCategory" rowHeight="241300"/>
  <slicer name="Salesperson 1" cache="Slicer_Salesperson1" caption="Salesperson"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Channel" cache="Slicer_Channel" caption="Channel" rowHeight="241300"/>
  <slicer name="Country" cache="Slicer_Country" caption="Country" rowHeight="241300"/>
  <slicer name="Region" cache="Slicer_Region" caption="Region"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Channel 1" cache="Slicer_Channel" caption="Channel" rowHeight="241300"/>
  <slicer name="Order Month 1" cache="Slicer_Order_Month" caption="Order Month" rowHeight="241300"/>
  <slicer name="Country 1" cache="Slicer_Country" caption="Country" startItem="2" rowHeight="241300"/>
  <slicer name="Region 3" cache="Slicer_Region1" caption="Region" rowHeight="241300"/>
  <slicer name="ProductCategory 1" cache="Slicer_ProductCategory" caption="ProductCategory" rowHeight="241300"/>
  <slicer name="Salesperson 2" cache="Slicer_Salesperson1" caption="Salespers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33"/>
  <sheetViews>
    <sheetView topLeftCell="A622" workbookViewId="0">
      <selection activeCell="L1" sqref="L1"/>
    </sheetView>
  </sheetViews>
  <sheetFormatPr defaultRowHeight="14.25" x14ac:dyDescent="0.45"/>
  <cols>
    <col min="1" max="1" width="15.53125" bestFit="1" customWidth="1"/>
    <col min="2" max="2" width="10.19921875" style="5" bestFit="1" customWidth="1"/>
    <col min="3" max="3" width="11.9296875" style="5" bestFit="1" customWidth="1"/>
    <col min="4" max="5" width="11.9296875" style="5" customWidth="1"/>
    <col min="6" max="6" width="11.9296875" style="7" customWidth="1"/>
    <col min="7" max="7" width="7.9296875" bestFit="1" customWidth="1"/>
    <col min="8" max="8" width="13.53125" bestFit="1" customWidth="1"/>
    <col min="9" max="9" width="11.73046875" bestFit="1" customWidth="1"/>
    <col min="10" max="10" width="15.86328125" bestFit="1" customWidth="1"/>
    <col min="11" max="11" width="10.59765625" bestFit="1" customWidth="1"/>
    <col min="12" max="12" width="10.53125" bestFit="1" customWidth="1"/>
    <col min="13" max="13" width="14.33203125" bestFit="1" customWidth="1"/>
    <col min="14" max="14" width="9.53125" bestFit="1" customWidth="1"/>
    <col min="15" max="15" width="7.73046875" bestFit="1" customWidth="1"/>
    <col min="16" max="16" width="8.1328125" bestFit="1" customWidth="1"/>
    <col min="17" max="17" width="10.33203125" bestFit="1" customWidth="1"/>
    <col min="18" max="18" width="7.86328125" bestFit="1" customWidth="1"/>
  </cols>
  <sheetData>
    <row r="1" spans="1:18" x14ac:dyDescent="0.45">
      <c r="A1" s="1" t="s">
        <v>0</v>
      </c>
      <c r="B1" s="4" t="s">
        <v>1</v>
      </c>
      <c r="C1" s="4" t="s">
        <v>2</v>
      </c>
      <c r="D1" s="4" t="s">
        <v>1437</v>
      </c>
      <c r="E1" s="4" t="s">
        <v>1436</v>
      </c>
      <c r="F1" s="6" t="s">
        <v>1435</v>
      </c>
      <c r="G1" s="1" t="s">
        <v>3</v>
      </c>
      <c r="H1" s="1" t="s">
        <v>4</v>
      </c>
      <c r="I1" s="1" t="s">
        <v>5</v>
      </c>
      <c r="J1" s="1" t="s">
        <v>6</v>
      </c>
      <c r="K1" s="1" t="s">
        <v>7</v>
      </c>
      <c r="L1" s="1" t="s">
        <v>8</v>
      </c>
      <c r="M1" s="1" t="s">
        <v>9</v>
      </c>
      <c r="N1" s="1" t="s">
        <v>10</v>
      </c>
      <c r="O1" s="1" t="s">
        <v>11</v>
      </c>
      <c r="P1" s="1" t="s">
        <v>12</v>
      </c>
      <c r="Q1" s="1" t="s">
        <v>13</v>
      </c>
      <c r="R1" s="1" t="s">
        <v>14</v>
      </c>
    </row>
    <row r="2" spans="1:18" x14ac:dyDescent="0.45">
      <c r="A2" t="s">
        <v>15</v>
      </c>
      <c r="B2" s="5">
        <v>45362</v>
      </c>
      <c r="C2" s="5">
        <v>45388</v>
      </c>
      <c r="D2" s="5">
        <f>IF(C2&gt;B2,B2,C2)</f>
        <v>45362</v>
      </c>
      <c r="E2" s="5">
        <f>IF(C2&gt;B2,C2,B2)</f>
        <v>45388</v>
      </c>
      <c r="F2" s="7">
        <f>DATEDIF(D2,E2,"d")</f>
        <v>26</v>
      </c>
      <c r="G2" t="s">
        <v>646</v>
      </c>
      <c r="H2" t="s">
        <v>650</v>
      </c>
      <c r="I2" t="s">
        <v>662</v>
      </c>
      <c r="J2" t="s">
        <v>701</v>
      </c>
      <c r="K2" t="s">
        <v>707</v>
      </c>
      <c r="L2" t="s">
        <v>712</v>
      </c>
      <c r="M2" t="s">
        <v>727</v>
      </c>
      <c r="N2" t="s">
        <v>734</v>
      </c>
      <c r="O2">
        <v>279.24</v>
      </c>
      <c r="P2">
        <v>608.9</v>
      </c>
      <c r="Q2">
        <v>0.112</v>
      </c>
      <c r="R2">
        <v>9</v>
      </c>
    </row>
    <row r="3" spans="1:18" x14ac:dyDescent="0.45">
      <c r="A3" t="s">
        <v>16</v>
      </c>
      <c r="B3" s="5">
        <v>45588</v>
      </c>
      <c r="C3" s="5">
        <v>45587</v>
      </c>
      <c r="D3" s="5">
        <f t="shared" ref="D3:D66" si="0">IF(C3&gt;B3,B3,C3)</f>
        <v>45587</v>
      </c>
      <c r="E3" s="5">
        <f t="shared" ref="E3:E66" si="1">IF(C3&gt;B3,C3,B3)</f>
        <v>45588</v>
      </c>
      <c r="F3" s="7">
        <f t="shared" ref="F3:F66" si="2">DATEDIF(D3,E3,"d")</f>
        <v>1</v>
      </c>
      <c r="G3" t="s">
        <v>646</v>
      </c>
      <c r="H3" t="s">
        <v>651</v>
      </c>
      <c r="I3" t="s">
        <v>663</v>
      </c>
      <c r="J3" t="s">
        <v>702</v>
      </c>
      <c r="K3" t="s">
        <v>708</v>
      </c>
      <c r="L3" t="s">
        <v>713</v>
      </c>
      <c r="M3" t="s">
        <v>728</v>
      </c>
      <c r="N3" t="s">
        <v>735</v>
      </c>
      <c r="O3">
        <v>1084.3900000000001</v>
      </c>
      <c r="P3">
        <v>759.33</v>
      </c>
      <c r="Q3">
        <v>0.23699999999999999</v>
      </c>
      <c r="R3">
        <v>31</v>
      </c>
    </row>
    <row r="4" spans="1:18" x14ac:dyDescent="0.45">
      <c r="A4" t="s">
        <v>17</v>
      </c>
      <c r="B4" s="5">
        <v>44985</v>
      </c>
      <c r="C4" s="5">
        <v>45010</v>
      </c>
      <c r="D4" s="5">
        <f t="shared" si="0"/>
        <v>44985</v>
      </c>
      <c r="E4" s="5">
        <f t="shared" si="1"/>
        <v>45010</v>
      </c>
      <c r="F4" s="7">
        <f t="shared" si="2"/>
        <v>25</v>
      </c>
      <c r="G4" t="s">
        <v>646</v>
      </c>
      <c r="H4" t="s">
        <v>650</v>
      </c>
      <c r="I4" t="s">
        <v>664</v>
      </c>
      <c r="J4" t="s">
        <v>701</v>
      </c>
      <c r="K4" t="s">
        <v>707</v>
      </c>
      <c r="L4" t="s">
        <v>714</v>
      </c>
      <c r="M4" t="s">
        <v>729</v>
      </c>
      <c r="N4" t="s">
        <v>736</v>
      </c>
      <c r="O4">
        <v>1460.76</v>
      </c>
      <c r="P4">
        <v>-30.66</v>
      </c>
      <c r="Q4">
        <v>0.13100000000000001</v>
      </c>
      <c r="R4">
        <v>12</v>
      </c>
    </row>
    <row r="5" spans="1:18" x14ac:dyDescent="0.45">
      <c r="A5" t="s">
        <v>18</v>
      </c>
      <c r="B5" s="5">
        <v>45745</v>
      </c>
      <c r="C5" s="5">
        <v>45749</v>
      </c>
      <c r="D5" s="5">
        <f t="shared" si="0"/>
        <v>45745</v>
      </c>
      <c r="E5" s="5">
        <f t="shared" si="1"/>
        <v>45749</v>
      </c>
      <c r="F5" s="7">
        <f t="shared" si="2"/>
        <v>4</v>
      </c>
      <c r="G5" t="s">
        <v>646</v>
      </c>
      <c r="H5" t="s">
        <v>651</v>
      </c>
      <c r="I5" t="s">
        <v>665</v>
      </c>
      <c r="J5" t="s">
        <v>703</v>
      </c>
      <c r="K5" t="s">
        <v>709</v>
      </c>
      <c r="L5" t="s">
        <v>715</v>
      </c>
      <c r="M5" t="s">
        <v>730</v>
      </c>
      <c r="N5" t="s">
        <v>737</v>
      </c>
      <c r="O5">
        <v>259.93</v>
      </c>
      <c r="P5">
        <v>255.94</v>
      </c>
      <c r="Q5">
        <v>7.1999999999999995E-2</v>
      </c>
      <c r="R5">
        <v>22</v>
      </c>
    </row>
    <row r="6" spans="1:18" x14ac:dyDescent="0.45">
      <c r="A6" t="s">
        <v>19</v>
      </c>
      <c r="B6" s="5">
        <v>45266</v>
      </c>
      <c r="C6" s="5">
        <v>45291</v>
      </c>
      <c r="D6" s="5">
        <f t="shared" si="0"/>
        <v>45266</v>
      </c>
      <c r="E6" s="5">
        <f t="shared" si="1"/>
        <v>45291</v>
      </c>
      <c r="F6" s="7">
        <f t="shared" si="2"/>
        <v>25</v>
      </c>
      <c r="G6" t="s">
        <v>647</v>
      </c>
      <c r="H6" t="s">
        <v>652</v>
      </c>
      <c r="I6" t="s">
        <v>666</v>
      </c>
      <c r="J6" t="s">
        <v>704</v>
      </c>
      <c r="K6" t="s">
        <v>707</v>
      </c>
      <c r="L6" t="s">
        <v>716</v>
      </c>
      <c r="M6" t="s">
        <v>728</v>
      </c>
      <c r="N6" t="s">
        <v>738</v>
      </c>
      <c r="O6">
        <v>663.03</v>
      </c>
      <c r="P6">
        <v>813.51</v>
      </c>
      <c r="Q6">
        <v>0.10199999999999999</v>
      </c>
      <c r="R6">
        <v>15</v>
      </c>
    </row>
    <row r="7" spans="1:18" x14ac:dyDescent="0.45">
      <c r="A7" t="s">
        <v>20</v>
      </c>
      <c r="B7" s="5">
        <v>44928</v>
      </c>
      <c r="C7" s="5">
        <v>44931</v>
      </c>
      <c r="D7" s="5">
        <f t="shared" si="0"/>
        <v>44928</v>
      </c>
      <c r="E7" s="5">
        <f t="shared" si="1"/>
        <v>44931</v>
      </c>
      <c r="F7" s="7">
        <f t="shared" si="2"/>
        <v>3</v>
      </c>
      <c r="G7" t="s">
        <v>648</v>
      </c>
      <c r="H7" t="s">
        <v>653</v>
      </c>
      <c r="I7" t="s">
        <v>667</v>
      </c>
      <c r="J7" t="s">
        <v>701</v>
      </c>
      <c r="K7" t="s">
        <v>710</v>
      </c>
      <c r="L7" t="s">
        <v>717</v>
      </c>
      <c r="M7" t="s">
        <v>731</v>
      </c>
      <c r="N7" t="s">
        <v>739</v>
      </c>
      <c r="O7">
        <v>315.87</v>
      </c>
      <c r="P7">
        <v>591.67999999999995</v>
      </c>
      <c r="Q7">
        <v>0</v>
      </c>
      <c r="R7">
        <v>7</v>
      </c>
    </row>
    <row r="8" spans="1:18" x14ac:dyDescent="0.45">
      <c r="A8" t="s">
        <v>21</v>
      </c>
      <c r="B8" s="5">
        <v>45653</v>
      </c>
      <c r="C8" s="5">
        <v>45671</v>
      </c>
      <c r="D8" s="5">
        <f t="shared" si="0"/>
        <v>45653</v>
      </c>
      <c r="E8" s="5">
        <f t="shared" si="1"/>
        <v>45671</v>
      </c>
      <c r="F8" s="7">
        <f t="shared" si="2"/>
        <v>18</v>
      </c>
      <c r="G8" t="s">
        <v>647</v>
      </c>
      <c r="H8" t="s">
        <v>654</v>
      </c>
      <c r="I8" t="s">
        <v>668</v>
      </c>
      <c r="J8" t="s">
        <v>705</v>
      </c>
      <c r="K8" t="s">
        <v>709</v>
      </c>
      <c r="L8" t="s">
        <v>718</v>
      </c>
      <c r="M8" t="s">
        <v>732</v>
      </c>
      <c r="N8" t="s">
        <v>740</v>
      </c>
      <c r="O8">
        <v>586.07000000000005</v>
      </c>
      <c r="P8">
        <v>845.97</v>
      </c>
      <c r="Q8">
        <v>0.14699999999999999</v>
      </c>
      <c r="R8">
        <v>4</v>
      </c>
    </row>
    <row r="9" spans="1:18" x14ac:dyDescent="0.45">
      <c r="A9" t="s">
        <v>22</v>
      </c>
      <c r="B9" s="5">
        <v>44941</v>
      </c>
      <c r="C9" s="5">
        <v>44939</v>
      </c>
      <c r="D9" s="5">
        <f t="shared" si="0"/>
        <v>44939</v>
      </c>
      <c r="E9" s="5">
        <f t="shared" si="1"/>
        <v>44941</v>
      </c>
      <c r="F9" s="7">
        <f t="shared" si="2"/>
        <v>2</v>
      </c>
      <c r="G9" t="s">
        <v>646</v>
      </c>
      <c r="H9" t="s">
        <v>651</v>
      </c>
      <c r="I9" t="s">
        <v>669</v>
      </c>
      <c r="J9" t="s">
        <v>702</v>
      </c>
      <c r="K9" t="s">
        <v>708</v>
      </c>
      <c r="L9" t="s">
        <v>719</v>
      </c>
      <c r="M9" t="s">
        <v>728</v>
      </c>
      <c r="N9" t="s">
        <v>741</v>
      </c>
      <c r="O9">
        <v>28.38</v>
      </c>
      <c r="P9">
        <v>47.22</v>
      </c>
      <c r="Q9">
        <v>0.19400000000000001</v>
      </c>
      <c r="R9">
        <v>18</v>
      </c>
    </row>
    <row r="10" spans="1:18" x14ac:dyDescent="0.45">
      <c r="A10" t="s">
        <v>23</v>
      </c>
      <c r="B10" s="5">
        <v>45416</v>
      </c>
      <c r="C10" s="5">
        <v>45441</v>
      </c>
      <c r="D10" s="5">
        <f t="shared" si="0"/>
        <v>45416</v>
      </c>
      <c r="E10" s="5">
        <f t="shared" si="1"/>
        <v>45441</v>
      </c>
      <c r="F10" s="7">
        <f t="shared" si="2"/>
        <v>25</v>
      </c>
      <c r="G10" t="s">
        <v>646</v>
      </c>
      <c r="H10" t="s">
        <v>651</v>
      </c>
      <c r="I10" t="s">
        <v>669</v>
      </c>
      <c r="J10" t="s">
        <v>703</v>
      </c>
      <c r="K10" t="s">
        <v>709</v>
      </c>
      <c r="L10" t="s">
        <v>719</v>
      </c>
      <c r="M10" t="s">
        <v>732</v>
      </c>
      <c r="N10" t="s">
        <v>742</v>
      </c>
      <c r="O10">
        <v>1295.3399999999999</v>
      </c>
      <c r="P10">
        <v>2530.81</v>
      </c>
      <c r="Q10">
        <v>3.1E-2</v>
      </c>
      <c r="R10">
        <v>6</v>
      </c>
    </row>
    <row r="11" spans="1:18" x14ac:dyDescent="0.45">
      <c r="A11" t="s">
        <v>24</v>
      </c>
      <c r="B11" s="5">
        <v>45798</v>
      </c>
      <c r="C11" s="5">
        <v>45817</v>
      </c>
      <c r="D11" s="5">
        <f t="shared" si="0"/>
        <v>45798</v>
      </c>
      <c r="E11" s="5">
        <f t="shared" si="1"/>
        <v>45817</v>
      </c>
      <c r="F11" s="7">
        <f t="shared" si="2"/>
        <v>19</v>
      </c>
      <c r="G11" t="s">
        <v>648</v>
      </c>
      <c r="H11" t="s">
        <v>655</v>
      </c>
      <c r="I11" t="s">
        <v>670</v>
      </c>
      <c r="J11" t="s">
        <v>703</v>
      </c>
      <c r="K11" t="s">
        <v>708</v>
      </c>
      <c r="L11" t="s">
        <v>720</v>
      </c>
      <c r="M11" t="s">
        <v>727</v>
      </c>
      <c r="N11" t="s">
        <v>743</v>
      </c>
      <c r="O11">
        <v>1331.38</v>
      </c>
      <c r="P11">
        <v>2309.56</v>
      </c>
      <c r="Q11">
        <v>0.14899999999999999</v>
      </c>
      <c r="R11">
        <v>31</v>
      </c>
    </row>
    <row r="12" spans="1:18" x14ac:dyDescent="0.45">
      <c r="A12" t="s">
        <v>25</v>
      </c>
      <c r="B12" s="5">
        <v>45319</v>
      </c>
      <c r="C12" s="5">
        <v>45331</v>
      </c>
      <c r="D12" s="5">
        <f t="shared" si="0"/>
        <v>45319</v>
      </c>
      <c r="E12" s="5">
        <f t="shared" si="1"/>
        <v>45331</v>
      </c>
      <c r="F12" s="7">
        <f t="shared" si="2"/>
        <v>12</v>
      </c>
      <c r="G12" t="s">
        <v>649</v>
      </c>
      <c r="H12" t="s">
        <v>656</v>
      </c>
      <c r="I12" t="s">
        <v>671</v>
      </c>
      <c r="J12" t="s">
        <v>701</v>
      </c>
      <c r="K12" t="s">
        <v>708</v>
      </c>
      <c r="L12" t="s">
        <v>715</v>
      </c>
      <c r="M12" t="s">
        <v>733</v>
      </c>
      <c r="N12" t="s">
        <v>744</v>
      </c>
      <c r="O12">
        <v>644.16999999999996</v>
      </c>
      <c r="P12">
        <v>700.12</v>
      </c>
      <c r="Q12">
        <v>6.0000000000000001E-3</v>
      </c>
      <c r="R12">
        <v>23</v>
      </c>
    </row>
    <row r="13" spans="1:18" x14ac:dyDescent="0.45">
      <c r="A13" t="s">
        <v>26</v>
      </c>
      <c r="B13" s="5">
        <v>45660</v>
      </c>
      <c r="C13" s="5">
        <v>45680</v>
      </c>
      <c r="D13" s="5">
        <f t="shared" si="0"/>
        <v>45660</v>
      </c>
      <c r="E13" s="5">
        <f t="shared" si="1"/>
        <v>45680</v>
      </c>
      <c r="F13" s="7">
        <f t="shared" si="2"/>
        <v>20</v>
      </c>
      <c r="G13" t="s">
        <v>647</v>
      </c>
      <c r="H13" t="s">
        <v>652</v>
      </c>
      <c r="I13" t="s">
        <v>666</v>
      </c>
      <c r="J13" t="s">
        <v>701</v>
      </c>
      <c r="K13" t="s">
        <v>710</v>
      </c>
      <c r="L13" t="s">
        <v>721</v>
      </c>
      <c r="M13" t="s">
        <v>730</v>
      </c>
      <c r="N13" t="s">
        <v>745</v>
      </c>
      <c r="O13">
        <v>908.6</v>
      </c>
      <c r="P13">
        <v>691.37</v>
      </c>
      <c r="Q13">
        <v>0.25</v>
      </c>
      <c r="R13">
        <v>20</v>
      </c>
    </row>
    <row r="14" spans="1:18" x14ac:dyDescent="0.45">
      <c r="A14" t="s">
        <v>27</v>
      </c>
      <c r="B14" s="5">
        <v>45722</v>
      </c>
      <c r="C14" s="5">
        <v>45747</v>
      </c>
      <c r="D14" s="5">
        <f t="shared" si="0"/>
        <v>45722</v>
      </c>
      <c r="E14" s="5">
        <f t="shared" si="1"/>
        <v>45747</v>
      </c>
      <c r="F14" s="7">
        <f t="shared" si="2"/>
        <v>25</v>
      </c>
      <c r="G14" t="s">
        <v>648</v>
      </c>
      <c r="H14" t="s">
        <v>655</v>
      </c>
      <c r="I14" t="s">
        <v>672</v>
      </c>
      <c r="J14" t="s">
        <v>703</v>
      </c>
      <c r="K14" t="s">
        <v>708</v>
      </c>
      <c r="L14" t="s">
        <v>713</v>
      </c>
      <c r="M14" t="s">
        <v>727</v>
      </c>
      <c r="N14" t="s">
        <v>746</v>
      </c>
      <c r="O14">
        <v>331.57</v>
      </c>
      <c r="P14">
        <v>548.4</v>
      </c>
      <c r="Q14">
        <v>9.4E-2</v>
      </c>
      <c r="R14">
        <v>10</v>
      </c>
    </row>
    <row r="15" spans="1:18" x14ac:dyDescent="0.45">
      <c r="A15" t="s">
        <v>28</v>
      </c>
      <c r="B15" s="5">
        <v>45311</v>
      </c>
      <c r="C15" s="5">
        <v>45335</v>
      </c>
      <c r="D15" s="5">
        <f t="shared" si="0"/>
        <v>45311</v>
      </c>
      <c r="E15" s="5">
        <f t="shared" si="1"/>
        <v>45335</v>
      </c>
      <c r="F15" s="7">
        <f t="shared" si="2"/>
        <v>24</v>
      </c>
      <c r="G15" t="s">
        <v>649</v>
      </c>
      <c r="H15" t="s">
        <v>657</v>
      </c>
      <c r="I15" t="s">
        <v>673</v>
      </c>
      <c r="J15" t="s">
        <v>701</v>
      </c>
      <c r="K15" t="s">
        <v>707</v>
      </c>
      <c r="L15" t="s">
        <v>722</v>
      </c>
      <c r="M15" t="s">
        <v>728</v>
      </c>
      <c r="N15" t="s">
        <v>747</v>
      </c>
      <c r="O15">
        <v>643.53</v>
      </c>
      <c r="P15">
        <v>1439.01</v>
      </c>
      <c r="Q15">
        <v>0</v>
      </c>
      <c r="R15">
        <v>15</v>
      </c>
    </row>
    <row r="16" spans="1:18" x14ac:dyDescent="0.45">
      <c r="A16" t="s">
        <v>29</v>
      </c>
      <c r="B16" s="5">
        <v>45901</v>
      </c>
      <c r="C16" s="5">
        <v>45930</v>
      </c>
      <c r="D16" s="5">
        <f t="shared" si="0"/>
        <v>45901</v>
      </c>
      <c r="E16" s="5">
        <f t="shared" si="1"/>
        <v>45930</v>
      </c>
      <c r="F16" s="7">
        <f t="shared" si="2"/>
        <v>29</v>
      </c>
      <c r="G16" t="s">
        <v>648</v>
      </c>
      <c r="H16" t="s">
        <v>655</v>
      </c>
      <c r="I16" t="s">
        <v>672</v>
      </c>
      <c r="J16" t="s">
        <v>702</v>
      </c>
      <c r="K16" t="s">
        <v>707</v>
      </c>
      <c r="L16" t="s">
        <v>723</v>
      </c>
      <c r="M16" t="s">
        <v>733</v>
      </c>
      <c r="N16" t="s">
        <v>748</v>
      </c>
      <c r="O16">
        <v>780.59</v>
      </c>
      <c r="P16">
        <v>631.57000000000005</v>
      </c>
      <c r="Q16">
        <v>0</v>
      </c>
      <c r="R16">
        <v>12</v>
      </c>
    </row>
    <row r="17" spans="1:18" x14ac:dyDescent="0.45">
      <c r="A17" t="s">
        <v>30</v>
      </c>
      <c r="B17" s="5">
        <v>45039</v>
      </c>
      <c r="C17" s="5">
        <v>45038</v>
      </c>
      <c r="D17" s="5">
        <f t="shared" si="0"/>
        <v>45038</v>
      </c>
      <c r="E17" s="5">
        <f t="shared" si="1"/>
        <v>45039</v>
      </c>
      <c r="F17" s="7">
        <f t="shared" si="2"/>
        <v>1</v>
      </c>
      <c r="G17" t="s">
        <v>646</v>
      </c>
      <c r="H17" t="s">
        <v>650</v>
      </c>
      <c r="I17" t="s">
        <v>664</v>
      </c>
      <c r="J17" t="s">
        <v>705</v>
      </c>
      <c r="K17" t="s">
        <v>711</v>
      </c>
      <c r="L17" t="s">
        <v>718</v>
      </c>
      <c r="M17" t="s">
        <v>731</v>
      </c>
      <c r="N17" t="s">
        <v>749</v>
      </c>
      <c r="O17">
        <v>756.51</v>
      </c>
      <c r="P17">
        <v>850.8</v>
      </c>
      <c r="Q17">
        <v>7.3999999999999996E-2</v>
      </c>
      <c r="R17">
        <v>9</v>
      </c>
    </row>
    <row r="18" spans="1:18" x14ac:dyDescent="0.45">
      <c r="A18" t="s">
        <v>31</v>
      </c>
      <c r="B18" s="5">
        <v>45636</v>
      </c>
      <c r="C18" s="5">
        <v>45665</v>
      </c>
      <c r="D18" s="5">
        <f t="shared" si="0"/>
        <v>45636</v>
      </c>
      <c r="E18" s="5">
        <f t="shared" si="1"/>
        <v>45665</v>
      </c>
      <c r="F18" s="7">
        <f t="shared" si="2"/>
        <v>29</v>
      </c>
      <c r="G18" t="s">
        <v>649</v>
      </c>
      <c r="H18" t="s">
        <v>657</v>
      </c>
      <c r="I18" t="s">
        <v>673</v>
      </c>
      <c r="J18" t="s">
        <v>705</v>
      </c>
      <c r="K18" t="s">
        <v>707</v>
      </c>
      <c r="L18" t="s">
        <v>723</v>
      </c>
      <c r="M18" t="s">
        <v>728</v>
      </c>
      <c r="N18" t="s">
        <v>750</v>
      </c>
      <c r="O18">
        <v>891.08</v>
      </c>
      <c r="P18">
        <v>1040.0999999999999</v>
      </c>
      <c r="Q18">
        <v>0.109</v>
      </c>
      <c r="R18">
        <v>28</v>
      </c>
    </row>
    <row r="19" spans="1:18" x14ac:dyDescent="0.45">
      <c r="A19" t="s">
        <v>32</v>
      </c>
      <c r="B19" s="5">
        <v>45908</v>
      </c>
      <c r="C19" s="5">
        <v>45916</v>
      </c>
      <c r="D19" s="5">
        <f t="shared" si="0"/>
        <v>45908</v>
      </c>
      <c r="E19" s="5">
        <f t="shared" si="1"/>
        <v>45916</v>
      </c>
      <c r="F19" s="7">
        <f t="shared" si="2"/>
        <v>8</v>
      </c>
      <c r="G19" t="s">
        <v>647</v>
      </c>
      <c r="H19" t="s">
        <v>652</v>
      </c>
      <c r="I19" t="s">
        <v>666</v>
      </c>
      <c r="J19" t="s">
        <v>701</v>
      </c>
      <c r="K19" t="s">
        <v>710</v>
      </c>
      <c r="L19" t="s">
        <v>712</v>
      </c>
      <c r="M19" t="s">
        <v>730</v>
      </c>
      <c r="N19" t="s">
        <v>751</v>
      </c>
      <c r="O19">
        <v>1225.57</v>
      </c>
      <c r="P19">
        <v>2705.57</v>
      </c>
      <c r="Q19">
        <v>0.183</v>
      </c>
      <c r="R19">
        <v>16</v>
      </c>
    </row>
    <row r="20" spans="1:18" x14ac:dyDescent="0.45">
      <c r="A20" t="s">
        <v>33</v>
      </c>
      <c r="B20" s="5">
        <v>45858</v>
      </c>
      <c r="C20" s="5">
        <v>45874</v>
      </c>
      <c r="D20" s="5">
        <f t="shared" si="0"/>
        <v>45858</v>
      </c>
      <c r="E20" s="5">
        <f t="shared" si="1"/>
        <v>45874</v>
      </c>
      <c r="F20" s="7">
        <f t="shared" si="2"/>
        <v>16</v>
      </c>
      <c r="G20" t="s">
        <v>648</v>
      </c>
      <c r="H20" t="s">
        <v>655</v>
      </c>
      <c r="I20" t="s">
        <v>672</v>
      </c>
      <c r="J20" t="s">
        <v>706</v>
      </c>
      <c r="K20" t="s">
        <v>709</v>
      </c>
      <c r="L20" t="s">
        <v>715</v>
      </c>
      <c r="M20" t="s">
        <v>733</v>
      </c>
      <c r="N20" t="s">
        <v>752</v>
      </c>
      <c r="O20">
        <v>1068.17</v>
      </c>
      <c r="P20">
        <v>2375.37</v>
      </c>
      <c r="Q20">
        <v>0.109</v>
      </c>
      <c r="R20">
        <v>18</v>
      </c>
    </row>
    <row r="21" spans="1:18" x14ac:dyDescent="0.45">
      <c r="A21" t="s">
        <v>34</v>
      </c>
      <c r="B21" s="5">
        <v>45798</v>
      </c>
      <c r="C21" s="5">
        <v>45796</v>
      </c>
      <c r="D21" s="5">
        <f t="shared" si="0"/>
        <v>45796</v>
      </c>
      <c r="E21" s="5">
        <f t="shared" si="1"/>
        <v>45798</v>
      </c>
      <c r="F21" s="7">
        <f t="shared" si="2"/>
        <v>2</v>
      </c>
      <c r="G21" t="s">
        <v>649</v>
      </c>
      <c r="H21" t="s">
        <v>658</v>
      </c>
      <c r="I21" t="s">
        <v>674</v>
      </c>
      <c r="J21" t="s">
        <v>706</v>
      </c>
      <c r="K21" t="s">
        <v>708</v>
      </c>
      <c r="L21" t="s">
        <v>724</v>
      </c>
      <c r="M21" t="s">
        <v>731</v>
      </c>
      <c r="N21" t="s">
        <v>753</v>
      </c>
      <c r="O21">
        <v>1015.16</v>
      </c>
      <c r="P21">
        <v>2148.14</v>
      </c>
      <c r="Q21">
        <v>3.7999999999999999E-2</v>
      </c>
      <c r="R21">
        <v>19</v>
      </c>
    </row>
    <row r="22" spans="1:18" x14ac:dyDescent="0.45">
      <c r="A22" t="s">
        <v>35</v>
      </c>
      <c r="B22" s="5">
        <v>45498</v>
      </c>
      <c r="C22" s="5">
        <v>45497</v>
      </c>
      <c r="D22" s="5">
        <f t="shared" si="0"/>
        <v>45497</v>
      </c>
      <c r="E22" s="5">
        <f t="shared" si="1"/>
        <v>45498</v>
      </c>
      <c r="F22" s="7">
        <f t="shared" si="2"/>
        <v>1</v>
      </c>
      <c r="G22" t="s">
        <v>646</v>
      </c>
      <c r="H22" t="s">
        <v>650</v>
      </c>
      <c r="I22" t="s">
        <v>675</v>
      </c>
      <c r="J22" t="s">
        <v>703</v>
      </c>
      <c r="K22" t="s">
        <v>711</v>
      </c>
      <c r="L22" t="s">
        <v>713</v>
      </c>
      <c r="M22" t="s">
        <v>731</v>
      </c>
      <c r="N22" t="s">
        <v>754</v>
      </c>
      <c r="O22">
        <v>1494.4</v>
      </c>
      <c r="P22">
        <v>3661.07</v>
      </c>
      <c r="Q22">
        <v>7.1999999999999995E-2</v>
      </c>
      <c r="R22">
        <v>7</v>
      </c>
    </row>
    <row r="23" spans="1:18" x14ac:dyDescent="0.45">
      <c r="A23" t="s">
        <v>36</v>
      </c>
      <c r="B23" s="5">
        <v>45057</v>
      </c>
      <c r="C23" s="5">
        <v>45074</v>
      </c>
      <c r="D23" s="5">
        <f t="shared" si="0"/>
        <v>45057</v>
      </c>
      <c r="E23" s="5">
        <f t="shared" si="1"/>
        <v>45074</v>
      </c>
      <c r="F23" s="7">
        <f t="shared" si="2"/>
        <v>17</v>
      </c>
      <c r="G23" t="s">
        <v>647</v>
      </c>
      <c r="H23" t="s">
        <v>659</v>
      </c>
      <c r="I23" t="s">
        <v>676</v>
      </c>
      <c r="J23" t="s">
        <v>706</v>
      </c>
      <c r="K23" t="s">
        <v>709</v>
      </c>
      <c r="L23" t="s">
        <v>718</v>
      </c>
      <c r="M23" t="s">
        <v>729</v>
      </c>
      <c r="N23" t="s">
        <v>755</v>
      </c>
      <c r="O23">
        <v>1331.19</v>
      </c>
      <c r="P23">
        <v>2903.09</v>
      </c>
      <c r="Q23">
        <v>0.14299999999999999</v>
      </c>
      <c r="R23">
        <v>8</v>
      </c>
    </row>
    <row r="24" spans="1:18" x14ac:dyDescent="0.45">
      <c r="A24" t="s">
        <v>37</v>
      </c>
      <c r="B24" s="5">
        <v>45822</v>
      </c>
      <c r="C24" s="5">
        <v>45837</v>
      </c>
      <c r="D24" s="5">
        <f t="shared" si="0"/>
        <v>45822</v>
      </c>
      <c r="E24" s="5">
        <f t="shared" si="1"/>
        <v>45837</v>
      </c>
      <c r="F24" s="7">
        <f t="shared" si="2"/>
        <v>15</v>
      </c>
      <c r="G24" t="s">
        <v>646</v>
      </c>
      <c r="H24" t="s">
        <v>651</v>
      </c>
      <c r="I24" t="s">
        <v>663</v>
      </c>
      <c r="J24" t="s">
        <v>704</v>
      </c>
      <c r="K24" t="s">
        <v>709</v>
      </c>
      <c r="L24" t="s">
        <v>724</v>
      </c>
      <c r="M24" t="s">
        <v>733</v>
      </c>
      <c r="N24" t="s">
        <v>756</v>
      </c>
      <c r="O24">
        <v>730.99</v>
      </c>
      <c r="P24">
        <v>1242.8399999999999</v>
      </c>
      <c r="Q24">
        <v>0.12</v>
      </c>
      <c r="R24">
        <v>10</v>
      </c>
    </row>
    <row r="25" spans="1:18" x14ac:dyDescent="0.45">
      <c r="A25" t="s">
        <v>38</v>
      </c>
      <c r="B25" s="5">
        <v>45430</v>
      </c>
      <c r="C25" s="5">
        <v>45435</v>
      </c>
      <c r="D25" s="5">
        <f t="shared" si="0"/>
        <v>45430</v>
      </c>
      <c r="E25" s="5">
        <f t="shared" si="1"/>
        <v>45435</v>
      </c>
      <c r="F25" s="7">
        <f t="shared" si="2"/>
        <v>5</v>
      </c>
      <c r="G25" t="s">
        <v>648</v>
      </c>
      <c r="H25" t="s">
        <v>660</v>
      </c>
      <c r="I25" t="s">
        <v>677</v>
      </c>
      <c r="J25" t="s">
        <v>706</v>
      </c>
      <c r="K25" t="s">
        <v>707</v>
      </c>
      <c r="L25" t="s">
        <v>722</v>
      </c>
      <c r="M25" t="s">
        <v>731</v>
      </c>
      <c r="N25" t="s">
        <v>757</v>
      </c>
      <c r="O25">
        <v>1274.5899999999999</v>
      </c>
      <c r="P25">
        <v>2553.69</v>
      </c>
      <c r="Q25">
        <v>0.01</v>
      </c>
      <c r="R25">
        <v>8</v>
      </c>
    </row>
    <row r="26" spans="1:18" x14ac:dyDescent="0.45">
      <c r="A26" t="s">
        <v>39</v>
      </c>
      <c r="B26" s="5">
        <v>44964</v>
      </c>
      <c r="C26" s="5">
        <v>44969</v>
      </c>
      <c r="D26" s="5">
        <f t="shared" si="0"/>
        <v>44964</v>
      </c>
      <c r="E26" s="5">
        <f t="shared" si="1"/>
        <v>44969</v>
      </c>
      <c r="F26" s="7">
        <f t="shared" si="2"/>
        <v>5</v>
      </c>
      <c r="G26" t="s">
        <v>648</v>
      </c>
      <c r="H26" t="s">
        <v>655</v>
      </c>
      <c r="I26" t="s">
        <v>670</v>
      </c>
      <c r="J26" t="s">
        <v>702</v>
      </c>
      <c r="K26" t="s">
        <v>708</v>
      </c>
      <c r="L26" t="s">
        <v>725</v>
      </c>
      <c r="M26" t="s">
        <v>727</v>
      </c>
      <c r="N26" t="s">
        <v>758</v>
      </c>
      <c r="O26">
        <v>948.55</v>
      </c>
      <c r="P26">
        <v>2089.16</v>
      </c>
      <c r="Q26">
        <v>7.0000000000000001E-3</v>
      </c>
      <c r="R26">
        <v>12</v>
      </c>
    </row>
    <row r="27" spans="1:18" x14ac:dyDescent="0.45">
      <c r="A27" t="s">
        <v>40</v>
      </c>
      <c r="B27" s="5">
        <v>45473</v>
      </c>
      <c r="C27" s="5">
        <v>45487</v>
      </c>
      <c r="D27" s="5">
        <f t="shared" si="0"/>
        <v>45473</v>
      </c>
      <c r="E27" s="5">
        <f t="shared" si="1"/>
        <v>45487</v>
      </c>
      <c r="F27" s="7">
        <f t="shared" si="2"/>
        <v>14</v>
      </c>
      <c r="G27" t="s">
        <v>648</v>
      </c>
      <c r="H27" t="s">
        <v>655</v>
      </c>
      <c r="I27" t="s">
        <v>672</v>
      </c>
      <c r="J27" t="s">
        <v>702</v>
      </c>
      <c r="K27" t="s">
        <v>707</v>
      </c>
      <c r="L27" t="s">
        <v>712</v>
      </c>
      <c r="M27" t="s">
        <v>733</v>
      </c>
      <c r="N27" t="s">
        <v>759</v>
      </c>
      <c r="O27">
        <v>1491.85</v>
      </c>
      <c r="P27">
        <v>2583.02</v>
      </c>
      <c r="Q27">
        <v>0.16800000000000001</v>
      </c>
      <c r="R27">
        <v>4</v>
      </c>
    </row>
    <row r="28" spans="1:18" x14ac:dyDescent="0.45">
      <c r="A28" t="s">
        <v>41</v>
      </c>
      <c r="B28" s="5">
        <v>45626</v>
      </c>
      <c r="C28" s="5">
        <v>45656</v>
      </c>
      <c r="D28" s="5">
        <f t="shared" si="0"/>
        <v>45626</v>
      </c>
      <c r="E28" s="5">
        <f t="shared" si="1"/>
        <v>45656</v>
      </c>
      <c r="F28" s="7">
        <f t="shared" si="2"/>
        <v>30</v>
      </c>
      <c r="G28" t="s">
        <v>649</v>
      </c>
      <c r="H28" t="s">
        <v>657</v>
      </c>
      <c r="I28" t="s">
        <v>673</v>
      </c>
      <c r="J28" t="s">
        <v>704</v>
      </c>
      <c r="K28" t="s">
        <v>709</v>
      </c>
      <c r="L28" t="s">
        <v>721</v>
      </c>
      <c r="M28" t="s">
        <v>728</v>
      </c>
      <c r="N28" t="s">
        <v>760</v>
      </c>
      <c r="O28">
        <v>117.64</v>
      </c>
      <c r="P28">
        <v>175.67</v>
      </c>
      <c r="Q28">
        <v>0</v>
      </c>
      <c r="R28">
        <v>10</v>
      </c>
    </row>
    <row r="29" spans="1:18" x14ac:dyDescent="0.45">
      <c r="A29" t="s">
        <v>42</v>
      </c>
      <c r="B29" s="5">
        <v>45492</v>
      </c>
      <c r="C29" s="5">
        <v>45492</v>
      </c>
      <c r="D29" s="5">
        <f t="shared" si="0"/>
        <v>45492</v>
      </c>
      <c r="E29" s="5">
        <f t="shared" si="1"/>
        <v>45492</v>
      </c>
      <c r="F29" s="7">
        <f t="shared" si="2"/>
        <v>0</v>
      </c>
      <c r="G29" t="s">
        <v>646</v>
      </c>
      <c r="H29" t="s">
        <v>650</v>
      </c>
      <c r="I29" t="s">
        <v>662</v>
      </c>
      <c r="J29" t="s">
        <v>705</v>
      </c>
      <c r="K29" t="s">
        <v>707</v>
      </c>
      <c r="L29" t="s">
        <v>720</v>
      </c>
      <c r="M29" t="s">
        <v>730</v>
      </c>
      <c r="N29" t="s">
        <v>761</v>
      </c>
      <c r="O29">
        <v>857.24</v>
      </c>
      <c r="P29">
        <v>758.23</v>
      </c>
      <c r="Q29">
        <v>0.125</v>
      </c>
      <c r="R29">
        <v>6</v>
      </c>
    </row>
    <row r="30" spans="1:18" x14ac:dyDescent="0.45">
      <c r="A30" t="s">
        <v>43</v>
      </c>
      <c r="B30" s="5">
        <v>45030</v>
      </c>
      <c r="C30" s="5">
        <v>45060</v>
      </c>
      <c r="D30" s="5">
        <f t="shared" si="0"/>
        <v>45030</v>
      </c>
      <c r="E30" s="5">
        <f t="shared" si="1"/>
        <v>45060</v>
      </c>
      <c r="F30" s="7">
        <f t="shared" si="2"/>
        <v>30</v>
      </c>
      <c r="G30" t="s">
        <v>646</v>
      </c>
      <c r="H30" t="s">
        <v>650</v>
      </c>
      <c r="I30" t="s">
        <v>678</v>
      </c>
      <c r="J30" t="s">
        <v>704</v>
      </c>
      <c r="K30" t="s">
        <v>709</v>
      </c>
      <c r="L30" t="s">
        <v>724</v>
      </c>
      <c r="M30" t="s">
        <v>730</v>
      </c>
      <c r="N30" t="s">
        <v>762</v>
      </c>
      <c r="O30">
        <v>209.25</v>
      </c>
      <c r="P30">
        <v>434.8</v>
      </c>
      <c r="Q30">
        <v>0</v>
      </c>
      <c r="R30">
        <v>9</v>
      </c>
    </row>
    <row r="31" spans="1:18" x14ac:dyDescent="0.45">
      <c r="A31" t="s">
        <v>44</v>
      </c>
      <c r="B31" s="5">
        <v>45754</v>
      </c>
      <c r="C31" s="5">
        <v>45758</v>
      </c>
      <c r="D31" s="5">
        <f t="shared" si="0"/>
        <v>45754</v>
      </c>
      <c r="E31" s="5">
        <f t="shared" si="1"/>
        <v>45758</v>
      </c>
      <c r="F31" s="7">
        <f t="shared" si="2"/>
        <v>4</v>
      </c>
      <c r="G31" t="s">
        <v>649</v>
      </c>
      <c r="H31" t="s">
        <v>657</v>
      </c>
      <c r="I31" t="s">
        <v>679</v>
      </c>
      <c r="J31" t="s">
        <v>702</v>
      </c>
      <c r="K31" t="s">
        <v>707</v>
      </c>
      <c r="L31" t="s">
        <v>718</v>
      </c>
      <c r="M31" t="s">
        <v>729</v>
      </c>
      <c r="N31" t="s">
        <v>763</v>
      </c>
      <c r="O31">
        <v>754.77</v>
      </c>
      <c r="P31">
        <v>1666.18</v>
      </c>
      <c r="Q31">
        <v>0.13900000000000001</v>
      </c>
      <c r="R31">
        <v>14</v>
      </c>
    </row>
    <row r="32" spans="1:18" x14ac:dyDescent="0.45">
      <c r="A32" t="s">
        <v>45</v>
      </c>
      <c r="B32" s="5">
        <v>45653</v>
      </c>
      <c r="C32" s="5">
        <v>45672</v>
      </c>
      <c r="D32" s="5">
        <f t="shared" si="0"/>
        <v>45653</v>
      </c>
      <c r="E32" s="5">
        <f t="shared" si="1"/>
        <v>45672</v>
      </c>
      <c r="F32" s="7">
        <f t="shared" si="2"/>
        <v>19</v>
      </c>
      <c r="G32" t="s">
        <v>647</v>
      </c>
      <c r="H32" t="s">
        <v>654</v>
      </c>
      <c r="I32" t="s">
        <v>680</v>
      </c>
      <c r="J32" t="s">
        <v>703</v>
      </c>
      <c r="K32" t="s">
        <v>710</v>
      </c>
      <c r="L32" t="s">
        <v>715</v>
      </c>
      <c r="M32" t="s">
        <v>727</v>
      </c>
      <c r="N32" t="s">
        <v>764</v>
      </c>
      <c r="O32">
        <v>495.59</v>
      </c>
      <c r="P32">
        <v>631.78</v>
      </c>
      <c r="Q32">
        <v>8.6999999999999994E-2</v>
      </c>
      <c r="R32">
        <v>17</v>
      </c>
    </row>
    <row r="33" spans="1:18" x14ac:dyDescent="0.45">
      <c r="A33" t="s">
        <v>46</v>
      </c>
      <c r="B33" s="5">
        <v>44980</v>
      </c>
      <c r="C33" s="5">
        <v>45010</v>
      </c>
      <c r="D33" s="5">
        <f t="shared" si="0"/>
        <v>44980</v>
      </c>
      <c r="E33" s="5">
        <f t="shared" si="1"/>
        <v>45010</v>
      </c>
      <c r="F33" s="7">
        <f t="shared" si="2"/>
        <v>30</v>
      </c>
      <c r="G33" t="s">
        <v>648</v>
      </c>
      <c r="H33" t="s">
        <v>653</v>
      </c>
      <c r="I33" t="s">
        <v>681</v>
      </c>
      <c r="J33" t="s">
        <v>706</v>
      </c>
      <c r="K33" t="s">
        <v>708</v>
      </c>
      <c r="L33" t="s">
        <v>726</v>
      </c>
      <c r="M33" t="s">
        <v>730</v>
      </c>
      <c r="N33" t="s">
        <v>765</v>
      </c>
      <c r="O33">
        <v>1242.6600000000001</v>
      </c>
      <c r="P33">
        <v>1794.07</v>
      </c>
      <c r="Q33">
        <v>8.8999999999999996E-2</v>
      </c>
      <c r="R33">
        <v>16</v>
      </c>
    </row>
    <row r="34" spans="1:18" x14ac:dyDescent="0.45">
      <c r="A34" t="s">
        <v>47</v>
      </c>
      <c r="B34" s="5">
        <v>45862</v>
      </c>
      <c r="C34" s="5">
        <v>45875</v>
      </c>
      <c r="D34" s="5">
        <f t="shared" si="0"/>
        <v>45862</v>
      </c>
      <c r="E34" s="5">
        <f t="shared" si="1"/>
        <v>45875</v>
      </c>
      <c r="F34" s="7">
        <f t="shared" si="2"/>
        <v>13</v>
      </c>
      <c r="G34" t="s">
        <v>646</v>
      </c>
      <c r="H34" t="s">
        <v>661</v>
      </c>
      <c r="I34" t="s">
        <v>682</v>
      </c>
      <c r="J34" t="s">
        <v>702</v>
      </c>
      <c r="K34" t="s">
        <v>709</v>
      </c>
      <c r="L34" t="s">
        <v>726</v>
      </c>
      <c r="M34" t="s">
        <v>729</v>
      </c>
      <c r="N34" t="s">
        <v>766</v>
      </c>
      <c r="O34">
        <v>1463.9</v>
      </c>
      <c r="P34">
        <v>2633.02</v>
      </c>
      <c r="Q34">
        <v>8.4000000000000005E-2</v>
      </c>
      <c r="R34">
        <v>4</v>
      </c>
    </row>
    <row r="35" spans="1:18" x14ac:dyDescent="0.45">
      <c r="A35" t="s">
        <v>48</v>
      </c>
      <c r="B35" s="5">
        <v>45400</v>
      </c>
      <c r="C35" s="5">
        <v>45420</v>
      </c>
      <c r="D35" s="5">
        <f t="shared" si="0"/>
        <v>45400</v>
      </c>
      <c r="E35" s="5">
        <f t="shared" si="1"/>
        <v>45420</v>
      </c>
      <c r="F35" s="7">
        <f t="shared" si="2"/>
        <v>20</v>
      </c>
      <c r="G35" t="s">
        <v>649</v>
      </c>
      <c r="H35" t="s">
        <v>658</v>
      </c>
      <c r="I35" t="s">
        <v>683</v>
      </c>
      <c r="J35" t="s">
        <v>703</v>
      </c>
      <c r="L35" t="s">
        <v>726</v>
      </c>
      <c r="M35" t="s">
        <v>731</v>
      </c>
      <c r="N35" t="s">
        <v>767</v>
      </c>
      <c r="O35">
        <v>645.33000000000004</v>
      </c>
      <c r="P35">
        <v>1321.85</v>
      </c>
      <c r="Q35">
        <v>0</v>
      </c>
      <c r="R35">
        <v>10</v>
      </c>
    </row>
    <row r="36" spans="1:18" x14ac:dyDescent="0.45">
      <c r="A36" t="s">
        <v>49</v>
      </c>
      <c r="B36" s="5">
        <v>45527</v>
      </c>
      <c r="C36" s="5">
        <v>45525</v>
      </c>
      <c r="D36" s="5">
        <f t="shared" si="0"/>
        <v>45525</v>
      </c>
      <c r="E36" s="5">
        <f t="shared" si="1"/>
        <v>45527</v>
      </c>
      <c r="F36" s="7">
        <f t="shared" si="2"/>
        <v>2</v>
      </c>
      <c r="G36" t="s">
        <v>646</v>
      </c>
      <c r="H36" t="s">
        <v>661</v>
      </c>
      <c r="I36" t="s">
        <v>682</v>
      </c>
      <c r="J36" t="s">
        <v>702</v>
      </c>
      <c r="K36" t="s">
        <v>707</v>
      </c>
      <c r="L36" t="s">
        <v>718</v>
      </c>
      <c r="M36" t="s">
        <v>727</v>
      </c>
      <c r="N36" t="s">
        <v>768</v>
      </c>
      <c r="O36">
        <v>1432.52</v>
      </c>
      <c r="P36">
        <v>3036.87</v>
      </c>
      <c r="Q36">
        <v>0</v>
      </c>
      <c r="R36">
        <v>9</v>
      </c>
    </row>
    <row r="37" spans="1:18" x14ac:dyDescent="0.45">
      <c r="A37" t="s">
        <v>50</v>
      </c>
      <c r="B37" s="5">
        <v>45012</v>
      </c>
      <c r="C37" s="5">
        <v>45038</v>
      </c>
      <c r="D37" s="5">
        <f t="shared" si="0"/>
        <v>45012</v>
      </c>
      <c r="E37" s="5">
        <f t="shared" si="1"/>
        <v>45038</v>
      </c>
      <c r="F37" s="7">
        <f t="shared" si="2"/>
        <v>26</v>
      </c>
      <c r="G37" t="s">
        <v>647</v>
      </c>
      <c r="H37" t="s">
        <v>654</v>
      </c>
      <c r="I37" t="s">
        <v>680</v>
      </c>
      <c r="J37" t="s">
        <v>703</v>
      </c>
      <c r="K37" t="s">
        <v>709</v>
      </c>
      <c r="L37" t="s">
        <v>713</v>
      </c>
      <c r="M37" t="s">
        <v>728</v>
      </c>
      <c r="N37" t="s">
        <v>769</v>
      </c>
      <c r="O37">
        <v>178.53</v>
      </c>
      <c r="P37">
        <v>199.37</v>
      </c>
      <c r="Q37">
        <v>0.10100000000000001</v>
      </c>
      <c r="R37">
        <v>37</v>
      </c>
    </row>
    <row r="38" spans="1:18" x14ac:dyDescent="0.45">
      <c r="A38" t="s">
        <v>51</v>
      </c>
      <c r="B38" s="5">
        <v>45358</v>
      </c>
      <c r="C38" s="5">
        <v>45376</v>
      </c>
      <c r="D38" s="5">
        <f t="shared" si="0"/>
        <v>45358</v>
      </c>
      <c r="E38" s="5">
        <f t="shared" si="1"/>
        <v>45376</v>
      </c>
      <c r="F38" s="7">
        <f t="shared" si="2"/>
        <v>18</v>
      </c>
      <c r="G38" t="s">
        <v>649</v>
      </c>
      <c r="H38" t="s">
        <v>656</v>
      </c>
      <c r="I38" t="s">
        <v>684</v>
      </c>
      <c r="J38" t="s">
        <v>701</v>
      </c>
      <c r="K38" t="s">
        <v>708</v>
      </c>
      <c r="L38" t="s">
        <v>717</v>
      </c>
      <c r="M38" t="s">
        <v>727</v>
      </c>
      <c r="N38" t="s">
        <v>770</v>
      </c>
      <c r="O38">
        <v>712.84</v>
      </c>
      <c r="P38">
        <v>927.51</v>
      </c>
      <c r="Q38">
        <v>0.24299999999999999</v>
      </c>
      <c r="R38">
        <v>27</v>
      </c>
    </row>
    <row r="39" spans="1:18" x14ac:dyDescent="0.45">
      <c r="A39" t="s">
        <v>52</v>
      </c>
      <c r="B39" s="5">
        <v>45832</v>
      </c>
      <c r="C39" s="5">
        <v>45848</v>
      </c>
      <c r="D39" s="5">
        <f t="shared" si="0"/>
        <v>45832</v>
      </c>
      <c r="E39" s="5">
        <f t="shared" si="1"/>
        <v>45848</v>
      </c>
      <c r="F39" s="7">
        <f t="shared" si="2"/>
        <v>16</v>
      </c>
      <c r="G39" t="s">
        <v>647</v>
      </c>
      <c r="H39" t="s">
        <v>659</v>
      </c>
      <c r="I39" t="s">
        <v>685</v>
      </c>
      <c r="J39" t="s">
        <v>706</v>
      </c>
      <c r="K39" t="s">
        <v>711</v>
      </c>
      <c r="L39" t="s">
        <v>725</v>
      </c>
      <c r="M39" t="s">
        <v>727</v>
      </c>
      <c r="N39" t="s">
        <v>771</v>
      </c>
      <c r="O39">
        <v>757.19</v>
      </c>
      <c r="P39">
        <v>1735.41</v>
      </c>
      <c r="Q39">
        <v>0.13600000000000001</v>
      </c>
      <c r="R39">
        <v>8</v>
      </c>
    </row>
    <row r="40" spans="1:18" x14ac:dyDescent="0.45">
      <c r="A40" t="s">
        <v>53</v>
      </c>
      <c r="B40" s="5">
        <v>45401</v>
      </c>
      <c r="C40" s="5">
        <v>45418</v>
      </c>
      <c r="D40" s="5">
        <f t="shared" si="0"/>
        <v>45401</v>
      </c>
      <c r="E40" s="5">
        <f t="shared" si="1"/>
        <v>45418</v>
      </c>
      <c r="F40" s="7">
        <f t="shared" si="2"/>
        <v>17</v>
      </c>
      <c r="G40" t="s">
        <v>646</v>
      </c>
      <c r="H40" t="s">
        <v>651</v>
      </c>
      <c r="I40" t="s">
        <v>663</v>
      </c>
      <c r="J40" t="s">
        <v>703</v>
      </c>
      <c r="K40" t="s">
        <v>708</v>
      </c>
      <c r="L40" t="s">
        <v>720</v>
      </c>
      <c r="M40" t="s">
        <v>728</v>
      </c>
      <c r="N40" t="s">
        <v>772</v>
      </c>
      <c r="O40">
        <v>865.33</v>
      </c>
      <c r="P40">
        <v>1395.64</v>
      </c>
      <c r="Q40">
        <v>0.17499999999999999</v>
      </c>
      <c r="R40">
        <v>13</v>
      </c>
    </row>
    <row r="41" spans="1:18" x14ac:dyDescent="0.45">
      <c r="A41" t="s">
        <v>54</v>
      </c>
      <c r="B41" s="5">
        <v>45094</v>
      </c>
      <c r="C41" s="5">
        <v>45101</v>
      </c>
      <c r="D41" s="5">
        <f t="shared" si="0"/>
        <v>45094</v>
      </c>
      <c r="E41" s="5">
        <f t="shared" si="1"/>
        <v>45101</v>
      </c>
      <c r="F41" s="7">
        <f t="shared" si="2"/>
        <v>7</v>
      </c>
      <c r="G41" t="s">
        <v>648</v>
      </c>
      <c r="H41" t="s">
        <v>660</v>
      </c>
      <c r="I41" t="s">
        <v>686</v>
      </c>
      <c r="J41" t="s">
        <v>701</v>
      </c>
      <c r="K41" t="s">
        <v>707</v>
      </c>
      <c r="L41" t="s">
        <v>714</v>
      </c>
      <c r="M41" t="s">
        <v>728</v>
      </c>
      <c r="N41" t="s">
        <v>773</v>
      </c>
      <c r="O41">
        <v>313.99</v>
      </c>
      <c r="P41">
        <v>454.42</v>
      </c>
      <c r="Q41">
        <v>0.129</v>
      </c>
      <c r="R41">
        <v>9</v>
      </c>
    </row>
    <row r="42" spans="1:18" x14ac:dyDescent="0.45">
      <c r="A42" t="s">
        <v>55</v>
      </c>
      <c r="B42" s="5">
        <v>45531</v>
      </c>
      <c r="C42" s="5">
        <v>45554</v>
      </c>
      <c r="D42" s="5">
        <f t="shared" si="0"/>
        <v>45531</v>
      </c>
      <c r="E42" s="5">
        <f t="shared" si="1"/>
        <v>45554</v>
      </c>
      <c r="F42" s="7">
        <f t="shared" si="2"/>
        <v>23</v>
      </c>
      <c r="G42" t="s">
        <v>649</v>
      </c>
      <c r="H42" t="s">
        <v>656</v>
      </c>
      <c r="I42" t="s">
        <v>671</v>
      </c>
      <c r="J42" t="s">
        <v>705</v>
      </c>
      <c r="K42" t="s">
        <v>711</v>
      </c>
      <c r="L42" t="s">
        <v>726</v>
      </c>
      <c r="M42" t="s">
        <v>732</v>
      </c>
      <c r="N42" t="s">
        <v>774</v>
      </c>
      <c r="O42">
        <v>1024.01</v>
      </c>
      <c r="P42">
        <v>1580.97</v>
      </c>
      <c r="Q42">
        <v>3.6999999999999998E-2</v>
      </c>
      <c r="R42">
        <v>27</v>
      </c>
    </row>
    <row r="43" spans="1:18" x14ac:dyDescent="0.45">
      <c r="A43" t="s">
        <v>56</v>
      </c>
      <c r="B43" s="5">
        <v>45302</v>
      </c>
      <c r="C43" s="5">
        <v>45324</v>
      </c>
      <c r="D43" s="5">
        <f t="shared" si="0"/>
        <v>45302</v>
      </c>
      <c r="E43" s="5">
        <f t="shared" si="1"/>
        <v>45324</v>
      </c>
      <c r="F43" s="7">
        <f t="shared" si="2"/>
        <v>22</v>
      </c>
      <c r="G43" t="s">
        <v>646</v>
      </c>
      <c r="H43" t="s">
        <v>661</v>
      </c>
      <c r="I43" t="s">
        <v>687</v>
      </c>
      <c r="J43" t="s">
        <v>704</v>
      </c>
      <c r="K43" t="s">
        <v>708</v>
      </c>
      <c r="L43" t="s">
        <v>723</v>
      </c>
      <c r="M43" t="s">
        <v>729</v>
      </c>
      <c r="N43" t="s">
        <v>775</v>
      </c>
      <c r="O43">
        <v>1206.2</v>
      </c>
      <c r="P43">
        <v>1759.79</v>
      </c>
      <c r="Q43">
        <v>0</v>
      </c>
      <c r="R43">
        <v>6</v>
      </c>
    </row>
    <row r="44" spans="1:18" x14ac:dyDescent="0.45">
      <c r="A44" t="s">
        <v>57</v>
      </c>
      <c r="B44" s="5">
        <v>45590</v>
      </c>
      <c r="C44" s="5">
        <v>45610</v>
      </c>
      <c r="D44" s="5">
        <f t="shared" si="0"/>
        <v>45590</v>
      </c>
      <c r="E44" s="5">
        <f t="shared" si="1"/>
        <v>45610</v>
      </c>
      <c r="F44" s="7">
        <f t="shared" si="2"/>
        <v>20</v>
      </c>
      <c r="G44" t="s">
        <v>646</v>
      </c>
      <c r="H44" t="s">
        <v>650</v>
      </c>
      <c r="I44" t="s">
        <v>675</v>
      </c>
      <c r="J44" t="s">
        <v>701</v>
      </c>
      <c r="K44" t="s">
        <v>711</v>
      </c>
      <c r="L44" t="s">
        <v>722</v>
      </c>
      <c r="M44" t="s">
        <v>728</v>
      </c>
      <c r="N44" t="s">
        <v>776</v>
      </c>
      <c r="O44">
        <v>1396.48</v>
      </c>
      <c r="P44">
        <v>3204.5</v>
      </c>
      <c r="Q44">
        <v>0.318</v>
      </c>
      <c r="R44">
        <v>14</v>
      </c>
    </row>
    <row r="45" spans="1:18" x14ac:dyDescent="0.45">
      <c r="A45" t="s">
        <v>58</v>
      </c>
      <c r="B45" s="5">
        <v>45806</v>
      </c>
      <c r="C45" s="5">
        <v>45828</v>
      </c>
      <c r="D45" s="5">
        <f t="shared" si="0"/>
        <v>45806</v>
      </c>
      <c r="E45" s="5">
        <f t="shared" si="1"/>
        <v>45828</v>
      </c>
      <c r="F45" s="7">
        <f t="shared" si="2"/>
        <v>22</v>
      </c>
      <c r="G45" t="s">
        <v>649</v>
      </c>
      <c r="H45" t="s">
        <v>656</v>
      </c>
      <c r="I45" t="s">
        <v>671</v>
      </c>
      <c r="J45" t="s">
        <v>701</v>
      </c>
      <c r="K45" t="s">
        <v>711</v>
      </c>
      <c r="L45" t="s">
        <v>720</v>
      </c>
      <c r="M45" t="s">
        <v>728</v>
      </c>
      <c r="N45" t="s">
        <v>777</v>
      </c>
      <c r="O45">
        <v>483.47</v>
      </c>
      <c r="P45">
        <v>1135.43</v>
      </c>
      <c r="Q45">
        <v>0.14599999999999999</v>
      </c>
      <c r="R45">
        <v>11</v>
      </c>
    </row>
    <row r="46" spans="1:18" x14ac:dyDescent="0.45">
      <c r="A46" t="s">
        <v>59</v>
      </c>
      <c r="B46" s="5">
        <v>45432</v>
      </c>
      <c r="C46" s="5">
        <v>45445</v>
      </c>
      <c r="D46" s="5">
        <f t="shared" si="0"/>
        <v>45432</v>
      </c>
      <c r="E46" s="5">
        <f t="shared" si="1"/>
        <v>45445</v>
      </c>
      <c r="F46" s="7">
        <f t="shared" si="2"/>
        <v>13</v>
      </c>
      <c r="G46" t="s">
        <v>648</v>
      </c>
      <c r="H46" t="s">
        <v>653</v>
      </c>
      <c r="I46" t="s">
        <v>688</v>
      </c>
      <c r="J46" t="s">
        <v>706</v>
      </c>
      <c r="K46" t="s">
        <v>709</v>
      </c>
      <c r="L46" t="s">
        <v>723</v>
      </c>
      <c r="M46" t="s">
        <v>727</v>
      </c>
      <c r="N46" t="s">
        <v>778</v>
      </c>
      <c r="O46">
        <v>675.43</v>
      </c>
      <c r="P46">
        <v>996.36</v>
      </c>
      <c r="Q46">
        <v>0.182</v>
      </c>
      <c r="R46">
        <v>22</v>
      </c>
    </row>
    <row r="47" spans="1:18" x14ac:dyDescent="0.45">
      <c r="A47" t="s">
        <v>60</v>
      </c>
      <c r="B47" s="5">
        <v>45035</v>
      </c>
      <c r="C47" s="5">
        <v>45046</v>
      </c>
      <c r="D47" s="5">
        <f t="shared" si="0"/>
        <v>45035</v>
      </c>
      <c r="E47" s="5">
        <f t="shared" si="1"/>
        <v>45046</v>
      </c>
      <c r="F47" s="7">
        <f t="shared" si="2"/>
        <v>11</v>
      </c>
      <c r="G47" t="s">
        <v>647</v>
      </c>
      <c r="H47" t="s">
        <v>654</v>
      </c>
      <c r="I47" t="s">
        <v>680</v>
      </c>
      <c r="J47" t="s">
        <v>705</v>
      </c>
      <c r="K47" t="s">
        <v>707</v>
      </c>
      <c r="L47" t="s">
        <v>720</v>
      </c>
      <c r="M47" t="s">
        <v>729</v>
      </c>
      <c r="N47" t="s">
        <v>779</v>
      </c>
      <c r="O47">
        <v>826.55</v>
      </c>
      <c r="P47">
        <v>1397.05</v>
      </c>
      <c r="Q47">
        <v>0.16900000000000001</v>
      </c>
      <c r="R47">
        <v>28</v>
      </c>
    </row>
    <row r="48" spans="1:18" x14ac:dyDescent="0.45">
      <c r="A48" t="s">
        <v>61</v>
      </c>
      <c r="B48" s="5">
        <v>45100</v>
      </c>
      <c r="C48" s="5">
        <v>45110</v>
      </c>
      <c r="D48" s="5">
        <f t="shared" si="0"/>
        <v>45100</v>
      </c>
      <c r="E48" s="5">
        <f t="shared" si="1"/>
        <v>45110</v>
      </c>
      <c r="F48" s="7">
        <f t="shared" si="2"/>
        <v>10</v>
      </c>
      <c r="G48" t="s">
        <v>646</v>
      </c>
      <c r="H48" t="s">
        <v>651</v>
      </c>
      <c r="I48" t="s">
        <v>669</v>
      </c>
      <c r="J48" t="s">
        <v>704</v>
      </c>
      <c r="K48" t="s">
        <v>708</v>
      </c>
      <c r="L48" t="s">
        <v>713</v>
      </c>
      <c r="M48" t="s">
        <v>728</v>
      </c>
      <c r="N48" t="s">
        <v>780</v>
      </c>
      <c r="O48">
        <v>337.75</v>
      </c>
      <c r="P48">
        <v>548.89</v>
      </c>
      <c r="Q48">
        <v>0</v>
      </c>
      <c r="R48">
        <v>13</v>
      </c>
    </row>
    <row r="49" spans="1:18" x14ac:dyDescent="0.45">
      <c r="A49" t="s">
        <v>62</v>
      </c>
      <c r="B49" s="5">
        <v>45426</v>
      </c>
      <c r="C49" s="5">
        <v>45440</v>
      </c>
      <c r="D49" s="5">
        <f t="shared" si="0"/>
        <v>45426</v>
      </c>
      <c r="E49" s="5">
        <f t="shared" si="1"/>
        <v>45440</v>
      </c>
      <c r="F49" s="7">
        <f t="shared" si="2"/>
        <v>14</v>
      </c>
      <c r="G49" t="s">
        <v>649</v>
      </c>
      <c r="H49" t="s">
        <v>658</v>
      </c>
      <c r="I49" t="s">
        <v>674</v>
      </c>
      <c r="J49" t="s">
        <v>704</v>
      </c>
      <c r="K49" t="s">
        <v>707</v>
      </c>
      <c r="L49" t="s">
        <v>717</v>
      </c>
      <c r="M49" t="s">
        <v>729</v>
      </c>
      <c r="N49" t="s">
        <v>781</v>
      </c>
      <c r="O49">
        <v>1421.14</v>
      </c>
      <c r="P49">
        <v>3524</v>
      </c>
      <c r="Q49">
        <v>0</v>
      </c>
      <c r="R49">
        <v>31</v>
      </c>
    </row>
    <row r="50" spans="1:18" x14ac:dyDescent="0.45">
      <c r="A50" t="s">
        <v>63</v>
      </c>
      <c r="B50" s="5">
        <v>45579</v>
      </c>
      <c r="C50" s="5">
        <v>45604</v>
      </c>
      <c r="D50" s="5">
        <f t="shared" si="0"/>
        <v>45579</v>
      </c>
      <c r="E50" s="5">
        <f t="shared" si="1"/>
        <v>45604</v>
      </c>
      <c r="F50" s="7">
        <f t="shared" si="2"/>
        <v>25</v>
      </c>
      <c r="G50" t="s">
        <v>646</v>
      </c>
      <c r="H50" t="s">
        <v>651</v>
      </c>
      <c r="I50" t="s">
        <v>665</v>
      </c>
      <c r="J50" t="s">
        <v>706</v>
      </c>
      <c r="K50" t="s">
        <v>708</v>
      </c>
      <c r="L50" t="s">
        <v>719</v>
      </c>
      <c r="M50" t="s">
        <v>729</v>
      </c>
      <c r="N50" t="s">
        <v>782</v>
      </c>
      <c r="O50">
        <v>859.35</v>
      </c>
      <c r="P50">
        <v>1825.61</v>
      </c>
      <c r="Q50">
        <v>0.187</v>
      </c>
      <c r="R50">
        <v>24</v>
      </c>
    </row>
    <row r="51" spans="1:18" x14ac:dyDescent="0.45">
      <c r="A51" t="s">
        <v>64</v>
      </c>
      <c r="B51" s="5">
        <v>45117</v>
      </c>
      <c r="C51" s="5">
        <v>45139</v>
      </c>
      <c r="D51" s="5">
        <f t="shared" si="0"/>
        <v>45117</v>
      </c>
      <c r="E51" s="5">
        <f t="shared" si="1"/>
        <v>45139</v>
      </c>
      <c r="F51" s="7">
        <f t="shared" si="2"/>
        <v>22</v>
      </c>
      <c r="G51" t="s">
        <v>649</v>
      </c>
      <c r="H51" t="s">
        <v>657</v>
      </c>
      <c r="I51" t="s">
        <v>673</v>
      </c>
      <c r="J51" t="s">
        <v>704</v>
      </c>
      <c r="K51" t="s">
        <v>709</v>
      </c>
      <c r="L51" t="s">
        <v>717</v>
      </c>
      <c r="M51" t="s">
        <v>728</v>
      </c>
      <c r="N51" t="s">
        <v>783</v>
      </c>
      <c r="O51">
        <v>1303.56</v>
      </c>
      <c r="P51">
        <v>1791.37</v>
      </c>
      <c r="Q51">
        <v>0.126</v>
      </c>
      <c r="R51">
        <v>22</v>
      </c>
    </row>
    <row r="52" spans="1:18" x14ac:dyDescent="0.45">
      <c r="A52" t="s">
        <v>65</v>
      </c>
      <c r="B52" s="5">
        <v>45602</v>
      </c>
      <c r="C52" s="5">
        <v>45618</v>
      </c>
      <c r="D52" s="5">
        <f t="shared" si="0"/>
        <v>45602</v>
      </c>
      <c r="E52" s="5">
        <f t="shared" si="1"/>
        <v>45618</v>
      </c>
      <c r="F52" s="7">
        <f t="shared" si="2"/>
        <v>16</v>
      </c>
      <c r="G52" t="s">
        <v>648</v>
      </c>
      <c r="H52" t="s">
        <v>653</v>
      </c>
      <c r="I52" t="s">
        <v>667</v>
      </c>
      <c r="J52" t="s">
        <v>703</v>
      </c>
      <c r="K52" t="s">
        <v>710</v>
      </c>
      <c r="L52" t="s">
        <v>726</v>
      </c>
      <c r="M52" t="s">
        <v>733</v>
      </c>
      <c r="N52" t="s">
        <v>784</v>
      </c>
      <c r="O52">
        <v>1454.11</v>
      </c>
      <c r="P52">
        <v>2629.75</v>
      </c>
      <c r="Q52">
        <v>0.29199999999999998</v>
      </c>
      <c r="R52">
        <v>8</v>
      </c>
    </row>
    <row r="53" spans="1:18" x14ac:dyDescent="0.45">
      <c r="A53" t="s">
        <v>66</v>
      </c>
      <c r="B53" s="5">
        <v>45582</v>
      </c>
      <c r="C53" s="5">
        <v>45602</v>
      </c>
      <c r="D53" s="5">
        <f t="shared" si="0"/>
        <v>45582</v>
      </c>
      <c r="E53" s="5">
        <f t="shared" si="1"/>
        <v>45602</v>
      </c>
      <c r="F53" s="7">
        <f t="shared" si="2"/>
        <v>20</v>
      </c>
      <c r="G53" t="s">
        <v>647</v>
      </c>
      <c r="H53" t="s">
        <v>654</v>
      </c>
      <c r="I53" t="s">
        <v>668</v>
      </c>
      <c r="J53" t="s">
        <v>706</v>
      </c>
      <c r="K53" t="s">
        <v>710</v>
      </c>
      <c r="L53" t="s">
        <v>719</v>
      </c>
      <c r="M53" t="s">
        <v>732</v>
      </c>
      <c r="N53" t="s">
        <v>785</v>
      </c>
      <c r="O53">
        <v>72.94</v>
      </c>
      <c r="P53">
        <v>106.3</v>
      </c>
      <c r="Q53">
        <v>0.29499999999999998</v>
      </c>
      <c r="R53">
        <v>8</v>
      </c>
    </row>
    <row r="54" spans="1:18" x14ac:dyDescent="0.45">
      <c r="A54" t="s">
        <v>67</v>
      </c>
      <c r="B54" s="5">
        <v>45016</v>
      </c>
      <c r="C54" s="5">
        <v>45021</v>
      </c>
      <c r="D54" s="5">
        <f t="shared" si="0"/>
        <v>45016</v>
      </c>
      <c r="E54" s="5">
        <f t="shared" si="1"/>
        <v>45021</v>
      </c>
      <c r="F54" s="7">
        <f t="shared" si="2"/>
        <v>5</v>
      </c>
      <c r="G54" t="s">
        <v>646</v>
      </c>
      <c r="H54" t="s">
        <v>650</v>
      </c>
      <c r="I54" t="s">
        <v>678</v>
      </c>
      <c r="J54" t="s">
        <v>702</v>
      </c>
      <c r="K54" t="s">
        <v>709</v>
      </c>
      <c r="L54" t="s">
        <v>717</v>
      </c>
      <c r="M54" t="s">
        <v>731</v>
      </c>
      <c r="N54" t="s">
        <v>786</v>
      </c>
      <c r="O54">
        <v>533.26</v>
      </c>
      <c r="P54">
        <v>385.72</v>
      </c>
      <c r="Q54">
        <v>0</v>
      </c>
      <c r="R54">
        <v>15</v>
      </c>
    </row>
    <row r="55" spans="1:18" x14ac:dyDescent="0.45">
      <c r="A55" t="s">
        <v>68</v>
      </c>
      <c r="B55" s="5">
        <v>45678</v>
      </c>
      <c r="C55" s="5">
        <v>45704</v>
      </c>
      <c r="D55" s="5">
        <f t="shared" si="0"/>
        <v>45678</v>
      </c>
      <c r="E55" s="5">
        <f t="shared" si="1"/>
        <v>45704</v>
      </c>
      <c r="F55" s="7">
        <f t="shared" si="2"/>
        <v>26</v>
      </c>
      <c r="G55" t="s">
        <v>649</v>
      </c>
      <c r="H55" t="s">
        <v>657</v>
      </c>
      <c r="I55" t="s">
        <v>679</v>
      </c>
      <c r="J55" t="s">
        <v>701</v>
      </c>
      <c r="K55" t="s">
        <v>710</v>
      </c>
      <c r="L55" t="s">
        <v>719</v>
      </c>
      <c r="M55" t="s">
        <v>731</v>
      </c>
      <c r="N55" t="s">
        <v>787</v>
      </c>
      <c r="O55">
        <v>204.11</v>
      </c>
      <c r="P55">
        <v>236.87</v>
      </c>
      <c r="Q55">
        <v>0.182</v>
      </c>
      <c r="R55">
        <v>13</v>
      </c>
    </row>
    <row r="56" spans="1:18" x14ac:dyDescent="0.45">
      <c r="A56" t="s">
        <v>69</v>
      </c>
      <c r="B56" s="5">
        <v>45168</v>
      </c>
      <c r="C56" s="5">
        <v>45170</v>
      </c>
      <c r="D56" s="5">
        <f t="shared" si="0"/>
        <v>45168</v>
      </c>
      <c r="E56" s="5">
        <f t="shared" si="1"/>
        <v>45170</v>
      </c>
      <c r="F56" s="7">
        <f t="shared" si="2"/>
        <v>2</v>
      </c>
      <c r="G56" t="s">
        <v>649</v>
      </c>
      <c r="H56" t="s">
        <v>656</v>
      </c>
      <c r="I56" t="s">
        <v>684</v>
      </c>
      <c r="J56" t="s">
        <v>701</v>
      </c>
      <c r="K56" t="s">
        <v>711</v>
      </c>
      <c r="L56" t="s">
        <v>725</v>
      </c>
      <c r="M56" t="s">
        <v>729</v>
      </c>
      <c r="N56" t="s">
        <v>788</v>
      </c>
      <c r="O56">
        <v>44.42</v>
      </c>
      <c r="P56">
        <v>41.9</v>
      </c>
      <c r="Q56">
        <v>0.14399999999999999</v>
      </c>
      <c r="R56">
        <v>6</v>
      </c>
    </row>
    <row r="57" spans="1:18" x14ac:dyDescent="0.45">
      <c r="A57" t="s">
        <v>70</v>
      </c>
      <c r="B57" s="5">
        <v>45753</v>
      </c>
      <c r="C57" s="5">
        <v>45777</v>
      </c>
      <c r="D57" s="5">
        <f t="shared" si="0"/>
        <v>45753</v>
      </c>
      <c r="E57" s="5">
        <f t="shared" si="1"/>
        <v>45777</v>
      </c>
      <c r="F57" s="7">
        <f t="shared" si="2"/>
        <v>24</v>
      </c>
      <c r="G57" t="s">
        <v>648</v>
      </c>
      <c r="H57" t="s">
        <v>655</v>
      </c>
      <c r="I57" t="s">
        <v>672</v>
      </c>
      <c r="J57" t="s">
        <v>702</v>
      </c>
      <c r="K57" t="s">
        <v>708</v>
      </c>
      <c r="L57" t="s">
        <v>723</v>
      </c>
      <c r="M57" t="s">
        <v>732</v>
      </c>
      <c r="N57" t="s">
        <v>789</v>
      </c>
      <c r="O57">
        <v>855.78</v>
      </c>
      <c r="P57">
        <v>977.38</v>
      </c>
      <c r="Q57">
        <v>0.14699999999999999</v>
      </c>
      <c r="R57">
        <v>38</v>
      </c>
    </row>
    <row r="58" spans="1:18" x14ac:dyDescent="0.45">
      <c r="A58" t="s">
        <v>71</v>
      </c>
      <c r="B58" s="5">
        <v>45697</v>
      </c>
      <c r="C58" s="5">
        <v>45717</v>
      </c>
      <c r="D58" s="5">
        <f t="shared" si="0"/>
        <v>45697</v>
      </c>
      <c r="E58" s="5">
        <f t="shared" si="1"/>
        <v>45717</v>
      </c>
      <c r="F58" s="7">
        <f t="shared" si="2"/>
        <v>20</v>
      </c>
      <c r="G58" t="s">
        <v>648</v>
      </c>
      <c r="H58" t="s">
        <v>655</v>
      </c>
      <c r="I58" t="s">
        <v>670</v>
      </c>
      <c r="J58" t="s">
        <v>701</v>
      </c>
      <c r="K58" t="s">
        <v>710</v>
      </c>
      <c r="L58" t="s">
        <v>717</v>
      </c>
      <c r="M58" t="s">
        <v>731</v>
      </c>
      <c r="N58" t="s">
        <v>790</v>
      </c>
      <c r="O58">
        <v>1154.6400000000001</v>
      </c>
      <c r="P58">
        <v>2794.13</v>
      </c>
      <c r="Q58">
        <v>3.5000000000000003E-2</v>
      </c>
      <c r="R58">
        <v>11</v>
      </c>
    </row>
    <row r="59" spans="1:18" x14ac:dyDescent="0.45">
      <c r="A59" t="s">
        <v>72</v>
      </c>
      <c r="B59" s="5">
        <v>45643</v>
      </c>
      <c r="C59" s="5">
        <v>45644</v>
      </c>
      <c r="D59" s="5">
        <f t="shared" si="0"/>
        <v>45643</v>
      </c>
      <c r="E59" s="5">
        <f t="shared" si="1"/>
        <v>45644</v>
      </c>
      <c r="F59" s="7">
        <f t="shared" si="2"/>
        <v>1</v>
      </c>
      <c r="G59" t="s">
        <v>649</v>
      </c>
      <c r="H59" t="s">
        <v>656</v>
      </c>
      <c r="I59" t="s">
        <v>684</v>
      </c>
      <c r="J59" t="s">
        <v>702</v>
      </c>
      <c r="K59" t="s">
        <v>707</v>
      </c>
      <c r="L59" t="s">
        <v>716</v>
      </c>
      <c r="M59" t="s">
        <v>733</v>
      </c>
      <c r="N59" t="s">
        <v>791</v>
      </c>
      <c r="O59">
        <v>346.82</v>
      </c>
      <c r="P59">
        <v>701.95</v>
      </c>
      <c r="Q59">
        <v>0.14699999999999999</v>
      </c>
      <c r="R59">
        <v>8</v>
      </c>
    </row>
    <row r="60" spans="1:18" x14ac:dyDescent="0.45">
      <c r="A60" t="s">
        <v>73</v>
      </c>
      <c r="B60" s="5">
        <v>45817</v>
      </c>
      <c r="C60" s="5">
        <v>45826</v>
      </c>
      <c r="D60" s="5">
        <f t="shared" si="0"/>
        <v>45817</v>
      </c>
      <c r="E60" s="5">
        <f t="shared" si="1"/>
        <v>45826</v>
      </c>
      <c r="F60" s="7">
        <f t="shared" si="2"/>
        <v>9</v>
      </c>
      <c r="G60" t="s">
        <v>649</v>
      </c>
      <c r="H60" t="s">
        <v>657</v>
      </c>
      <c r="I60" t="s">
        <v>673</v>
      </c>
      <c r="J60" t="s">
        <v>705</v>
      </c>
      <c r="K60" t="s">
        <v>709</v>
      </c>
      <c r="L60" t="s">
        <v>722</v>
      </c>
      <c r="M60" t="s">
        <v>733</v>
      </c>
      <c r="N60" t="s">
        <v>792</v>
      </c>
      <c r="O60">
        <v>1225.5</v>
      </c>
      <c r="P60">
        <v>-5.27</v>
      </c>
      <c r="Q60">
        <v>7.4999999999999997E-2</v>
      </c>
      <c r="R60">
        <v>56</v>
      </c>
    </row>
    <row r="61" spans="1:18" x14ac:dyDescent="0.45">
      <c r="A61" t="s">
        <v>74</v>
      </c>
      <c r="B61" s="5">
        <v>45779</v>
      </c>
      <c r="C61" s="5">
        <v>45790</v>
      </c>
      <c r="D61" s="5">
        <f t="shared" si="0"/>
        <v>45779</v>
      </c>
      <c r="E61" s="5">
        <f t="shared" si="1"/>
        <v>45790</v>
      </c>
      <c r="F61" s="7">
        <f t="shared" si="2"/>
        <v>11</v>
      </c>
      <c r="G61" t="s">
        <v>646</v>
      </c>
      <c r="H61" t="s">
        <v>650</v>
      </c>
      <c r="I61" t="s">
        <v>678</v>
      </c>
      <c r="J61" t="s">
        <v>705</v>
      </c>
      <c r="K61" t="s">
        <v>708</v>
      </c>
      <c r="L61" t="s">
        <v>720</v>
      </c>
      <c r="M61" t="s">
        <v>733</v>
      </c>
      <c r="N61" t="s">
        <v>793</v>
      </c>
      <c r="O61">
        <v>1057.5999999999999</v>
      </c>
      <c r="P61">
        <v>1437.06</v>
      </c>
      <c r="Q61">
        <v>0.20499999999999999</v>
      </c>
      <c r="R61">
        <v>4</v>
      </c>
    </row>
    <row r="62" spans="1:18" x14ac:dyDescent="0.45">
      <c r="A62" t="s">
        <v>75</v>
      </c>
      <c r="B62" s="5">
        <v>45361</v>
      </c>
      <c r="C62" s="5">
        <v>45391</v>
      </c>
      <c r="D62" s="5">
        <f t="shared" si="0"/>
        <v>45361</v>
      </c>
      <c r="E62" s="5">
        <f t="shared" si="1"/>
        <v>45391</v>
      </c>
      <c r="F62" s="7">
        <f t="shared" si="2"/>
        <v>30</v>
      </c>
      <c r="G62" t="s">
        <v>649</v>
      </c>
      <c r="H62" t="s">
        <v>657</v>
      </c>
      <c r="I62" t="s">
        <v>679</v>
      </c>
      <c r="J62" t="s">
        <v>701</v>
      </c>
      <c r="K62" t="s">
        <v>711</v>
      </c>
      <c r="L62" t="s">
        <v>714</v>
      </c>
      <c r="M62" t="s">
        <v>727</v>
      </c>
      <c r="N62" t="s">
        <v>794</v>
      </c>
      <c r="O62">
        <v>1176.56</v>
      </c>
      <c r="P62">
        <v>1911.89</v>
      </c>
      <c r="Q62">
        <v>0.11899999999999999</v>
      </c>
      <c r="R62">
        <v>20</v>
      </c>
    </row>
    <row r="63" spans="1:18" x14ac:dyDescent="0.45">
      <c r="A63" t="s">
        <v>76</v>
      </c>
      <c r="B63" s="5">
        <v>45910</v>
      </c>
      <c r="C63" s="5">
        <v>45912</v>
      </c>
      <c r="D63" s="5">
        <f t="shared" si="0"/>
        <v>45910</v>
      </c>
      <c r="E63" s="5">
        <f t="shared" si="1"/>
        <v>45912</v>
      </c>
      <c r="F63" s="7">
        <f t="shared" si="2"/>
        <v>2</v>
      </c>
      <c r="G63" t="s">
        <v>647</v>
      </c>
      <c r="H63" t="s">
        <v>652</v>
      </c>
      <c r="I63" t="s">
        <v>689</v>
      </c>
      <c r="J63" t="s">
        <v>704</v>
      </c>
      <c r="K63" t="s">
        <v>708</v>
      </c>
      <c r="L63" t="s">
        <v>719</v>
      </c>
      <c r="M63" t="s">
        <v>727</v>
      </c>
      <c r="N63" t="s">
        <v>795</v>
      </c>
      <c r="O63">
        <v>1470.15</v>
      </c>
      <c r="P63">
        <v>2593.7800000000002</v>
      </c>
      <c r="Q63">
        <v>0.11</v>
      </c>
      <c r="R63">
        <v>12</v>
      </c>
    </row>
    <row r="64" spans="1:18" x14ac:dyDescent="0.45">
      <c r="A64" t="s">
        <v>77</v>
      </c>
      <c r="B64" s="5">
        <v>45774</v>
      </c>
      <c r="C64" s="5">
        <v>45802</v>
      </c>
      <c r="D64" s="5">
        <f t="shared" si="0"/>
        <v>45774</v>
      </c>
      <c r="E64" s="5">
        <f t="shared" si="1"/>
        <v>45802</v>
      </c>
      <c r="F64" s="7">
        <f t="shared" si="2"/>
        <v>28</v>
      </c>
      <c r="G64" t="s">
        <v>649</v>
      </c>
      <c r="H64" t="s">
        <v>657</v>
      </c>
      <c r="I64" t="s">
        <v>690</v>
      </c>
      <c r="J64" t="s">
        <v>705</v>
      </c>
      <c r="K64" t="s">
        <v>709</v>
      </c>
      <c r="L64" t="s">
        <v>714</v>
      </c>
      <c r="M64" t="s">
        <v>730</v>
      </c>
      <c r="N64" t="s">
        <v>796</v>
      </c>
      <c r="O64">
        <v>603.45000000000005</v>
      </c>
      <c r="P64">
        <v>1244.08</v>
      </c>
      <c r="Q64">
        <v>0.2</v>
      </c>
      <c r="R64">
        <v>11</v>
      </c>
    </row>
    <row r="65" spans="1:18" x14ac:dyDescent="0.45">
      <c r="A65" t="s">
        <v>78</v>
      </c>
      <c r="B65" s="5">
        <v>45598</v>
      </c>
      <c r="C65" s="5">
        <v>45614</v>
      </c>
      <c r="D65" s="5">
        <f t="shared" si="0"/>
        <v>45598</v>
      </c>
      <c r="E65" s="5">
        <f t="shared" si="1"/>
        <v>45614</v>
      </c>
      <c r="F65" s="7">
        <f t="shared" si="2"/>
        <v>16</v>
      </c>
      <c r="G65" t="s">
        <v>647</v>
      </c>
      <c r="H65" t="s">
        <v>654</v>
      </c>
      <c r="I65" t="s">
        <v>691</v>
      </c>
      <c r="J65" t="s">
        <v>705</v>
      </c>
      <c r="K65" t="s">
        <v>710</v>
      </c>
      <c r="L65" t="s">
        <v>719</v>
      </c>
      <c r="M65" t="s">
        <v>732</v>
      </c>
      <c r="N65" t="s">
        <v>797</v>
      </c>
      <c r="O65">
        <v>1233.58</v>
      </c>
      <c r="P65">
        <v>1912.51</v>
      </c>
      <c r="Q65">
        <v>0.255</v>
      </c>
      <c r="R65">
        <v>51</v>
      </c>
    </row>
    <row r="66" spans="1:18" x14ac:dyDescent="0.45">
      <c r="A66" t="s">
        <v>79</v>
      </c>
      <c r="B66" s="5">
        <v>44972</v>
      </c>
      <c r="C66" s="5">
        <v>44983</v>
      </c>
      <c r="D66" s="5">
        <f t="shared" si="0"/>
        <v>44972</v>
      </c>
      <c r="E66" s="5">
        <f t="shared" si="1"/>
        <v>44983</v>
      </c>
      <c r="F66" s="7">
        <f t="shared" si="2"/>
        <v>11</v>
      </c>
      <c r="G66" t="s">
        <v>646</v>
      </c>
      <c r="H66" t="s">
        <v>661</v>
      </c>
      <c r="I66" t="s">
        <v>682</v>
      </c>
      <c r="J66" t="s">
        <v>703</v>
      </c>
      <c r="K66" t="s">
        <v>707</v>
      </c>
      <c r="L66" t="s">
        <v>723</v>
      </c>
      <c r="M66" t="s">
        <v>731</v>
      </c>
      <c r="N66" t="s">
        <v>798</v>
      </c>
      <c r="O66">
        <v>498.5</v>
      </c>
      <c r="P66">
        <v>755.87</v>
      </c>
      <c r="Q66">
        <v>0.13</v>
      </c>
      <c r="R66">
        <v>40</v>
      </c>
    </row>
    <row r="67" spans="1:18" x14ac:dyDescent="0.45">
      <c r="A67" t="s">
        <v>80</v>
      </c>
      <c r="B67" s="5">
        <v>45263</v>
      </c>
      <c r="C67" s="5">
        <v>45286</v>
      </c>
      <c r="D67" s="5">
        <f t="shared" ref="D67:D130" si="3">IF(C67&gt;B67,B67,C67)</f>
        <v>45263</v>
      </c>
      <c r="E67" s="5">
        <f t="shared" ref="E67:E130" si="4">IF(C67&gt;B67,C67,B67)</f>
        <v>45286</v>
      </c>
      <c r="F67" s="7">
        <f t="shared" ref="F67:F130" si="5">DATEDIF(D67,E67,"d")</f>
        <v>23</v>
      </c>
      <c r="G67" t="s">
        <v>648</v>
      </c>
      <c r="H67" t="s">
        <v>655</v>
      </c>
      <c r="I67" t="s">
        <v>692</v>
      </c>
      <c r="J67" t="s">
        <v>702</v>
      </c>
      <c r="K67" t="s">
        <v>707</v>
      </c>
      <c r="L67" t="s">
        <v>719</v>
      </c>
      <c r="M67" t="s">
        <v>730</v>
      </c>
      <c r="N67" t="s">
        <v>799</v>
      </c>
      <c r="O67">
        <v>1303.1099999999999</v>
      </c>
      <c r="P67">
        <v>1145.67</v>
      </c>
      <c r="Q67">
        <v>0.184</v>
      </c>
      <c r="R67">
        <v>13</v>
      </c>
    </row>
    <row r="68" spans="1:18" x14ac:dyDescent="0.45">
      <c r="A68" t="s">
        <v>81</v>
      </c>
      <c r="B68" s="5">
        <v>45004</v>
      </c>
      <c r="C68" s="5">
        <v>45025</v>
      </c>
      <c r="D68" s="5">
        <f t="shared" si="3"/>
        <v>45004</v>
      </c>
      <c r="E68" s="5">
        <f t="shared" si="4"/>
        <v>45025</v>
      </c>
      <c r="F68" s="7">
        <f t="shared" si="5"/>
        <v>21</v>
      </c>
      <c r="G68" t="s">
        <v>649</v>
      </c>
      <c r="H68" t="s">
        <v>658</v>
      </c>
      <c r="I68" t="s">
        <v>693</v>
      </c>
      <c r="J68" t="s">
        <v>704</v>
      </c>
      <c r="K68" t="s">
        <v>707</v>
      </c>
      <c r="L68" t="s">
        <v>716</v>
      </c>
      <c r="M68" t="s">
        <v>733</v>
      </c>
      <c r="N68" t="s">
        <v>800</v>
      </c>
      <c r="O68">
        <v>1082.17</v>
      </c>
      <c r="P68">
        <v>1234.0999999999999</v>
      </c>
      <c r="Q68">
        <v>0.189</v>
      </c>
      <c r="R68">
        <v>16</v>
      </c>
    </row>
    <row r="69" spans="1:18" x14ac:dyDescent="0.45">
      <c r="A69" t="s">
        <v>82</v>
      </c>
      <c r="B69" s="5">
        <v>45434</v>
      </c>
      <c r="C69" s="5">
        <v>45449</v>
      </c>
      <c r="D69" s="5">
        <f t="shared" si="3"/>
        <v>45434</v>
      </c>
      <c r="E69" s="5">
        <f t="shared" si="4"/>
        <v>45449</v>
      </c>
      <c r="F69" s="7">
        <f t="shared" si="5"/>
        <v>15</v>
      </c>
      <c r="G69" t="s">
        <v>647</v>
      </c>
      <c r="H69" t="s">
        <v>652</v>
      </c>
      <c r="I69" t="s">
        <v>694</v>
      </c>
      <c r="J69" t="s">
        <v>701</v>
      </c>
      <c r="K69" t="s">
        <v>710</v>
      </c>
      <c r="L69" t="s">
        <v>712</v>
      </c>
      <c r="M69" t="s">
        <v>732</v>
      </c>
      <c r="N69" t="s">
        <v>801</v>
      </c>
      <c r="O69">
        <v>673.88</v>
      </c>
      <c r="P69">
        <v>1228.01</v>
      </c>
      <c r="Q69">
        <v>0.105</v>
      </c>
      <c r="R69">
        <v>13</v>
      </c>
    </row>
    <row r="70" spans="1:18" x14ac:dyDescent="0.45">
      <c r="A70" t="s">
        <v>83</v>
      </c>
      <c r="B70" s="5">
        <v>45157</v>
      </c>
      <c r="C70" s="5">
        <v>45176</v>
      </c>
      <c r="D70" s="5">
        <f t="shared" si="3"/>
        <v>45157</v>
      </c>
      <c r="E70" s="5">
        <f t="shared" si="4"/>
        <v>45176</v>
      </c>
      <c r="F70" s="7">
        <f t="shared" si="5"/>
        <v>19</v>
      </c>
      <c r="G70" t="s">
        <v>646</v>
      </c>
      <c r="H70" t="s">
        <v>661</v>
      </c>
      <c r="I70" t="s">
        <v>682</v>
      </c>
      <c r="J70" t="s">
        <v>706</v>
      </c>
      <c r="K70" t="s">
        <v>707</v>
      </c>
      <c r="L70" t="s">
        <v>726</v>
      </c>
      <c r="M70" t="s">
        <v>732</v>
      </c>
      <c r="N70" t="s">
        <v>802</v>
      </c>
      <c r="O70">
        <v>494.61</v>
      </c>
      <c r="P70">
        <v>605.23</v>
      </c>
      <c r="Q70">
        <v>0.20399999999999999</v>
      </c>
      <c r="R70">
        <v>18</v>
      </c>
    </row>
    <row r="71" spans="1:18" x14ac:dyDescent="0.45">
      <c r="A71" t="s">
        <v>84</v>
      </c>
      <c r="B71" s="5">
        <v>45037</v>
      </c>
      <c r="C71" s="5">
        <v>45056</v>
      </c>
      <c r="D71" s="5">
        <f t="shared" si="3"/>
        <v>45037</v>
      </c>
      <c r="E71" s="5">
        <f t="shared" si="4"/>
        <v>45056</v>
      </c>
      <c r="F71" s="7">
        <f t="shared" si="5"/>
        <v>19</v>
      </c>
      <c r="G71" t="s">
        <v>647</v>
      </c>
      <c r="H71" t="s">
        <v>659</v>
      </c>
      <c r="I71" t="s">
        <v>685</v>
      </c>
      <c r="J71" t="s">
        <v>701</v>
      </c>
      <c r="K71" t="s">
        <v>707</v>
      </c>
      <c r="L71" t="s">
        <v>720</v>
      </c>
      <c r="M71" t="s">
        <v>727</v>
      </c>
      <c r="N71" t="s">
        <v>803</v>
      </c>
      <c r="O71">
        <v>882.33</v>
      </c>
      <c r="P71">
        <v>1880.15</v>
      </c>
      <c r="Q71">
        <v>0.05</v>
      </c>
      <c r="R71">
        <v>5</v>
      </c>
    </row>
    <row r="72" spans="1:18" x14ac:dyDescent="0.45">
      <c r="A72" t="s">
        <v>85</v>
      </c>
      <c r="B72" s="5">
        <v>45369</v>
      </c>
      <c r="C72" s="5">
        <v>45372</v>
      </c>
      <c r="D72" s="5">
        <f t="shared" si="3"/>
        <v>45369</v>
      </c>
      <c r="E72" s="5">
        <f t="shared" si="4"/>
        <v>45372</v>
      </c>
      <c r="F72" s="7">
        <f t="shared" si="5"/>
        <v>3</v>
      </c>
      <c r="G72" t="s">
        <v>649</v>
      </c>
      <c r="H72" t="s">
        <v>656</v>
      </c>
      <c r="I72" t="s">
        <v>684</v>
      </c>
      <c r="J72" t="s">
        <v>705</v>
      </c>
      <c r="K72" t="s">
        <v>708</v>
      </c>
      <c r="L72" t="s">
        <v>724</v>
      </c>
      <c r="M72" t="s">
        <v>733</v>
      </c>
      <c r="N72" t="s">
        <v>804</v>
      </c>
      <c r="O72">
        <v>910.63</v>
      </c>
      <c r="P72">
        <v>1269.4000000000001</v>
      </c>
      <c r="Q72">
        <v>6.8000000000000005E-2</v>
      </c>
      <c r="R72">
        <v>9</v>
      </c>
    </row>
    <row r="73" spans="1:18" x14ac:dyDescent="0.45">
      <c r="A73" t="s">
        <v>86</v>
      </c>
      <c r="B73" s="5">
        <v>45756</v>
      </c>
      <c r="C73" s="5">
        <v>45783</v>
      </c>
      <c r="D73" s="5">
        <f t="shared" si="3"/>
        <v>45756</v>
      </c>
      <c r="E73" s="5">
        <f t="shared" si="4"/>
        <v>45783</v>
      </c>
      <c r="F73" s="7">
        <f t="shared" si="5"/>
        <v>27</v>
      </c>
      <c r="G73" t="s">
        <v>648</v>
      </c>
      <c r="H73" t="s">
        <v>655</v>
      </c>
      <c r="I73" t="s">
        <v>672</v>
      </c>
      <c r="J73" t="s">
        <v>706</v>
      </c>
      <c r="K73" t="s">
        <v>709</v>
      </c>
      <c r="L73" t="s">
        <v>721</v>
      </c>
      <c r="M73" t="s">
        <v>731</v>
      </c>
      <c r="N73" t="s">
        <v>805</v>
      </c>
      <c r="O73">
        <v>264.19</v>
      </c>
      <c r="P73">
        <v>620.92999999999995</v>
      </c>
      <c r="Q73">
        <v>0.14199999999999999</v>
      </c>
      <c r="R73">
        <v>12</v>
      </c>
    </row>
    <row r="74" spans="1:18" x14ac:dyDescent="0.45">
      <c r="A74" t="s">
        <v>87</v>
      </c>
      <c r="B74" s="5">
        <v>45394</v>
      </c>
      <c r="C74" s="5">
        <v>45419</v>
      </c>
      <c r="D74" s="5">
        <f t="shared" si="3"/>
        <v>45394</v>
      </c>
      <c r="E74" s="5">
        <f t="shared" si="4"/>
        <v>45419</v>
      </c>
      <c r="F74" s="7">
        <f t="shared" si="5"/>
        <v>25</v>
      </c>
      <c r="G74" t="s">
        <v>646</v>
      </c>
      <c r="H74" t="s">
        <v>661</v>
      </c>
      <c r="I74" t="s">
        <v>682</v>
      </c>
      <c r="J74" t="s">
        <v>702</v>
      </c>
      <c r="K74" t="s">
        <v>710</v>
      </c>
      <c r="L74" t="s">
        <v>720</v>
      </c>
      <c r="M74" t="s">
        <v>731</v>
      </c>
      <c r="N74" t="s">
        <v>806</v>
      </c>
      <c r="O74">
        <v>1376.51</v>
      </c>
      <c r="P74">
        <v>1455.91</v>
      </c>
      <c r="Q74">
        <v>0.185</v>
      </c>
      <c r="R74">
        <v>17</v>
      </c>
    </row>
    <row r="75" spans="1:18" x14ac:dyDescent="0.45">
      <c r="A75" t="s">
        <v>88</v>
      </c>
      <c r="B75" s="5">
        <v>45641</v>
      </c>
      <c r="C75" s="5">
        <v>45646</v>
      </c>
      <c r="D75" s="5">
        <f t="shared" si="3"/>
        <v>45641</v>
      </c>
      <c r="E75" s="5">
        <f t="shared" si="4"/>
        <v>45646</v>
      </c>
      <c r="F75" s="7">
        <f t="shared" si="5"/>
        <v>5</v>
      </c>
      <c r="G75" t="s">
        <v>647</v>
      </c>
      <c r="H75" t="s">
        <v>659</v>
      </c>
      <c r="I75" t="s">
        <v>676</v>
      </c>
      <c r="J75" t="s">
        <v>705</v>
      </c>
      <c r="K75" t="s">
        <v>711</v>
      </c>
      <c r="L75" t="s">
        <v>713</v>
      </c>
      <c r="M75" t="s">
        <v>729</v>
      </c>
      <c r="N75" t="s">
        <v>807</v>
      </c>
      <c r="O75">
        <v>717.55</v>
      </c>
      <c r="P75">
        <v>546.42999999999995</v>
      </c>
      <c r="Q75">
        <v>4.7E-2</v>
      </c>
      <c r="R75">
        <v>18</v>
      </c>
    </row>
    <row r="76" spans="1:18" x14ac:dyDescent="0.45">
      <c r="A76" t="s">
        <v>89</v>
      </c>
      <c r="B76" s="5">
        <v>45066</v>
      </c>
      <c r="C76" s="5">
        <v>45064</v>
      </c>
      <c r="D76" s="5">
        <f t="shared" si="3"/>
        <v>45064</v>
      </c>
      <c r="E76" s="5">
        <f t="shared" si="4"/>
        <v>45066</v>
      </c>
      <c r="F76" s="7">
        <f t="shared" si="5"/>
        <v>2</v>
      </c>
      <c r="G76" t="s">
        <v>646</v>
      </c>
      <c r="H76" t="s">
        <v>661</v>
      </c>
      <c r="I76" t="s">
        <v>687</v>
      </c>
      <c r="J76" t="s">
        <v>701</v>
      </c>
      <c r="K76" t="s">
        <v>710</v>
      </c>
      <c r="L76" t="s">
        <v>720</v>
      </c>
      <c r="M76" t="s">
        <v>727</v>
      </c>
      <c r="N76" t="s">
        <v>808</v>
      </c>
      <c r="O76">
        <v>917.88</v>
      </c>
      <c r="P76">
        <v>1347.92</v>
      </c>
      <c r="Q76">
        <v>0.34300000000000003</v>
      </c>
      <c r="R76">
        <v>5</v>
      </c>
    </row>
    <row r="77" spans="1:18" x14ac:dyDescent="0.45">
      <c r="A77" t="s">
        <v>90</v>
      </c>
      <c r="B77" s="5">
        <v>45187</v>
      </c>
      <c r="C77" s="5">
        <v>45207</v>
      </c>
      <c r="D77" s="5">
        <f t="shared" si="3"/>
        <v>45187</v>
      </c>
      <c r="E77" s="5">
        <f t="shared" si="4"/>
        <v>45207</v>
      </c>
      <c r="F77" s="7">
        <f t="shared" si="5"/>
        <v>20</v>
      </c>
      <c r="G77" t="s">
        <v>647</v>
      </c>
      <c r="H77" t="s">
        <v>654</v>
      </c>
      <c r="I77" t="s">
        <v>680</v>
      </c>
      <c r="J77" t="s">
        <v>705</v>
      </c>
      <c r="K77" t="s">
        <v>711</v>
      </c>
      <c r="L77" t="s">
        <v>717</v>
      </c>
      <c r="M77" t="s">
        <v>727</v>
      </c>
      <c r="N77" t="s">
        <v>809</v>
      </c>
      <c r="O77">
        <v>825.64</v>
      </c>
      <c r="P77">
        <v>1108.43</v>
      </c>
      <c r="Q77">
        <v>0.114</v>
      </c>
      <c r="R77">
        <v>7</v>
      </c>
    </row>
    <row r="78" spans="1:18" x14ac:dyDescent="0.45">
      <c r="A78" t="s">
        <v>91</v>
      </c>
      <c r="B78" s="5">
        <v>45532</v>
      </c>
      <c r="C78" s="5">
        <v>45560</v>
      </c>
      <c r="D78" s="5">
        <f t="shared" si="3"/>
        <v>45532</v>
      </c>
      <c r="E78" s="5">
        <f t="shared" si="4"/>
        <v>45560</v>
      </c>
      <c r="F78" s="7">
        <f t="shared" si="5"/>
        <v>28</v>
      </c>
      <c r="G78" t="s">
        <v>648</v>
      </c>
      <c r="H78" t="s">
        <v>655</v>
      </c>
      <c r="I78" t="s">
        <v>692</v>
      </c>
      <c r="J78" t="s">
        <v>703</v>
      </c>
      <c r="K78" t="s">
        <v>708</v>
      </c>
      <c r="M78" t="s">
        <v>733</v>
      </c>
      <c r="N78" t="s">
        <v>810</v>
      </c>
      <c r="O78">
        <v>1394.65</v>
      </c>
      <c r="P78">
        <v>3144.1</v>
      </c>
      <c r="Q78">
        <v>0.13400000000000001</v>
      </c>
      <c r="R78">
        <v>13</v>
      </c>
    </row>
    <row r="79" spans="1:18" x14ac:dyDescent="0.45">
      <c r="A79" t="s">
        <v>92</v>
      </c>
      <c r="B79" s="5">
        <v>45473</v>
      </c>
      <c r="C79" s="5">
        <v>45471</v>
      </c>
      <c r="D79" s="5">
        <f t="shared" si="3"/>
        <v>45471</v>
      </c>
      <c r="E79" s="5">
        <f t="shared" si="4"/>
        <v>45473</v>
      </c>
      <c r="F79" s="7">
        <f t="shared" si="5"/>
        <v>2</v>
      </c>
      <c r="G79" t="s">
        <v>648</v>
      </c>
      <c r="H79" t="s">
        <v>655</v>
      </c>
      <c r="I79" t="s">
        <v>692</v>
      </c>
      <c r="J79" t="s">
        <v>705</v>
      </c>
      <c r="K79" t="s">
        <v>711</v>
      </c>
      <c r="L79" t="s">
        <v>716</v>
      </c>
      <c r="M79" t="s">
        <v>733</v>
      </c>
      <c r="N79" t="s">
        <v>811</v>
      </c>
      <c r="O79">
        <v>1112.98</v>
      </c>
      <c r="P79">
        <v>2095.73</v>
      </c>
      <c r="Q79">
        <v>7.1999999999999995E-2</v>
      </c>
      <c r="R79">
        <v>17</v>
      </c>
    </row>
    <row r="80" spans="1:18" x14ac:dyDescent="0.45">
      <c r="A80" t="s">
        <v>93</v>
      </c>
      <c r="B80" s="5">
        <v>45091</v>
      </c>
      <c r="C80" s="5">
        <v>45093</v>
      </c>
      <c r="D80" s="5">
        <f t="shared" si="3"/>
        <v>45091</v>
      </c>
      <c r="E80" s="5">
        <f t="shared" si="4"/>
        <v>45093</v>
      </c>
      <c r="F80" s="7">
        <f t="shared" si="5"/>
        <v>2</v>
      </c>
      <c r="G80" t="s">
        <v>649</v>
      </c>
      <c r="H80" t="s">
        <v>658</v>
      </c>
      <c r="I80" t="s">
        <v>693</v>
      </c>
      <c r="J80" t="s">
        <v>703</v>
      </c>
      <c r="K80" t="s">
        <v>711</v>
      </c>
      <c r="L80" t="s">
        <v>723</v>
      </c>
      <c r="M80" t="s">
        <v>727</v>
      </c>
      <c r="N80" t="s">
        <v>812</v>
      </c>
      <c r="O80">
        <v>357.36</v>
      </c>
      <c r="P80">
        <v>703.62</v>
      </c>
      <c r="Q80">
        <v>0.25700000000000001</v>
      </c>
      <c r="R80">
        <v>20</v>
      </c>
    </row>
    <row r="81" spans="1:18" x14ac:dyDescent="0.45">
      <c r="A81" t="s">
        <v>94</v>
      </c>
      <c r="B81" s="5">
        <v>45617</v>
      </c>
      <c r="C81" s="5">
        <v>45647</v>
      </c>
      <c r="D81" s="5">
        <f t="shared" si="3"/>
        <v>45617</v>
      </c>
      <c r="E81" s="5">
        <f t="shared" si="4"/>
        <v>45647</v>
      </c>
      <c r="F81" s="7">
        <f t="shared" si="5"/>
        <v>30</v>
      </c>
      <c r="G81" t="s">
        <v>649</v>
      </c>
      <c r="H81" t="s">
        <v>657</v>
      </c>
      <c r="I81" t="s">
        <v>673</v>
      </c>
      <c r="J81" t="s">
        <v>705</v>
      </c>
      <c r="K81" t="s">
        <v>711</v>
      </c>
      <c r="L81" t="s">
        <v>714</v>
      </c>
      <c r="M81" t="s">
        <v>732</v>
      </c>
      <c r="N81" t="s">
        <v>813</v>
      </c>
      <c r="O81">
        <v>1122.68</v>
      </c>
      <c r="P81">
        <v>1997.19</v>
      </c>
      <c r="Q81">
        <v>0.186</v>
      </c>
      <c r="R81">
        <v>3</v>
      </c>
    </row>
    <row r="82" spans="1:18" x14ac:dyDescent="0.45">
      <c r="A82" t="s">
        <v>95</v>
      </c>
      <c r="B82" s="5">
        <v>44965</v>
      </c>
      <c r="C82" s="5">
        <v>44968</v>
      </c>
      <c r="D82" s="5">
        <f t="shared" si="3"/>
        <v>44965</v>
      </c>
      <c r="E82" s="5">
        <f t="shared" si="4"/>
        <v>44968</v>
      </c>
      <c r="F82" s="7">
        <f t="shared" si="5"/>
        <v>3</v>
      </c>
      <c r="G82" t="s">
        <v>646</v>
      </c>
      <c r="H82" t="s">
        <v>661</v>
      </c>
      <c r="I82" t="s">
        <v>695</v>
      </c>
      <c r="J82" t="s">
        <v>701</v>
      </c>
      <c r="K82" t="s">
        <v>711</v>
      </c>
      <c r="L82" t="s">
        <v>724</v>
      </c>
      <c r="M82" t="s">
        <v>729</v>
      </c>
      <c r="N82" t="s">
        <v>814</v>
      </c>
      <c r="O82">
        <v>1410.05</v>
      </c>
      <c r="P82">
        <v>2763.95</v>
      </c>
      <c r="Q82">
        <v>0.161</v>
      </c>
      <c r="R82">
        <v>26</v>
      </c>
    </row>
    <row r="83" spans="1:18" x14ac:dyDescent="0.45">
      <c r="A83" t="s">
        <v>96</v>
      </c>
      <c r="B83" s="5">
        <v>45157</v>
      </c>
      <c r="C83" s="5">
        <v>45181</v>
      </c>
      <c r="D83" s="5">
        <f t="shared" si="3"/>
        <v>45157</v>
      </c>
      <c r="E83" s="5">
        <f t="shared" si="4"/>
        <v>45181</v>
      </c>
      <c r="F83" s="7">
        <f t="shared" si="5"/>
        <v>24</v>
      </c>
      <c r="G83" t="s">
        <v>648</v>
      </c>
      <c r="H83" t="s">
        <v>653</v>
      </c>
      <c r="I83" t="s">
        <v>688</v>
      </c>
      <c r="J83" t="s">
        <v>706</v>
      </c>
      <c r="K83" t="s">
        <v>707</v>
      </c>
      <c r="L83" t="s">
        <v>714</v>
      </c>
      <c r="M83" t="s">
        <v>728</v>
      </c>
      <c r="N83" t="s">
        <v>815</v>
      </c>
      <c r="O83">
        <v>1183.95</v>
      </c>
      <c r="P83">
        <v>1503.53</v>
      </c>
      <c r="Q83">
        <v>0.24099999999999999</v>
      </c>
      <c r="R83">
        <v>16</v>
      </c>
    </row>
    <row r="84" spans="1:18" x14ac:dyDescent="0.45">
      <c r="A84" t="s">
        <v>97</v>
      </c>
      <c r="B84" s="5">
        <v>45791</v>
      </c>
      <c r="C84" s="5">
        <v>45801</v>
      </c>
      <c r="D84" s="5">
        <f t="shared" si="3"/>
        <v>45791</v>
      </c>
      <c r="E84" s="5">
        <f t="shared" si="4"/>
        <v>45801</v>
      </c>
      <c r="F84" s="7">
        <f t="shared" si="5"/>
        <v>10</v>
      </c>
      <c r="G84" t="s">
        <v>649</v>
      </c>
      <c r="H84" t="s">
        <v>657</v>
      </c>
      <c r="I84" t="s">
        <v>690</v>
      </c>
      <c r="J84" t="s">
        <v>705</v>
      </c>
      <c r="K84" t="s">
        <v>709</v>
      </c>
      <c r="L84" t="s">
        <v>723</v>
      </c>
      <c r="M84" t="s">
        <v>727</v>
      </c>
      <c r="N84" t="s">
        <v>816</v>
      </c>
      <c r="O84">
        <v>170.39</v>
      </c>
      <c r="P84">
        <v>388.04</v>
      </c>
      <c r="Q84">
        <v>8.4000000000000005E-2</v>
      </c>
      <c r="R84">
        <v>15</v>
      </c>
    </row>
    <row r="85" spans="1:18" x14ac:dyDescent="0.45">
      <c r="A85" t="s">
        <v>98</v>
      </c>
      <c r="B85" s="5">
        <v>45770</v>
      </c>
      <c r="C85" s="5">
        <v>45769</v>
      </c>
      <c r="D85" s="5">
        <f t="shared" si="3"/>
        <v>45769</v>
      </c>
      <c r="E85" s="5">
        <f t="shared" si="4"/>
        <v>45770</v>
      </c>
      <c r="F85" s="7">
        <f t="shared" si="5"/>
        <v>1</v>
      </c>
      <c r="G85" t="s">
        <v>648</v>
      </c>
      <c r="H85" t="s">
        <v>660</v>
      </c>
      <c r="I85" t="s">
        <v>686</v>
      </c>
      <c r="J85" t="s">
        <v>703</v>
      </c>
      <c r="K85" t="s">
        <v>710</v>
      </c>
      <c r="L85" t="s">
        <v>726</v>
      </c>
      <c r="M85" t="s">
        <v>732</v>
      </c>
      <c r="N85" t="s">
        <v>817</v>
      </c>
      <c r="O85">
        <v>23.24</v>
      </c>
      <c r="P85">
        <v>44.57</v>
      </c>
      <c r="Q85">
        <v>0.215</v>
      </c>
      <c r="R85">
        <v>15</v>
      </c>
    </row>
    <row r="86" spans="1:18" x14ac:dyDescent="0.45">
      <c r="A86" t="s">
        <v>99</v>
      </c>
      <c r="B86" s="5">
        <v>45741</v>
      </c>
      <c r="C86" s="5">
        <v>45764</v>
      </c>
      <c r="D86" s="5">
        <f t="shared" si="3"/>
        <v>45741</v>
      </c>
      <c r="E86" s="5">
        <f t="shared" si="4"/>
        <v>45764</v>
      </c>
      <c r="F86" s="7">
        <f t="shared" si="5"/>
        <v>23</v>
      </c>
      <c r="G86" t="s">
        <v>649</v>
      </c>
      <c r="H86" t="s">
        <v>658</v>
      </c>
      <c r="I86" t="s">
        <v>683</v>
      </c>
      <c r="J86" t="s">
        <v>704</v>
      </c>
      <c r="K86" t="s">
        <v>707</v>
      </c>
      <c r="L86" t="s">
        <v>722</v>
      </c>
      <c r="M86" t="s">
        <v>729</v>
      </c>
      <c r="N86" t="s">
        <v>818</v>
      </c>
      <c r="O86">
        <v>1421.19</v>
      </c>
      <c r="P86">
        <v>1808.26</v>
      </c>
      <c r="Q86">
        <v>0.104</v>
      </c>
      <c r="R86">
        <v>13</v>
      </c>
    </row>
    <row r="87" spans="1:18" x14ac:dyDescent="0.45">
      <c r="A87" t="s">
        <v>100</v>
      </c>
      <c r="B87" s="5">
        <v>45282</v>
      </c>
      <c r="C87" s="5">
        <v>45283</v>
      </c>
      <c r="D87" s="5">
        <f t="shared" si="3"/>
        <v>45282</v>
      </c>
      <c r="E87" s="5">
        <f t="shared" si="4"/>
        <v>45283</v>
      </c>
      <c r="F87" s="7">
        <f t="shared" si="5"/>
        <v>1</v>
      </c>
      <c r="G87" t="s">
        <v>646</v>
      </c>
      <c r="H87" t="s">
        <v>661</v>
      </c>
      <c r="I87" t="s">
        <v>695</v>
      </c>
      <c r="J87" t="s">
        <v>703</v>
      </c>
      <c r="K87" t="s">
        <v>709</v>
      </c>
      <c r="L87" t="s">
        <v>726</v>
      </c>
      <c r="M87" t="s">
        <v>727</v>
      </c>
      <c r="N87" t="s">
        <v>819</v>
      </c>
      <c r="O87">
        <v>1186.18</v>
      </c>
      <c r="P87">
        <v>1285.0899999999999</v>
      </c>
      <c r="Q87">
        <v>7.0000000000000007E-2</v>
      </c>
      <c r="R87">
        <v>11</v>
      </c>
    </row>
    <row r="88" spans="1:18" x14ac:dyDescent="0.45">
      <c r="A88" t="s">
        <v>101</v>
      </c>
      <c r="B88" s="5">
        <v>45388</v>
      </c>
      <c r="C88" s="5">
        <v>45407</v>
      </c>
      <c r="D88" s="5">
        <f t="shared" si="3"/>
        <v>45388</v>
      </c>
      <c r="E88" s="5">
        <f t="shared" si="4"/>
        <v>45407</v>
      </c>
      <c r="F88" s="7">
        <f t="shared" si="5"/>
        <v>19</v>
      </c>
      <c r="G88" t="s">
        <v>647</v>
      </c>
      <c r="H88" t="s">
        <v>659</v>
      </c>
      <c r="I88" t="s">
        <v>685</v>
      </c>
      <c r="J88" t="s">
        <v>701</v>
      </c>
      <c r="K88" t="s">
        <v>707</v>
      </c>
      <c r="L88" t="s">
        <v>723</v>
      </c>
      <c r="M88" t="s">
        <v>727</v>
      </c>
      <c r="N88" t="s">
        <v>820</v>
      </c>
      <c r="O88">
        <v>1366.48</v>
      </c>
      <c r="P88">
        <v>1678.14</v>
      </c>
      <c r="Q88">
        <v>0.154</v>
      </c>
      <c r="R88">
        <v>10</v>
      </c>
    </row>
    <row r="89" spans="1:18" x14ac:dyDescent="0.45">
      <c r="A89" t="s">
        <v>102</v>
      </c>
      <c r="B89" s="5">
        <v>45876</v>
      </c>
      <c r="C89" s="5">
        <v>45888</v>
      </c>
      <c r="D89" s="5">
        <f t="shared" si="3"/>
        <v>45876</v>
      </c>
      <c r="E89" s="5">
        <f t="shared" si="4"/>
        <v>45888</v>
      </c>
      <c r="F89" s="7">
        <f t="shared" si="5"/>
        <v>12</v>
      </c>
      <c r="G89" t="s">
        <v>646</v>
      </c>
      <c r="H89" t="s">
        <v>650</v>
      </c>
      <c r="I89" t="s">
        <v>678</v>
      </c>
      <c r="J89" t="s">
        <v>701</v>
      </c>
      <c r="L89" t="s">
        <v>724</v>
      </c>
      <c r="M89" t="s">
        <v>727</v>
      </c>
      <c r="N89" t="s">
        <v>821</v>
      </c>
      <c r="O89">
        <v>601.51</v>
      </c>
      <c r="P89">
        <v>679.35</v>
      </c>
      <c r="Q89">
        <v>0.188</v>
      </c>
      <c r="R89">
        <v>3</v>
      </c>
    </row>
    <row r="90" spans="1:18" x14ac:dyDescent="0.45">
      <c r="A90" t="s">
        <v>103</v>
      </c>
      <c r="B90" s="5">
        <v>45312</v>
      </c>
      <c r="C90" s="5">
        <v>45316</v>
      </c>
      <c r="D90" s="5">
        <f t="shared" si="3"/>
        <v>45312</v>
      </c>
      <c r="E90" s="5">
        <f t="shared" si="4"/>
        <v>45316</v>
      </c>
      <c r="F90" s="7">
        <f t="shared" si="5"/>
        <v>4</v>
      </c>
      <c r="G90" t="s">
        <v>647</v>
      </c>
      <c r="H90" t="s">
        <v>654</v>
      </c>
      <c r="I90" t="s">
        <v>680</v>
      </c>
      <c r="J90" t="s">
        <v>704</v>
      </c>
      <c r="K90" t="s">
        <v>711</v>
      </c>
      <c r="L90" t="s">
        <v>712</v>
      </c>
      <c r="M90" t="s">
        <v>732</v>
      </c>
      <c r="N90" t="s">
        <v>822</v>
      </c>
      <c r="O90">
        <v>523.70000000000005</v>
      </c>
      <c r="P90">
        <v>1109.92</v>
      </c>
      <c r="Q90">
        <v>0.03</v>
      </c>
      <c r="R90">
        <v>11</v>
      </c>
    </row>
    <row r="91" spans="1:18" x14ac:dyDescent="0.45">
      <c r="A91" t="s">
        <v>104</v>
      </c>
      <c r="B91" s="5">
        <v>45106</v>
      </c>
      <c r="C91" s="5">
        <v>45109</v>
      </c>
      <c r="D91" s="5">
        <f t="shared" si="3"/>
        <v>45106</v>
      </c>
      <c r="E91" s="5">
        <f t="shared" si="4"/>
        <v>45109</v>
      </c>
      <c r="F91" s="7">
        <f t="shared" si="5"/>
        <v>3</v>
      </c>
      <c r="G91" t="s">
        <v>647</v>
      </c>
      <c r="H91" t="s">
        <v>652</v>
      </c>
      <c r="I91" t="s">
        <v>694</v>
      </c>
      <c r="J91" t="s">
        <v>702</v>
      </c>
      <c r="K91" t="s">
        <v>709</v>
      </c>
      <c r="L91" t="s">
        <v>721</v>
      </c>
      <c r="M91" t="s">
        <v>732</v>
      </c>
      <c r="N91" t="s">
        <v>823</v>
      </c>
      <c r="O91">
        <v>55.65</v>
      </c>
      <c r="P91">
        <v>83.57</v>
      </c>
      <c r="Q91">
        <v>6.6000000000000003E-2</v>
      </c>
      <c r="R91">
        <v>8</v>
      </c>
    </row>
    <row r="92" spans="1:18" x14ac:dyDescent="0.45">
      <c r="A92" t="s">
        <v>105</v>
      </c>
      <c r="B92" s="5">
        <v>45775</v>
      </c>
      <c r="C92" s="5">
        <v>45792</v>
      </c>
      <c r="D92" s="5">
        <f t="shared" si="3"/>
        <v>45775</v>
      </c>
      <c r="E92" s="5">
        <f t="shared" si="4"/>
        <v>45792</v>
      </c>
      <c r="F92" s="7">
        <f t="shared" si="5"/>
        <v>17</v>
      </c>
      <c r="G92" t="s">
        <v>647</v>
      </c>
      <c r="H92" t="s">
        <v>652</v>
      </c>
      <c r="I92" t="s">
        <v>694</v>
      </c>
      <c r="J92" t="s">
        <v>702</v>
      </c>
      <c r="K92" t="s">
        <v>711</v>
      </c>
      <c r="L92" t="s">
        <v>725</v>
      </c>
      <c r="M92" t="s">
        <v>729</v>
      </c>
      <c r="N92" t="s">
        <v>824</v>
      </c>
      <c r="O92">
        <v>691.19</v>
      </c>
      <c r="P92">
        <v>1284.3</v>
      </c>
      <c r="Q92">
        <v>7.3999999999999996E-2</v>
      </c>
      <c r="R92">
        <v>7</v>
      </c>
    </row>
    <row r="93" spans="1:18" x14ac:dyDescent="0.45">
      <c r="A93" t="s">
        <v>106</v>
      </c>
      <c r="B93" s="5">
        <v>45817</v>
      </c>
      <c r="C93" s="5">
        <v>45833</v>
      </c>
      <c r="D93" s="5">
        <f t="shared" si="3"/>
        <v>45817</v>
      </c>
      <c r="E93" s="5">
        <f t="shared" si="4"/>
        <v>45833</v>
      </c>
      <c r="F93" s="7">
        <f t="shared" si="5"/>
        <v>16</v>
      </c>
      <c r="G93" t="s">
        <v>647</v>
      </c>
      <c r="H93" t="s">
        <v>654</v>
      </c>
      <c r="I93" t="s">
        <v>696</v>
      </c>
      <c r="J93" t="s">
        <v>706</v>
      </c>
      <c r="K93" t="s">
        <v>710</v>
      </c>
      <c r="L93" t="s">
        <v>724</v>
      </c>
      <c r="M93" t="s">
        <v>730</v>
      </c>
      <c r="N93" t="s">
        <v>825</v>
      </c>
      <c r="O93">
        <v>527.33000000000004</v>
      </c>
      <c r="P93">
        <v>911.72</v>
      </c>
      <c r="Q93">
        <v>0.14399999999999999</v>
      </c>
      <c r="R93">
        <v>25</v>
      </c>
    </row>
    <row r="94" spans="1:18" x14ac:dyDescent="0.45">
      <c r="A94" t="s">
        <v>107</v>
      </c>
      <c r="B94" s="5">
        <v>45101</v>
      </c>
      <c r="C94" s="5">
        <v>45100</v>
      </c>
      <c r="D94" s="5">
        <f t="shared" si="3"/>
        <v>45100</v>
      </c>
      <c r="E94" s="5">
        <f t="shared" si="4"/>
        <v>45101</v>
      </c>
      <c r="F94" s="7">
        <f t="shared" si="5"/>
        <v>1</v>
      </c>
      <c r="G94" t="s">
        <v>648</v>
      </c>
      <c r="H94" t="s">
        <v>655</v>
      </c>
      <c r="I94" t="s">
        <v>692</v>
      </c>
      <c r="J94" t="s">
        <v>703</v>
      </c>
      <c r="K94" t="s">
        <v>707</v>
      </c>
      <c r="L94" t="s">
        <v>718</v>
      </c>
      <c r="M94" t="s">
        <v>728</v>
      </c>
      <c r="N94" t="s">
        <v>826</v>
      </c>
      <c r="O94">
        <v>804.01</v>
      </c>
      <c r="P94">
        <v>1405.07</v>
      </c>
      <c r="Q94">
        <v>9.6000000000000002E-2</v>
      </c>
      <c r="R94">
        <v>8</v>
      </c>
    </row>
    <row r="95" spans="1:18" x14ac:dyDescent="0.45">
      <c r="A95" t="s">
        <v>108</v>
      </c>
      <c r="B95" s="5">
        <v>45569</v>
      </c>
      <c r="C95" s="5">
        <v>45598</v>
      </c>
      <c r="D95" s="5">
        <f t="shared" si="3"/>
        <v>45569</v>
      </c>
      <c r="E95" s="5">
        <f t="shared" si="4"/>
        <v>45598</v>
      </c>
      <c r="F95" s="7">
        <f t="shared" si="5"/>
        <v>29</v>
      </c>
      <c r="G95" t="s">
        <v>646</v>
      </c>
      <c r="H95" t="s">
        <v>651</v>
      </c>
      <c r="I95" t="s">
        <v>669</v>
      </c>
      <c r="J95" t="s">
        <v>701</v>
      </c>
      <c r="K95" t="s">
        <v>710</v>
      </c>
      <c r="L95" t="s">
        <v>721</v>
      </c>
      <c r="M95" t="s">
        <v>733</v>
      </c>
      <c r="N95" t="s">
        <v>827</v>
      </c>
      <c r="O95">
        <v>412.09</v>
      </c>
      <c r="P95">
        <v>968.94</v>
      </c>
      <c r="Q95">
        <v>9.9000000000000005E-2</v>
      </c>
      <c r="R95">
        <v>23</v>
      </c>
    </row>
    <row r="96" spans="1:18" x14ac:dyDescent="0.45">
      <c r="A96" t="s">
        <v>109</v>
      </c>
      <c r="B96" s="5">
        <v>45910</v>
      </c>
      <c r="C96" s="5">
        <v>45930</v>
      </c>
      <c r="D96" s="5">
        <f t="shared" si="3"/>
        <v>45910</v>
      </c>
      <c r="E96" s="5">
        <f t="shared" si="4"/>
        <v>45930</v>
      </c>
      <c r="F96" s="7">
        <f t="shared" si="5"/>
        <v>20</v>
      </c>
      <c r="G96" t="s">
        <v>646</v>
      </c>
      <c r="H96" t="s">
        <v>650</v>
      </c>
      <c r="I96" t="s">
        <v>675</v>
      </c>
      <c r="J96" t="s">
        <v>701</v>
      </c>
      <c r="K96" t="s">
        <v>711</v>
      </c>
      <c r="L96" t="s">
        <v>716</v>
      </c>
      <c r="M96" t="s">
        <v>730</v>
      </c>
      <c r="N96" t="s">
        <v>828</v>
      </c>
      <c r="O96">
        <v>1009.48</v>
      </c>
      <c r="P96">
        <v>1088.81</v>
      </c>
      <c r="Q96">
        <v>0.16</v>
      </c>
      <c r="R96">
        <v>6</v>
      </c>
    </row>
    <row r="97" spans="1:18" x14ac:dyDescent="0.45">
      <c r="A97" t="s">
        <v>110</v>
      </c>
      <c r="B97" s="5">
        <v>45022</v>
      </c>
      <c r="C97" s="5">
        <v>45043</v>
      </c>
      <c r="D97" s="5">
        <f t="shared" si="3"/>
        <v>45022</v>
      </c>
      <c r="E97" s="5">
        <f t="shared" si="4"/>
        <v>45043</v>
      </c>
      <c r="F97" s="7">
        <f t="shared" si="5"/>
        <v>21</v>
      </c>
      <c r="G97" t="s">
        <v>649</v>
      </c>
      <c r="H97" t="s">
        <v>658</v>
      </c>
      <c r="I97" t="s">
        <v>693</v>
      </c>
      <c r="J97" t="s">
        <v>706</v>
      </c>
      <c r="K97" t="s">
        <v>710</v>
      </c>
      <c r="L97" t="s">
        <v>714</v>
      </c>
      <c r="M97" t="s">
        <v>728</v>
      </c>
      <c r="N97" t="s">
        <v>829</v>
      </c>
      <c r="O97">
        <v>1084.79</v>
      </c>
      <c r="P97">
        <v>2484.9899999999998</v>
      </c>
      <c r="Q97">
        <v>3.4000000000000002E-2</v>
      </c>
      <c r="R97">
        <v>18</v>
      </c>
    </row>
    <row r="98" spans="1:18" x14ac:dyDescent="0.45">
      <c r="A98" t="s">
        <v>111</v>
      </c>
      <c r="B98" s="5">
        <v>45870</v>
      </c>
      <c r="C98" s="5">
        <v>45885</v>
      </c>
      <c r="D98" s="5">
        <f t="shared" si="3"/>
        <v>45870</v>
      </c>
      <c r="E98" s="5">
        <f t="shared" si="4"/>
        <v>45885</v>
      </c>
      <c r="F98" s="7">
        <f t="shared" si="5"/>
        <v>15</v>
      </c>
      <c r="G98" t="s">
        <v>647</v>
      </c>
      <c r="H98" t="s">
        <v>654</v>
      </c>
      <c r="J98" t="s">
        <v>706</v>
      </c>
      <c r="K98" t="s">
        <v>711</v>
      </c>
      <c r="L98" t="s">
        <v>719</v>
      </c>
      <c r="M98" t="s">
        <v>732</v>
      </c>
      <c r="N98" t="s">
        <v>830</v>
      </c>
      <c r="O98">
        <v>24.44</v>
      </c>
      <c r="P98">
        <v>28.69</v>
      </c>
      <c r="Q98">
        <v>0.14599999999999999</v>
      </c>
      <c r="R98">
        <v>6</v>
      </c>
    </row>
    <row r="99" spans="1:18" x14ac:dyDescent="0.45">
      <c r="A99" t="s">
        <v>112</v>
      </c>
      <c r="B99" s="5">
        <v>45440</v>
      </c>
      <c r="C99" s="5">
        <v>45438</v>
      </c>
      <c r="D99" s="5">
        <f t="shared" si="3"/>
        <v>45438</v>
      </c>
      <c r="E99" s="5">
        <f t="shared" si="4"/>
        <v>45440</v>
      </c>
      <c r="F99" s="7">
        <f t="shared" si="5"/>
        <v>2</v>
      </c>
      <c r="G99" t="s">
        <v>646</v>
      </c>
      <c r="H99" t="s">
        <v>651</v>
      </c>
      <c r="I99" t="s">
        <v>669</v>
      </c>
      <c r="J99" t="s">
        <v>706</v>
      </c>
      <c r="K99" t="s">
        <v>708</v>
      </c>
      <c r="L99" t="s">
        <v>721</v>
      </c>
      <c r="M99" t="s">
        <v>733</v>
      </c>
      <c r="N99" t="s">
        <v>831</v>
      </c>
      <c r="O99">
        <v>1227.08</v>
      </c>
      <c r="P99">
        <v>1896.62</v>
      </c>
      <c r="Q99">
        <v>0</v>
      </c>
      <c r="R99">
        <v>18</v>
      </c>
    </row>
    <row r="100" spans="1:18" x14ac:dyDescent="0.45">
      <c r="A100" t="s">
        <v>113</v>
      </c>
      <c r="B100" s="5">
        <v>45860</v>
      </c>
      <c r="C100" s="5">
        <v>45887</v>
      </c>
      <c r="D100" s="5">
        <f t="shared" si="3"/>
        <v>45860</v>
      </c>
      <c r="E100" s="5">
        <f t="shared" si="4"/>
        <v>45887</v>
      </c>
      <c r="F100" s="7">
        <f t="shared" si="5"/>
        <v>27</v>
      </c>
      <c r="G100" t="s">
        <v>647</v>
      </c>
      <c r="H100" t="s">
        <v>659</v>
      </c>
      <c r="I100" t="s">
        <v>676</v>
      </c>
      <c r="J100" t="s">
        <v>703</v>
      </c>
      <c r="K100" t="s">
        <v>709</v>
      </c>
      <c r="L100" t="s">
        <v>724</v>
      </c>
      <c r="M100" t="s">
        <v>729</v>
      </c>
      <c r="N100" t="s">
        <v>832</v>
      </c>
      <c r="O100">
        <v>547.32000000000005</v>
      </c>
      <c r="P100">
        <v>419.17</v>
      </c>
      <c r="Q100">
        <v>9.1999999999999998E-2</v>
      </c>
      <c r="R100">
        <v>14</v>
      </c>
    </row>
    <row r="101" spans="1:18" x14ac:dyDescent="0.45">
      <c r="A101" t="s">
        <v>114</v>
      </c>
      <c r="B101" s="5">
        <v>44985</v>
      </c>
      <c r="C101" s="5">
        <v>45005</v>
      </c>
      <c r="D101" s="5">
        <f t="shared" si="3"/>
        <v>44985</v>
      </c>
      <c r="E101" s="5">
        <f t="shared" si="4"/>
        <v>45005</v>
      </c>
      <c r="F101" s="7">
        <f t="shared" si="5"/>
        <v>20</v>
      </c>
      <c r="G101" t="s">
        <v>649</v>
      </c>
      <c r="H101" t="s">
        <v>656</v>
      </c>
      <c r="I101" t="s">
        <v>671</v>
      </c>
      <c r="J101" t="s">
        <v>705</v>
      </c>
      <c r="K101" t="s">
        <v>711</v>
      </c>
      <c r="L101" t="s">
        <v>722</v>
      </c>
      <c r="M101" t="s">
        <v>731</v>
      </c>
      <c r="N101" t="s">
        <v>833</v>
      </c>
      <c r="O101">
        <v>1200.78</v>
      </c>
      <c r="P101">
        <v>2001.17</v>
      </c>
      <c r="Q101">
        <v>0.29199999999999998</v>
      </c>
      <c r="R101">
        <v>18</v>
      </c>
    </row>
    <row r="102" spans="1:18" x14ac:dyDescent="0.45">
      <c r="A102" t="s">
        <v>115</v>
      </c>
      <c r="B102" s="5">
        <v>45684</v>
      </c>
      <c r="C102" s="5">
        <v>45703</v>
      </c>
      <c r="D102" s="5">
        <f t="shared" si="3"/>
        <v>45684</v>
      </c>
      <c r="E102" s="5">
        <f t="shared" si="4"/>
        <v>45703</v>
      </c>
      <c r="F102" s="7">
        <f t="shared" si="5"/>
        <v>19</v>
      </c>
      <c r="G102" t="s">
        <v>647</v>
      </c>
      <c r="H102" t="s">
        <v>659</v>
      </c>
      <c r="I102" t="s">
        <v>676</v>
      </c>
      <c r="J102" t="s">
        <v>703</v>
      </c>
      <c r="K102" t="s">
        <v>711</v>
      </c>
      <c r="L102" t="s">
        <v>716</v>
      </c>
      <c r="M102" t="s">
        <v>730</v>
      </c>
      <c r="N102" t="s">
        <v>834</v>
      </c>
      <c r="O102">
        <v>1253.22</v>
      </c>
      <c r="P102">
        <v>3104.71</v>
      </c>
      <c r="Q102">
        <v>0</v>
      </c>
      <c r="R102">
        <v>17</v>
      </c>
    </row>
    <row r="103" spans="1:18" x14ac:dyDescent="0.45">
      <c r="A103" t="s">
        <v>116</v>
      </c>
      <c r="B103" s="5">
        <v>45304</v>
      </c>
      <c r="C103" s="5">
        <v>45313</v>
      </c>
      <c r="D103" s="5">
        <f t="shared" si="3"/>
        <v>45304</v>
      </c>
      <c r="E103" s="5">
        <f t="shared" si="4"/>
        <v>45313</v>
      </c>
      <c r="F103" s="7">
        <f t="shared" si="5"/>
        <v>9</v>
      </c>
      <c r="G103" t="s">
        <v>647</v>
      </c>
      <c r="H103" t="s">
        <v>654</v>
      </c>
      <c r="I103" t="s">
        <v>691</v>
      </c>
      <c r="J103" t="s">
        <v>706</v>
      </c>
      <c r="K103" t="s">
        <v>709</v>
      </c>
      <c r="L103" t="s">
        <v>713</v>
      </c>
      <c r="M103" t="s">
        <v>727</v>
      </c>
      <c r="N103" t="s">
        <v>835</v>
      </c>
      <c r="O103">
        <v>313.60000000000002</v>
      </c>
      <c r="P103">
        <v>334.28</v>
      </c>
      <c r="Q103">
        <v>0.14000000000000001</v>
      </c>
      <c r="R103">
        <v>22</v>
      </c>
    </row>
    <row r="104" spans="1:18" x14ac:dyDescent="0.45">
      <c r="A104" t="s">
        <v>117</v>
      </c>
      <c r="B104" s="5">
        <v>45747</v>
      </c>
      <c r="C104" s="5">
        <v>45751</v>
      </c>
      <c r="D104" s="5">
        <f t="shared" si="3"/>
        <v>45747</v>
      </c>
      <c r="E104" s="5">
        <f t="shared" si="4"/>
        <v>45751</v>
      </c>
      <c r="F104" s="7">
        <f t="shared" si="5"/>
        <v>4</v>
      </c>
      <c r="G104" t="s">
        <v>646</v>
      </c>
      <c r="H104" t="s">
        <v>650</v>
      </c>
      <c r="I104" t="s">
        <v>678</v>
      </c>
      <c r="J104" t="s">
        <v>701</v>
      </c>
      <c r="K104" t="s">
        <v>711</v>
      </c>
      <c r="L104" t="s">
        <v>712</v>
      </c>
      <c r="M104" t="s">
        <v>731</v>
      </c>
      <c r="N104" t="s">
        <v>836</v>
      </c>
      <c r="O104">
        <v>862.08</v>
      </c>
      <c r="P104">
        <v>1952.83</v>
      </c>
      <c r="Q104">
        <v>0</v>
      </c>
      <c r="R104">
        <v>7</v>
      </c>
    </row>
    <row r="105" spans="1:18" x14ac:dyDescent="0.45">
      <c r="A105" t="s">
        <v>118</v>
      </c>
      <c r="B105" s="5">
        <v>45631</v>
      </c>
      <c r="C105" s="5">
        <v>45654</v>
      </c>
      <c r="D105" s="5">
        <f t="shared" si="3"/>
        <v>45631</v>
      </c>
      <c r="E105" s="5">
        <f t="shared" si="4"/>
        <v>45654</v>
      </c>
      <c r="F105" s="7">
        <f t="shared" si="5"/>
        <v>23</v>
      </c>
      <c r="G105" t="s">
        <v>648</v>
      </c>
      <c r="H105" t="s">
        <v>653</v>
      </c>
      <c r="I105" t="s">
        <v>688</v>
      </c>
      <c r="J105" t="s">
        <v>701</v>
      </c>
      <c r="K105" t="s">
        <v>711</v>
      </c>
      <c r="L105" t="s">
        <v>721</v>
      </c>
      <c r="M105" t="s">
        <v>733</v>
      </c>
      <c r="N105" t="s">
        <v>837</v>
      </c>
      <c r="O105">
        <v>107.03</v>
      </c>
      <c r="P105">
        <v>242.29</v>
      </c>
      <c r="Q105">
        <v>0.18</v>
      </c>
      <c r="R105">
        <v>30</v>
      </c>
    </row>
    <row r="106" spans="1:18" x14ac:dyDescent="0.45">
      <c r="A106" t="s">
        <v>119</v>
      </c>
      <c r="B106" s="5">
        <v>45549</v>
      </c>
      <c r="C106" s="5">
        <v>45570</v>
      </c>
      <c r="D106" s="5">
        <f t="shared" si="3"/>
        <v>45549</v>
      </c>
      <c r="E106" s="5">
        <f t="shared" si="4"/>
        <v>45570</v>
      </c>
      <c r="F106" s="7">
        <f t="shared" si="5"/>
        <v>21</v>
      </c>
      <c r="G106" t="s">
        <v>647</v>
      </c>
      <c r="H106" t="s">
        <v>659</v>
      </c>
      <c r="I106" t="s">
        <v>685</v>
      </c>
      <c r="J106" t="s">
        <v>705</v>
      </c>
      <c r="K106" t="s">
        <v>708</v>
      </c>
      <c r="L106" t="s">
        <v>722</v>
      </c>
      <c r="M106" t="s">
        <v>731</v>
      </c>
      <c r="N106" t="s">
        <v>838</v>
      </c>
      <c r="O106">
        <v>1405.56</v>
      </c>
      <c r="P106">
        <v>2968.87</v>
      </c>
      <c r="Q106">
        <v>0.16900000000000001</v>
      </c>
      <c r="R106">
        <v>5</v>
      </c>
    </row>
    <row r="107" spans="1:18" x14ac:dyDescent="0.45">
      <c r="A107" t="s">
        <v>120</v>
      </c>
      <c r="B107" s="5">
        <v>45433</v>
      </c>
      <c r="C107" s="5">
        <v>45439</v>
      </c>
      <c r="D107" s="5">
        <f t="shared" si="3"/>
        <v>45433</v>
      </c>
      <c r="E107" s="5">
        <f t="shared" si="4"/>
        <v>45439</v>
      </c>
      <c r="F107" s="7">
        <f t="shared" si="5"/>
        <v>6</v>
      </c>
      <c r="G107" t="s">
        <v>646</v>
      </c>
      <c r="H107" t="s">
        <v>661</v>
      </c>
      <c r="I107" t="s">
        <v>682</v>
      </c>
      <c r="J107" t="s">
        <v>703</v>
      </c>
      <c r="K107" t="s">
        <v>708</v>
      </c>
      <c r="L107" t="s">
        <v>724</v>
      </c>
      <c r="M107" t="s">
        <v>727</v>
      </c>
      <c r="N107" t="s">
        <v>839</v>
      </c>
      <c r="O107">
        <v>1157.51</v>
      </c>
      <c r="P107">
        <v>1394.3</v>
      </c>
      <c r="Q107">
        <v>0.27800000000000002</v>
      </c>
      <c r="R107">
        <v>12</v>
      </c>
    </row>
    <row r="108" spans="1:18" x14ac:dyDescent="0.45">
      <c r="A108" t="s">
        <v>121</v>
      </c>
      <c r="B108" s="5">
        <v>45057</v>
      </c>
      <c r="C108" s="5">
        <v>45084</v>
      </c>
      <c r="D108" s="5">
        <f t="shared" si="3"/>
        <v>45057</v>
      </c>
      <c r="E108" s="5">
        <f t="shared" si="4"/>
        <v>45084</v>
      </c>
      <c r="F108" s="7">
        <f t="shared" si="5"/>
        <v>27</v>
      </c>
      <c r="G108" t="s">
        <v>646</v>
      </c>
      <c r="H108" t="s">
        <v>650</v>
      </c>
      <c r="I108" t="s">
        <v>675</v>
      </c>
      <c r="J108" t="s">
        <v>701</v>
      </c>
      <c r="K108" t="s">
        <v>708</v>
      </c>
      <c r="L108" t="s">
        <v>713</v>
      </c>
      <c r="M108" t="s">
        <v>730</v>
      </c>
      <c r="N108" t="s">
        <v>840</v>
      </c>
      <c r="O108">
        <v>12.85</v>
      </c>
      <c r="P108">
        <v>15.41</v>
      </c>
      <c r="Q108">
        <v>0.13700000000000001</v>
      </c>
      <c r="R108">
        <v>39</v>
      </c>
    </row>
    <row r="109" spans="1:18" x14ac:dyDescent="0.45">
      <c r="A109" t="s">
        <v>122</v>
      </c>
      <c r="B109" s="5">
        <v>45518</v>
      </c>
      <c r="C109" s="5">
        <v>45539</v>
      </c>
      <c r="D109" s="5">
        <f t="shared" si="3"/>
        <v>45518</v>
      </c>
      <c r="E109" s="5">
        <f t="shared" si="4"/>
        <v>45539</v>
      </c>
      <c r="F109" s="7">
        <f t="shared" si="5"/>
        <v>21</v>
      </c>
      <c r="G109" t="s">
        <v>649</v>
      </c>
      <c r="H109" t="s">
        <v>658</v>
      </c>
      <c r="I109" t="s">
        <v>693</v>
      </c>
      <c r="J109" t="s">
        <v>703</v>
      </c>
      <c r="K109" t="s">
        <v>708</v>
      </c>
      <c r="L109" t="s">
        <v>713</v>
      </c>
      <c r="M109" t="s">
        <v>730</v>
      </c>
      <c r="N109" t="s">
        <v>841</v>
      </c>
      <c r="O109">
        <v>1138.8</v>
      </c>
      <c r="P109">
        <v>2250.81</v>
      </c>
      <c r="Q109">
        <v>0.123</v>
      </c>
      <c r="R109">
        <v>12</v>
      </c>
    </row>
    <row r="110" spans="1:18" x14ac:dyDescent="0.45">
      <c r="A110" t="s">
        <v>123</v>
      </c>
      <c r="B110" s="5">
        <v>45581</v>
      </c>
      <c r="C110" s="5">
        <v>45604</v>
      </c>
      <c r="D110" s="5">
        <f t="shared" si="3"/>
        <v>45581</v>
      </c>
      <c r="E110" s="5">
        <f t="shared" si="4"/>
        <v>45604</v>
      </c>
      <c r="F110" s="7">
        <f t="shared" si="5"/>
        <v>23</v>
      </c>
      <c r="G110" t="s">
        <v>647</v>
      </c>
      <c r="H110" t="s">
        <v>652</v>
      </c>
      <c r="I110" t="s">
        <v>666</v>
      </c>
      <c r="J110" t="s">
        <v>705</v>
      </c>
      <c r="K110" t="s">
        <v>707</v>
      </c>
      <c r="L110" t="s">
        <v>713</v>
      </c>
      <c r="M110" t="s">
        <v>729</v>
      </c>
      <c r="N110" t="s">
        <v>842</v>
      </c>
      <c r="O110">
        <v>82.14</v>
      </c>
      <c r="P110">
        <v>166.04</v>
      </c>
      <c r="Q110">
        <v>0</v>
      </c>
      <c r="R110">
        <v>10</v>
      </c>
    </row>
    <row r="111" spans="1:18" x14ac:dyDescent="0.45">
      <c r="A111" t="s">
        <v>124</v>
      </c>
      <c r="B111" s="5">
        <v>45445</v>
      </c>
      <c r="C111" s="5">
        <v>45451</v>
      </c>
      <c r="D111" s="5">
        <f t="shared" si="3"/>
        <v>45445</v>
      </c>
      <c r="E111" s="5">
        <f t="shared" si="4"/>
        <v>45451</v>
      </c>
      <c r="F111" s="7">
        <f t="shared" si="5"/>
        <v>6</v>
      </c>
      <c r="G111" t="s">
        <v>646</v>
      </c>
      <c r="H111" t="s">
        <v>650</v>
      </c>
      <c r="I111" t="s">
        <v>662</v>
      </c>
      <c r="J111" t="s">
        <v>704</v>
      </c>
      <c r="K111" t="s">
        <v>709</v>
      </c>
      <c r="L111" t="s">
        <v>720</v>
      </c>
      <c r="M111" t="s">
        <v>733</v>
      </c>
      <c r="N111" t="s">
        <v>843</v>
      </c>
      <c r="O111">
        <v>292.94</v>
      </c>
      <c r="P111">
        <v>356.55</v>
      </c>
      <c r="Q111">
        <v>0.22900000000000001</v>
      </c>
      <c r="R111">
        <v>2</v>
      </c>
    </row>
    <row r="112" spans="1:18" x14ac:dyDescent="0.45">
      <c r="A112" t="s">
        <v>125</v>
      </c>
      <c r="B112" s="5">
        <v>45452</v>
      </c>
      <c r="C112" s="5">
        <v>45480</v>
      </c>
      <c r="D112" s="5">
        <f t="shared" si="3"/>
        <v>45452</v>
      </c>
      <c r="E112" s="5">
        <f t="shared" si="4"/>
        <v>45480</v>
      </c>
      <c r="F112" s="7">
        <f t="shared" si="5"/>
        <v>28</v>
      </c>
      <c r="G112" t="s">
        <v>647</v>
      </c>
      <c r="H112" t="s">
        <v>659</v>
      </c>
      <c r="I112" t="s">
        <v>676</v>
      </c>
      <c r="J112" t="s">
        <v>701</v>
      </c>
      <c r="K112" t="s">
        <v>708</v>
      </c>
      <c r="L112" t="s">
        <v>713</v>
      </c>
      <c r="M112" t="s">
        <v>727</v>
      </c>
      <c r="N112" t="s">
        <v>844</v>
      </c>
      <c r="O112">
        <v>550.22</v>
      </c>
      <c r="P112">
        <v>1025.05</v>
      </c>
      <c r="Q112">
        <v>0</v>
      </c>
      <c r="R112">
        <v>27</v>
      </c>
    </row>
    <row r="113" spans="1:18" x14ac:dyDescent="0.45">
      <c r="A113" t="s">
        <v>126</v>
      </c>
      <c r="B113" s="5">
        <v>45453</v>
      </c>
      <c r="C113" s="5">
        <v>45454</v>
      </c>
      <c r="D113" s="5">
        <f t="shared" si="3"/>
        <v>45453</v>
      </c>
      <c r="E113" s="5">
        <f t="shared" si="4"/>
        <v>45454</v>
      </c>
      <c r="F113" s="7">
        <f t="shared" si="5"/>
        <v>1</v>
      </c>
      <c r="G113" t="s">
        <v>649</v>
      </c>
      <c r="H113" t="s">
        <v>658</v>
      </c>
      <c r="I113" t="s">
        <v>674</v>
      </c>
      <c r="J113" t="s">
        <v>705</v>
      </c>
      <c r="K113" t="s">
        <v>709</v>
      </c>
      <c r="L113" t="s">
        <v>724</v>
      </c>
      <c r="M113" t="s">
        <v>731</v>
      </c>
      <c r="N113" t="s">
        <v>845</v>
      </c>
      <c r="O113">
        <v>1187.1300000000001</v>
      </c>
      <c r="P113">
        <v>1795.17</v>
      </c>
      <c r="Q113">
        <v>1.2E-2</v>
      </c>
      <c r="R113">
        <v>17</v>
      </c>
    </row>
    <row r="114" spans="1:18" x14ac:dyDescent="0.45">
      <c r="A114" t="s">
        <v>127</v>
      </c>
      <c r="B114" s="5">
        <v>45472</v>
      </c>
      <c r="C114" s="5">
        <v>45499</v>
      </c>
      <c r="D114" s="5">
        <f t="shared" si="3"/>
        <v>45472</v>
      </c>
      <c r="E114" s="5">
        <f t="shared" si="4"/>
        <v>45499</v>
      </c>
      <c r="F114" s="7">
        <f t="shared" si="5"/>
        <v>27</v>
      </c>
      <c r="G114" t="s">
        <v>646</v>
      </c>
      <c r="H114" t="s">
        <v>661</v>
      </c>
      <c r="I114" t="s">
        <v>687</v>
      </c>
      <c r="J114" t="s">
        <v>706</v>
      </c>
      <c r="K114" t="s">
        <v>710</v>
      </c>
      <c r="L114" t="s">
        <v>717</v>
      </c>
      <c r="M114" t="s">
        <v>729</v>
      </c>
      <c r="N114" t="s">
        <v>846</v>
      </c>
      <c r="O114">
        <v>5.36</v>
      </c>
      <c r="P114">
        <v>4.37</v>
      </c>
      <c r="Q114">
        <v>0.11799999999999999</v>
      </c>
      <c r="R114">
        <v>9</v>
      </c>
    </row>
    <row r="115" spans="1:18" x14ac:dyDescent="0.45">
      <c r="A115" t="s">
        <v>128</v>
      </c>
      <c r="B115" s="5">
        <v>45674</v>
      </c>
      <c r="C115" s="5">
        <v>45681</v>
      </c>
      <c r="D115" s="5">
        <f t="shared" si="3"/>
        <v>45674</v>
      </c>
      <c r="E115" s="5">
        <f t="shared" si="4"/>
        <v>45681</v>
      </c>
      <c r="F115" s="7">
        <f t="shared" si="5"/>
        <v>7</v>
      </c>
      <c r="G115" t="s">
        <v>648</v>
      </c>
      <c r="H115" t="s">
        <v>660</v>
      </c>
      <c r="I115" t="s">
        <v>697</v>
      </c>
      <c r="J115" t="s">
        <v>706</v>
      </c>
      <c r="K115" t="s">
        <v>708</v>
      </c>
      <c r="L115" t="s">
        <v>715</v>
      </c>
      <c r="M115" t="s">
        <v>733</v>
      </c>
      <c r="N115" t="s">
        <v>847</v>
      </c>
      <c r="O115">
        <v>142.09</v>
      </c>
      <c r="P115">
        <v>218.5</v>
      </c>
      <c r="Q115">
        <v>0.11899999999999999</v>
      </c>
      <c r="R115">
        <v>11</v>
      </c>
    </row>
    <row r="116" spans="1:18" x14ac:dyDescent="0.45">
      <c r="A116" t="s">
        <v>129</v>
      </c>
      <c r="B116" s="5">
        <v>45250</v>
      </c>
      <c r="C116" s="5">
        <v>45265</v>
      </c>
      <c r="D116" s="5">
        <f t="shared" si="3"/>
        <v>45250</v>
      </c>
      <c r="E116" s="5">
        <f t="shared" si="4"/>
        <v>45265</v>
      </c>
      <c r="F116" s="7">
        <f t="shared" si="5"/>
        <v>15</v>
      </c>
      <c r="G116" t="s">
        <v>647</v>
      </c>
      <c r="H116" t="s">
        <v>652</v>
      </c>
      <c r="I116" t="s">
        <v>689</v>
      </c>
      <c r="J116" t="s">
        <v>706</v>
      </c>
      <c r="K116" t="s">
        <v>707</v>
      </c>
      <c r="L116" t="s">
        <v>716</v>
      </c>
      <c r="M116" t="s">
        <v>729</v>
      </c>
      <c r="N116" t="s">
        <v>848</v>
      </c>
      <c r="O116">
        <v>354.24</v>
      </c>
      <c r="P116">
        <v>249.87</v>
      </c>
      <c r="Q116">
        <v>0</v>
      </c>
      <c r="R116">
        <v>6</v>
      </c>
    </row>
    <row r="117" spans="1:18" x14ac:dyDescent="0.45">
      <c r="A117" t="s">
        <v>130</v>
      </c>
      <c r="B117" s="5">
        <v>44987</v>
      </c>
      <c r="C117" s="5">
        <v>44990</v>
      </c>
      <c r="D117" s="5">
        <f t="shared" si="3"/>
        <v>44987</v>
      </c>
      <c r="E117" s="5">
        <f t="shared" si="4"/>
        <v>44990</v>
      </c>
      <c r="F117" s="7">
        <f t="shared" si="5"/>
        <v>3</v>
      </c>
      <c r="G117" t="s">
        <v>648</v>
      </c>
      <c r="H117" t="s">
        <v>655</v>
      </c>
      <c r="I117" t="s">
        <v>672</v>
      </c>
      <c r="J117" t="s">
        <v>706</v>
      </c>
      <c r="K117" t="s">
        <v>711</v>
      </c>
      <c r="L117" t="s">
        <v>715</v>
      </c>
      <c r="M117" t="s">
        <v>732</v>
      </c>
      <c r="N117" t="s">
        <v>849</v>
      </c>
      <c r="O117">
        <v>1473.58</v>
      </c>
      <c r="P117">
        <v>3436.52</v>
      </c>
      <c r="Q117">
        <v>0.108</v>
      </c>
      <c r="R117">
        <v>8</v>
      </c>
    </row>
    <row r="118" spans="1:18" x14ac:dyDescent="0.45">
      <c r="A118" t="s">
        <v>131</v>
      </c>
      <c r="B118" s="5">
        <v>45811</v>
      </c>
      <c r="C118" s="5">
        <v>45818</v>
      </c>
      <c r="D118" s="5">
        <f t="shared" si="3"/>
        <v>45811</v>
      </c>
      <c r="E118" s="5">
        <f t="shared" si="4"/>
        <v>45818</v>
      </c>
      <c r="F118" s="7">
        <f t="shared" si="5"/>
        <v>7</v>
      </c>
      <c r="G118" t="s">
        <v>648</v>
      </c>
      <c r="H118" t="s">
        <v>653</v>
      </c>
      <c r="I118" t="s">
        <v>667</v>
      </c>
      <c r="J118" t="s">
        <v>704</v>
      </c>
      <c r="K118" t="s">
        <v>710</v>
      </c>
      <c r="L118" t="s">
        <v>719</v>
      </c>
      <c r="M118" t="s">
        <v>728</v>
      </c>
      <c r="N118" t="s">
        <v>850</v>
      </c>
      <c r="O118">
        <v>75.180000000000007</v>
      </c>
      <c r="P118">
        <v>53.45</v>
      </c>
      <c r="Q118">
        <v>0.157</v>
      </c>
      <c r="R118">
        <v>17</v>
      </c>
    </row>
    <row r="119" spans="1:18" x14ac:dyDescent="0.45">
      <c r="A119" t="s">
        <v>132</v>
      </c>
      <c r="B119" s="5">
        <v>45653</v>
      </c>
      <c r="C119" s="5">
        <v>45659</v>
      </c>
      <c r="D119" s="5">
        <f t="shared" si="3"/>
        <v>45653</v>
      </c>
      <c r="E119" s="5">
        <f t="shared" si="4"/>
        <v>45659</v>
      </c>
      <c r="F119" s="7">
        <f t="shared" si="5"/>
        <v>6</v>
      </c>
      <c r="G119" t="s">
        <v>649</v>
      </c>
      <c r="H119" t="s">
        <v>656</v>
      </c>
      <c r="I119" t="s">
        <v>698</v>
      </c>
      <c r="J119" t="s">
        <v>702</v>
      </c>
      <c r="K119" t="s">
        <v>711</v>
      </c>
      <c r="L119" t="s">
        <v>721</v>
      </c>
      <c r="M119" t="s">
        <v>731</v>
      </c>
      <c r="N119" t="s">
        <v>851</v>
      </c>
      <c r="O119">
        <v>1391.99</v>
      </c>
      <c r="P119">
        <v>3469.7</v>
      </c>
      <c r="Q119">
        <v>0.184</v>
      </c>
      <c r="R119">
        <v>23</v>
      </c>
    </row>
    <row r="120" spans="1:18" x14ac:dyDescent="0.45">
      <c r="A120" t="s">
        <v>133</v>
      </c>
      <c r="B120" s="5">
        <v>45086</v>
      </c>
      <c r="C120" s="5">
        <v>45096</v>
      </c>
      <c r="D120" s="5">
        <f t="shared" si="3"/>
        <v>45086</v>
      </c>
      <c r="E120" s="5">
        <f t="shared" si="4"/>
        <v>45096</v>
      </c>
      <c r="F120" s="7">
        <f t="shared" si="5"/>
        <v>10</v>
      </c>
      <c r="G120" t="s">
        <v>647</v>
      </c>
      <c r="H120" t="s">
        <v>659</v>
      </c>
      <c r="I120" t="s">
        <v>699</v>
      </c>
      <c r="J120" t="s">
        <v>706</v>
      </c>
      <c r="K120" t="s">
        <v>707</v>
      </c>
      <c r="L120" t="s">
        <v>721</v>
      </c>
      <c r="M120" t="s">
        <v>732</v>
      </c>
      <c r="N120" t="s">
        <v>852</v>
      </c>
      <c r="O120">
        <v>339.61</v>
      </c>
      <c r="P120">
        <v>621.02</v>
      </c>
      <c r="Q120">
        <v>7.0999999999999994E-2</v>
      </c>
      <c r="R120">
        <v>10</v>
      </c>
    </row>
    <row r="121" spans="1:18" x14ac:dyDescent="0.45">
      <c r="A121" t="s">
        <v>134</v>
      </c>
      <c r="B121" s="5">
        <v>45847</v>
      </c>
      <c r="C121" s="5">
        <v>45856</v>
      </c>
      <c r="D121" s="5">
        <f t="shared" si="3"/>
        <v>45847</v>
      </c>
      <c r="E121" s="5">
        <f t="shared" si="4"/>
        <v>45856</v>
      </c>
      <c r="F121" s="7">
        <f t="shared" si="5"/>
        <v>9</v>
      </c>
      <c r="G121" t="s">
        <v>648</v>
      </c>
      <c r="H121" t="s">
        <v>653</v>
      </c>
      <c r="I121" t="s">
        <v>688</v>
      </c>
      <c r="J121" t="s">
        <v>702</v>
      </c>
      <c r="K121" t="s">
        <v>710</v>
      </c>
      <c r="L121" t="s">
        <v>714</v>
      </c>
      <c r="M121" t="s">
        <v>731</v>
      </c>
      <c r="N121" t="s">
        <v>853</v>
      </c>
      <c r="O121">
        <v>57.96</v>
      </c>
      <c r="P121">
        <v>88.51</v>
      </c>
      <c r="Q121">
        <v>4.2999999999999997E-2</v>
      </c>
      <c r="R121">
        <v>7</v>
      </c>
    </row>
    <row r="122" spans="1:18" x14ac:dyDescent="0.45">
      <c r="A122" t="s">
        <v>135</v>
      </c>
      <c r="B122" s="5">
        <v>45827</v>
      </c>
      <c r="C122" s="5">
        <v>45850</v>
      </c>
      <c r="D122" s="5">
        <f t="shared" si="3"/>
        <v>45827</v>
      </c>
      <c r="E122" s="5">
        <f t="shared" si="4"/>
        <v>45850</v>
      </c>
      <c r="F122" s="7">
        <f t="shared" si="5"/>
        <v>23</v>
      </c>
      <c r="G122" t="s">
        <v>649</v>
      </c>
      <c r="H122" t="s">
        <v>658</v>
      </c>
      <c r="J122" t="s">
        <v>703</v>
      </c>
      <c r="K122" t="s">
        <v>711</v>
      </c>
      <c r="M122" t="s">
        <v>729</v>
      </c>
      <c r="N122" t="s">
        <v>854</v>
      </c>
      <c r="O122">
        <v>801.24</v>
      </c>
      <c r="P122">
        <v>1959.09</v>
      </c>
      <c r="Q122">
        <v>0.123</v>
      </c>
      <c r="R122">
        <v>23</v>
      </c>
    </row>
    <row r="123" spans="1:18" x14ac:dyDescent="0.45">
      <c r="A123" t="s">
        <v>136</v>
      </c>
      <c r="B123" s="5">
        <v>45249</v>
      </c>
      <c r="C123" s="5">
        <v>45273</v>
      </c>
      <c r="D123" s="5">
        <f t="shared" si="3"/>
        <v>45249</v>
      </c>
      <c r="E123" s="5">
        <f t="shared" si="4"/>
        <v>45273</v>
      </c>
      <c r="F123" s="7">
        <f t="shared" si="5"/>
        <v>24</v>
      </c>
      <c r="G123" t="s">
        <v>649</v>
      </c>
      <c r="H123" t="s">
        <v>657</v>
      </c>
      <c r="I123" t="s">
        <v>679</v>
      </c>
      <c r="J123" t="s">
        <v>703</v>
      </c>
      <c r="K123" t="s">
        <v>711</v>
      </c>
      <c r="L123" t="s">
        <v>722</v>
      </c>
      <c r="M123" t="s">
        <v>732</v>
      </c>
      <c r="N123" t="s">
        <v>855</v>
      </c>
      <c r="O123">
        <v>1297.42</v>
      </c>
      <c r="P123">
        <v>2742.97</v>
      </c>
      <c r="Q123">
        <v>6.9000000000000006E-2</v>
      </c>
      <c r="R123">
        <v>9</v>
      </c>
    </row>
    <row r="124" spans="1:18" x14ac:dyDescent="0.45">
      <c r="A124" t="s">
        <v>137</v>
      </c>
      <c r="B124" s="5">
        <v>45289</v>
      </c>
      <c r="C124" s="5">
        <v>45311</v>
      </c>
      <c r="D124" s="5">
        <f t="shared" si="3"/>
        <v>45289</v>
      </c>
      <c r="E124" s="5">
        <f t="shared" si="4"/>
        <v>45311</v>
      </c>
      <c r="F124" s="7">
        <f t="shared" si="5"/>
        <v>22</v>
      </c>
      <c r="G124" t="s">
        <v>646</v>
      </c>
      <c r="H124" t="s">
        <v>650</v>
      </c>
      <c r="I124" t="s">
        <v>662</v>
      </c>
      <c r="J124" t="s">
        <v>701</v>
      </c>
      <c r="K124" t="s">
        <v>711</v>
      </c>
      <c r="L124" t="s">
        <v>716</v>
      </c>
      <c r="M124" t="s">
        <v>730</v>
      </c>
      <c r="N124" t="s">
        <v>856</v>
      </c>
      <c r="O124">
        <v>1395.49</v>
      </c>
      <c r="P124">
        <v>1679.42</v>
      </c>
      <c r="Q124">
        <v>0.20300000000000001</v>
      </c>
      <c r="R124">
        <v>12</v>
      </c>
    </row>
    <row r="125" spans="1:18" x14ac:dyDescent="0.45">
      <c r="A125" t="s">
        <v>138</v>
      </c>
      <c r="B125" s="5">
        <v>45598</v>
      </c>
      <c r="C125" s="5">
        <v>45625</v>
      </c>
      <c r="D125" s="5">
        <f t="shared" si="3"/>
        <v>45598</v>
      </c>
      <c r="E125" s="5">
        <f t="shared" si="4"/>
        <v>45625</v>
      </c>
      <c r="F125" s="7">
        <f t="shared" si="5"/>
        <v>27</v>
      </c>
      <c r="G125" t="s">
        <v>648</v>
      </c>
      <c r="H125" t="s">
        <v>655</v>
      </c>
      <c r="I125" t="s">
        <v>672</v>
      </c>
      <c r="J125" t="s">
        <v>705</v>
      </c>
      <c r="K125" t="s">
        <v>711</v>
      </c>
      <c r="L125" t="s">
        <v>714</v>
      </c>
      <c r="M125" t="s">
        <v>729</v>
      </c>
      <c r="N125" t="s">
        <v>857</v>
      </c>
      <c r="O125">
        <v>1363.51</v>
      </c>
      <c r="P125">
        <v>1433.9</v>
      </c>
      <c r="Q125">
        <v>5.7000000000000002E-2</v>
      </c>
      <c r="R125">
        <v>8</v>
      </c>
    </row>
    <row r="126" spans="1:18" x14ac:dyDescent="0.45">
      <c r="A126" t="s">
        <v>139</v>
      </c>
      <c r="B126" s="5">
        <v>45159</v>
      </c>
      <c r="C126" s="5">
        <v>45173</v>
      </c>
      <c r="D126" s="5">
        <f t="shared" si="3"/>
        <v>45159</v>
      </c>
      <c r="E126" s="5">
        <f t="shared" si="4"/>
        <v>45173</v>
      </c>
      <c r="F126" s="7">
        <f t="shared" si="5"/>
        <v>14</v>
      </c>
      <c r="G126" t="s">
        <v>648</v>
      </c>
      <c r="H126" t="s">
        <v>653</v>
      </c>
      <c r="I126" t="s">
        <v>681</v>
      </c>
      <c r="J126" t="s">
        <v>702</v>
      </c>
      <c r="K126" t="s">
        <v>710</v>
      </c>
      <c r="L126" t="s">
        <v>721</v>
      </c>
      <c r="M126" t="s">
        <v>727</v>
      </c>
      <c r="N126" t="s">
        <v>858</v>
      </c>
      <c r="O126">
        <v>178.19</v>
      </c>
      <c r="P126">
        <v>284.43</v>
      </c>
      <c r="Q126">
        <v>8.8999999999999996E-2</v>
      </c>
      <c r="R126">
        <v>8</v>
      </c>
    </row>
    <row r="127" spans="1:18" x14ac:dyDescent="0.45">
      <c r="A127" t="s">
        <v>140</v>
      </c>
      <c r="B127" s="5">
        <v>45150</v>
      </c>
      <c r="C127" s="5">
        <v>45175</v>
      </c>
      <c r="D127" s="5">
        <f t="shared" si="3"/>
        <v>45150</v>
      </c>
      <c r="E127" s="5">
        <f t="shared" si="4"/>
        <v>45175</v>
      </c>
      <c r="F127" s="7">
        <f t="shared" si="5"/>
        <v>25</v>
      </c>
      <c r="G127" t="s">
        <v>647</v>
      </c>
      <c r="H127" t="s">
        <v>659</v>
      </c>
      <c r="I127" t="s">
        <v>685</v>
      </c>
      <c r="J127" t="s">
        <v>705</v>
      </c>
      <c r="K127" t="s">
        <v>707</v>
      </c>
      <c r="L127" t="s">
        <v>717</v>
      </c>
      <c r="M127" t="s">
        <v>727</v>
      </c>
      <c r="N127" t="s">
        <v>859</v>
      </c>
      <c r="O127">
        <v>950.77</v>
      </c>
      <c r="P127">
        <v>694.78</v>
      </c>
      <c r="Q127">
        <v>8.4000000000000005E-2</v>
      </c>
      <c r="R127">
        <v>14</v>
      </c>
    </row>
    <row r="128" spans="1:18" x14ac:dyDescent="0.45">
      <c r="A128" t="s">
        <v>141</v>
      </c>
      <c r="B128" s="5">
        <v>45450</v>
      </c>
      <c r="C128" s="5">
        <v>45469</v>
      </c>
      <c r="D128" s="5">
        <f t="shared" si="3"/>
        <v>45450</v>
      </c>
      <c r="E128" s="5">
        <f t="shared" si="4"/>
        <v>45469</v>
      </c>
      <c r="F128" s="7">
        <f t="shared" si="5"/>
        <v>19</v>
      </c>
      <c r="G128" t="s">
        <v>649</v>
      </c>
      <c r="H128" t="s">
        <v>656</v>
      </c>
      <c r="I128" t="s">
        <v>671</v>
      </c>
      <c r="J128" t="s">
        <v>703</v>
      </c>
      <c r="K128" t="s">
        <v>709</v>
      </c>
      <c r="L128" t="s">
        <v>724</v>
      </c>
      <c r="M128" t="s">
        <v>727</v>
      </c>
      <c r="N128" t="s">
        <v>860</v>
      </c>
      <c r="O128">
        <v>1064.32</v>
      </c>
      <c r="P128">
        <v>1848.39</v>
      </c>
      <c r="Q128">
        <v>7.2999999999999995E-2</v>
      </c>
      <c r="R128">
        <v>38</v>
      </c>
    </row>
    <row r="129" spans="1:18" x14ac:dyDescent="0.45">
      <c r="A129" t="s">
        <v>142</v>
      </c>
      <c r="B129" s="5">
        <v>45874</v>
      </c>
      <c r="C129" s="5">
        <v>45883</v>
      </c>
      <c r="D129" s="5">
        <f t="shared" si="3"/>
        <v>45874</v>
      </c>
      <c r="E129" s="5">
        <f t="shared" si="4"/>
        <v>45883</v>
      </c>
      <c r="F129" s="7">
        <f t="shared" si="5"/>
        <v>9</v>
      </c>
      <c r="G129" t="s">
        <v>649</v>
      </c>
      <c r="H129" t="s">
        <v>658</v>
      </c>
      <c r="I129" t="s">
        <v>683</v>
      </c>
      <c r="J129" t="s">
        <v>703</v>
      </c>
      <c r="K129" t="s">
        <v>711</v>
      </c>
      <c r="L129" t="s">
        <v>718</v>
      </c>
      <c r="M129" t="s">
        <v>727</v>
      </c>
      <c r="N129" t="s">
        <v>861</v>
      </c>
      <c r="O129">
        <v>41.76</v>
      </c>
      <c r="P129">
        <v>45.19</v>
      </c>
      <c r="Q129">
        <v>0.17899999999999999</v>
      </c>
      <c r="R129">
        <v>23</v>
      </c>
    </row>
    <row r="130" spans="1:18" x14ac:dyDescent="0.45">
      <c r="A130" t="s">
        <v>143</v>
      </c>
      <c r="B130" s="5">
        <v>45442</v>
      </c>
      <c r="C130" s="5">
        <v>45456</v>
      </c>
      <c r="D130" s="5">
        <f t="shared" si="3"/>
        <v>45442</v>
      </c>
      <c r="E130" s="5">
        <f t="shared" si="4"/>
        <v>45456</v>
      </c>
      <c r="F130" s="7">
        <f t="shared" si="5"/>
        <v>14</v>
      </c>
      <c r="G130" t="s">
        <v>648</v>
      </c>
      <c r="H130" t="s">
        <v>660</v>
      </c>
      <c r="I130" t="s">
        <v>686</v>
      </c>
      <c r="J130" t="s">
        <v>705</v>
      </c>
      <c r="K130" t="s">
        <v>707</v>
      </c>
      <c r="L130" t="s">
        <v>721</v>
      </c>
      <c r="M130" t="s">
        <v>730</v>
      </c>
      <c r="N130" t="s">
        <v>862</v>
      </c>
      <c r="O130">
        <v>157.78</v>
      </c>
      <c r="P130">
        <v>361.1</v>
      </c>
      <c r="Q130">
        <v>0.187</v>
      </c>
      <c r="R130">
        <v>9</v>
      </c>
    </row>
    <row r="131" spans="1:18" x14ac:dyDescent="0.45">
      <c r="A131" t="s">
        <v>144</v>
      </c>
      <c r="B131" s="5">
        <v>44948</v>
      </c>
      <c r="C131" s="5">
        <v>44956</v>
      </c>
      <c r="D131" s="5">
        <f t="shared" ref="D131:D194" si="6">IF(C131&gt;B131,B131,C131)</f>
        <v>44948</v>
      </c>
      <c r="E131" s="5">
        <f t="shared" ref="E131:E194" si="7">IF(C131&gt;B131,C131,B131)</f>
        <v>44956</v>
      </c>
      <c r="F131" s="7">
        <f t="shared" ref="F131:F194" si="8">DATEDIF(D131,E131,"d")</f>
        <v>8</v>
      </c>
      <c r="G131" t="s">
        <v>648</v>
      </c>
      <c r="H131" t="s">
        <v>660</v>
      </c>
      <c r="I131" t="s">
        <v>686</v>
      </c>
      <c r="J131" t="s">
        <v>705</v>
      </c>
      <c r="K131" t="s">
        <v>708</v>
      </c>
      <c r="L131" t="s">
        <v>720</v>
      </c>
      <c r="M131" t="s">
        <v>729</v>
      </c>
      <c r="N131" t="s">
        <v>863</v>
      </c>
      <c r="O131">
        <v>413.52</v>
      </c>
      <c r="P131">
        <v>1004.34</v>
      </c>
      <c r="Q131">
        <v>0.111</v>
      </c>
      <c r="R131">
        <v>18</v>
      </c>
    </row>
    <row r="132" spans="1:18" x14ac:dyDescent="0.45">
      <c r="A132" t="s">
        <v>145</v>
      </c>
      <c r="B132" s="5">
        <v>45700</v>
      </c>
      <c r="C132" s="5">
        <v>45716</v>
      </c>
      <c r="D132" s="5">
        <f t="shared" si="6"/>
        <v>45700</v>
      </c>
      <c r="E132" s="5">
        <f t="shared" si="7"/>
        <v>45716</v>
      </c>
      <c r="F132" s="7">
        <f t="shared" si="8"/>
        <v>16</v>
      </c>
      <c r="G132" t="s">
        <v>648</v>
      </c>
      <c r="H132" t="s">
        <v>655</v>
      </c>
      <c r="I132" t="s">
        <v>670</v>
      </c>
      <c r="J132" t="s">
        <v>703</v>
      </c>
      <c r="K132" t="s">
        <v>711</v>
      </c>
      <c r="L132" t="s">
        <v>717</v>
      </c>
      <c r="M132" t="s">
        <v>732</v>
      </c>
      <c r="N132" t="s">
        <v>864</v>
      </c>
      <c r="O132">
        <v>414.95</v>
      </c>
      <c r="P132">
        <v>1027.73</v>
      </c>
      <c r="Q132">
        <v>6.3E-2</v>
      </c>
      <c r="R132">
        <v>8</v>
      </c>
    </row>
    <row r="133" spans="1:18" x14ac:dyDescent="0.45">
      <c r="A133" t="s">
        <v>146</v>
      </c>
      <c r="B133" s="5">
        <v>45719</v>
      </c>
      <c r="C133" s="5">
        <v>45740</v>
      </c>
      <c r="D133" s="5">
        <f t="shared" si="6"/>
        <v>45719</v>
      </c>
      <c r="E133" s="5">
        <f t="shared" si="7"/>
        <v>45740</v>
      </c>
      <c r="F133" s="7">
        <f t="shared" si="8"/>
        <v>21</v>
      </c>
      <c r="G133" t="s">
        <v>646</v>
      </c>
      <c r="H133" t="s">
        <v>651</v>
      </c>
      <c r="I133" t="s">
        <v>669</v>
      </c>
      <c r="J133" t="s">
        <v>706</v>
      </c>
      <c r="K133" t="s">
        <v>711</v>
      </c>
      <c r="L133" t="s">
        <v>722</v>
      </c>
      <c r="M133" t="s">
        <v>733</v>
      </c>
      <c r="N133" t="s">
        <v>865</v>
      </c>
      <c r="O133">
        <v>555.95000000000005</v>
      </c>
      <c r="P133">
        <v>468.09</v>
      </c>
      <c r="Q133">
        <v>0.14199999999999999</v>
      </c>
      <c r="R133">
        <v>11</v>
      </c>
    </row>
    <row r="134" spans="1:18" x14ac:dyDescent="0.45">
      <c r="A134" t="s">
        <v>147</v>
      </c>
      <c r="B134" s="5">
        <v>44953</v>
      </c>
      <c r="C134" s="5">
        <v>44957</v>
      </c>
      <c r="D134" s="5">
        <f t="shared" si="6"/>
        <v>44953</v>
      </c>
      <c r="E134" s="5">
        <f t="shared" si="7"/>
        <v>44957</v>
      </c>
      <c r="F134" s="7">
        <f t="shared" si="8"/>
        <v>4</v>
      </c>
      <c r="G134" t="s">
        <v>649</v>
      </c>
      <c r="H134" t="s">
        <v>658</v>
      </c>
      <c r="I134" t="s">
        <v>693</v>
      </c>
      <c r="J134" t="s">
        <v>706</v>
      </c>
      <c r="K134" t="s">
        <v>708</v>
      </c>
      <c r="L134" t="s">
        <v>725</v>
      </c>
      <c r="M134" t="s">
        <v>731</v>
      </c>
      <c r="N134" t="s">
        <v>866</v>
      </c>
      <c r="O134">
        <v>941.2</v>
      </c>
      <c r="P134">
        <v>668.02</v>
      </c>
      <c r="Q134">
        <v>0.22</v>
      </c>
      <c r="R134">
        <v>16</v>
      </c>
    </row>
    <row r="135" spans="1:18" x14ac:dyDescent="0.45">
      <c r="A135" t="s">
        <v>148</v>
      </c>
      <c r="B135" s="5">
        <v>45666</v>
      </c>
      <c r="C135" s="5">
        <v>45672</v>
      </c>
      <c r="D135" s="5">
        <f t="shared" si="6"/>
        <v>45666</v>
      </c>
      <c r="E135" s="5">
        <f t="shared" si="7"/>
        <v>45672</v>
      </c>
      <c r="F135" s="7">
        <f t="shared" si="8"/>
        <v>6</v>
      </c>
      <c r="G135" t="s">
        <v>647</v>
      </c>
      <c r="H135" t="s">
        <v>659</v>
      </c>
      <c r="I135" t="s">
        <v>699</v>
      </c>
      <c r="J135" t="s">
        <v>702</v>
      </c>
      <c r="K135" t="s">
        <v>708</v>
      </c>
      <c r="L135" t="s">
        <v>712</v>
      </c>
      <c r="M135" t="s">
        <v>730</v>
      </c>
      <c r="N135" t="s">
        <v>867</v>
      </c>
      <c r="O135">
        <v>304.77999999999997</v>
      </c>
      <c r="P135">
        <v>537.27</v>
      </c>
      <c r="Q135">
        <v>0.187</v>
      </c>
      <c r="R135">
        <v>8</v>
      </c>
    </row>
    <row r="136" spans="1:18" x14ac:dyDescent="0.45">
      <c r="A136" t="s">
        <v>149</v>
      </c>
      <c r="B136" s="5">
        <v>45647</v>
      </c>
      <c r="C136" s="5">
        <v>45652</v>
      </c>
      <c r="D136" s="5">
        <f t="shared" si="6"/>
        <v>45647</v>
      </c>
      <c r="E136" s="5">
        <f t="shared" si="7"/>
        <v>45652</v>
      </c>
      <c r="F136" s="7">
        <f t="shared" si="8"/>
        <v>5</v>
      </c>
      <c r="G136" t="s">
        <v>648</v>
      </c>
      <c r="H136" t="s">
        <v>660</v>
      </c>
      <c r="I136" t="s">
        <v>686</v>
      </c>
      <c r="J136" t="s">
        <v>704</v>
      </c>
      <c r="K136" t="s">
        <v>709</v>
      </c>
      <c r="L136" t="s">
        <v>724</v>
      </c>
      <c r="M136" t="s">
        <v>728</v>
      </c>
      <c r="N136" t="s">
        <v>868</v>
      </c>
      <c r="O136">
        <v>699.57</v>
      </c>
      <c r="P136">
        <v>572.71</v>
      </c>
      <c r="Q136">
        <v>0.192</v>
      </c>
      <c r="R136">
        <v>26</v>
      </c>
    </row>
    <row r="137" spans="1:18" x14ac:dyDescent="0.45">
      <c r="A137" t="s">
        <v>150</v>
      </c>
      <c r="B137" s="5">
        <v>45028</v>
      </c>
      <c r="C137" s="5">
        <v>45033</v>
      </c>
      <c r="D137" s="5">
        <f t="shared" si="6"/>
        <v>45028</v>
      </c>
      <c r="E137" s="5">
        <f t="shared" si="7"/>
        <v>45033</v>
      </c>
      <c r="F137" s="7">
        <f t="shared" si="8"/>
        <v>5</v>
      </c>
      <c r="G137" t="s">
        <v>649</v>
      </c>
      <c r="H137" t="s">
        <v>657</v>
      </c>
      <c r="I137" t="s">
        <v>679</v>
      </c>
      <c r="J137" t="s">
        <v>706</v>
      </c>
      <c r="K137" t="s">
        <v>711</v>
      </c>
      <c r="L137" t="s">
        <v>718</v>
      </c>
      <c r="M137" t="s">
        <v>732</v>
      </c>
      <c r="N137" t="s">
        <v>869</v>
      </c>
      <c r="O137">
        <v>1087.81</v>
      </c>
      <c r="P137">
        <v>2323.87</v>
      </c>
      <c r="Q137">
        <v>9.4E-2</v>
      </c>
      <c r="R137">
        <v>13</v>
      </c>
    </row>
    <row r="138" spans="1:18" x14ac:dyDescent="0.45">
      <c r="A138" t="s">
        <v>151</v>
      </c>
      <c r="B138" s="5">
        <v>45640</v>
      </c>
      <c r="C138" s="5">
        <v>45669</v>
      </c>
      <c r="D138" s="5">
        <f t="shared" si="6"/>
        <v>45640</v>
      </c>
      <c r="E138" s="5">
        <f t="shared" si="7"/>
        <v>45669</v>
      </c>
      <c r="F138" s="7">
        <f t="shared" si="8"/>
        <v>29</v>
      </c>
      <c r="G138" t="s">
        <v>647</v>
      </c>
      <c r="H138" t="s">
        <v>659</v>
      </c>
      <c r="I138" t="s">
        <v>676</v>
      </c>
      <c r="J138" t="s">
        <v>702</v>
      </c>
      <c r="K138" t="s">
        <v>708</v>
      </c>
      <c r="L138" t="s">
        <v>713</v>
      </c>
      <c r="M138" t="s">
        <v>727</v>
      </c>
      <c r="N138" t="s">
        <v>870</v>
      </c>
      <c r="O138">
        <v>1412.15</v>
      </c>
      <c r="P138">
        <v>1631.04</v>
      </c>
      <c r="Q138">
        <v>8.9999999999999993E-3</v>
      </c>
      <c r="R138">
        <v>6</v>
      </c>
    </row>
    <row r="139" spans="1:18" x14ac:dyDescent="0.45">
      <c r="A139" t="s">
        <v>152</v>
      </c>
      <c r="B139" s="5">
        <v>45016</v>
      </c>
      <c r="C139" s="5">
        <v>45028</v>
      </c>
      <c r="D139" s="5">
        <f t="shared" si="6"/>
        <v>45016</v>
      </c>
      <c r="E139" s="5">
        <f t="shared" si="7"/>
        <v>45028</v>
      </c>
      <c r="F139" s="7">
        <f t="shared" si="8"/>
        <v>12</v>
      </c>
      <c r="G139" t="s">
        <v>646</v>
      </c>
      <c r="H139" t="s">
        <v>650</v>
      </c>
      <c r="I139" t="s">
        <v>675</v>
      </c>
      <c r="J139" t="s">
        <v>705</v>
      </c>
      <c r="K139" t="s">
        <v>708</v>
      </c>
      <c r="L139" t="s">
        <v>712</v>
      </c>
      <c r="M139" t="s">
        <v>730</v>
      </c>
      <c r="N139" t="s">
        <v>871</v>
      </c>
      <c r="O139">
        <v>304.22000000000003</v>
      </c>
      <c r="P139">
        <v>393.31</v>
      </c>
      <c r="Q139">
        <v>0.26500000000000001</v>
      </c>
      <c r="R139">
        <v>15</v>
      </c>
    </row>
    <row r="140" spans="1:18" x14ac:dyDescent="0.45">
      <c r="A140" t="s">
        <v>153</v>
      </c>
      <c r="B140" s="5">
        <v>45616</v>
      </c>
      <c r="C140" s="5">
        <v>45641</v>
      </c>
      <c r="D140" s="5">
        <f t="shared" si="6"/>
        <v>45616</v>
      </c>
      <c r="E140" s="5">
        <f t="shared" si="7"/>
        <v>45641</v>
      </c>
      <c r="F140" s="7">
        <f t="shared" si="8"/>
        <v>25</v>
      </c>
      <c r="G140" t="s">
        <v>649</v>
      </c>
      <c r="H140" t="s">
        <v>657</v>
      </c>
      <c r="I140" t="s">
        <v>690</v>
      </c>
      <c r="J140" t="s">
        <v>701</v>
      </c>
      <c r="K140" t="s">
        <v>708</v>
      </c>
      <c r="L140" t="s">
        <v>715</v>
      </c>
      <c r="M140" t="s">
        <v>728</v>
      </c>
      <c r="N140" t="s">
        <v>872</v>
      </c>
      <c r="O140">
        <v>1203.58</v>
      </c>
      <c r="P140">
        <v>1856.16</v>
      </c>
      <c r="Q140">
        <v>0.129</v>
      </c>
      <c r="R140">
        <v>22</v>
      </c>
    </row>
    <row r="141" spans="1:18" x14ac:dyDescent="0.45">
      <c r="A141" t="s">
        <v>154</v>
      </c>
      <c r="B141" s="5">
        <v>45336</v>
      </c>
      <c r="C141" s="5">
        <v>45336</v>
      </c>
      <c r="D141" s="5">
        <f t="shared" si="6"/>
        <v>45336</v>
      </c>
      <c r="E141" s="5">
        <f t="shared" si="7"/>
        <v>45336</v>
      </c>
      <c r="F141" s="7">
        <f t="shared" si="8"/>
        <v>0</v>
      </c>
      <c r="G141" t="s">
        <v>647</v>
      </c>
      <c r="H141" t="s">
        <v>659</v>
      </c>
      <c r="I141" t="s">
        <v>699</v>
      </c>
      <c r="J141" t="s">
        <v>701</v>
      </c>
      <c r="K141" t="s">
        <v>710</v>
      </c>
      <c r="L141" t="s">
        <v>716</v>
      </c>
      <c r="M141" t="s">
        <v>733</v>
      </c>
      <c r="N141" t="s">
        <v>873</v>
      </c>
      <c r="O141">
        <v>65.930000000000007</v>
      </c>
      <c r="P141">
        <v>84.9</v>
      </c>
      <c r="Q141">
        <v>0.25900000000000001</v>
      </c>
      <c r="R141">
        <v>23</v>
      </c>
    </row>
    <row r="142" spans="1:18" x14ac:dyDescent="0.45">
      <c r="A142" t="s">
        <v>155</v>
      </c>
      <c r="B142" s="5">
        <v>45048</v>
      </c>
      <c r="C142" s="5">
        <v>45064</v>
      </c>
      <c r="D142" s="5">
        <f t="shared" si="6"/>
        <v>45048</v>
      </c>
      <c r="E142" s="5">
        <f t="shared" si="7"/>
        <v>45064</v>
      </c>
      <c r="F142" s="7">
        <f t="shared" si="8"/>
        <v>16</v>
      </c>
      <c r="G142" t="s">
        <v>647</v>
      </c>
      <c r="H142" t="s">
        <v>654</v>
      </c>
      <c r="I142" t="s">
        <v>680</v>
      </c>
      <c r="J142" t="s">
        <v>705</v>
      </c>
      <c r="K142" t="s">
        <v>709</v>
      </c>
      <c r="L142" t="s">
        <v>723</v>
      </c>
      <c r="M142" t="s">
        <v>732</v>
      </c>
      <c r="N142" t="s">
        <v>874</v>
      </c>
      <c r="O142">
        <v>1463.92</v>
      </c>
      <c r="P142">
        <v>2252.2399999999998</v>
      </c>
      <c r="Q142">
        <v>0.11799999999999999</v>
      </c>
      <c r="R142">
        <v>44</v>
      </c>
    </row>
    <row r="143" spans="1:18" x14ac:dyDescent="0.45">
      <c r="A143" t="s">
        <v>156</v>
      </c>
      <c r="B143" s="5">
        <v>45649</v>
      </c>
      <c r="C143" s="5">
        <v>45668</v>
      </c>
      <c r="D143" s="5">
        <f t="shared" si="6"/>
        <v>45649</v>
      </c>
      <c r="E143" s="5">
        <f t="shared" si="7"/>
        <v>45668</v>
      </c>
      <c r="F143" s="7">
        <f t="shared" si="8"/>
        <v>19</v>
      </c>
      <c r="G143" t="s">
        <v>649</v>
      </c>
      <c r="H143" t="s">
        <v>656</v>
      </c>
      <c r="I143" t="s">
        <v>671</v>
      </c>
      <c r="J143" t="s">
        <v>702</v>
      </c>
      <c r="K143" t="s">
        <v>707</v>
      </c>
      <c r="L143" t="s">
        <v>723</v>
      </c>
      <c r="M143" t="s">
        <v>730</v>
      </c>
      <c r="N143" t="s">
        <v>875</v>
      </c>
      <c r="O143">
        <v>501.81</v>
      </c>
      <c r="P143">
        <v>921.62</v>
      </c>
      <c r="Q143">
        <v>0.01</v>
      </c>
      <c r="R143">
        <v>9</v>
      </c>
    </row>
    <row r="144" spans="1:18" x14ac:dyDescent="0.45">
      <c r="A144" t="s">
        <v>157</v>
      </c>
      <c r="B144" s="5">
        <v>45133</v>
      </c>
      <c r="C144" s="5">
        <v>45163</v>
      </c>
      <c r="D144" s="5">
        <f t="shared" si="6"/>
        <v>45133</v>
      </c>
      <c r="E144" s="5">
        <f t="shared" si="7"/>
        <v>45163</v>
      </c>
      <c r="F144" s="7">
        <f t="shared" si="8"/>
        <v>30</v>
      </c>
      <c r="G144" t="s">
        <v>648</v>
      </c>
      <c r="H144" t="s">
        <v>660</v>
      </c>
      <c r="I144" t="s">
        <v>700</v>
      </c>
      <c r="J144" t="s">
        <v>704</v>
      </c>
      <c r="K144" t="s">
        <v>707</v>
      </c>
      <c r="L144" t="s">
        <v>724</v>
      </c>
      <c r="M144" t="s">
        <v>733</v>
      </c>
      <c r="N144" t="s">
        <v>876</v>
      </c>
      <c r="O144">
        <v>1261.48</v>
      </c>
      <c r="P144">
        <v>1643.18</v>
      </c>
      <c r="Q144">
        <v>0.151</v>
      </c>
      <c r="R144">
        <v>23</v>
      </c>
    </row>
    <row r="145" spans="1:18" x14ac:dyDescent="0.45">
      <c r="A145" t="s">
        <v>158</v>
      </c>
      <c r="B145" s="5">
        <v>45458</v>
      </c>
      <c r="C145" s="5">
        <v>45479</v>
      </c>
      <c r="D145" s="5">
        <f t="shared" si="6"/>
        <v>45458</v>
      </c>
      <c r="E145" s="5">
        <f t="shared" si="7"/>
        <v>45479</v>
      </c>
      <c r="F145" s="7">
        <f t="shared" si="8"/>
        <v>21</v>
      </c>
      <c r="G145" t="s">
        <v>648</v>
      </c>
      <c r="H145" t="s">
        <v>653</v>
      </c>
      <c r="I145" t="s">
        <v>667</v>
      </c>
      <c r="J145" t="s">
        <v>706</v>
      </c>
      <c r="K145" t="s">
        <v>710</v>
      </c>
      <c r="L145" t="s">
        <v>716</v>
      </c>
      <c r="M145" t="s">
        <v>728</v>
      </c>
      <c r="N145" t="s">
        <v>877</v>
      </c>
      <c r="O145">
        <v>817.23</v>
      </c>
      <c r="P145">
        <v>1467.17</v>
      </c>
      <c r="Q145">
        <v>0.245</v>
      </c>
      <c r="R145">
        <v>9</v>
      </c>
    </row>
    <row r="146" spans="1:18" x14ac:dyDescent="0.45">
      <c r="A146" t="s">
        <v>159</v>
      </c>
      <c r="B146" s="5">
        <v>45112</v>
      </c>
      <c r="C146" s="5">
        <v>45121</v>
      </c>
      <c r="D146" s="5">
        <f t="shared" si="6"/>
        <v>45112</v>
      </c>
      <c r="E146" s="5">
        <f t="shared" si="7"/>
        <v>45121</v>
      </c>
      <c r="F146" s="7">
        <f t="shared" si="8"/>
        <v>9</v>
      </c>
      <c r="G146" t="s">
        <v>648</v>
      </c>
      <c r="H146" t="s">
        <v>655</v>
      </c>
      <c r="I146" t="s">
        <v>672</v>
      </c>
      <c r="J146" t="s">
        <v>706</v>
      </c>
      <c r="K146" t="s">
        <v>711</v>
      </c>
      <c r="L146" t="s">
        <v>717</v>
      </c>
      <c r="M146" t="s">
        <v>729</v>
      </c>
      <c r="N146" t="s">
        <v>878</v>
      </c>
      <c r="O146">
        <v>578.85</v>
      </c>
      <c r="P146">
        <v>998.76</v>
      </c>
      <c r="Q146">
        <v>8.2000000000000003E-2</v>
      </c>
      <c r="R146">
        <v>28</v>
      </c>
    </row>
    <row r="147" spans="1:18" x14ac:dyDescent="0.45">
      <c r="A147" t="s">
        <v>160</v>
      </c>
      <c r="B147" s="5">
        <v>45260</v>
      </c>
      <c r="C147" s="5">
        <v>45259</v>
      </c>
      <c r="D147" s="5">
        <f t="shared" si="6"/>
        <v>45259</v>
      </c>
      <c r="E147" s="5">
        <f t="shared" si="7"/>
        <v>45260</v>
      </c>
      <c r="F147" s="7">
        <f t="shared" si="8"/>
        <v>1</v>
      </c>
      <c r="G147" t="s">
        <v>646</v>
      </c>
      <c r="H147" t="s">
        <v>661</v>
      </c>
      <c r="I147" t="s">
        <v>687</v>
      </c>
      <c r="J147" t="s">
        <v>705</v>
      </c>
      <c r="K147" t="s">
        <v>709</v>
      </c>
      <c r="L147" t="s">
        <v>718</v>
      </c>
      <c r="M147" t="s">
        <v>731</v>
      </c>
      <c r="N147" t="s">
        <v>879</v>
      </c>
      <c r="O147">
        <v>275.56</v>
      </c>
      <c r="P147">
        <v>630.72</v>
      </c>
      <c r="Q147">
        <v>0.107</v>
      </c>
      <c r="R147">
        <v>23</v>
      </c>
    </row>
    <row r="148" spans="1:18" x14ac:dyDescent="0.45">
      <c r="A148" t="s">
        <v>161</v>
      </c>
      <c r="B148" s="5">
        <v>45911</v>
      </c>
      <c r="C148" s="5">
        <v>45928</v>
      </c>
      <c r="D148" s="5">
        <f t="shared" si="6"/>
        <v>45911</v>
      </c>
      <c r="E148" s="5">
        <f t="shared" si="7"/>
        <v>45928</v>
      </c>
      <c r="F148" s="7">
        <f t="shared" si="8"/>
        <v>17</v>
      </c>
      <c r="G148" t="s">
        <v>646</v>
      </c>
      <c r="H148" t="s">
        <v>650</v>
      </c>
      <c r="I148" t="s">
        <v>664</v>
      </c>
      <c r="J148" t="s">
        <v>703</v>
      </c>
      <c r="K148" t="s">
        <v>710</v>
      </c>
      <c r="L148" t="s">
        <v>713</v>
      </c>
      <c r="M148" t="s">
        <v>731</v>
      </c>
      <c r="N148" t="s">
        <v>880</v>
      </c>
      <c r="O148">
        <v>891.46</v>
      </c>
      <c r="P148">
        <v>728.61</v>
      </c>
      <c r="Q148">
        <v>0.185</v>
      </c>
      <c r="R148">
        <v>6</v>
      </c>
    </row>
    <row r="149" spans="1:18" x14ac:dyDescent="0.45">
      <c r="A149" t="s">
        <v>162</v>
      </c>
      <c r="B149" s="5">
        <v>45386</v>
      </c>
      <c r="C149" s="5">
        <v>45406</v>
      </c>
      <c r="D149" s="5">
        <f t="shared" si="6"/>
        <v>45386</v>
      </c>
      <c r="E149" s="5">
        <f t="shared" si="7"/>
        <v>45406</v>
      </c>
      <c r="F149" s="7">
        <f t="shared" si="8"/>
        <v>20</v>
      </c>
      <c r="G149" t="s">
        <v>649</v>
      </c>
      <c r="H149" t="s">
        <v>656</v>
      </c>
      <c r="I149" t="s">
        <v>698</v>
      </c>
      <c r="J149" t="s">
        <v>703</v>
      </c>
      <c r="K149" t="s">
        <v>711</v>
      </c>
      <c r="L149" t="s">
        <v>719</v>
      </c>
      <c r="M149" t="s">
        <v>733</v>
      </c>
      <c r="N149" t="s">
        <v>881</v>
      </c>
      <c r="O149">
        <v>683.42</v>
      </c>
      <c r="P149">
        <v>951.51</v>
      </c>
      <c r="Q149">
        <v>0</v>
      </c>
      <c r="R149">
        <v>14</v>
      </c>
    </row>
    <row r="150" spans="1:18" x14ac:dyDescent="0.45">
      <c r="A150" t="s">
        <v>163</v>
      </c>
      <c r="B150" s="5">
        <v>45183</v>
      </c>
      <c r="C150" s="5">
        <v>45185</v>
      </c>
      <c r="D150" s="5">
        <f t="shared" si="6"/>
        <v>45183</v>
      </c>
      <c r="E150" s="5">
        <f t="shared" si="7"/>
        <v>45185</v>
      </c>
      <c r="F150" s="7">
        <f t="shared" si="8"/>
        <v>2</v>
      </c>
      <c r="G150" t="s">
        <v>649</v>
      </c>
      <c r="H150" t="s">
        <v>657</v>
      </c>
      <c r="I150" t="s">
        <v>679</v>
      </c>
      <c r="J150" t="s">
        <v>703</v>
      </c>
      <c r="K150" t="s">
        <v>711</v>
      </c>
      <c r="L150" t="s">
        <v>717</v>
      </c>
      <c r="M150" t="s">
        <v>728</v>
      </c>
      <c r="N150" t="s">
        <v>882</v>
      </c>
      <c r="O150">
        <v>376.83</v>
      </c>
      <c r="P150">
        <v>732.88</v>
      </c>
      <c r="Q150">
        <v>0.188</v>
      </c>
      <c r="R150">
        <v>25</v>
      </c>
    </row>
    <row r="151" spans="1:18" x14ac:dyDescent="0.45">
      <c r="A151" t="s">
        <v>164</v>
      </c>
      <c r="B151" s="5">
        <v>45558</v>
      </c>
      <c r="C151" s="5">
        <v>45583</v>
      </c>
      <c r="D151" s="5">
        <f t="shared" si="6"/>
        <v>45558</v>
      </c>
      <c r="E151" s="5">
        <f t="shared" si="7"/>
        <v>45583</v>
      </c>
      <c r="F151" s="7">
        <f t="shared" si="8"/>
        <v>25</v>
      </c>
      <c r="G151" t="s">
        <v>648</v>
      </c>
      <c r="H151" t="s">
        <v>653</v>
      </c>
      <c r="I151" t="s">
        <v>688</v>
      </c>
      <c r="J151" t="s">
        <v>705</v>
      </c>
      <c r="K151" t="s">
        <v>708</v>
      </c>
      <c r="L151" t="s">
        <v>725</v>
      </c>
      <c r="M151" t="s">
        <v>730</v>
      </c>
      <c r="N151" t="s">
        <v>883</v>
      </c>
      <c r="O151">
        <v>1297</v>
      </c>
      <c r="P151">
        <v>2411.52</v>
      </c>
      <c r="Q151">
        <v>2.1000000000000001E-2</v>
      </c>
      <c r="R151">
        <v>18</v>
      </c>
    </row>
    <row r="152" spans="1:18" x14ac:dyDescent="0.45">
      <c r="A152" t="s">
        <v>165</v>
      </c>
      <c r="B152" s="5">
        <v>45763</v>
      </c>
      <c r="C152" s="5">
        <v>45793</v>
      </c>
      <c r="D152" s="5">
        <f t="shared" si="6"/>
        <v>45763</v>
      </c>
      <c r="E152" s="5">
        <f t="shared" si="7"/>
        <v>45793</v>
      </c>
      <c r="F152" s="7">
        <f t="shared" si="8"/>
        <v>30</v>
      </c>
      <c r="G152" t="s">
        <v>648</v>
      </c>
      <c r="H152" t="s">
        <v>653</v>
      </c>
      <c r="I152" t="s">
        <v>681</v>
      </c>
      <c r="J152" t="s">
        <v>706</v>
      </c>
      <c r="K152" t="s">
        <v>710</v>
      </c>
      <c r="L152" t="s">
        <v>723</v>
      </c>
      <c r="M152" t="s">
        <v>728</v>
      </c>
      <c r="N152" t="s">
        <v>884</v>
      </c>
      <c r="O152">
        <v>763.32</v>
      </c>
      <c r="P152">
        <v>568.29</v>
      </c>
      <c r="Q152">
        <v>0.13100000000000001</v>
      </c>
      <c r="R152">
        <v>16</v>
      </c>
    </row>
    <row r="153" spans="1:18" x14ac:dyDescent="0.45">
      <c r="A153" t="s">
        <v>166</v>
      </c>
      <c r="B153" s="5">
        <v>45110</v>
      </c>
      <c r="C153" s="5">
        <v>45130</v>
      </c>
      <c r="D153" s="5">
        <f t="shared" si="6"/>
        <v>45110</v>
      </c>
      <c r="E153" s="5">
        <f t="shared" si="7"/>
        <v>45130</v>
      </c>
      <c r="F153" s="7">
        <f t="shared" si="8"/>
        <v>20</v>
      </c>
      <c r="G153" t="s">
        <v>646</v>
      </c>
      <c r="H153" t="s">
        <v>661</v>
      </c>
      <c r="I153" t="s">
        <v>682</v>
      </c>
      <c r="J153" t="s">
        <v>705</v>
      </c>
      <c r="K153" t="s">
        <v>710</v>
      </c>
      <c r="L153" t="s">
        <v>721</v>
      </c>
      <c r="M153" t="s">
        <v>731</v>
      </c>
      <c r="N153" t="s">
        <v>885</v>
      </c>
      <c r="O153">
        <v>1001.96</v>
      </c>
      <c r="P153">
        <v>1254.95</v>
      </c>
      <c r="Q153">
        <v>4.4999999999999998E-2</v>
      </c>
      <c r="R153">
        <v>18</v>
      </c>
    </row>
    <row r="154" spans="1:18" x14ac:dyDescent="0.45">
      <c r="A154" t="s">
        <v>167</v>
      </c>
      <c r="B154" s="5">
        <v>45267</v>
      </c>
      <c r="C154" s="5">
        <v>45265</v>
      </c>
      <c r="D154" s="5">
        <f t="shared" si="6"/>
        <v>45265</v>
      </c>
      <c r="E154" s="5">
        <f t="shared" si="7"/>
        <v>45267</v>
      </c>
      <c r="F154" s="7">
        <f t="shared" si="8"/>
        <v>2</v>
      </c>
      <c r="G154" t="s">
        <v>647</v>
      </c>
      <c r="H154" t="s">
        <v>652</v>
      </c>
      <c r="I154" t="s">
        <v>689</v>
      </c>
      <c r="J154" t="s">
        <v>703</v>
      </c>
      <c r="K154" t="s">
        <v>709</v>
      </c>
      <c r="L154" t="s">
        <v>722</v>
      </c>
      <c r="M154" t="s">
        <v>728</v>
      </c>
      <c r="N154" t="s">
        <v>886</v>
      </c>
      <c r="O154">
        <v>1097.5899999999999</v>
      </c>
      <c r="P154">
        <v>845.55</v>
      </c>
      <c r="Q154">
        <v>0.184</v>
      </c>
      <c r="R154">
        <v>6</v>
      </c>
    </row>
    <row r="155" spans="1:18" x14ac:dyDescent="0.45">
      <c r="A155" t="s">
        <v>168</v>
      </c>
      <c r="B155" s="5">
        <v>45340</v>
      </c>
      <c r="C155" s="5">
        <v>45355</v>
      </c>
      <c r="D155" s="5">
        <f t="shared" si="6"/>
        <v>45340</v>
      </c>
      <c r="E155" s="5">
        <f t="shared" si="7"/>
        <v>45355</v>
      </c>
      <c r="F155" s="7">
        <f t="shared" si="8"/>
        <v>15</v>
      </c>
      <c r="G155" t="s">
        <v>646</v>
      </c>
      <c r="H155" t="s">
        <v>650</v>
      </c>
      <c r="I155" t="s">
        <v>662</v>
      </c>
      <c r="J155" t="s">
        <v>702</v>
      </c>
      <c r="K155" t="s">
        <v>711</v>
      </c>
      <c r="L155" t="s">
        <v>723</v>
      </c>
      <c r="M155" t="s">
        <v>728</v>
      </c>
      <c r="N155" t="s">
        <v>887</v>
      </c>
      <c r="O155">
        <v>928.68</v>
      </c>
      <c r="P155">
        <v>2145.17</v>
      </c>
      <c r="Q155">
        <v>0.13600000000000001</v>
      </c>
      <c r="R155">
        <v>16</v>
      </c>
    </row>
    <row r="156" spans="1:18" x14ac:dyDescent="0.45">
      <c r="A156" t="s">
        <v>169</v>
      </c>
      <c r="B156" s="5">
        <v>45230</v>
      </c>
      <c r="C156" s="5">
        <v>45232</v>
      </c>
      <c r="D156" s="5">
        <f t="shared" si="6"/>
        <v>45230</v>
      </c>
      <c r="E156" s="5">
        <f t="shared" si="7"/>
        <v>45232</v>
      </c>
      <c r="F156" s="7">
        <f t="shared" si="8"/>
        <v>2</v>
      </c>
      <c r="G156" t="s">
        <v>646</v>
      </c>
      <c r="H156" t="s">
        <v>650</v>
      </c>
      <c r="I156" t="s">
        <v>662</v>
      </c>
      <c r="J156" t="s">
        <v>702</v>
      </c>
      <c r="K156" t="s">
        <v>707</v>
      </c>
      <c r="L156" t="s">
        <v>719</v>
      </c>
      <c r="M156" t="s">
        <v>733</v>
      </c>
      <c r="N156" t="s">
        <v>888</v>
      </c>
      <c r="O156">
        <v>867.89</v>
      </c>
      <c r="P156">
        <v>1349.94</v>
      </c>
      <c r="Q156">
        <v>0.184</v>
      </c>
      <c r="R156">
        <v>10</v>
      </c>
    </row>
    <row r="157" spans="1:18" x14ac:dyDescent="0.45">
      <c r="A157" t="s">
        <v>170</v>
      </c>
      <c r="B157" s="5">
        <v>45511</v>
      </c>
      <c r="C157" s="5">
        <v>45521</v>
      </c>
      <c r="D157" s="5">
        <f t="shared" si="6"/>
        <v>45511</v>
      </c>
      <c r="E157" s="5">
        <f t="shared" si="7"/>
        <v>45521</v>
      </c>
      <c r="F157" s="7">
        <f t="shared" si="8"/>
        <v>10</v>
      </c>
      <c r="G157" t="s">
        <v>647</v>
      </c>
      <c r="H157" t="s">
        <v>652</v>
      </c>
      <c r="I157" t="s">
        <v>666</v>
      </c>
      <c r="J157" t="s">
        <v>704</v>
      </c>
      <c r="K157" t="s">
        <v>708</v>
      </c>
      <c r="L157" t="s">
        <v>723</v>
      </c>
      <c r="M157" t="s">
        <v>729</v>
      </c>
      <c r="N157" t="s">
        <v>889</v>
      </c>
      <c r="O157">
        <v>436.58</v>
      </c>
      <c r="P157">
        <v>527.48</v>
      </c>
      <c r="Q157">
        <v>0.111</v>
      </c>
      <c r="R157">
        <v>19</v>
      </c>
    </row>
    <row r="158" spans="1:18" x14ac:dyDescent="0.45">
      <c r="A158" t="s">
        <v>171</v>
      </c>
      <c r="B158" s="5">
        <v>45323</v>
      </c>
      <c r="C158" s="5">
        <v>45343</v>
      </c>
      <c r="D158" s="5">
        <f t="shared" si="6"/>
        <v>45323</v>
      </c>
      <c r="E158" s="5">
        <f t="shared" si="7"/>
        <v>45343</v>
      </c>
      <c r="F158" s="7">
        <f t="shared" si="8"/>
        <v>20</v>
      </c>
      <c r="G158" t="s">
        <v>649</v>
      </c>
      <c r="H158" t="s">
        <v>657</v>
      </c>
      <c r="I158" t="s">
        <v>690</v>
      </c>
      <c r="J158" t="s">
        <v>705</v>
      </c>
      <c r="K158" t="s">
        <v>709</v>
      </c>
      <c r="L158" t="s">
        <v>720</v>
      </c>
      <c r="M158" t="s">
        <v>729</v>
      </c>
      <c r="N158" t="s">
        <v>890</v>
      </c>
      <c r="O158">
        <v>656.2</v>
      </c>
      <c r="P158">
        <v>1467.17</v>
      </c>
      <c r="Q158">
        <v>1.7999999999999999E-2</v>
      </c>
      <c r="R158">
        <v>5</v>
      </c>
    </row>
    <row r="159" spans="1:18" x14ac:dyDescent="0.45">
      <c r="A159" t="s">
        <v>172</v>
      </c>
      <c r="B159" s="5">
        <v>45531</v>
      </c>
      <c r="C159" s="5">
        <v>45553</v>
      </c>
      <c r="D159" s="5">
        <f t="shared" si="6"/>
        <v>45531</v>
      </c>
      <c r="E159" s="5">
        <f t="shared" si="7"/>
        <v>45553</v>
      </c>
      <c r="F159" s="7">
        <f t="shared" si="8"/>
        <v>22</v>
      </c>
      <c r="G159" t="s">
        <v>647</v>
      </c>
      <c r="H159" t="s">
        <v>654</v>
      </c>
      <c r="I159" t="s">
        <v>680</v>
      </c>
      <c r="J159" t="s">
        <v>704</v>
      </c>
      <c r="K159" t="s">
        <v>711</v>
      </c>
      <c r="L159" t="s">
        <v>717</v>
      </c>
      <c r="M159" t="s">
        <v>727</v>
      </c>
      <c r="N159" t="s">
        <v>891</v>
      </c>
      <c r="O159">
        <v>896.75</v>
      </c>
      <c r="P159">
        <v>1651.14</v>
      </c>
      <c r="Q159">
        <v>2.5000000000000001E-2</v>
      </c>
      <c r="R159">
        <v>15</v>
      </c>
    </row>
    <row r="160" spans="1:18" x14ac:dyDescent="0.45">
      <c r="A160" t="s">
        <v>173</v>
      </c>
      <c r="B160" s="5">
        <v>45703</v>
      </c>
      <c r="C160" s="5">
        <v>45703</v>
      </c>
      <c r="D160" s="5">
        <f t="shared" si="6"/>
        <v>45703</v>
      </c>
      <c r="E160" s="5">
        <f t="shared" si="7"/>
        <v>45703</v>
      </c>
      <c r="F160" s="7">
        <f t="shared" si="8"/>
        <v>0</v>
      </c>
      <c r="G160" t="s">
        <v>649</v>
      </c>
      <c r="H160" t="s">
        <v>656</v>
      </c>
      <c r="I160" t="s">
        <v>698</v>
      </c>
      <c r="J160" t="s">
        <v>705</v>
      </c>
      <c r="K160" t="s">
        <v>709</v>
      </c>
      <c r="L160" t="s">
        <v>716</v>
      </c>
      <c r="M160" t="s">
        <v>733</v>
      </c>
      <c r="N160" t="s">
        <v>892</v>
      </c>
      <c r="O160">
        <v>815.83</v>
      </c>
      <c r="P160">
        <v>1982.18</v>
      </c>
      <c r="Q160">
        <v>0.127</v>
      </c>
      <c r="R160">
        <v>6</v>
      </c>
    </row>
    <row r="161" spans="1:18" x14ac:dyDescent="0.45">
      <c r="A161" t="s">
        <v>174</v>
      </c>
      <c r="B161" s="5">
        <v>45870</v>
      </c>
      <c r="C161" s="5">
        <v>45890</v>
      </c>
      <c r="D161" s="5">
        <f t="shared" si="6"/>
        <v>45870</v>
      </c>
      <c r="E161" s="5">
        <f t="shared" si="7"/>
        <v>45890</v>
      </c>
      <c r="F161" s="7">
        <f t="shared" si="8"/>
        <v>20</v>
      </c>
      <c r="G161" t="s">
        <v>647</v>
      </c>
      <c r="H161" t="s">
        <v>659</v>
      </c>
      <c r="I161" t="s">
        <v>685</v>
      </c>
      <c r="J161" t="s">
        <v>701</v>
      </c>
      <c r="K161" t="s">
        <v>711</v>
      </c>
      <c r="L161" t="s">
        <v>714</v>
      </c>
      <c r="M161" t="s">
        <v>730</v>
      </c>
      <c r="N161" t="s">
        <v>893</v>
      </c>
      <c r="O161">
        <v>1220.4100000000001</v>
      </c>
      <c r="P161">
        <v>2552.2199999999998</v>
      </c>
      <c r="Q161">
        <v>0.18099999999999999</v>
      </c>
      <c r="R161">
        <v>14</v>
      </c>
    </row>
    <row r="162" spans="1:18" x14ac:dyDescent="0.45">
      <c r="A162" t="s">
        <v>175</v>
      </c>
      <c r="B162" s="5">
        <v>44977</v>
      </c>
      <c r="C162" s="5">
        <v>44989</v>
      </c>
      <c r="D162" s="5">
        <f t="shared" si="6"/>
        <v>44977</v>
      </c>
      <c r="E162" s="5">
        <f t="shared" si="7"/>
        <v>44989</v>
      </c>
      <c r="F162" s="7">
        <f t="shared" si="8"/>
        <v>12</v>
      </c>
      <c r="G162" t="s">
        <v>647</v>
      </c>
      <c r="H162" t="s">
        <v>654</v>
      </c>
      <c r="I162" t="s">
        <v>680</v>
      </c>
      <c r="J162" t="s">
        <v>704</v>
      </c>
      <c r="K162" t="s">
        <v>710</v>
      </c>
      <c r="L162" t="s">
        <v>724</v>
      </c>
      <c r="M162" t="s">
        <v>732</v>
      </c>
      <c r="N162" t="s">
        <v>894</v>
      </c>
      <c r="O162">
        <v>299.75</v>
      </c>
      <c r="P162">
        <v>523.01</v>
      </c>
      <c r="Q162">
        <v>0.157</v>
      </c>
      <c r="R162">
        <v>50</v>
      </c>
    </row>
    <row r="163" spans="1:18" x14ac:dyDescent="0.45">
      <c r="A163" t="s">
        <v>176</v>
      </c>
      <c r="B163" s="5">
        <v>45595</v>
      </c>
      <c r="C163" s="5">
        <v>45620</v>
      </c>
      <c r="D163" s="5">
        <f t="shared" si="6"/>
        <v>45595</v>
      </c>
      <c r="E163" s="5">
        <f t="shared" si="7"/>
        <v>45620</v>
      </c>
      <c r="F163" s="7">
        <f t="shared" si="8"/>
        <v>25</v>
      </c>
      <c r="G163" t="s">
        <v>647</v>
      </c>
      <c r="H163" t="s">
        <v>659</v>
      </c>
      <c r="I163" t="s">
        <v>676</v>
      </c>
      <c r="J163" t="s">
        <v>705</v>
      </c>
      <c r="K163" t="s">
        <v>708</v>
      </c>
      <c r="L163" t="s">
        <v>718</v>
      </c>
      <c r="M163" t="s">
        <v>727</v>
      </c>
      <c r="N163" t="s">
        <v>895</v>
      </c>
      <c r="O163">
        <v>811.05</v>
      </c>
      <c r="P163">
        <v>1217.71</v>
      </c>
      <c r="Q163">
        <v>7.1999999999999995E-2</v>
      </c>
      <c r="R163">
        <v>5</v>
      </c>
    </row>
    <row r="164" spans="1:18" x14ac:dyDescent="0.45">
      <c r="A164" t="s">
        <v>177</v>
      </c>
      <c r="B164" s="5">
        <v>45385</v>
      </c>
      <c r="C164" s="5">
        <v>45389</v>
      </c>
      <c r="D164" s="5">
        <f t="shared" si="6"/>
        <v>45385</v>
      </c>
      <c r="E164" s="5">
        <f t="shared" si="7"/>
        <v>45389</v>
      </c>
      <c r="F164" s="7">
        <f t="shared" si="8"/>
        <v>4</v>
      </c>
      <c r="G164" t="s">
        <v>648</v>
      </c>
      <c r="H164" t="s">
        <v>655</v>
      </c>
      <c r="I164" t="s">
        <v>672</v>
      </c>
      <c r="J164" t="s">
        <v>703</v>
      </c>
      <c r="K164" t="s">
        <v>711</v>
      </c>
      <c r="L164" t="s">
        <v>725</v>
      </c>
      <c r="M164" t="s">
        <v>730</v>
      </c>
      <c r="N164" t="s">
        <v>896</v>
      </c>
      <c r="O164">
        <v>1023.27</v>
      </c>
      <c r="P164">
        <v>1343.64</v>
      </c>
      <c r="Q164">
        <v>0.13300000000000001</v>
      </c>
      <c r="R164">
        <v>7</v>
      </c>
    </row>
    <row r="165" spans="1:18" x14ac:dyDescent="0.45">
      <c r="A165" t="s">
        <v>178</v>
      </c>
      <c r="B165" s="5">
        <v>45010</v>
      </c>
      <c r="C165" s="5">
        <v>45011</v>
      </c>
      <c r="D165" s="5">
        <f t="shared" si="6"/>
        <v>45010</v>
      </c>
      <c r="E165" s="5">
        <f t="shared" si="7"/>
        <v>45011</v>
      </c>
      <c r="F165" s="7">
        <f t="shared" si="8"/>
        <v>1</v>
      </c>
      <c r="G165" t="s">
        <v>647</v>
      </c>
      <c r="H165" t="s">
        <v>652</v>
      </c>
      <c r="I165" t="s">
        <v>666</v>
      </c>
      <c r="J165" t="s">
        <v>705</v>
      </c>
      <c r="K165" t="s">
        <v>710</v>
      </c>
      <c r="L165" t="s">
        <v>714</v>
      </c>
      <c r="M165" t="s">
        <v>732</v>
      </c>
      <c r="N165" t="s">
        <v>897</v>
      </c>
      <c r="O165">
        <v>135.12</v>
      </c>
      <c r="P165">
        <v>301.7</v>
      </c>
      <c r="Q165">
        <v>0.14000000000000001</v>
      </c>
      <c r="R165">
        <v>47</v>
      </c>
    </row>
    <row r="166" spans="1:18" x14ac:dyDescent="0.45">
      <c r="A166" t="s">
        <v>179</v>
      </c>
      <c r="B166" s="5">
        <v>45447</v>
      </c>
      <c r="C166" s="5">
        <v>45459</v>
      </c>
      <c r="D166" s="5">
        <f t="shared" si="6"/>
        <v>45447</v>
      </c>
      <c r="E166" s="5">
        <f t="shared" si="7"/>
        <v>45459</v>
      </c>
      <c r="F166" s="7">
        <f t="shared" si="8"/>
        <v>12</v>
      </c>
      <c r="G166" t="s">
        <v>647</v>
      </c>
      <c r="H166" t="s">
        <v>659</v>
      </c>
      <c r="I166" t="s">
        <v>685</v>
      </c>
      <c r="J166" t="s">
        <v>701</v>
      </c>
      <c r="K166" t="s">
        <v>707</v>
      </c>
      <c r="L166" t="s">
        <v>713</v>
      </c>
      <c r="M166" t="s">
        <v>728</v>
      </c>
      <c r="N166" t="s">
        <v>898</v>
      </c>
      <c r="O166">
        <v>918.42</v>
      </c>
      <c r="P166">
        <v>1511.71</v>
      </c>
      <c r="Q166">
        <v>0.02</v>
      </c>
      <c r="R166">
        <v>8</v>
      </c>
    </row>
    <row r="167" spans="1:18" x14ac:dyDescent="0.45">
      <c r="A167" t="s">
        <v>180</v>
      </c>
      <c r="B167" s="5">
        <v>44976</v>
      </c>
      <c r="C167" s="5">
        <v>44997</v>
      </c>
      <c r="D167" s="5">
        <f t="shared" si="6"/>
        <v>44976</v>
      </c>
      <c r="E167" s="5">
        <f t="shared" si="7"/>
        <v>44997</v>
      </c>
      <c r="F167" s="7">
        <f t="shared" si="8"/>
        <v>21</v>
      </c>
      <c r="G167" t="s">
        <v>649</v>
      </c>
      <c r="H167" t="s">
        <v>656</v>
      </c>
      <c r="I167" t="s">
        <v>671</v>
      </c>
      <c r="J167" t="s">
        <v>705</v>
      </c>
      <c r="K167" t="s">
        <v>711</v>
      </c>
      <c r="L167" t="s">
        <v>716</v>
      </c>
      <c r="M167" t="s">
        <v>732</v>
      </c>
      <c r="N167" t="s">
        <v>899</v>
      </c>
      <c r="O167">
        <v>1234.81</v>
      </c>
      <c r="P167">
        <v>2055.2399999999998</v>
      </c>
      <c r="Q167">
        <v>5.2999999999999999E-2</v>
      </c>
      <c r="R167">
        <v>44</v>
      </c>
    </row>
    <row r="168" spans="1:18" x14ac:dyDescent="0.45">
      <c r="A168" t="s">
        <v>181</v>
      </c>
      <c r="B168" s="5">
        <v>45034</v>
      </c>
      <c r="C168" s="5">
        <v>45064</v>
      </c>
      <c r="D168" s="5">
        <f t="shared" si="6"/>
        <v>45034</v>
      </c>
      <c r="E168" s="5">
        <f t="shared" si="7"/>
        <v>45064</v>
      </c>
      <c r="F168" s="7">
        <f t="shared" si="8"/>
        <v>30</v>
      </c>
      <c r="G168" t="s">
        <v>647</v>
      </c>
      <c r="H168" t="s">
        <v>659</v>
      </c>
      <c r="I168" t="s">
        <v>676</v>
      </c>
      <c r="J168" t="s">
        <v>703</v>
      </c>
      <c r="K168" t="s">
        <v>707</v>
      </c>
      <c r="L168" t="s">
        <v>722</v>
      </c>
      <c r="M168" t="s">
        <v>731</v>
      </c>
      <c r="N168" t="s">
        <v>900</v>
      </c>
      <c r="O168">
        <v>329.03</v>
      </c>
      <c r="P168">
        <v>391.15</v>
      </c>
      <c r="Q168">
        <v>0.19700000000000001</v>
      </c>
      <c r="R168">
        <v>46</v>
      </c>
    </row>
    <row r="169" spans="1:18" x14ac:dyDescent="0.45">
      <c r="A169" t="s">
        <v>182</v>
      </c>
      <c r="B169" s="5">
        <v>45435</v>
      </c>
      <c r="C169" s="5">
        <v>45457</v>
      </c>
      <c r="D169" s="5">
        <f t="shared" si="6"/>
        <v>45435</v>
      </c>
      <c r="E169" s="5">
        <f t="shared" si="7"/>
        <v>45457</v>
      </c>
      <c r="F169" s="7">
        <f t="shared" si="8"/>
        <v>22</v>
      </c>
      <c r="G169" t="s">
        <v>649</v>
      </c>
      <c r="H169" t="s">
        <v>657</v>
      </c>
      <c r="I169" t="s">
        <v>673</v>
      </c>
      <c r="J169" t="s">
        <v>705</v>
      </c>
      <c r="K169" t="s">
        <v>708</v>
      </c>
      <c r="L169" t="s">
        <v>725</v>
      </c>
      <c r="M169" t="s">
        <v>732</v>
      </c>
      <c r="N169" t="s">
        <v>901</v>
      </c>
      <c r="O169">
        <v>1481.74</v>
      </c>
      <c r="P169">
        <v>1848.97</v>
      </c>
      <c r="Q169">
        <v>0.254</v>
      </c>
      <c r="R169">
        <v>9</v>
      </c>
    </row>
    <row r="170" spans="1:18" x14ac:dyDescent="0.45">
      <c r="A170" t="s">
        <v>183</v>
      </c>
      <c r="B170" s="5">
        <v>45206</v>
      </c>
      <c r="C170" s="5">
        <v>45222</v>
      </c>
      <c r="D170" s="5">
        <f t="shared" si="6"/>
        <v>45206</v>
      </c>
      <c r="E170" s="5">
        <f t="shared" si="7"/>
        <v>45222</v>
      </c>
      <c r="F170" s="7">
        <f t="shared" si="8"/>
        <v>16</v>
      </c>
      <c r="G170" t="s">
        <v>647</v>
      </c>
      <c r="H170" t="s">
        <v>654</v>
      </c>
      <c r="I170" t="s">
        <v>696</v>
      </c>
      <c r="J170" t="s">
        <v>704</v>
      </c>
      <c r="K170" t="s">
        <v>707</v>
      </c>
      <c r="L170" t="s">
        <v>715</v>
      </c>
      <c r="M170" t="s">
        <v>732</v>
      </c>
      <c r="N170" t="s">
        <v>902</v>
      </c>
      <c r="O170">
        <v>906.81</v>
      </c>
      <c r="P170">
        <v>1395.56</v>
      </c>
      <c r="Q170">
        <v>0.185</v>
      </c>
      <c r="R170">
        <v>6</v>
      </c>
    </row>
    <row r="171" spans="1:18" x14ac:dyDescent="0.45">
      <c r="A171" t="s">
        <v>184</v>
      </c>
      <c r="B171" s="5">
        <v>45574</v>
      </c>
      <c r="C171" s="5">
        <v>45604</v>
      </c>
      <c r="D171" s="5">
        <f t="shared" si="6"/>
        <v>45574</v>
      </c>
      <c r="E171" s="5">
        <f t="shared" si="7"/>
        <v>45604</v>
      </c>
      <c r="F171" s="7">
        <f t="shared" si="8"/>
        <v>30</v>
      </c>
      <c r="G171" t="s">
        <v>649</v>
      </c>
      <c r="H171" t="s">
        <v>658</v>
      </c>
      <c r="I171" t="s">
        <v>693</v>
      </c>
      <c r="J171" t="s">
        <v>705</v>
      </c>
      <c r="K171" t="s">
        <v>710</v>
      </c>
      <c r="L171" t="s">
        <v>713</v>
      </c>
      <c r="M171" t="s">
        <v>727</v>
      </c>
      <c r="N171" t="s">
        <v>903</v>
      </c>
      <c r="O171">
        <v>343.85</v>
      </c>
      <c r="P171">
        <v>538.04</v>
      </c>
      <c r="Q171">
        <v>0.13900000000000001</v>
      </c>
      <c r="R171">
        <v>5</v>
      </c>
    </row>
    <row r="172" spans="1:18" x14ac:dyDescent="0.45">
      <c r="A172" t="s">
        <v>185</v>
      </c>
      <c r="B172" s="5">
        <v>45488</v>
      </c>
      <c r="C172" s="5">
        <v>45488</v>
      </c>
      <c r="D172" s="5">
        <f t="shared" si="6"/>
        <v>45488</v>
      </c>
      <c r="E172" s="5">
        <f t="shared" si="7"/>
        <v>45488</v>
      </c>
      <c r="F172" s="7">
        <f t="shared" si="8"/>
        <v>0</v>
      </c>
      <c r="G172" t="s">
        <v>647</v>
      </c>
      <c r="H172" t="s">
        <v>652</v>
      </c>
      <c r="I172" t="s">
        <v>689</v>
      </c>
      <c r="J172" t="s">
        <v>705</v>
      </c>
      <c r="K172" t="s">
        <v>709</v>
      </c>
      <c r="L172" t="s">
        <v>715</v>
      </c>
      <c r="M172" t="s">
        <v>733</v>
      </c>
      <c r="N172" t="s">
        <v>904</v>
      </c>
      <c r="O172">
        <v>801.77</v>
      </c>
      <c r="P172">
        <v>1218.92</v>
      </c>
      <c r="Q172">
        <v>0.254</v>
      </c>
      <c r="R172">
        <v>16</v>
      </c>
    </row>
    <row r="173" spans="1:18" x14ac:dyDescent="0.45">
      <c r="A173" t="s">
        <v>186</v>
      </c>
      <c r="B173" s="5">
        <v>45190</v>
      </c>
      <c r="C173" s="5">
        <v>45209</v>
      </c>
      <c r="D173" s="5">
        <f t="shared" si="6"/>
        <v>45190</v>
      </c>
      <c r="E173" s="5">
        <f t="shared" si="7"/>
        <v>45209</v>
      </c>
      <c r="F173" s="7">
        <f t="shared" si="8"/>
        <v>19</v>
      </c>
      <c r="G173" t="s">
        <v>647</v>
      </c>
      <c r="H173" t="s">
        <v>652</v>
      </c>
      <c r="I173" t="s">
        <v>689</v>
      </c>
      <c r="J173" t="s">
        <v>702</v>
      </c>
      <c r="K173" t="s">
        <v>708</v>
      </c>
      <c r="L173" t="s">
        <v>726</v>
      </c>
      <c r="M173" t="s">
        <v>727</v>
      </c>
      <c r="N173" t="s">
        <v>905</v>
      </c>
      <c r="O173">
        <v>845.63</v>
      </c>
      <c r="P173">
        <v>2062.12</v>
      </c>
      <c r="Q173">
        <v>0.13400000000000001</v>
      </c>
      <c r="R173">
        <v>5</v>
      </c>
    </row>
    <row r="174" spans="1:18" x14ac:dyDescent="0.45">
      <c r="A174" t="s">
        <v>187</v>
      </c>
      <c r="B174" s="5">
        <v>44981</v>
      </c>
      <c r="C174" s="5">
        <v>44994</v>
      </c>
      <c r="D174" s="5">
        <f t="shared" si="6"/>
        <v>44981</v>
      </c>
      <c r="E174" s="5">
        <f t="shared" si="7"/>
        <v>44994</v>
      </c>
      <c r="F174" s="7">
        <f t="shared" si="8"/>
        <v>13</v>
      </c>
      <c r="G174" t="s">
        <v>648</v>
      </c>
      <c r="H174" t="s">
        <v>660</v>
      </c>
      <c r="I174" t="s">
        <v>700</v>
      </c>
      <c r="J174" t="s">
        <v>706</v>
      </c>
      <c r="K174" t="s">
        <v>708</v>
      </c>
      <c r="L174" t="s">
        <v>724</v>
      </c>
      <c r="M174" t="s">
        <v>727</v>
      </c>
      <c r="N174" t="s">
        <v>906</v>
      </c>
      <c r="O174">
        <v>6.85</v>
      </c>
      <c r="P174">
        <v>10.18</v>
      </c>
      <c r="Q174">
        <v>4.7E-2</v>
      </c>
      <c r="R174">
        <v>10</v>
      </c>
    </row>
    <row r="175" spans="1:18" x14ac:dyDescent="0.45">
      <c r="A175" t="s">
        <v>188</v>
      </c>
      <c r="B175" s="5">
        <v>45798</v>
      </c>
      <c r="C175" s="5">
        <v>45796</v>
      </c>
      <c r="D175" s="5">
        <f t="shared" si="6"/>
        <v>45796</v>
      </c>
      <c r="E175" s="5">
        <f t="shared" si="7"/>
        <v>45798</v>
      </c>
      <c r="F175" s="7">
        <f t="shared" si="8"/>
        <v>2</v>
      </c>
      <c r="G175" t="s">
        <v>646</v>
      </c>
      <c r="H175" t="s">
        <v>661</v>
      </c>
      <c r="I175" t="s">
        <v>682</v>
      </c>
      <c r="J175" t="s">
        <v>703</v>
      </c>
      <c r="K175" t="s">
        <v>710</v>
      </c>
      <c r="L175" t="s">
        <v>719</v>
      </c>
      <c r="M175" t="s">
        <v>731</v>
      </c>
      <c r="N175" t="s">
        <v>907</v>
      </c>
      <c r="O175">
        <v>1263.8399999999999</v>
      </c>
      <c r="P175">
        <v>2281.7199999999998</v>
      </c>
      <c r="Q175">
        <v>7.8E-2</v>
      </c>
      <c r="R175">
        <v>15</v>
      </c>
    </row>
    <row r="176" spans="1:18" x14ac:dyDescent="0.45">
      <c r="A176" t="s">
        <v>189</v>
      </c>
      <c r="B176" s="5">
        <v>45435</v>
      </c>
      <c r="C176" s="5">
        <v>45446</v>
      </c>
      <c r="D176" s="5">
        <f t="shared" si="6"/>
        <v>45435</v>
      </c>
      <c r="E176" s="5">
        <f t="shared" si="7"/>
        <v>45446</v>
      </c>
      <c r="F176" s="7">
        <f t="shared" si="8"/>
        <v>11</v>
      </c>
      <c r="G176" t="s">
        <v>646</v>
      </c>
      <c r="H176" t="s">
        <v>661</v>
      </c>
      <c r="I176" t="s">
        <v>682</v>
      </c>
      <c r="J176" t="s">
        <v>705</v>
      </c>
      <c r="K176" t="s">
        <v>710</v>
      </c>
      <c r="L176" t="s">
        <v>721</v>
      </c>
      <c r="M176" t="s">
        <v>728</v>
      </c>
      <c r="N176" t="s">
        <v>908</v>
      </c>
      <c r="O176">
        <v>180.89</v>
      </c>
      <c r="P176">
        <v>249.57</v>
      </c>
      <c r="Q176">
        <v>2.1999999999999999E-2</v>
      </c>
      <c r="R176">
        <v>8</v>
      </c>
    </row>
    <row r="177" spans="1:18" x14ac:dyDescent="0.45">
      <c r="A177" t="s">
        <v>190</v>
      </c>
      <c r="B177" s="5">
        <v>45761</v>
      </c>
      <c r="C177" s="5">
        <v>45781</v>
      </c>
      <c r="D177" s="5">
        <f t="shared" si="6"/>
        <v>45761</v>
      </c>
      <c r="E177" s="5">
        <f t="shared" si="7"/>
        <v>45781</v>
      </c>
      <c r="F177" s="7">
        <f t="shared" si="8"/>
        <v>20</v>
      </c>
      <c r="G177" t="s">
        <v>649</v>
      </c>
      <c r="H177" t="s">
        <v>658</v>
      </c>
      <c r="I177" t="s">
        <v>674</v>
      </c>
      <c r="J177" t="s">
        <v>706</v>
      </c>
      <c r="K177" t="s">
        <v>709</v>
      </c>
      <c r="L177" t="s">
        <v>723</v>
      </c>
      <c r="M177" t="s">
        <v>732</v>
      </c>
      <c r="N177" t="s">
        <v>909</v>
      </c>
      <c r="O177">
        <v>1413.87</v>
      </c>
      <c r="P177">
        <v>3275</v>
      </c>
      <c r="Q177">
        <v>0.255</v>
      </c>
      <c r="R177">
        <v>38</v>
      </c>
    </row>
    <row r="178" spans="1:18" x14ac:dyDescent="0.45">
      <c r="A178" t="s">
        <v>191</v>
      </c>
      <c r="B178" s="5">
        <v>45165</v>
      </c>
      <c r="C178" s="5">
        <v>45180</v>
      </c>
      <c r="D178" s="5">
        <f t="shared" si="6"/>
        <v>45165</v>
      </c>
      <c r="E178" s="5">
        <f t="shared" si="7"/>
        <v>45180</v>
      </c>
      <c r="F178" s="7">
        <f t="shared" si="8"/>
        <v>15</v>
      </c>
      <c r="G178" t="s">
        <v>649</v>
      </c>
      <c r="H178" t="s">
        <v>658</v>
      </c>
      <c r="I178" t="s">
        <v>683</v>
      </c>
      <c r="J178" t="s">
        <v>704</v>
      </c>
      <c r="K178" t="s">
        <v>709</v>
      </c>
      <c r="L178" t="s">
        <v>725</v>
      </c>
      <c r="M178" t="s">
        <v>728</v>
      </c>
      <c r="N178" t="s">
        <v>910</v>
      </c>
      <c r="O178">
        <v>943.79</v>
      </c>
      <c r="P178">
        <v>1913.76</v>
      </c>
      <c r="Q178">
        <v>9.0999999999999998E-2</v>
      </c>
      <c r="R178">
        <v>9</v>
      </c>
    </row>
    <row r="179" spans="1:18" x14ac:dyDescent="0.45">
      <c r="A179" t="s">
        <v>192</v>
      </c>
      <c r="B179" s="5">
        <v>45325</v>
      </c>
      <c r="C179" s="5">
        <v>45343</v>
      </c>
      <c r="D179" s="5">
        <f t="shared" si="6"/>
        <v>45325</v>
      </c>
      <c r="E179" s="5">
        <f t="shared" si="7"/>
        <v>45343</v>
      </c>
      <c r="F179" s="7">
        <f t="shared" si="8"/>
        <v>18</v>
      </c>
      <c r="G179" t="s">
        <v>649</v>
      </c>
      <c r="H179" t="s">
        <v>656</v>
      </c>
      <c r="I179" t="s">
        <v>698</v>
      </c>
      <c r="J179" t="s">
        <v>701</v>
      </c>
      <c r="K179" t="s">
        <v>707</v>
      </c>
      <c r="L179" t="s">
        <v>722</v>
      </c>
      <c r="M179" t="s">
        <v>727</v>
      </c>
      <c r="N179" t="s">
        <v>911</v>
      </c>
      <c r="O179">
        <v>39.229999999999997</v>
      </c>
      <c r="P179">
        <v>30.09</v>
      </c>
      <c r="Q179">
        <v>0.17699999999999999</v>
      </c>
      <c r="R179">
        <v>13</v>
      </c>
    </row>
    <row r="180" spans="1:18" x14ac:dyDescent="0.45">
      <c r="A180" t="s">
        <v>193</v>
      </c>
      <c r="B180" s="5">
        <v>45021</v>
      </c>
      <c r="C180" s="5">
        <v>45032</v>
      </c>
      <c r="D180" s="5">
        <f t="shared" si="6"/>
        <v>45021</v>
      </c>
      <c r="E180" s="5">
        <f t="shared" si="7"/>
        <v>45032</v>
      </c>
      <c r="F180" s="7">
        <f t="shared" si="8"/>
        <v>11</v>
      </c>
      <c r="G180" t="s">
        <v>648</v>
      </c>
      <c r="H180" t="s">
        <v>653</v>
      </c>
      <c r="I180" t="s">
        <v>688</v>
      </c>
      <c r="J180" t="s">
        <v>703</v>
      </c>
      <c r="K180" t="s">
        <v>708</v>
      </c>
      <c r="L180" t="s">
        <v>719</v>
      </c>
      <c r="M180" t="s">
        <v>732</v>
      </c>
      <c r="N180" t="s">
        <v>912</v>
      </c>
      <c r="O180">
        <v>213.1</v>
      </c>
      <c r="P180">
        <v>501.31</v>
      </c>
      <c r="Q180">
        <v>5.6000000000000001E-2</v>
      </c>
      <c r="R180">
        <v>15</v>
      </c>
    </row>
    <row r="181" spans="1:18" x14ac:dyDescent="0.45">
      <c r="A181" t="s">
        <v>194</v>
      </c>
      <c r="B181" s="5">
        <v>45890</v>
      </c>
      <c r="C181" s="5">
        <v>45912</v>
      </c>
      <c r="D181" s="5">
        <f t="shared" si="6"/>
        <v>45890</v>
      </c>
      <c r="E181" s="5">
        <f t="shared" si="7"/>
        <v>45912</v>
      </c>
      <c r="F181" s="7">
        <f t="shared" si="8"/>
        <v>22</v>
      </c>
      <c r="G181" t="s">
        <v>647</v>
      </c>
      <c r="H181" t="s">
        <v>659</v>
      </c>
      <c r="I181" t="s">
        <v>676</v>
      </c>
      <c r="J181" t="s">
        <v>702</v>
      </c>
      <c r="K181" t="s">
        <v>707</v>
      </c>
      <c r="L181" t="s">
        <v>717</v>
      </c>
      <c r="M181" t="s">
        <v>728</v>
      </c>
      <c r="N181" t="s">
        <v>913</v>
      </c>
      <c r="O181">
        <v>352.66</v>
      </c>
      <c r="P181">
        <v>411.18</v>
      </c>
      <c r="Q181">
        <v>0.17299999999999999</v>
      </c>
      <c r="R181">
        <v>13</v>
      </c>
    </row>
    <row r="182" spans="1:18" x14ac:dyDescent="0.45">
      <c r="A182" t="s">
        <v>195</v>
      </c>
      <c r="B182" s="5">
        <v>45915</v>
      </c>
      <c r="C182" s="5">
        <v>45918</v>
      </c>
      <c r="D182" s="5">
        <f t="shared" si="6"/>
        <v>45915</v>
      </c>
      <c r="E182" s="5">
        <f t="shared" si="7"/>
        <v>45918</v>
      </c>
      <c r="F182" s="7">
        <f t="shared" si="8"/>
        <v>3</v>
      </c>
      <c r="G182" t="s">
        <v>648</v>
      </c>
      <c r="H182" t="s">
        <v>655</v>
      </c>
      <c r="I182" t="s">
        <v>692</v>
      </c>
      <c r="J182" t="s">
        <v>703</v>
      </c>
      <c r="K182" t="s">
        <v>711</v>
      </c>
      <c r="L182" t="s">
        <v>716</v>
      </c>
      <c r="M182" t="s">
        <v>733</v>
      </c>
      <c r="N182" t="s">
        <v>914</v>
      </c>
      <c r="O182">
        <v>5.5</v>
      </c>
      <c r="P182">
        <v>5.92</v>
      </c>
      <c r="Q182">
        <v>0.21199999999999999</v>
      </c>
      <c r="R182">
        <v>4</v>
      </c>
    </row>
    <row r="183" spans="1:18" x14ac:dyDescent="0.45">
      <c r="A183" t="s">
        <v>196</v>
      </c>
      <c r="B183" s="5">
        <v>45568</v>
      </c>
      <c r="C183" s="5">
        <v>45576</v>
      </c>
      <c r="D183" s="5">
        <f t="shared" si="6"/>
        <v>45568</v>
      </c>
      <c r="E183" s="5">
        <f t="shared" si="7"/>
        <v>45576</v>
      </c>
      <c r="F183" s="7">
        <f t="shared" si="8"/>
        <v>8</v>
      </c>
      <c r="G183" t="s">
        <v>647</v>
      </c>
      <c r="H183" t="s">
        <v>659</v>
      </c>
      <c r="I183" t="s">
        <v>699</v>
      </c>
      <c r="J183" t="s">
        <v>706</v>
      </c>
      <c r="K183" t="s">
        <v>711</v>
      </c>
      <c r="L183" t="s">
        <v>717</v>
      </c>
      <c r="M183" t="s">
        <v>730</v>
      </c>
      <c r="N183" t="s">
        <v>915</v>
      </c>
      <c r="O183">
        <v>1132.6099999999999</v>
      </c>
      <c r="P183">
        <v>2206.63</v>
      </c>
      <c r="Q183">
        <v>6.3E-2</v>
      </c>
      <c r="R183">
        <v>20</v>
      </c>
    </row>
    <row r="184" spans="1:18" x14ac:dyDescent="0.45">
      <c r="A184" t="s">
        <v>197</v>
      </c>
      <c r="B184" s="5">
        <v>45690</v>
      </c>
      <c r="C184" s="5">
        <v>45720</v>
      </c>
      <c r="D184" s="5">
        <f t="shared" si="6"/>
        <v>45690</v>
      </c>
      <c r="E184" s="5">
        <f t="shared" si="7"/>
        <v>45720</v>
      </c>
      <c r="F184" s="7">
        <f t="shared" si="8"/>
        <v>30</v>
      </c>
      <c r="G184" t="s">
        <v>647</v>
      </c>
      <c r="H184" t="s">
        <v>652</v>
      </c>
      <c r="I184" t="s">
        <v>666</v>
      </c>
      <c r="J184" t="s">
        <v>702</v>
      </c>
      <c r="K184" t="s">
        <v>710</v>
      </c>
      <c r="L184" t="s">
        <v>716</v>
      </c>
      <c r="M184" t="s">
        <v>733</v>
      </c>
      <c r="N184" t="s">
        <v>916</v>
      </c>
      <c r="O184">
        <v>766.59</v>
      </c>
      <c r="P184">
        <v>1912.8</v>
      </c>
      <c r="Q184">
        <v>0.19600000000000001</v>
      </c>
      <c r="R184">
        <v>5</v>
      </c>
    </row>
    <row r="185" spans="1:18" x14ac:dyDescent="0.45">
      <c r="A185" t="s">
        <v>198</v>
      </c>
      <c r="B185" s="5">
        <v>45157</v>
      </c>
      <c r="C185" s="5">
        <v>45161</v>
      </c>
      <c r="D185" s="5">
        <f t="shared" si="6"/>
        <v>45157</v>
      </c>
      <c r="E185" s="5">
        <f t="shared" si="7"/>
        <v>45161</v>
      </c>
      <c r="F185" s="7">
        <f t="shared" si="8"/>
        <v>4</v>
      </c>
      <c r="G185" t="s">
        <v>646</v>
      </c>
      <c r="H185" t="s">
        <v>651</v>
      </c>
      <c r="I185" t="s">
        <v>669</v>
      </c>
      <c r="J185" t="s">
        <v>705</v>
      </c>
      <c r="K185" t="s">
        <v>708</v>
      </c>
      <c r="L185" t="s">
        <v>713</v>
      </c>
      <c r="M185" t="s">
        <v>732</v>
      </c>
      <c r="N185" t="s">
        <v>917</v>
      </c>
      <c r="O185">
        <v>790.63</v>
      </c>
      <c r="P185">
        <v>1382.31</v>
      </c>
      <c r="Q185">
        <v>0.10100000000000001</v>
      </c>
      <c r="R185">
        <v>7</v>
      </c>
    </row>
    <row r="186" spans="1:18" x14ac:dyDescent="0.45">
      <c r="A186" t="s">
        <v>199</v>
      </c>
      <c r="B186" s="5">
        <v>45587</v>
      </c>
      <c r="C186" s="5">
        <v>45594</v>
      </c>
      <c r="D186" s="5">
        <f t="shared" si="6"/>
        <v>45587</v>
      </c>
      <c r="E186" s="5">
        <f t="shared" si="7"/>
        <v>45594</v>
      </c>
      <c r="F186" s="7">
        <f t="shared" si="8"/>
        <v>7</v>
      </c>
      <c r="G186" t="s">
        <v>646</v>
      </c>
      <c r="H186" t="s">
        <v>651</v>
      </c>
      <c r="I186" t="s">
        <v>663</v>
      </c>
      <c r="J186" t="s">
        <v>706</v>
      </c>
      <c r="K186" t="s">
        <v>710</v>
      </c>
      <c r="L186" t="s">
        <v>724</v>
      </c>
      <c r="M186" t="s">
        <v>732</v>
      </c>
      <c r="N186" t="s">
        <v>918</v>
      </c>
      <c r="O186">
        <v>1023.06</v>
      </c>
      <c r="P186">
        <v>1355.61</v>
      </c>
      <c r="Q186">
        <v>0.153</v>
      </c>
      <c r="R186">
        <v>23</v>
      </c>
    </row>
    <row r="187" spans="1:18" x14ac:dyDescent="0.45">
      <c r="A187" t="s">
        <v>200</v>
      </c>
      <c r="B187" s="5">
        <v>45099</v>
      </c>
      <c r="C187" s="5">
        <v>45128</v>
      </c>
      <c r="D187" s="5">
        <f t="shared" si="6"/>
        <v>45099</v>
      </c>
      <c r="E187" s="5">
        <f t="shared" si="7"/>
        <v>45128</v>
      </c>
      <c r="F187" s="7">
        <f t="shared" si="8"/>
        <v>29</v>
      </c>
      <c r="G187" t="s">
        <v>649</v>
      </c>
      <c r="H187" t="s">
        <v>657</v>
      </c>
      <c r="I187" t="s">
        <v>679</v>
      </c>
      <c r="J187" t="s">
        <v>701</v>
      </c>
      <c r="K187" t="s">
        <v>707</v>
      </c>
      <c r="L187" t="s">
        <v>713</v>
      </c>
      <c r="M187" t="s">
        <v>733</v>
      </c>
      <c r="N187" t="s">
        <v>919</v>
      </c>
      <c r="O187">
        <v>734.34</v>
      </c>
      <c r="P187">
        <v>887.9</v>
      </c>
      <c r="Q187">
        <v>2.5000000000000001E-2</v>
      </c>
      <c r="R187">
        <v>12</v>
      </c>
    </row>
    <row r="188" spans="1:18" x14ac:dyDescent="0.45">
      <c r="A188" t="s">
        <v>201</v>
      </c>
      <c r="B188" s="5">
        <v>45670</v>
      </c>
      <c r="C188" s="5">
        <v>45696</v>
      </c>
      <c r="D188" s="5">
        <f t="shared" si="6"/>
        <v>45670</v>
      </c>
      <c r="E188" s="5">
        <f t="shared" si="7"/>
        <v>45696</v>
      </c>
      <c r="F188" s="7">
        <f t="shared" si="8"/>
        <v>26</v>
      </c>
      <c r="G188" t="s">
        <v>649</v>
      </c>
      <c r="H188" t="s">
        <v>657</v>
      </c>
      <c r="I188" t="s">
        <v>690</v>
      </c>
      <c r="J188" t="s">
        <v>703</v>
      </c>
      <c r="L188" t="s">
        <v>718</v>
      </c>
      <c r="M188" t="s">
        <v>732</v>
      </c>
      <c r="N188" t="s">
        <v>920</v>
      </c>
      <c r="O188">
        <v>594.74</v>
      </c>
      <c r="P188">
        <v>1020.69</v>
      </c>
      <c r="Q188">
        <v>0.21099999999999999</v>
      </c>
      <c r="R188">
        <v>6</v>
      </c>
    </row>
    <row r="189" spans="1:18" x14ac:dyDescent="0.45">
      <c r="A189" t="s">
        <v>144</v>
      </c>
      <c r="B189" s="5">
        <v>44955</v>
      </c>
      <c r="C189" s="5">
        <v>44985</v>
      </c>
      <c r="D189" s="5">
        <f t="shared" si="6"/>
        <v>44955</v>
      </c>
      <c r="E189" s="5">
        <f t="shared" si="7"/>
        <v>44985</v>
      </c>
      <c r="F189" s="7">
        <f t="shared" si="8"/>
        <v>30</v>
      </c>
      <c r="G189" t="s">
        <v>647</v>
      </c>
      <c r="H189" t="s">
        <v>654</v>
      </c>
      <c r="I189" t="s">
        <v>668</v>
      </c>
      <c r="J189" t="s">
        <v>703</v>
      </c>
      <c r="K189" t="s">
        <v>707</v>
      </c>
      <c r="L189" t="s">
        <v>717</v>
      </c>
      <c r="M189" t="s">
        <v>733</v>
      </c>
      <c r="N189" t="s">
        <v>921</v>
      </c>
      <c r="O189">
        <v>1262.0999999999999</v>
      </c>
      <c r="P189">
        <v>1395.53</v>
      </c>
      <c r="Q189">
        <v>0.23300000000000001</v>
      </c>
      <c r="R189">
        <v>25</v>
      </c>
    </row>
    <row r="190" spans="1:18" x14ac:dyDescent="0.45">
      <c r="A190" t="s">
        <v>202</v>
      </c>
      <c r="B190" s="5">
        <v>45126</v>
      </c>
      <c r="C190" s="5">
        <v>45138</v>
      </c>
      <c r="D190" s="5">
        <f t="shared" si="6"/>
        <v>45126</v>
      </c>
      <c r="E190" s="5">
        <f t="shared" si="7"/>
        <v>45138</v>
      </c>
      <c r="F190" s="7">
        <f t="shared" si="8"/>
        <v>12</v>
      </c>
      <c r="G190" t="s">
        <v>648</v>
      </c>
      <c r="H190" t="s">
        <v>655</v>
      </c>
      <c r="I190" t="s">
        <v>692</v>
      </c>
      <c r="J190" t="s">
        <v>701</v>
      </c>
      <c r="K190" t="s">
        <v>707</v>
      </c>
      <c r="L190" t="s">
        <v>712</v>
      </c>
      <c r="M190" t="s">
        <v>732</v>
      </c>
      <c r="N190" t="s">
        <v>922</v>
      </c>
      <c r="O190">
        <v>1334.64</v>
      </c>
      <c r="P190">
        <v>2273.42</v>
      </c>
      <c r="Q190">
        <v>0.11799999999999999</v>
      </c>
      <c r="R190">
        <v>14</v>
      </c>
    </row>
    <row r="191" spans="1:18" x14ac:dyDescent="0.45">
      <c r="A191" t="s">
        <v>203</v>
      </c>
      <c r="B191" s="5">
        <v>45431</v>
      </c>
      <c r="C191" s="5">
        <v>45451</v>
      </c>
      <c r="D191" s="5">
        <f t="shared" si="6"/>
        <v>45431</v>
      </c>
      <c r="E191" s="5">
        <f t="shared" si="7"/>
        <v>45451</v>
      </c>
      <c r="F191" s="7">
        <f t="shared" si="8"/>
        <v>20</v>
      </c>
      <c r="G191" t="s">
        <v>648</v>
      </c>
      <c r="H191" t="s">
        <v>655</v>
      </c>
      <c r="I191" t="s">
        <v>672</v>
      </c>
      <c r="J191" t="s">
        <v>705</v>
      </c>
      <c r="K191" t="s">
        <v>707</v>
      </c>
      <c r="L191" t="s">
        <v>718</v>
      </c>
      <c r="M191" t="s">
        <v>732</v>
      </c>
      <c r="N191" t="s">
        <v>923</v>
      </c>
      <c r="O191">
        <v>1075.9000000000001</v>
      </c>
      <c r="P191">
        <v>1242.1500000000001</v>
      </c>
      <c r="Q191">
        <v>1.2E-2</v>
      </c>
      <c r="R191">
        <v>7</v>
      </c>
    </row>
    <row r="192" spans="1:18" x14ac:dyDescent="0.45">
      <c r="A192" t="s">
        <v>204</v>
      </c>
      <c r="B192" s="5">
        <v>45325</v>
      </c>
      <c r="C192" s="5">
        <v>45341</v>
      </c>
      <c r="D192" s="5">
        <f t="shared" si="6"/>
        <v>45325</v>
      </c>
      <c r="E192" s="5">
        <f t="shared" si="7"/>
        <v>45341</v>
      </c>
      <c r="F192" s="7">
        <f t="shared" si="8"/>
        <v>16</v>
      </c>
      <c r="G192" t="s">
        <v>647</v>
      </c>
      <c r="H192" t="s">
        <v>659</v>
      </c>
      <c r="I192" t="s">
        <v>676</v>
      </c>
      <c r="J192" t="s">
        <v>705</v>
      </c>
      <c r="K192" t="s">
        <v>708</v>
      </c>
      <c r="L192" t="s">
        <v>722</v>
      </c>
      <c r="M192" t="s">
        <v>731</v>
      </c>
      <c r="N192" t="s">
        <v>924</v>
      </c>
      <c r="O192">
        <v>993.75</v>
      </c>
      <c r="P192">
        <v>1310.29</v>
      </c>
      <c r="Q192">
        <v>0.215</v>
      </c>
      <c r="R192">
        <v>19</v>
      </c>
    </row>
    <row r="193" spans="1:18" x14ac:dyDescent="0.45">
      <c r="A193" t="s">
        <v>205</v>
      </c>
      <c r="B193" s="5">
        <v>45146</v>
      </c>
      <c r="C193" s="5">
        <v>45160</v>
      </c>
      <c r="D193" s="5">
        <f t="shared" si="6"/>
        <v>45146</v>
      </c>
      <c r="E193" s="5">
        <f t="shared" si="7"/>
        <v>45160</v>
      </c>
      <c r="F193" s="7">
        <f t="shared" si="8"/>
        <v>14</v>
      </c>
      <c r="G193" t="s">
        <v>649</v>
      </c>
      <c r="H193" t="s">
        <v>658</v>
      </c>
      <c r="I193" t="s">
        <v>674</v>
      </c>
      <c r="J193" t="s">
        <v>703</v>
      </c>
      <c r="K193" t="s">
        <v>711</v>
      </c>
      <c r="L193" t="s">
        <v>725</v>
      </c>
      <c r="M193" t="s">
        <v>732</v>
      </c>
      <c r="N193" t="s">
        <v>925</v>
      </c>
      <c r="O193">
        <v>446.69</v>
      </c>
      <c r="P193">
        <v>967.25</v>
      </c>
      <c r="Q193">
        <v>9.4E-2</v>
      </c>
      <c r="R193">
        <v>10</v>
      </c>
    </row>
    <row r="194" spans="1:18" x14ac:dyDescent="0.45">
      <c r="A194" t="s">
        <v>206</v>
      </c>
      <c r="B194" s="5">
        <v>45516</v>
      </c>
      <c r="C194" s="5">
        <v>45538</v>
      </c>
      <c r="D194" s="5">
        <f t="shared" si="6"/>
        <v>45516</v>
      </c>
      <c r="E194" s="5">
        <f t="shared" si="7"/>
        <v>45538</v>
      </c>
      <c r="F194" s="7">
        <f t="shared" si="8"/>
        <v>22</v>
      </c>
      <c r="G194" t="s">
        <v>648</v>
      </c>
      <c r="H194" t="s">
        <v>660</v>
      </c>
      <c r="I194" t="s">
        <v>697</v>
      </c>
      <c r="J194" t="s">
        <v>704</v>
      </c>
      <c r="K194" t="s">
        <v>710</v>
      </c>
      <c r="L194" t="s">
        <v>714</v>
      </c>
      <c r="M194" t="s">
        <v>731</v>
      </c>
      <c r="N194" t="s">
        <v>926</v>
      </c>
      <c r="O194">
        <v>797.8</v>
      </c>
      <c r="P194">
        <v>886.22</v>
      </c>
      <c r="Q194">
        <v>0.23599999999999999</v>
      </c>
      <c r="R194">
        <v>36</v>
      </c>
    </row>
    <row r="195" spans="1:18" x14ac:dyDescent="0.45">
      <c r="A195" t="s">
        <v>207</v>
      </c>
      <c r="B195" s="5">
        <v>45214</v>
      </c>
      <c r="C195" s="5">
        <v>45243</v>
      </c>
      <c r="D195" s="5">
        <f t="shared" ref="D195:D258" si="9">IF(C195&gt;B195,B195,C195)</f>
        <v>45214</v>
      </c>
      <c r="E195" s="5">
        <f t="shared" ref="E195:E258" si="10">IF(C195&gt;B195,C195,B195)</f>
        <v>45243</v>
      </c>
      <c r="F195" s="7">
        <f t="shared" ref="F195:F258" si="11">DATEDIF(D195,E195,"d")</f>
        <v>29</v>
      </c>
      <c r="G195" t="s">
        <v>647</v>
      </c>
      <c r="H195" t="s">
        <v>659</v>
      </c>
      <c r="I195" t="s">
        <v>676</v>
      </c>
      <c r="J195" t="s">
        <v>703</v>
      </c>
      <c r="K195" t="s">
        <v>710</v>
      </c>
      <c r="L195" t="s">
        <v>713</v>
      </c>
      <c r="M195" t="s">
        <v>728</v>
      </c>
      <c r="N195" t="s">
        <v>927</v>
      </c>
      <c r="O195">
        <v>986.44</v>
      </c>
      <c r="P195">
        <v>790.61</v>
      </c>
      <c r="Q195">
        <v>7.1999999999999995E-2</v>
      </c>
      <c r="R195">
        <v>6</v>
      </c>
    </row>
    <row r="196" spans="1:18" x14ac:dyDescent="0.45">
      <c r="A196" t="s">
        <v>208</v>
      </c>
      <c r="B196" s="5">
        <v>45050</v>
      </c>
      <c r="C196" s="5">
        <v>45072</v>
      </c>
      <c r="D196" s="5">
        <f t="shared" si="9"/>
        <v>45050</v>
      </c>
      <c r="E196" s="5">
        <f t="shared" si="10"/>
        <v>45072</v>
      </c>
      <c r="F196" s="7">
        <f t="shared" si="11"/>
        <v>22</v>
      </c>
      <c r="G196" t="s">
        <v>648</v>
      </c>
      <c r="H196" t="s">
        <v>660</v>
      </c>
      <c r="I196" t="s">
        <v>686</v>
      </c>
      <c r="J196" t="s">
        <v>706</v>
      </c>
      <c r="K196" t="s">
        <v>708</v>
      </c>
      <c r="L196" t="s">
        <v>713</v>
      </c>
      <c r="M196" t="s">
        <v>729</v>
      </c>
      <c r="N196" t="s">
        <v>928</v>
      </c>
      <c r="O196">
        <v>249.71</v>
      </c>
      <c r="P196">
        <v>361.33</v>
      </c>
      <c r="Q196">
        <v>9.4E-2</v>
      </c>
      <c r="R196">
        <v>12</v>
      </c>
    </row>
    <row r="197" spans="1:18" x14ac:dyDescent="0.45">
      <c r="A197" t="s">
        <v>209</v>
      </c>
      <c r="B197" s="5">
        <v>45557</v>
      </c>
      <c r="C197" s="5">
        <v>45566</v>
      </c>
      <c r="D197" s="5">
        <f t="shared" si="9"/>
        <v>45557</v>
      </c>
      <c r="E197" s="5">
        <f t="shared" si="10"/>
        <v>45566</v>
      </c>
      <c r="F197" s="7">
        <f t="shared" si="11"/>
        <v>9</v>
      </c>
      <c r="G197" t="s">
        <v>648</v>
      </c>
      <c r="H197" t="s">
        <v>655</v>
      </c>
      <c r="I197" t="s">
        <v>670</v>
      </c>
      <c r="J197" t="s">
        <v>703</v>
      </c>
      <c r="K197" t="s">
        <v>708</v>
      </c>
      <c r="L197" t="s">
        <v>723</v>
      </c>
      <c r="M197" t="s">
        <v>732</v>
      </c>
      <c r="N197" t="s">
        <v>929</v>
      </c>
      <c r="O197">
        <v>1378.8</v>
      </c>
      <c r="P197">
        <v>1952.04</v>
      </c>
      <c r="Q197">
        <v>0.159</v>
      </c>
      <c r="R197">
        <v>19</v>
      </c>
    </row>
    <row r="198" spans="1:18" x14ac:dyDescent="0.45">
      <c r="A198" t="s">
        <v>210</v>
      </c>
      <c r="B198" s="5">
        <v>45588</v>
      </c>
      <c r="C198" s="5">
        <v>45610</v>
      </c>
      <c r="D198" s="5">
        <f t="shared" si="9"/>
        <v>45588</v>
      </c>
      <c r="E198" s="5">
        <f t="shared" si="10"/>
        <v>45610</v>
      </c>
      <c r="F198" s="7">
        <f t="shared" si="11"/>
        <v>22</v>
      </c>
      <c r="G198" t="s">
        <v>647</v>
      </c>
      <c r="H198" t="s">
        <v>652</v>
      </c>
      <c r="I198" t="s">
        <v>666</v>
      </c>
      <c r="J198" t="s">
        <v>703</v>
      </c>
      <c r="K198" t="s">
        <v>711</v>
      </c>
      <c r="L198" t="s">
        <v>717</v>
      </c>
      <c r="M198" t="s">
        <v>730</v>
      </c>
      <c r="N198" t="s">
        <v>930</v>
      </c>
      <c r="O198">
        <v>1406.4</v>
      </c>
      <c r="P198">
        <v>1564.76</v>
      </c>
      <c r="Q198">
        <v>0.185</v>
      </c>
      <c r="R198">
        <v>17</v>
      </c>
    </row>
    <row r="199" spans="1:18" x14ac:dyDescent="0.45">
      <c r="A199" t="s">
        <v>211</v>
      </c>
      <c r="B199" s="5">
        <v>45333</v>
      </c>
      <c r="C199" s="5">
        <v>45354</v>
      </c>
      <c r="D199" s="5">
        <f t="shared" si="9"/>
        <v>45333</v>
      </c>
      <c r="E199" s="5">
        <f t="shared" si="10"/>
        <v>45354</v>
      </c>
      <c r="F199" s="7">
        <f t="shared" si="11"/>
        <v>21</v>
      </c>
      <c r="G199" t="s">
        <v>646</v>
      </c>
      <c r="H199" t="s">
        <v>650</v>
      </c>
      <c r="I199" t="s">
        <v>662</v>
      </c>
      <c r="J199" t="s">
        <v>706</v>
      </c>
      <c r="K199" t="s">
        <v>708</v>
      </c>
      <c r="L199" t="s">
        <v>717</v>
      </c>
      <c r="M199" t="s">
        <v>730</v>
      </c>
      <c r="N199" t="s">
        <v>931</v>
      </c>
      <c r="O199">
        <v>516.86</v>
      </c>
      <c r="P199">
        <v>852.54</v>
      </c>
      <c r="Q199">
        <v>5.0999999999999997E-2</v>
      </c>
      <c r="R199">
        <v>14</v>
      </c>
    </row>
    <row r="200" spans="1:18" x14ac:dyDescent="0.45">
      <c r="A200" t="s">
        <v>212</v>
      </c>
      <c r="B200" s="5">
        <v>44956</v>
      </c>
      <c r="C200" s="5">
        <v>44978</v>
      </c>
      <c r="D200" s="5">
        <f t="shared" si="9"/>
        <v>44956</v>
      </c>
      <c r="E200" s="5">
        <f t="shared" si="10"/>
        <v>44978</v>
      </c>
      <c r="F200" s="7">
        <f t="shared" si="11"/>
        <v>22</v>
      </c>
      <c r="G200" t="s">
        <v>649</v>
      </c>
      <c r="H200" t="s">
        <v>656</v>
      </c>
      <c r="I200" t="s">
        <v>684</v>
      </c>
      <c r="J200" t="s">
        <v>705</v>
      </c>
      <c r="K200" t="s">
        <v>709</v>
      </c>
      <c r="L200" t="s">
        <v>715</v>
      </c>
      <c r="M200" t="s">
        <v>729</v>
      </c>
      <c r="N200" t="s">
        <v>932</v>
      </c>
      <c r="O200">
        <v>1142.8800000000001</v>
      </c>
      <c r="P200">
        <v>1465.29</v>
      </c>
      <c r="Q200">
        <v>0.186</v>
      </c>
      <c r="R200">
        <v>7</v>
      </c>
    </row>
    <row r="201" spans="1:18" x14ac:dyDescent="0.45">
      <c r="A201" t="s">
        <v>213</v>
      </c>
      <c r="B201" s="5">
        <v>45030</v>
      </c>
      <c r="C201" s="5">
        <v>45059</v>
      </c>
      <c r="D201" s="5">
        <f t="shared" si="9"/>
        <v>45030</v>
      </c>
      <c r="E201" s="5">
        <f t="shared" si="10"/>
        <v>45059</v>
      </c>
      <c r="F201" s="7">
        <f t="shared" si="11"/>
        <v>29</v>
      </c>
      <c r="G201" t="s">
        <v>649</v>
      </c>
      <c r="H201" t="s">
        <v>656</v>
      </c>
      <c r="I201" t="s">
        <v>698</v>
      </c>
      <c r="J201" t="s">
        <v>704</v>
      </c>
      <c r="K201" t="s">
        <v>711</v>
      </c>
      <c r="L201" t="s">
        <v>713</v>
      </c>
      <c r="M201" t="s">
        <v>728</v>
      </c>
      <c r="N201" t="s">
        <v>933</v>
      </c>
      <c r="O201">
        <v>1320.33</v>
      </c>
      <c r="P201">
        <v>2645.23</v>
      </c>
      <c r="Q201">
        <v>0.155</v>
      </c>
      <c r="R201">
        <v>25</v>
      </c>
    </row>
    <row r="202" spans="1:18" x14ac:dyDescent="0.45">
      <c r="A202" t="s">
        <v>214</v>
      </c>
      <c r="B202" s="5">
        <v>44939</v>
      </c>
      <c r="C202" s="5">
        <v>44945</v>
      </c>
      <c r="D202" s="5">
        <f t="shared" si="9"/>
        <v>44939</v>
      </c>
      <c r="E202" s="5">
        <f t="shared" si="10"/>
        <v>44945</v>
      </c>
      <c r="F202" s="7">
        <f t="shared" si="11"/>
        <v>6</v>
      </c>
      <c r="G202" t="s">
        <v>648</v>
      </c>
      <c r="H202" t="s">
        <v>660</v>
      </c>
      <c r="I202" t="s">
        <v>677</v>
      </c>
      <c r="J202" t="s">
        <v>701</v>
      </c>
      <c r="K202" t="s">
        <v>711</v>
      </c>
      <c r="L202" t="s">
        <v>722</v>
      </c>
      <c r="M202" t="s">
        <v>730</v>
      </c>
      <c r="N202" t="s">
        <v>934</v>
      </c>
      <c r="O202">
        <v>833.57</v>
      </c>
      <c r="P202">
        <v>881.57</v>
      </c>
      <c r="Q202">
        <v>5.7000000000000002E-2</v>
      </c>
      <c r="R202">
        <v>18</v>
      </c>
    </row>
    <row r="203" spans="1:18" x14ac:dyDescent="0.45">
      <c r="A203" t="s">
        <v>215</v>
      </c>
      <c r="B203" s="5">
        <v>45303</v>
      </c>
      <c r="C203" s="5">
        <v>45320</v>
      </c>
      <c r="D203" s="5">
        <f t="shared" si="9"/>
        <v>45303</v>
      </c>
      <c r="E203" s="5">
        <f t="shared" si="10"/>
        <v>45320</v>
      </c>
      <c r="F203" s="7">
        <f t="shared" si="11"/>
        <v>17</v>
      </c>
      <c r="G203" t="s">
        <v>648</v>
      </c>
      <c r="H203" t="s">
        <v>660</v>
      </c>
      <c r="I203" t="s">
        <v>677</v>
      </c>
      <c r="J203" t="s">
        <v>702</v>
      </c>
      <c r="K203" t="s">
        <v>710</v>
      </c>
      <c r="L203" t="s">
        <v>720</v>
      </c>
      <c r="M203" t="s">
        <v>728</v>
      </c>
      <c r="N203" t="s">
        <v>935</v>
      </c>
      <c r="O203">
        <v>493.76</v>
      </c>
      <c r="P203">
        <v>625.04</v>
      </c>
      <c r="Q203">
        <v>0.25800000000000001</v>
      </c>
      <c r="R203">
        <v>10</v>
      </c>
    </row>
    <row r="204" spans="1:18" x14ac:dyDescent="0.45">
      <c r="A204" t="s">
        <v>216</v>
      </c>
      <c r="B204" s="5">
        <v>45153</v>
      </c>
      <c r="C204" s="5">
        <v>45176</v>
      </c>
      <c r="D204" s="5">
        <f t="shared" si="9"/>
        <v>45153</v>
      </c>
      <c r="E204" s="5">
        <f t="shared" si="10"/>
        <v>45176</v>
      </c>
      <c r="F204" s="7">
        <f t="shared" si="11"/>
        <v>23</v>
      </c>
      <c r="G204" t="s">
        <v>648</v>
      </c>
      <c r="H204" t="s">
        <v>660</v>
      </c>
      <c r="I204" t="s">
        <v>700</v>
      </c>
      <c r="J204" t="s">
        <v>706</v>
      </c>
      <c r="K204" t="s">
        <v>708</v>
      </c>
      <c r="L204" t="s">
        <v>723</v>
      </c>
      <c r="M204" t="s">
        <v>730</v>
      </c>
      <c r="N204" t="s">
        <v>936</v>
      </c>
      <c r="O204">
        <v>590.33000000000004</v>
      </c>
      <c r="P204">
        <v>973.04</v>
      </c>
      <c r="Q204">
        <v>0</v>
      </c>
      <c r="R204">
        <v>26</v>
      </c>
    </row>
    <row r="205" spans="1:18" x14ac:dyDescent="0.45">
      <c r="A205" t="s">
        <v>217</v>
      </c>
      <c r="B205" s="5">
        <v>44946</v>
      </c>
      <c r="C205" s="5">
        <v>44960</v>
      </c>
      <c r="D205" s="5">
        <f t="shared" si="9"/>
        <v>44946</v>
      </c>
      <c r="E205" s="5">
        <f t="shared" si="10"/>
        <v>44960</v>
      </c>
      <c r="F205" s="7">
        <f t="shared" si="11"/>
        <v>14</v>
      </c>
      <c r="G205" t="s">
        <v>646</v>
      </c>
      <c r="H205" t="s">
        <v>650</v>
      </c>
      <c r="I205" t="s">
        <v>662</v>
      </c>
      <c r="J205" t="s">
        <v>701</v>
      </c>
      <c r="K205" t="s">
        <v>707</v>
      </c>
      <c r="L205" t="s">
        <v>724</v>
      </c>
      <c r="M205" t="s">
        <v>729</v>
      </c>
      <c r="N205" t="s">
        <v>937</v>
      </c>
      <c r="O205">
        <v>884.36</v>
      </c>
      <c r="P205">
        <v>1545.34</v>
      </c>
      <c r="Q205">
        <v>0.24299999999999999</v>
      </c>
      <c r="R205">
        <v>41</v>
      </c>
    </row>
    <row r="206" spans="1:18" x14ac:dyDescent="0.45">
      <c r="A206" t="s">
        <v>218</v>
      </c>
      <c r="B206" s="5">
        <v>45692</v>
      </c>
      <c r="C206" s="5">
        <v>45713</v>
      </c>
      <c r="D206" s="5">
        <f t="shared" si="9"/>
        <v>45692</v>
      </c>
      <c r="E206" s="5">
        <f t="shared" si="10"/>
        <v>45713</v>
      </c>
      <c r="F206" s="7">
        <f t="shared" si="11"/>
        <v>21</v>
      </c>
      <c r="G206" t="s">
        <v>649</v>
      </c>
      <c r="H206" t="s">
        <v>658</v>
      </c>
      <c r="I206" t="s">
        <v>674</v>
      </c>
      <c r="J206" t="s">
        <v>701</v>
      </c>
      <c r="K206" t="s">
        <v>709</v>
      </c>
      <c r="L206" t="s">
        <v>726</v>
      </c>
      <c r="M206" t="s">
        <v>732</v>
      </c>
      <c r="N206" t="s">
        <v>938</v>
      </c>
      <c r="O206">
        <v>1016.32</v>
      </c>
      <c r="P206">
        <v>2253.42</v>
      </c>
      <c r="Q206">
        <v>5.5E-2</v>
      </c>
      <c r="R206">
        <v>12</v>
      </c>
    </row>
    <row r="207" spans="1:18" x14ac:dyDescent="0.45">
      <c r="A207" t="s">
        <v>219</v>
      </c>
      <c r="B207" s="5">
        <v>45035</v>
      </c>
      <c r="C207" s="5">
        <v>45044</v>
      </c>
      <c r="D207" s="5">
        <f t="shared" si="9"/>
        <v>45035</v>
      </c>
      <c r="E207" s="5">
        <f t="shared" si="10"/>
        <v>45044</v>
      </c>
      <c r="F207" s="7">
        <f t="shared" si="11"/>
        <v>9</v>
      </c>
      <c r="G207" t="s">
        <v>649</v>
      </c>
      <c r="H207" t="s">
        <v>656</v>
      </c>
      <c r="I207" t="s">
        <v>671</v>
      </c>
      <c r="J207" t="s">
        <v>702</v>
      </c>
      <c r="K207" t="s">
        <v>708</v>
      </c>
      <c r="L207" t="s">
        <v>718</v>
      </c>
      <c r="M207" t="s">
        <v>732</v>
      </c>
      <c r="N207" t="s">
        <v>939</v>
      </c>
      <c r="O207">
        <v>1178.42</v>
      </c>
      <c r="P207">
        <v>2446.56</v>
      </c>
      <c r="Q207">
        <v>2.9000000000000001E-2</v>
      </c>
      <c r="R207">
        <v>11</v>
      </c>
    </row>
    <row r="208" spans="1:18" x14ac:dyDescent="0.45">
      <c r="A208" t="s">
        <v>220</v>
      </c>
      <c r="B208" s="5">
        <v>45109</v>
      </c>
      <c r="C208" s="5">
        <v>45139</v>
      </c>
      <c r="D208" s="5">
        <f t="shared" si="9"/>
        <v>45109</v>
      </c>
      <c r="E208" s="5">
        <f t="shared" si="10"/>
        <v>45139</v>
      </c>
      <c r="F208" s="7">
        <f t="shared" si="11"/>
        <v>30</v>
      </c>
      <c r="G208" t="s">
        <v>649</v>
      </c>
      <c r="H208" t="s">
        <v>658</v>
      </c>
      <c r="I208" t="s">
        <v>674</v>
      </c>
      <c r="J208" t="s">
        <v>705</v>
      </c>
      <c r="K208" t="s">
        <v>707</v>
      </c>
      <c r="L208" t="s">
        <v>717</v>
      </c>
      <c r="M208" t="s">
        <v>727</v>
      </c>
      <c r="N208" t="s">
        <v>940</v>
      </c>
      <c r="O208">
        <v>137.46</v>
      </c>
      <c r="P208">
        <v>188.3</v>
      </c>
      <c r="Q208">
        <v>3.7999999999999999E-2</v>
      </c>
      <c r="R208">
        <v>37</v>
      </c>
    </row>
    <row r="209" spans="1:18" x14ac:dyDescent="0.45">
      <c r="A209" t="s">
        <v>221</v>
      </c>
      <c r="B209" s="5">
        <v>45678</v>
      </c>
      <c r="C209" s="5">
        <v>45702</v>
      </c>
      <c r="D209" s="5">
        <f t="shared" si="9"/>
        <v>45678</v>
      </c>
      <c r="E209" s="5">
        <f t="shared" si="10"/>
        <v>45702</v>
      </c>
      <c r="F209" s="7">
        <f t="shared" si="11"/>
        <v>24</v>
      </c>
      <c r="G209" t="s">
        <v>646</v>
      </c>
      <c r="H209" t="s">
        <v>650</v>
      </c>
      <c r="I209" t="s">
        <v>664</v>
      </c>
      <c r="J209" t="s">
        <v>705</v>
      </c>
      <c r="K209" t="s">
        <v>707</v>
      </c>
      <c r="L209" t="s">
        <v>713</v>
      </c>
      <c r="M209" t="s">
        <v>733</v>
      </c>
      <c r="N209" t="s">
        <v>941</v>
      </c>
      <c r="O209">
        <v>1030.44</v>
      </c>
      <c r="P209">
        <v>2562.84</v>
      </c>
      <c r="Q209">
        <v>0.14799999999999999</v>
      </c>
      <c r="R209">
        <v>13</v>
      </c>
    </row>
    <row r="210" spans="1:18" x14ac:dyDescent="0.45">
      <c r="A210" t="s">
        <v>222</v>
      </c>
      <c r="B210" s="5">
        <v>45545</v>
      </c>
      <c r="C210" s="5">
        <v>45572</v>
      </c>
      <c r="D210" s="5">
        <f t="shared" si="9"/>
        <v>45545</v>
      </c>
      <c r="E210" s="5">
        <f t="shared" si="10"/>
        <v>45572</v>
      </c>
      <c r="F210" s="7">
        <f t="shared" si="11"/>
        <v>27</v>
      </c>
      <c r="G210" t="s">
        <v>646</v>
      </c>
      <c r="H210" t="s">
        <v>650</v>
      </c>
      <c r="I210" t="s">
        <v>662</v>
      </c>
      <c r="J210" t="s">
        <v>704</v>
      </c>
      <c r="K210" t="s">
        <v>707</v>
      </c>
      <c r="L210" t="s">
        <v>716</v>
      </c>
      <c r="M210" t="s">
        <v>728</v>
      </c>
      <c r="N210" t="s">
        <v>942</v>
      </c>
      <c r="O210">
        <v>1248.3900000000001</v>
      </c>
      <c r="P210">
        <v>1805.11</v>
      </c>
      <c r="Q210">
        <v>0.20300000000000001</v>
      </c>
      <c r="R210">
        <v>11</v>
      </c>
    </row>
    <row r="211" spans="1:18" x14ac:dyDescent="0.45">
      <c r="A211" t="s">
        <v>223</v>
      </c>
      <c r="B211" s="5">
        <v>45859</v>
      </c>
      <c r="C211" s="5">
        <v>45876</v>
      </c>
      <c r="D211" s="5">
        <f t="shared" si="9"/>
        <v>45859</v>
      </c>
      <c r="E211" s="5">
        <f t="shared" si="10"/>
        <v>45876</v>
      </c>
      <c r="F211" s="7">
        <f t="shared" si="11"/>
        <v>17</v>
      </c>
      <c r="G211" t="s">
        <v>646</v>
      </c>
      <c r="H211" t="s">
        <v>651</v>
      </c>
      <c r="I211" t="s">
        <v>665</v>
      </c>
      <c r="J211" t="s">
        <v>706</v>
      </c>
      <c r="K211" t="s">
        <v>711</v>
      </c>
      <c r="L211" t="s">
        <v>724</v>
      </c>
      <c r="M211" t="s">
        <v>733</v>
      </c>
      <c r="N211" t="s">
        <v>943</v>
      </c>
      <c r="O211">
        <v>1204.95</v>
      </c>
      <c r="P211">
        <v>2065.73</v>
      </c>
      <c r="Q211">
        <v>0.13600000000000001</v>
      </c>
      <c r="R211">
        <v>10</v>
      </c>
    </row>
    <row r="212" spans="1:18" x14ac:dyDescent="0.45">
      <c r="A212" t="s">
        <v>224</v>
      </c>
      <c r="B212" s="5">
        <v>45567</v>
      </c>
      <c r="C212" s="5">
        <v>45588</v>
      </c>
      <c r="D212" s="5">
        <f t="shared" si="9"/>
        <v>45567</v>
      </c>
      <c r="E212" s="5">
        <f t="shared" si="10"/>
        <v>45588</v>
      </c>
      <c r="F212" s="7">
        <f t="shared" si="11"/>
        <v>21</v>
      </c>
      <c r="G212" t="s">
        <v>646</v>
      </c>
      <c r="H212" t="s">
        <v>661</v>
      </c>
      <c r="I212" t="s">
        <v>687</v>
      </c>
      <c r="J212" t="s">
        <v>701</v>
      </c>
      <c r="K212" t="s">
        <v>709</v>
      </c>
      <c r="L212" t="s">
        <v>720</v>
      </c>
      <c r="M212" t="s">
        <v>727</v>
      </c>
      <c r="N212" t="s">
        <v>944</v>
      </c>
      <c r="O212">
        <v>1095.6099999999999</v>
      </c>
      <c r="P212">
        <v>2366.5100000000002</v>
      </c>
      <c r="Q212">
        <v>0.152</v>
      </c>
      <c r="R212">
        <v>9</v>
      </c>
    </row>
    <row r="213" spans="1:18" x14ac:dyDescent="0.45">
      <c r="A213" t="s">
        <v>225</v>
      </c>
      <c r="B213" s="5">
        <v>45852</v>
      </c>
      <c r="C213" s="5">
        <v>45873</v>
      </c>
      <c r="D213" s="5">
        <f t="shared" si="9"/>
        <v>45852</v>
      </c>
      <c r="E213" s="5">
        <f t="shared" si="10"/>
        <v>45873</v>
      </c>
      <c r="F213" s="7">
        <f t="shared" si="11"/>
        <v>21</v>
      </c>
      <c r="G213" t="s">
        <v>648</v>
      </c>
      <c r="H213" t="s">
        <v>653</v>
      </c>
      <c r="I213" t="s">
        <v>681</v>
      </c>
      <c r="J213" t="s">
        <v>704</v>
      </c>
      <c r="K213" t="s">
        <v>708</v>
      </c>
      <c r="L213" t="s">
        <v>722</v>
      </c>
      <c r="M213" t="s">
        <v>732</v>
      </c>
      <c r="N213" t="s">
        <v>945</v>
      </c>
      <c r="O213">
        <v>90.3</v>
      </c>
      <c r="P213">
        <v>131.76</v>
      </c>
      <c r="Q213">
        <v>0.10199999999999999</v>
      </c>
      <c r="R213">
        <v>15</v>
      </c>
    </row>
    <row r="214" spans="1:18" x14ac:dyDescent="0.45">
      <c r="A214" t="s">
        <v>226</v>
      </c>
      <c r="B214" s="5">
        <v>45544</v>
      </c>
      <c r="C214" s="5">
        <v>45566</v>
      </c>
      <c r="D214" s="5">
        <f t="shared" si="9"/>
        <v>45544</v>
      </c>
      <c r="E214" s="5">
        <f t="shared" si="10"/>
        <v>45566</v>
      </c>
      <c r="F214" s="7">
        <f t="shared" si="11"/>
        <v>22</v>
      </c>
      <c r="G214" t="s">
        <v>647</v>
      </c>
      <c r="H214" t="s">
        <v>659</v>
      </c>
      <c r="I214" t="s">
        <v>676</v>
      </c>
      <c r="J214" t="s">
        <v>704</v>
      </c>
      <c r="K214" t="s">
        <v>711</v>
      </c>
      <c r="L214" t="s">
        <v>716</v>
      </c>
      <c r="M214" t="s">
        <v>728</v>
      </c>
      <c r="N214" t="s">
        <v>946</v>
      </c>
      <c r="O214">
        <v>1166.18</v>
      </c>
      <c r="P214">
        <v>1335.02</v>
      </c>
      <c r="Q214">
        <v>0.128</v>
      </c>
      <c r="R214">
        <v>6</v>
      </c>
    </row>
    <row r="215" spans="1:18" x14ac:dyDescent="0.45">
      <c r="A215" t="s">
        <v>227</v>
      </c>
      <c r="B215" s="5">
        <v>45686</v>
      </c>
      <c r="C215" s="5">
        <v>45694</v>
      </c>
      <c r="D215" s="5">
        <f t="shared" si="9"/>
        <v>45686</v>
      </c>
      <c r="E215" s="5">
        <f t="shared" si="10"/>
        <v>45694</v>
      </c>
      <c r="F215" s="7">
        <f t="shared" si="11"/>
        <v>8</v>
      </c>
      <c r="G215" t="s">
        <v>646</v>
      </c>
      <c r="H215" t="s">
        <v>650</v>
      </c>
      <c r="I215" t="s">
        <v>662</v>
      </c>
      <c r="J215" t="s">
        <v>702</v>
      </c>
      <c r="K215" t="s">
        <v>707</v>
      </c>
      <c r="L215" t="s">
        <v>717</v>
      </c>
      <c r="M215" t="s">
        <v>730</v>
      </c>
      <c r="N215" t="s">
        <v>947</v>
      </c>
      <c r="O215">
        <v>1445.27</v>
      </c>
      <c r="P215">
        <v>2691.45</v>
      </c>
      <c r="Q215">
        <v>0</v>
      </c>
      <c r="R215">
        <v>9</v>
      </c>
    </row>
    <row r="216" spans="1:18" x14ac:dyDescent="0.45">
      <c r="A216" t="s">
        <v>228</v>
      </c>
      <c r="B216" s="5">
        <v>45240</v>
      </c>
      <c r="C216" s="5">
        <v>45258</v>
      </c>
      <c r="D216" s="5">
        <f t="shared" si="9"/>
        <v>45240</v>
      </c>
      <c r="E216" s="5">
        <f t="shared" si="10"/>
        <v>45258</v>
      </c>
      <c r="F216" s="7">
        <f t="shared" si="11"/>
        <v>18</v>
      </c>
      <c r="G216" t="s">
        <v>648</v>
      </c>
      <c r="H216" t="s">
        <v>655</v>
      </c>
      <c r="I216" t="s">
        <v>672</v>
      </c>
      <c r="J216" t="s">
        <v>702</v>
      </c>
      <c r="K216" t="s">
        <v>709</v>
      </c>
      <c r="L216" t="s">
        <v>716</v>
      </c>
      <c r="M216" t="s">
        <v>733</v>
      </c>
      <c r="N216" t="s">
        <v>948</v>
      </c>
      <c r="O216">
        <v>388.51</v>
      </c>
      <c r="P216">
        <v>776.46</v>
      </c>
      <c r="Q216">
        <v>0.157</v>
      </c>
      <c r="R216">
        <v>12</v>
      </c>
    </row>
    <row r="217" spans="1:18" x14ac:dyDescent="0.45">
      <c r="A217" t="s">
        <v>229</v>
      </c>
      <c r="B217" s="5">
        <v>45351</v>
      </c>
      <c r="C217" s="5">
        <v>45381</v>
      </c>
      <c r="D217" s="5">
        <f t="shared" si="9"/>
        <v>45351</v>
      </c>
      <c r="E217" s="5">
        <f t="shared" si="10"/>
        <v>45381</v>
      </c>
      <c r="F217" s="7">
        <f t="shared" si="11"/>
        <v>30</v>
      </c>
      <c r="G217" t="s">
        <v>647</v>
      </c>
      <c r="H217" t="s">
        <v>652</v>
      </c>
      <c r="I217" t="s">
        <v>694</v>
      </c>
      <c r="J217" t="s">
        <v>705</v>
      </c>
      <c r="K217" t="s">
        <v>711</v>
      </c>
      <c r="L217" t="s">
        <v>714</v>
      </c>
      <c r="M217" t="s">
        <v>729</v>
      </c>
      <c r="N217" t="s">
        <v>949</v>
      </c>
      <c r="O217">
        <v>231.11</v>
      </c>
      <c r="P217">
        <v>318.17</v>
      </c>
      <c r="Q217">
        <v>0.20100000000000001</v>
      </c>
      <c r="R217">
        <v>60</v>
      </c>
    </row>
    <row r="218" spans="1:18" x14ac:dyDescent="0.45">
      <c r="A218" t="s">
        <v>230</v>
      </c>
      <c r="B218" s="5">
        <v>45280</v>
      </c>
      <c r="C218" s="5">
        <v>45305</v>
      </c>
      <c r="D218" s="5">
        <f t="shared" si="9"/>
        <v>45280</v>
      </c>
      <c r="E218" s="5">
        <f t="shared" si="10"/>
        <v>45305</v>
      </c>
      <c r="F218" s="7">
        <f t="shared" si="11"/>
        <v>25</v>
      </c>
      <c r="G218" t="s">
        <v>647</v>
      </c>
      <c r="H218" t="s">
        <v>654</v>
      </c>
      <c r="I218" t="s">
        <v>691</v>
      </c>
      <c r="J218" t="s">
        <v>703</v>
      </c>
      <c r="K218" t="s">
        <v>709</v>
      </c>
      <c r="L218" t="s">
        <v>716</v>
      </c>
      <c r="M218" t="s">
        <v>732</v>
      </c>
      <c r="N218" t="s">
        <v>950</v>
      </c>
      <c r="O218">
        <v>1085.6099999999999</v>
      </c>
      <c r="P218">
        <v>1246.4100000000001</v>
      </c>
      <c r="Q218">
        <v>0.113</v>
      </c>
      <c r="R218">
        <v>7</v>
      </c>
    </row>
    <row r="219" spans="1:18" x14ac:dyDescent="0.45">
      <c r="A219" t="s">
        <v>231</v>
      </c>
      <c r="B219" s="5">
        <v>44948</v>
      </c>
      <c r="C219" s="5">
        <v>44947</v>
      </c>
      <c r="D219" s="5">
        <f t="shared" si="9"/>
        <v>44947</v>
      </c>
      <c r="E219" s="5">
        <f t="shared" si="10"/>
        <v>44948</v>
      </c>
      <c r="F219" s="7">
        <f t="shared" si="11"/>
        <v>1</v>
      </c>
      <c r="G219" t="s">
        <v>649</v>
      </c>
      <c r="H219" t="s">
        <v>656</v>
      </c>
      <c r="I219" t="s">
        <v>684</v>
      </c>
      <c r="J219" t="s">
        <v>701</v>
      </c>
      <c r="K219" t="s">
        <v>711</v>
      </c>
      <c r="L219" t="s">
        <v>721</v>
      </c>
      <c r="M219" t="s">
        <v>732</v>
      </c>
      <c r="N219" t="s">
        <v>951</v>
      </c>
      <c r="O219">
        <v>150.86000000000001</v>
      </c>
      <c r="P219">
        <v>346.96</v>
      </c>
      <c r="Q219">
        <v>0.19600000000000001</v>
      </c>
      <c r="R219">
        <v>8</v>
      </c>
    </row>
    <row r="220" spans="1:18" x14ac:dyDescent="0.45">
      <c r="A220" t="s">
        <v>232</v>
      </c>
      <c r="B220" s="5">
        <v>45576</v>
      </c>
      <c r="C220" s="5">
        <v>45605</v>
      </c>
      <c r="D220" s="5">
        <f t="shared" si="9"/>
        <v>45576</v>
      </c>
      <c r="E220" s="5">
        <f t="shared" si="10"/>
        <v>45605</v>
      </c>
      <c r="F220" s="7">
        <f t="shared" si="11"/>
        <v>29</v>
      </c>
      <c r="G220" t="s">
        <v>647</v>
      </c>
      <c r="H220" t="s">
        <v>659</v>
      </c>
      <c r="I220" t="s">
        <v>685</v>
      </c>
      <c r="J220" t="s">
        <v>703</v>
      </c>
      <c r="K220" t="s">
        <v>708</v>
      </c>
      <c r="L220" t="s">
        <v>721</v>
      </c>
      <c r="M220" t="s">
        <v>728</v>
      </c>
      <c r="N220" t="s">
        <v>952</v>
      </c>
      <c r="O220">
        <v>391.64</v>
      </c>
      <c r="P220">
        <v>504.76</v>
      </c>
      <c r="Q220">
        <v>4.0000000000000001E-3</v>
      </c>
      <c r="R220">
        <v>13</v>
      </c>
    </row>
    <row r="221" spans="1:18" x14ac:dyDescent="0.45">
      <c r="A221" t="s">
        <v>233</v>
      </c>
      <c r="B221" s="5">
        <v>45554</v>
      </c>
      <c r="C221" s="5">
        <v>45579</v>
      </c>
      <c r="D221" s="5">
        <f t="shared" si="9"/>
        <v>45554</v>
      </c>
      <c r="E221" s="5">
        <f t="shared" si="10"/>
        <v>45579</v>
      </c>
      <c r="F221" s="7">
        <f t="shared" si="11"/>
        <v>25</v>
      </c>
      <c r="G221" t="s">
        <v>648</v>
      </c>
      <c r="H221" t="s">
        <v>655</v>
      </c>
      <c r="I221" t="s">
        <v>692</v>
      </c>
      <c r="J221" t="s">
        <v>705</v>
      </c>
      <c r="K221" t="s">
        <v>707</v>
      </c>
      <c r="L221" t="s">
        <v>723</v>
      </c>
      <c r="M221" t="s">
        <v>728</v>
      </c>
      <c r="N221" t="s">
        <v>953</v>
      </c>
      <c r="O221">
        <v>386.96</v>
      </c>
      <c r="P221">
        <v>937.46</v>
      </c>
      <c r="Q221">
        <v>0.26600000000000001</v>
      </c>
      <c r="R221">
        <v>41</v>
      </c>
    </row>
    <row r="222" spans="1:18" x14ac:dyDescent="0.45">
      <c r="A222" t="s">
        <v>234</v>
      </c>
      <c r="B222" s="5">
        <v>45894</v>
      </c>
      <c r="C222" s="5">
        <v>45924</v>
      </c>
      <c r="D222" s="5">
        <f t="shared" si="9"/>
        <v>45894</v>
      </c>
      <c r="E222" s="5">
        <f t="shared" si="10"/>
        <v>45924</v>
      </c>
      <c r="F222" s="7">
        <f t="shared" si="11"/>
        <v>30</v>
      </c>
      <c r="G222" t="s">
        <v>646</v>
      </c>
      <c r="H222" t="s">
        <v>650</v>
      </c>
      <c r="I222" t="s">
        <v>664</v>
      </c>
      <c r="J222" t="s">
        <v>704</v>
      </c>
      <c r="K222" t="s">
        <v>711</v>
      </c>
      <c r="L222" t="s">
        <v>717</v>
      </c>
      <c r="M222" t="s">
        <v>727</v>
      </c>
      <c r="N222" t="s">
        <v>954</v>
      </c>
      <c r="O222">
        <v>589.14</v>
      </c>
      <c r="P222">
        <v>1300.58</v>
      </c>
      <c r="Q222">
        <v>5.5E-2</v>
      </c>
      <c r="R222">
        <v>11</v>
      </c>
    </row>
    <row r="223" spans="1:18" x14ac:dyDescent="0.45">
      <c r="A223" t="s">
        <v>235</v>
      </c>
      <c r="B223" s="5">
        <v>45194</v>
      </c>
      <c r="C223" s="5">
        <v>45201</v>
      </c>
      <c r="D223" s="5">
        <f t="shared" si="9"/>
        <v>45194</v>
      </c>
      <c r="E223" s="5">
        <f t="shared" si="10"/>
        <v>45201</v>
      </c>
      <c r="F223" s="7">
        <f t="shared" si="11"/>
        <v>7</v>
      </c>
      <c r="G223" t="s">
        <v>648</v>
      </c>
      <c r="H223" t="s">
        <v>660</v>
      </c>
      <c r="I223" t="s">
        <v>700</v>
      </c>
      <c r="J223" t="s">
        <v>702</v>
      </c>
      <c r="K223" t="s">
        <v>709</v>
      </c>
      <c r="L223" t="s">
        <v>714</v>
      </c>
      <c r="M223" t="s">
        <v>733</v>
      </c>
      <c r="N223" t="s">
        <v>955</v>
      </c>
      <c r="O223">
        <v>145.58000000000001</v>
      </c>
      <c r="P223">
        <v>228.15</v>
      </c>
      <c r="Q223">
        <v>0.20399999999999999</v>
      </c>
      <c r="R223">
        <v>5</v>
      </c>
    </row>
    <row r="224" spans="1:18" x14ac:dyDescent="0.45">
      <c r="A224" t="s">
        <v>236</v>
      </c>
      <c r="B224" s="5">
        <v>45164</v>
      </c>
      <c r="C224" s="5">
        <v>45179</v>
      </c>
      <c r="D224" s="5">
        <f t="shared" si="9"/>
        <v>45164</v>
      </c>
      <c r="E224" s="5">
        <f t="shared" si="10"/>
        <v>45179</v>
      </c>
      <c r="F224" s="7">
        <f t="shared" si="11"/>
        <v>15</v>
      </c>
      <c r="G224" t="s">
        <v>646</v>
      </c>
      <c r="H224" t="s">
        <v>661</v>
      </c>
      <c r="I224" t="s">
        <v>695</v>
      </c>
      <c r="J224" t="s">
        <v>703</v>
      </c>
      <c r="K224" t="s">
        <v>711</v>
      </c>
      <c r="L224" t="s">
        <v>725</v>
      </c>
      <c r="M224" t="s">
        <v>727</v>
      </c>
      <c r="N224" t="s">
        <v>956</v>
      </c>
      <c r="O224">
        <v>241.14</v>
      </c>
      <c r="P224">
        <v>496.52</v>
      </c>
      <c r="Q224">
        <v>9.2999999999999999E-2</v>
      </c>
      <c r="R224">
        <v>10</v>
      </c>
    </row>
    <row r="225" spans="1:18" x14ac:dyDescent="0.45">
      <c r="A225" t="s">
        <v>237</v>
      </c>
      <c r="B225" s="5">
        <v>45854</v>
      </c>
      <c r="C225" s="5">
        <v>45855</v>
      </c>
      <c r="D225" s="5">
        <f t="shared" si="9"/>
        <v>45854</v>
      </c>
      <c r="E225" s="5">
        <f t="shared" si="10"/>
        <v>45855</v>
      </c>
      <c r="F225" s="7">
        <f t="shared" si="11"/>
        <v>1</v>
      </c>
      <c r="G225" t="s">
        <v>646</v>
      </c>
      <c r="H225" t="s">
        <v>661</v>
      </c>
      <c r="I225" t="s">
        <v>687</v>
      </c>
      <c r="J225" t="s">
        <v>705</v>
      </c>
      <c r="K225" t="s">
        <v>710</v>
      </c>
      <c r="L225" t="s">
        <v>717</v>
      </c>
      <c r="M225" t="s">
        <v>729</v>
      </c>
      <c r="N225" t="s">
        <v>957</v>
      </c>
      <c r="O225">
        <v>1198.9000000000001</v>
      </c>
      <c r="P225">
        <v>2941.2</v>
      </c>
      <c r="Q225">
        <v>5.0999999999999997E-2</v>
      </c>
      <c r="R225">
        <v>24</v>
      </c>
    </row>
    <row r="226" spans="1:18" x14ac:dyDescent="0.45">
      <c r="A226" t="s">
        <v>238</v>
      </c>
      <c r="B226" s="5">
        <v>45035</v>
      </c>
      <c r="C226" s="5">
        <v>45053</v>
      </c>
      <c r="D226" s="5">
        <f t="shared" si="9"/>
        <v>45035</v>
      </c>
      <c r="E226" s="5">
        <f t="shared" si="10"/>
        <v>45053</v>
      </c>
      <c r="F226" s="7">
        <f t="shared" si="11"/>
        <v>18</v>
      </c>
      <c r="G226" t="s">
        <v>649</v>
      </c>
      <c r="H226" t="s">
        <v>658</v>
      </c>
      <c r="I226" t="s">
        <v>674</v>
      </c>
      <c r="J226" t="s">
        <v>706</v>
      </c>
      <c r="K226" t="s">
        <v>707</v>
      </c>
      <c r="L226" t="s">
        <v>725</v>
      </c>
      <c r="M226" t="s">
        <v>731</v>
      </c>
      <c r="N226" t="s">
        <v>958</v>
      </c>
      <c r="O226">
        <v>1089.1500000000001</v>
      </c>
      <c r="P226">
        <v>1088.2</v>
      </c>
      <c r="Q226">
        <v>5.0999999999999997E-2</v>
      </c>
      <c r="R226">
        <v>15</v>
      </c>
    </row>
    <row r="227" spans="1:18" x14ac:dyDescent="0.45">
      <c r="A227" t="s">
        <v>239</v>
      </c>
      <c r="B227" s="5">
        <v>45279</v>
      </c>
      <c r="C227" s="5">
        <v>45280</v>
      </c>
      <c r="D227" s="5">
        <f t="shared" si="9"/>
        <v>45279</v>
      </c>
      <c r="E227" s="5">
        <f t="shared" si="10"/>
        <v>45280</v>
      </c>
      <c r="F227" s="7">
        <f t="shared" si="11"/>
        <v>1</v>
      </c>
      <c r="G227" t="s">
        <v>648</v>
      </c>
      <c r="H227" t="s">
        <v>655</v>
      </c>
      <c r="I227" t="s">
        <v>692</v>
      </c>
      <c r="J227" t="s">
        <v>704</v>
      </c>
      <c r="K227" t="s">
        <v>710</v>
      </c>
      <c r="L227" t="s">
        <v>713</v>
      </c>
      <c r="M227" t="s">
        <v>730</v>
      </c>
      <c r="N227" t="s">
        <v>959</v>
      </c>
      <c r="O227">
        <v>1080.43</v>
      </c>
      <c r="P227">
        <v>2529.15</v>
      </c>
      <c r="Q227">
        <v>0.14699999999999999</v>
      </c>
      <c r="R227">
        <v>10</v>
      </c>
    </row>
    <row r="228" spans="1:18" x14ac:dyDescent="0.45">
      <c r="A228" t="s">
        <v>240</v>
      </c>
      <c r="B228" s="5">
        <v>45137</v>
      </c>
      <c r="C228" s="5">
        <v>45145</v>
      </c>
      <c r="D228" s="5">
        <f t="shared" si="9"/>
        <v>45137</v>
      </c>
      <c r="E228" s="5">
        <f t="shared" si="10"/>
        <v>45145</v>
      </c>
      <c r="F228" s="7">
        <f t="shared" si="11"/>
        <v>8</v>
      </c>
      <c r="G228" t="s">
        <v>647</v>
      </c>
      <c r="H228" t="s">
        <v>652</v>
      </c>
      <c r="I228" t="s">
        <v>694</v>
      </c>
      <c r="J228" t="s">
        <v>702</v>
      </c>
      <c r="K228" t="s">
        <v>709</v>
      </c>
      <c r="L228" t="s">
        <v>720</v>
      </c>
      <c r="M228" t="s">
        <v>729</v>
      </c>
      <c r="N228" t="s">
        <v>960</v>
      </c>
      <c r="O228">
        <v>1352.44</v>
      </c>
      <c r="P228">
        <v>2698.01</v>
      </c>
      <c r="Q228">
        <v>0.13100000000000001</v>
      </c>
      <c r="R228">
        <v>13</v>
      </c>
    </row>
    <row r="229" spans="1:18" x14ac:dyDescent="0.45">
      <c r="A229" t="s">
        <v>241</v>
      </c>
      <c r="B229" s="5">
        <v>45203</v>
      </c>
      <c r="C229" s="5">
        <v>45228</v>
      </c>
      <c r="D229" s="5">
        <f t="shared" si="9"/>
        <v>45203</v>
      </c>
      <c r="E229" s="5">
        <f t="shared" si="10"/>
        <v>45228</v>
      </c>
      <c r="F229" s="7">
        <f t="shared" si="11"/>
        <v>25</v>
      </c>
      <c r="G229" t="s">
        <v>648</v>
      </c>
      <c r="H229" t="s">
        <v>660</v>
      </c>
      <c r="I229" t="s">
        <v>686</v>
      </c>
      <c r="J229" t="s">
        <v>705</v>
      </c>
      <c r="K229" t="s">
        <v>710</v>
      </c>
      <c r="L229" t="s">
        <v>719</v>
      </c>
      <c r="M229" t="s">
        <v>733</v>
      </c>
      <c r="N229" t="s">
        <v>961</v>
      </c>
      <c r="O229">
        <v>1239.8399999999999</v>
      </c>
      <c r="P229">
        <v>1482.75</v>
      </c>
      <c r="Q229">
        <v>6.7000000000000004E-2</v>
      </c>
      <c r="R229">
        <v>4</v>
      </c>
    </row>
    <row r="230" spans="1:18" x14ac:dyDescent="0.45">
      <c r="A230" t="s">
        <v>242</v>
      </c>
      <c r="B230" s="5">
        <v>45879</v>
      </c>
      <c r="C230" s="5">
        <v>45899</v>
      </c>
      <c r="D230" s="5">
        <f t="shared" si="9"/>
        <v>45879</v>
      </c>
      <c r="E230" s="5">
        <f t="shared" si="10"/>
        <v>45899</v>
      </c>
      <c r="F230" s="7">
        <f t="shared" si="11"/>
        <v>20</v>
      </c>
      <c r="G230" t="s">
        <v>648</v>
      </c>
      <c r="H230" t="s">
        <v>660</v>
      </c>
      <c r="I230" t="s">
        <v>686</v>
      </c>
      <c r="J230" t="s">
        <v>701</v>
      </c>
      <c r="K230" t="s">
        <v>709</v>
      </c>
      <c r="L230" t="s">
        <v>723</v>
      </c>
      <c r="M230" t="s">
        <v>728</v>
      </c>
      <c r="N230" t="s">
        <v>962</v>
      </c>
      <c r="O230">
        <v>933.29</v>
      </c>
      <c r="P230">
        <v>1456.81</v>
      </c>
      <c r="Q230">
        <v>0.123</v>
      </c>
      <c r="R230">
        <v>13</v>
      </c>
    </row>
    <row r="231" spans="1:18" x14ac:dyDescent="0.45">
      <c r="A231" t="s">
        <v>243</v>
      </c>
      <c r="B231" s="5">
        <v>44992</v>
      </c>
      <c r="C231" s="5">
        <v>45017</v>
      </c>
      <c r="D231" s="5">
        <f t="shared" si="9"/>
        <v>44992</v>
      </c>
      <c r="E231" s="5">
        <f t="shared" si="10"/>
        <v>45017</v>
      </c>
      <c r="F231" s="7">
        <f t="shared" si="11"/>
        <v>25</v>
      </c>
      <c r="G231" t="s">
        <v>646</v>
      </c>
      <c r="H231" t="s">
        <v>650</v>
      </c>
      <c r="I231" t="s">
        <v>664</v>
      </c>
      <c r="J231" t="s">
        <v>704</v>
      </c>
      <c r="K231" t="s">
        <v>709</v>
      </c>
      <c r="L231" t="s">
        <v>726</v>
      </c>
      <c r="M231" t="s">
        <v>728</v>
      </c>
      <c r="N231" t="s">
        <v>963</v>
      </c>
      <c r="O231">
        <v>1024.0999999999999</v>
      </c>
      <c r="P231">
        <v>918.19</v>
      </c>
      <c r="Q231">
        <v>0.189</v>
      </c>
      <c r="R231">
        <v>10</v>
      </c>
    </row>
    <row r="232" spans="1:18" x14ac:dyDescent="0.45">
      <c r="A232" t="s">
        <v>244</v>
      </c>
      <c r="B232" s="5">
        <v>45069</v>
      </c>
      <c r="C232" s="5">
        <v>45087</v>
      </c>
      <c r="D232" s="5">
        <f t="shared" si="9"/>
        <v>45069</v>
      </c>
      <c r="E232" s="5">
        <f t="shared" si="10"/>
        <v>45087</v>
      </c>
      <c r="F232" s="7">
        <f t="shared" si="11"/>
        <v>18</v>
      </c>
      <c r="G232" t="s">
        <v>647</v>
      </c>
      <c r="H232" t="s">
        <v>659</v>
      </c>
      <c r="I232" t="s">
        <v>685</v>
      </c>
      <c r="J232" t="s">
        <v>701</v>
      </c>
      <c r="K232" t="s">
        <v>710</v>
      </c>
      <c r="L232" t="s">
        <v>718</v>
      </c>
      <c r="M232" t="s">
        <v>727</v>
      </c>
      <c r="N232" t="s">
        <v>964</v>
      </c>
      <c r="O232">
        <v>54.62</v>
      </c>
      <c r="P232">
        <v>48.94</v>
      </c>
      <c r="Q232">
        <v>0.14799999999999999</v>
      </c>
      <c r="R232">
        <v>16</v>
      </c>
    </row>
    <row r="233" spans="1:18" x14ac:dyDescent="0.45">
      <c r="A233" t="s">
        <v>245</v>
      </c>
      <c r="B233" s="5">
        <v>45771</v>
      </c>
      <c r="C233" s="5">
        <v>45783</v>
      </c>
      <c r="D233" s="5">
        <f t="shared" si="9"/>
        <v>45771</v>
      </c>
      <c r="E233" s="5">
        <f t="shared" si="10"/>
        <v>45783</v>
      </c>
      <c r="F233" s="7">
        <f t="shared" si="11"/>
        <v>12</v>
      </c>
      <c r="G233" t="s">
        <v>648</v>
      </c>
      <c r="H233" t="s">
        <v>655</v>
      </c>
      <c r="I233" t="s">
        <v>672</v>
      </c>
      <c r="J233" t="s">
        <v>704</v>
      </c>
      <c r="K233" t="s">
        <v>708</v>
      </c>
      <c r="L233" t="s">
        <v>712</v>
      </c>
      <c r="M233" t="s">
        <v>730</v>
      </c>
      <c r="N233" t="s">
        <v>965</v>
      </c>
      <c r="O233">
        <v>394.13</v>
      </c>
      <c r="P233">
        <v>932.29</v>
      </c>
      <c r="Q233">
        <v>0.109</v>
      </c>
      <c r="R233">
        <v>7</v>
      </c>
    </row>
    <row r="234" spans="1:18" x14ac:dyDescent="0.45">
      <c r="A234" t="s">
        <v>246</v>
      </c>
      <c r="B234" s="5">
        <v>45538</v>
      </c>
      <c r="C234" s="5">
        <v>45543</v>
      </c>
      <c r="D234" s="5">
        <f t="shared" si="9"/>
        <v>45538</v>
      </c>
      <c r="E234" s="5">
        <f t="shared" si="10"/>
        <v>45543</v>
      </c>
      <c r="F234" s="7">
        <f t="shared" si="11"/>
        <v>5</v>
      </c>
      <c r="G234" t="s">
        <v>646</v>
      </c>
      <c r="H234" t="s">
        <v>651</v>
      </c>
      <c r="I234" t="s">
        <v>665</v>
      </c>
      <c r="J234" t="s">
        <v>705</v>
      </c>
      <c r="K234" t="s">
        <v>711</v>
      </c>
      <c r="L234" t="s">
        <v>723</v>
      </c>
      <c r="M234" t="s">
        <v>728</v>
      </c>
      <c r="N234" t="s">
        <v>966</v>
      </c>
      <c r="O234">
        <v>197.63</v>
      </c>
      <c r="P234">
        <v>325.79000000000002</v>
      </c>
      <c r="Q234">
        <v>0.11600000000000001</v>
      </c>
      <c r="R234">
        <v>10</v>
      </c>
    </row>
    <row r="235" spans="1:18" x14ac:dyDescent="0.45">
      <c r="A235" t="s">
        <v>247</v>
      </c>
      <c r="B235" s="5">
        <v>45540</v>
      </c>
      <c r="C235" s="5">
        <v>45560</v>
      </c>
      <c r="D235" s="5">
        <f t="shared" si="9"/>
        <v>45540</v>
      </c>
      <c r="E235" s="5">
        <f t="shared" si="10"/>
        <v>45560</v>
      </c>
      <c r="F235" s="7">
        <f t="shared" si="11"/>
        <v>20</v>
      </c>
      <c r="G235" t="s">
        <v>647</v>
      </c>
      <c r="H235" t="s">
        <v>652</v>
      </c>
      <c r="I235" t="s">
        <v>666</v>
      </c>
      <c r="J235" t="s">
        <v>706</v>
      </c>
      <c r="K235" t="s">
        <v>710</v>
      </c>
      <c r="L235" t="s">
        <v>726</v>
      </c>
      <c r="M235" t="s">
        <v>732</v>
      </c>
      <c r="N235" t="s">
        <v>967</v>
      </c>
      <c r="O235">
        <v>195.54</v>
      </c>
      <c r="P235">
        <v>405.97</v>
      </c>
      <c r="Q235">
        <v>0.187</v>
      </c>
      <c r="R235">
        <v>16</v>
      </c>
    </row>
    <row r="236" spans="1:18" x14ac:dyDescent="0.45">
      <c r="A236" t="s">
        <v>248</v>
      </c>
      <c r="B236" s="5">
        <v>44999</v>
      </c>
      <c r="C236" s="5">
        <v>45015</v>
      </c>
      <c r="D236" s="5">
        <f t="shared" si="9"/>
        <v>44999</v>
      </c>
      <c r="E236" s="5">
        <f t="shared" si="10"/>
        <v>45015</v>
      </c>
      <c r="F236" s="7">
        <f t="shared" si="11"/>
        <v>16</v>
      </c>
      <c r="G236" t="s">
        <v>646</v>
      </c>
      <c r="H236" t="s">
        <v>661</v>
      </c>
      <c r="I236" t="s">
        <v>695</v>
      </c>
      <c r="J236" t="s">
        <v>704</v>
      </c>
      <c r="K236" t="s">
        <v>710</v>
      </c>
      <c r="L236" t="s">
        <v>723</v>
      </c>
      <c r="M236" t="s">
        <v>727</v>
      </c>
      <c r="N236" t="s">
        <v>968</v>
      </c>
      <c r="O236">
        <v>1309.77</v>
      </c>
      <c r="P236">
        <v>1589.07</v>
      </c>
      <c r="Q236">
        <v>0.10199999999999999</v>
      </c>
      <c r="R236">
        <v>10</v>
      </c>
    </row>
    <row r="237" spans="1:18" x14ac:dyDescent="0.45">
      <c r="A237" t="s">
        <v>249</v>
      </c>
      <c r="B237" s="5">
        <v>45302</v>
      </c>
      <c r="C237" s="5">
        <v>45324</v>
      </c>
      <c r="D237" s="5">
        <f t="shared" si="9"/>
        <v>45302</v>
      </c>
      <c r="E237" s="5">
        <f t="shared" si="10"/>
        <v>45324</v>
      </c>
      <c r="F237" s="7">
        <f t="shared" si="11"/>
        <v>22</v>
      </c>
      <c r="G237" t="s">
        <v>647</v>
      </c>
      <c r="H237" t="s">
        <v>652</v>
      </c>
      <c r="I237" t="s">
        <v>694</v>
      </c>
      <c r="J237" t="s">
        <v>705</v>
      </c>
      <c r="K237" t="s">
        <v>708</v>
      </c>
      <c r="M237" t="s">
        <v>728</v>
      </c>
      <c r="N237" t="s">
        <v>969</v>
      </c>
      <c r="O237">
        <v>1237.68</v>
      </c>
      <c r="P237">
        <v>1432.8</v>
      </c>
      <c r="Q237">
        <v>6.8000000000000005E-2</v>
      </c>
      <c r="R237">
        <v>13</v>
      </c>
    </row>
    <row r="238" spans="1:18" x14ac:dyDescent="0.45">
      <c r="A238" t="s">
        <v>250</v>
      </c>
      <c r="B238" s="5">
        <v>45548</v>
      </c>
      <c r="C238" s="5">
        <v>45567</v>
      </c>
      <c r="D238" s="5">
        <f t="shared" si="9"/>
        <v>45548</v>
      </c>
      <c r="E238" s="5">
        <f t="shared" si="10"/>
        <v>45567</v>
      </c>
      <c r="F238" s="7">
        <f t="shared" si="11"/>
        <v>19</v>
      </c>
      <c r="G238" t="s">
        <v>646</v>
      </c>
      <c r="H238" t="s">
        <v>650</v>
      </c>
      <c r="I238" t="s">
        <v>675</v>
      </c>
      <c r="J238" t="s">
        <v>705</v>
      </c>
      <c r="K238" t="s">
        <v>707</v>
      </c>
      <c r="L238" t="s">
        <v>724</v>
      </c>
      <c r="M238" t="s">
        <v>730</v>
      </c>
      <c r="N238" t="s">
        <v>970</v>
      </c>
      <c r="O238">
        <v>1338.99</v>
      </c>
      <c r="P238">
        <v>1765.76</v>
      </c>
      <c r="Q238">
        <v>0.126</v>
      </c>
      <c r="R238">
        <v>24</v>
      </c>
    </row>
    <row r="239" spans="1:18" x14ac:dyDescent="0.45">
      <c r="A239" t="s">
        <v>251</v>
      </c>
      <c r="B239" s="5">
        <v>45855</v>
      </c>
      <c r="C239" s="5">
        <v>45861</v>
      </c>
      <c r="D239" s="5">
        <f t="shared" si="9"/>
        <v>45855</v>
      </c>
      <c r="E239" s="5">
        <f t="shared" si="10"/>
        <v>45861</v>
      </c>
      <c r="F239" s="7">
        <f t="shared" si="11"/>
        <v>6</v>
      </c>
      <c r="G239" t="s">
        <v>648</v>
      </c>
      <c r="H239" t="s">
        <v>653</v>
      </c>
      <c r="I239" t="s">
        <v>688</v>
      </c>
      <c r="J239" t="s">
        <v>704</v>
      </c>
      <c r="K239" t="s">
        <v>708</v>
      </c>
      <c r="L239" t="s">
        <v>722</v>
      </c>
      <c r="M239" t="s">
        <v>727</v>
      </c>
      <c r="N239" t="s">
        <v>971</v>
      </c>
      <c r="O239">
        <v>1364.89</v>
      </c>
      <c r="P239">
        <v>2757.54</v>
      </c>
      <c r="Q239">
        <v>0.17199999999999999</v>
      </c>
      <c r="R239">
        <v>61</v>
      </c>
    </row>
    <row r="240" spans="1:18" x14ac:dyDescent="0.45">
      <c r="A240" t="s">
        <v>252</v>
      </c>
      <c r="B240" s="5">
        <v>45258</v>
      </c>
      <c r="C240" s="5">
        <v>45267</v>
      </c>
      <c r="D240" s="5">
        <f t="shared" si="9"/>
        <v>45258</v>
      </c>
      <c r="E240" s="5">
        <f t="shared" si="10"/>
        <v>45267</v>
      </c>
      <c r="F240" s="7">
        <f t="shared" si="11"/>
        <v>9</v>
      </c>
      <c r="G240" t="s">
        <v>647</v>
      </c>
      <c r="H240" t="s">
        <v>654</v>
      </c>
      <c r="I240" t="s">
        <v>680</v>
      </c>
      <c r="J240" t="s">
        <v>706</v>
      </c>
      <c r="K240" t="s">
        <v>709</v>
      </c>
      <c r="L240" t="s">
        <v>716</v>
      </c>
      <c r="M240" t="s">
        <v>730</v>
      </c>
      <c r="N240" t="s">
        <v>972</v>
      </c>
      <c r="O240">
        <v>699.33</v>
      </c>
      <c r="P240">
        <v>873.75</v>
      </c>
      <c r="Q240">
        <v>0.23499999999999999</v>
      </c>
      <c r="R240">
        <v>10</v>
      </c>
    </row>
    <row r="241" spans="1:18" x14ac:dyDescent="0.45">
      <c r="A241" t="s">
        <v>253</v>
      </c>
      <c r="B241" s="5">
        <v>45381</v>
      </c>
      <c r="C241" s="5">
        <v>45406</v>
      </c>
      <c r="D241" s="5">
        <f t="shared" si="9"/>
        <v>45381</v>
      </c>
      <c r="E241" s="5">
        <f t="shared" si="10"/>
        <v>45406</v>
      </c>
      <c r="F241" s="7">
        <f t="shared" si="11"/>
        <v>25</v>
      </c>
      <c r="G241" t="s">
        <v>648</v>
      </c>
      <c r="H241" t="s">
        <v>660</v>
      </c>
      <c r="I241" t="s">
        <v>697</v>
      </c>
      <c r="J241" t="s">
        <v>703</v>
      </c>
      <c r="K241" t="s">
        <v>708</v>
      </c>
      <c r="L241" t="s">
        <v>715</v>
      </c>
      <c r="M241" t="s">
        <v>731</v>
      </c>
      <c r="N241" t="s">
        <v>973</v>
      </c>
      <c r="O241">
        <v>160.82</v>
      </c>
      <c r="P241">
        <v>258.52</v>
      </c>
      <c r="Q241">
        <v>0.13</v>
      </c>
      <c r="R241">
        <v>17</v>
      </c>
    </row>
    <row r="242" spans="1:18" x14ac:dyDescent="0.45">
      <c r="A242" t="s">
        <v>254</v>
      </c>
      <c r="B242" s="5">
        <v>45188</v>
      </c>
      <c r="C242" s="5">
        <v>45207</v>
      </c>
      <c r="D242" s="5">
        <f t="shared" si="9"/>
        <v>45188</v>
      </c>
      <c r="E242" s="5">
        <f t="shared" si="10"/>
        <v>45207</v>
      </c>
      <c r="F242" s="7">
        <f t="shared" si="11"/>
        <v>19</v>
      </c>
      <c r="G242" t="s">
        <v>647</v>
      </c>
      <c r="H242" t="s">
        <v>654</v>
      </c>
      <c r="I242" t="s">
        <v>668</v>
      </c>
      <c r="J242" t="s">
        <v>702</v>
      </c>
      <c r="K242" t="s">
        <v>711</v>
      </c>
      <c r="L242" t="s">
        <v>713</v>
      </c>
      <c r="M242" t="s">
        <v>728</v>
      </c>
      <c r="N242" t="s">
        <v>974</v>
      </c>
      <c r="O242">
        <v>385.32</v>
      </c>
      <c r="P242">
        <v>606.76</v>
      </c>
      <c r="Q242">
        <v>8.5999999999999993E-2</v>
      </c>
      <c r="R242">
        <v>8</v>
      </c>
    </row>
    <row r="243" spans="1:18" x14ac:dyDescent="0.45">
      <c r="A243" t="s">
        <v>255</v>
      </c>
      <c r="B243" s="5">
        <v>45793</v>
      </c>
      <c r="C243" s="5">
        <v>45804</v>
      </c>
      <c r="D243" s="5">
        <f t="shared" si="9"/>
        <v>45793</v>
      </c>
      <c r="E243" s="5">
        <f t="shared" si="10"/>
        <v>45804</v>
      </c>
      <c r="F243" s="7">
        <f t="shared" si="11"/>
        <v>11</v>
      </c>
      <c r="G243" t="s">
        <v>647</v>
      </c>
      <c r="H243" t="s">
        <v>659</v>
      </c>
      <c r="I243" t="s">
        <v>699</v>
      </c>
      <c r="J243" t="s">
        <v>706</v>
      </c>
      <c r="K243" t="s">
        <v>708</v>
      </c>
      <c r="L243" t="s">
        <v>721</v>
      </c>
      <c r="M243" t="s">
        <v>730</v>
      </c>
      <c r="N243" t="s">
        <v>975</v>
      </c>
      <c r="O243">
        <v>918.12</v>
      </c>
      <c r="P243">
        <v>1337.69</v>
      </c>
      <c r="Q243">
        <v>9.5000000000000001E-2</v>
      </c>
      <c r="R243">
        <v>8</v>
      </c>
    </row>
    <row r="244" spans="1:18" x14ac:dyDescent="0.45">
      <c r="A244" t="s">
        <v>256</v>
      </c>
      <c r="B244" s="5">
        <v>45871</v>
      </c>
      <c r="C244" s="5">
        <v>45877</v>
      </c>
      <c r="D244" s="5">
        <f t="shared" si="9"/>
        <v>45871</v>
      </c>
      <c r="E244" s="5">
        <f t="shared" si="10"/>
        <v>45877</v>
      </c>
      <c r="F244" s="7">
        <f t="shared" si="11"/>
        <v>6</v>
      </c>
      <c r="G244" t="s">
        <v>647</v>
      </c>
      <c r="H244" t="s">
        <v>652</v>
      </c>
      <c r="I244" t="s">
        <v>666</v>
      </c>
      <c r="J244" t="s">
        <v>704</v>
      </c>
      <c r="K244" t="s">
        <v>711</v>
      </c>
      <c r="L244" t="s">
        <v>725</v>
      </c>
      <c r="M244" t="s">
        <v>731</v>
      </c>
      <c r="N244" t="s">
        <v>976</v>
      </c>
      <c r="O244">
        <v>1225.94</v>
      </c>
      <c r="P244">
        <v>1793.08</v>
      </c>
      <c r="Q244">
        <v>0.13600000000000001</v>
      </c>
      <c r="R244">
        <v>22</v>
      </c>
    </row>
    <row r="245" spans="1:18" x14ac:dyDescent="0.45">
      <c r="A245" t="s">
        <v>257</v>
      </c>
      <c r="B245" s="5">
        <v>45630</v>
      </c>
      <c r="C245" s="5">
        <v>45638</v>
      </c>
      <c r="D245" s="5">
        <f t="shared" si="9"/>
        <v>45630</v>
      </c>
      <c r="E245" s="5">
        <f t="shared" si="10"/>
        <v>45638</v>
      </c>
      <c r="F245" s="7">
        <f t="shared" si="11"/>
        <v>8</v>
      </c>
      <c r="G245" t="s">
        <v>649</v>
      </c>
      <c r="H245" t="s">
        <v>656</v>
      </c>
      <c r="I245" t="s">
        <v>698</v>
      </c>
      <c r="J245" t="s">
        <v>706</v>
      </c>
      <c r="K245" t="s">
        <v>709</v>
      </c>
      <c r="L245" t="s">
        <v>717</v>
      </c>
      <c r="M245" t="s">
        <v>728</v>
      </c>
      <c r="N245" t="s">
        <v>977</v>
      </c>
      <c r="O245">
        <v>72.06</v>
      </c>
      <c r="P245">
        <v>122.74</v>
      </c>
      <c r="Q245">
        <v>0.23799999999999999</v>
      </c>
      <c r="R245">
        <v>8</v>
      </c>
    </row>
    <row r="246" spans="1:18" x14ac:dyDescent="0.45">
      <c r="A246" t="s">
        <v>258</v>
      </c>
      <c r="B246" s="5">
        <v>45035</v>
      </c>
      <c r="C246" s="5">
        <v>45044</v>
      </c>
      <c r="D246" s="5">
        <f t="shared" si="9"/>
        <v>45035</v>
      </c>
      <c r="E246" s="5">
        <f t="shared" si="10"/>
        <v>45044</v>
      </c>
      <c r="F246" s="7">
        <f t="shared" si="11"/>
        <v>9</v>
      </c>
      <c r="G246" t="s">
        <v>648</v>
      </c>
      <c r="H246" t="s">
        <v>655</v>
      </c>
      <c r="I246" t="s">
        <v>692</v>
      </c>
      <c r="J246" t="s">
        <v>701</v>
      </c>
      <c r="K246" t="s">
        <v>710</v>
      </c>
      <c r="L246" t="s">
        <v>724</v>
      </c>
      <c r="M246" t="s">
        <v>730</v>
      </c>
      <c r="N246" t="s">
        <v>978</v>
      </c>
      <c r="O246">
        <v>1013.54</v>
      </c>
      <c r="P246">
        <v>927.93</v>
      </c>
      <c r="Q246">
        <v>0.17499999999999999</v>
      </c>
      <c r="R246">
        <v>16</v>
      </c>
    </row>
    <row r="247" spans="1:18" x14ac:dyDescent="0.45">
      <c r="A247" t="s">
        <v>259</v>
      </c>
      <c r="B247" s="5">
        <v>45357</v>
      </c>
      <c r="C247" s="5">
        <v>45377</v>
      </c>
      <c r="D247" s="5">
        <f t="shared" si="9"/>
        <v>45357</v>
      </c>
      <c r="E247" s="5">
        <f t="shared" si="10"/>
        <v>45377</v>
      </c>
      <c r="F247" s="7">
        <f t="shared" si="11"/>
        <v>20</v>
      </c>
      <c r="G247" t="s">
        <v>646</v>
      </c>
      <c r="H247" t="s">
        <v>651</v>
      </c>
      <c r="I247" t="s">
        <v>663</v>
      </c>
      <c r="J247" t="s">
        <v>704</v>
      </c>
      <c r="K247" t="s">
        <v>709</v>
      </c>
      <c r="L247" t="s">
        <v>714</v>
      </c>
      <c r="M247" t="s">
        <v>730</v>
      </c>
      <c r="N247" t="s">
        <v>979</v>
      </c>
      <c r="O247">
        <v>65.64</v>
      </c>
      <c r="P247">
        <v>151.88</v>
      </c>
      <c r="Q247">
        <v>0.16700000000000001</v>
      </c>
      <c r="R247">
        <v>23</v>
      </c>
    </row>
    <row r="248" spans="1:18" x14ac:dyDescent="0.45">
      <c r="A248" t="s">
        <v>260</v>
      </c>
      <c r="B248" s="5">
        <v>45338</v>
      </c>
      <c r="C248" s="5">
        <v>45355</v>
      </c>
      <c r="D248" s="5">
        <f t="shared" si="9"/>
        <v>45338</v>
      </c>
      <c r="E248" s="5">
        <f t="shared" si="10"/>
        <v>45355</v>
      </c>
      <c r="F248" s="7">
        <f t="shared" si="11"/>
        <v>17</v>
      </c>
      <c r="G248" t="s">
        <v>648</v>
      </c>
      <c r="H248" t="s">
        <v>653</v>
      </c>
      <c r="I248" t="s">
        <v>681</v>
      </c>
      <c r="J248" t="s">
        <v>703</v>
      </c>
      <c r="K248" t="s">
        <v>707</v>
      </c>
      <c r="L248" t="s">
        <v>726</v>
      </c>
      <c r="M248" t="s">
        <v>731</v>
      </c>
      <c r="N248" t="s">
        <v>980</v>
      </c>
      <c r="O248">
        <v>1350.98</v>
      </c>
      <c r="P248">
        <v>2210.4</v>
      </c>
      <c r="Q248">
        <v>0.26300000000000001</v>
      </c>
      <c r="R248">
        <v>6</v>
      </c>
    </row>
    <row r="249" spans="1:18" x14ac:dyDescent="0.45">
      <c r="A249" t="s">
        <v>261</v>
      </c>
      <c r="B249" s="5">
        <v>45769</v>
      </c>
      <c r="C249" s="5">
        <v>45779</v>
      </c>
      <c r="D249" s="5">
        <f t="shared" si="9"/>
        <v>45769</v>
      </c>
      <c r="E249" s="5">
        <f t="shared" si="10"/>
        <v>45779</v>
      </c>
      <c r="F249" s="7">
        <f t="shared" si="11"/>
        <v>10</v>
      </c>
      <c r="G249" t="s">
        <v>649</v>
      </c>
      <c r="H249" t="s">
        <v>656</v>
      </c>
      <c r="I249" t="s">
        <v>671</v>
      </c>
      <c r="J249" t="s">
        <v>701</v>
      </c>
      <c r="K249" t="s">
        <v>709</v>
      </c>
      <c r="L249" t="s">
        <v>712</v>
      </c>
      <c r="M249" t="s">
        <v>732</v>
      </c>
      <c r="N249" t="s">
        <v>981</v>
      </c>
      <c r="O249">
        <v>20.149999999999999</v>
      </c>
      <c r="P249">
        <v>39.74</v>
      </c>
      <c r="Q249">
        <v>0.151</v>
      </c>
      <c r="R249">
        <v>18</v>
      </c>
    </row>
    <row r="250" spans="1:18" x14ac:dyDescent="0.45">
      <c r="A250" t="s">
        <v>262</v>
      </c>
      <c r="B250" s="5">
        <v>45604</v>
      </c>
      <c r="C250" s="5">
        <v>45604</v>
      </c>
      <c r="D250" s="5">
        <f t="shared" si="9"/>
        <v>45604</v>
      </c>
      <c r="E250" s="5">
        <f t="shared" si="10"/>
        <v>45604</v>
      </c>
      <c r="F250" s="7">
        <f t="shared" si="11"/>
        <v>0</v>
      </c>
      <c r="G250" t="s">
        <v>646</v>
      </c>
      <c r="H250" t="s">
        <v>650</v>
      </c>
      <c r="I250" t="s">
        <v>678</v>
      </c>
      <c r="J250" t="s">
        <v>706</v>
      </c>
      <c r="K250" t="s">
        <v>709</v>
      </c>
      <c r="L250" t="s">
        <v>724</v>
      </c>
      <c r="M250" t="s">
        <v>729</v>
      </c>
      <c r="N250" t="s">
        <v>982</v>
      </c>
      <c r="O250">
        <v>803.28</v>
      </c>
      <c r="P250">
        <v>1009</v>
      </c>
      <c r="Q250">
        <v>0.11</v>
      </c>
      <c r="R250">
        <v>4</v>
      </c>
    </row>
    <row r="251" spans="1:18" x14ac:dyDescent="0.45">
      <c r="A251" t="s">
        <v>263</v>
      </c>
      <c r="B251" s="5">
        <v>45912</v>
      </c>
      <c r="C251" s="5">
        <v>45930</v>
      </c>
      <c r="D251" s="5">
        <f t="shared" si="9"/>
        <v>45912</v>
      </c>
      <c r="E251" s="5">
        <f t="shared" si="10"/>
        <v>45930</v>
      </c>
      <c r="F251" s="7">
        <f t="shared" si="11"/>
        <v>18</v>
      </c>
      <c r="G251" t="s">
        <v>647</v>
      </c>
      <c r="H251" t="s">
        <v>652</v>
      </c>
      <c r="I251" t="s">
        <v>694</v>
      </c>
      <c r="J251" t="s">
        <v>703</v>
      </c>
      <c r="K251" t="s">
        <v>709</v>
      </c>
      <c r="L251" t="s">
        <v>721</v>
      </c>
      <c r="M251" t="s">
        <v>732</v>
      </c>
      <c r="N251" t="s">
        <v>983</v>
      </c>
      <c r="O251">
        <v>1212.99</v>
      </c>
      <c r="P251">
        <v>1653.64</v>
      </c>
      <c r="Q251">
        <v>0.107</v>
      </c>
      <c r="R251">
        <v>8</v>
      </c>
    </row>
    <row r="252" spans="1:18" x14ac:dyDescent="0.45">
      <c r="A252" t="s">
        <v>264</v>
      </c>
      <c r="B252" s="5">
        <v>45537</v>
      </c>
      <c r="C252" s="5">
        <v>45543</v>
      </c>
      <c r="D252" s="5">
        <f t="shared" si="9"/>
        <v>45537</v>
      </c>
      <c r="E252" s="5">
        <f t="shared" si="10"/>
        <v>45543</v>
      </c>
      <c r="F252" s="7">
        <f t="shared" si="11"/>
        <v>6</v>
      </c>
      <c r="G252" t="s">
        <v>648</v>
      </c>
      <c r="H252" t="s">
        <v>660</v>
      </c>
      <c r="I252" t="s">
        <v>697</v>
      </c>
      <c r="J252" t="s">
        <v>704</v>
      </c>
      <c r="K252" t="s">
        <v>711</v>
      </c>
      <c r="L252" t="s">
        <v>722</v>
      </c>
      <c r="M252" t="s">
        <v>727</v>
      </c>
      <c r="N252" t="s">
        <v>984</v>
      </c>
      <c r="O252">
        <v>462.94</v>
      </c>
      <c r="P252">
        <v>1015.7</v>
      </c>
      <c r="Q252">
        <v>0.14299999999999999</v>
      </c>
      <c r="R252">
        <v>14</v>
      </c>
    </row>
    <row r="253" spans="1:18" x14ac:dyDescent="0.45">
      <c r="A253" t="s">
        <v>265</v>
      </c>
      <c r="B253" s="5">
        <v>44989</v>
      </c>
      <c r="C253" s="5">
        <v>45009</v>
      </c>
      <c r="D253" s="5">
        <f t="shared" si="9"/>
        <v>44989</v>
      </c>
      <c r="E253" s="5">
        <f t="shared" si="10"/>
        <v>45009</v>
      </c>
      <c r="F253" s="7">
        <f t="shared" si="11"/>
        <v>20</v>
      </c>
      <c r="G253" t="s">
        <v>648</v>
      </c>
      <c r="H253" t="s">
        <v>653</v>
      </c>
      <c r="I253" t="s">
        <v>681</v>
      </c>
      <c r="J253" t="s">
        <v>704</v>
      </c>
      <c r="K253" t="s">
        <v>710</v>
      </c>
      <c r="L253" t="s">
        <v>714</v>
      </c>
      <c r="M253" t="s">
        <v>731</v>
      </c>
      <c r="N253" t="s">
        <v>985</v>
      </c>
      <c r="O253">
        <v>481.71</v>
      </c>
      <c r="P253">
        <v>912.45</v>
      </c>
      <c r="Q253">
        <v>0.20300000000000001</v>
      </c>
      <c r="R253">
        <v>24</v>
      </c>
    </row>
    <row r="254" spans="1:18" x14ac:dyDescent="0.45">
      <c r="A254" t="s">
        <v>266</v>
      </c>
      <c r="B254" s="5">
        <v>45366</v>
      </c>
      <c r="C254" s="5">
        <v>45391</v>
      </c>
      <c r="D254" s="5">
        <f t="shared" si="9"/>
        <v>45366</v>
      </c>
      <c r="E254" s="5">
        <f t="shared" si="10"/>
        <v>45391</v>
      </c>
      <c r="F254" s="7">
        <f t="shared" si="11"/>
        <v>25</v>
      </c>
      <c r="G254" t="s">
        <v>648</v>
      </c>
      <c r="H254" t="s">
        <v>653</v>
      </c>
      <c r="I254" t="s">
        <v>688</v>
      </c>
      <c r="J254" t="s">
        <v>704</v>
      </c>
      <c r="K254" t="s">
        <v>708</v>
      </c>
      <c r="L254" t="s">
        <v>721</v>
      </c>
      <c r="M254" t="s">
        <v>732</v>
      </c>
      <c r="N254" t="s">
        <v>986</v>
      </c>
      <c r="O254">
        <v>648.64</v>
      </c>
      <c r="P254">
        <v>815.19</v>
      </c>
      <c r="Q254">
        <v>0.22500000000000001</v>
      </c>
      <c r="R254">
        <v>28</v>
      </c>
    </row>
    <row r="255" spans="1:18" x14ac:dyDescent="0.45">
      <c r="A255" t="s">
        <v>267</v>
      </c>
      <c r="B255" s="5">
        <v>45502</v>
      </c>
      <c r="C255" s="5">
        <v>45504</v>
      </c>
      <c r="D255" s="5">
        <f t="shared" si="9"/>
        <v>45502</v>
      </c>
      <c r="E255" s="5">
        <f t="shared" si="10"/>
        <v>45504</v>
      </c>
      <c r="F255" s="7">
        <f t="shared" si="11"/>
        <v>2</v>
      </c>
      <c r="G255" t="s">
        <v>648</v>
      </c>
      <c r="H255" t="s">
        <v>660</v>
      </c>
      <c r="I255" t="s">
        <v>700</v>
      </c>
      <c r="J255" t="s">
        <v>702</v>
      </c>
      <c r="K255" t="s">
        <v>709</v>
      </c>
      <c r="L255" t="s">
        <v>714</v>
      </c>
      <c r="M255" t="s">
        <v>728</v>
      </c>
      <c r="N255" t="s">
        <v>987</v>
      </c>
      <c r="O255">
        <v>798.97</v>
      </c>
      <c r="P255">
        <v>1814.06</v>
      </c>
      <c r="Q255">
        <v>0.122</v>
      </c>
      <c r="R255">
        <v>16</v>
      </c>
    </row>
    <row r="256" spans="1:18" x14ac:dyDescent="0.45">
      <c r="A256" t="s">
        <v>268</v>
      </c>
      <c r="B256" s="5">
        <v>45592</v>
      </c>
      <c r="C256" s="5">
        <v>45616</v>
      </c>
      <c r="D256" s="5">
        <f t="shared" si="9"/>
        <v>45592</v>
      </c>
      <c r="E256" s="5">
        <f t="shared" si="10"/>
        <v>45616</v>
      </c>
      <c r="F256" s="7">
        <f t="shared" si="11"/>
        <v>24</v>
      </c>
      <c r="G256" t="s">
        <v>647</v>
      </c>
      <c r="H256" t="s">
        <v>652</v>
      </c>
      <c r="I256" t="s">
        <v>694</v>
      </c>
      <c r="J256" t="s">
        <v>703</v>
      </c>
      <c r="K256" t="s">
        <v>708</v>
      </c>
      <c r="L256" t="s">
        <v>722</v>
      </c>
      <c r="M256" t="s">
        <v>732</v>
      </c>
      <c r="N256" t="s">
        <v>988</v>
      </c>
      <c r="O256">
        <v>317.25</v>
      </c>
      <c r="P256">
        <v>758.92</v>
      </c>
      <c r="Q256">
        <v>5.2999999999999999E-2</v>
      </c>
      <c r="R256">
        <v>9</v>
      </c>
    </row>
    <row r="257" spans="1:18" x14ac:dyDescent="0.45">
      <c r="A257" t="s">
        <v>269</v>
      </c>
      <c r="B257" s="5">
        <v>45411</v>
      </c>
      <c r="C257" s="5">
        <v>45431</v>
      </c>
      <c r="D257" s="5">
        <f t="shared" si="9"/>
        <v>45411</v>
      </c>
      <c r="E257" s="5">
        <f t="shared" si="10"/>
        <v>45431</v>
      </c>
      <c r="F257" s="7">
        <f t="shared" si="11"/>
        <v>20</v>
      </c>
      <c r="G257" t="s">
        <v>649</v>
      </c>
      <c r="H257" t="s">
        <v>656</v>
      </c>
      <c r="I257" t="s">
        <v>698</v>
      </c>
      <c r="J257" t="s">
        <v>706</v>
      </c>
      <c r="K257" t="s">
        <v>709</v>
      </c>
      <c r="L257" t="s">
        <v>712</v>
      </c>
      <c r="M257" t="s">
        <v>731</v>
      </c>
      <c r="N257" t="s">
        <v>989</v>
      </c>
      <c r="O257">
        <v>668.97</v>
      </c>
      <c r="P257">
        <v>1667.44</v>
      </c>
      <c r="Q257">
        <v>3.4000000000000002E-2</v>
      </c>
      <c r="R257">
        <v>15</v>
      </c>
    </row>
    <row r="258" spans="1:18" x14ac:dyDescent="0.45">
      <c r="A258" t="s">
        <v>270</v>
      </c>
      <c r="B258" s="5">
        <v>45204</v>
      </c>
      <c r="C258" s="5">
        <v>45205</v>
      </c>
      <c r="D258" s="5">
        <f t="shared" si="9"/>
        <v>45204</v>
      </c>
      <c r="E258" s="5">
        <f t="shared" si="10"/>
        <v>45205</v>
      </c>
      <c r="F258" s="7">
        <f t="shared" si="11"/>
        <v>1</v>
      </c>
      <c r="G258" t="s">
        <v>647</v>
      </c>
      <c r="H258" t="s">
        <v>654</v>
      </c>
      <c r="I258" t="s">
        <v>668</v>
      </c>
      <c r="J258" t="s">
        <v>703</v>
      </c>
      <c r="K258" t="s">
        <v>708</v>
      </c>
      <c r="L258" t="s">
        <v>714</v>
      </c>
      <c r="M258" t="s">
        <v>727</v>
      </c>
      <c r="N258" t="s">
        <v>990</v>
      </c>
      <c r="O258">
        <v>1470.26</v>
      </c>
      <c r="P258">
        <v>2562.5500000000002</v>
      </c>
      <c r="Q258">
        <v>0.17299999999999999</v>
      </c>
      <c r="R258">
        <v>9</v>
      </c>
    </row>
    <row r="259" spans="1:18" x14ac:dyDescent="0.45">
      <c r="A259" t="s">
        <v>271</v>
      </c>
      <c r="B259" s="5">
        <v>45035</v>
      </c>
      <c r="C259" s="5">
        <v>45053</v>
      </c>
      <c r="D259" s="5">
        <f t="shared" ref="D259:D322" si="12">IF(C259&gt;B259,B259,C259)</f>
        <v>45035</v>
      </c>
      <c r="E259" s="5">
        <f t="shared" ref="E259:E322" si="13">IF(C259&gt;B259,C259,B259)</f>
        <v>45053</v>
      </c>
      <c r="F259" s="7">
        <f t="shared" ref="F259:F322" si="14">DATEDIF(D259,E259,"d")</f>
        <v>18</v>
      </c>
      <c r="G259" t="s">
        <v>649</v>
      </c>
      <c r="H259" t="s">
        <v>658</v>
      </c>
      <c r="I259" t="s">
        <v>683</v>
      </c>
      <c r="J259" t="s">
        <v>703</v>
      </c>
      <c r="K259" t="s">
        <v>711</v>
      </c>
      <c r="L259" t="s">
        <v>722</v>
      </c>
      <c r="M259" t="s">
        <v>729</v>
      </c>
      <c r="N259" t="s">
        <v>991</v>
      </c>
      <c r="O259">
        <v>516.96</v>
      </c>
      <c r="P259">
        <v>745.38</v>
      </c>
      <c r="Q259">
        <v>0.19700000000000001</v>
      </c>
      <c r="R259">
        <v>4</v>
      </c>
    </row>
    <row r="260" spans="1:18" x14ac:dyDescent="0.45">
      <c r="A260" t="s">
        <v>272</v>
      </c>
      <c r="B260" s="5">
        <v>45835</v>
      </c>
      <c r="C260" s="5">
        <v>45843</v>
      </c>
      <c r="D260" s="5">
        <f t="shared" si="12"/>
        <v>45835</v>
      </c>
      <c r="E260" s="5">
        <f t="shared" si="13"/>
        <v>45843</v>
      </c>
      <c r="F260" s="7">
        <f t="shared" si="14"/>
        <v>8</v>
      </c>
      <c r="G260" t="s">
        <v>649</v>
      </c>
      <c r="H260" t="s">
        <v>656</v>
      </c>
      <c r="I260" t="s">
        <v>684</v>
      </c>
      <c r="J260" t="s">
        <v>705</v>
      </c>
      <c r="K260" t="s">
        <v>711</v>
      </c>
      <c r="L260" t="s">
        <v>715</v>
      </c>
      <c r="M260" t="s">
        <v>732</v>
      </c>
      <c r="N260" t="s">
        <v>992</v>
      </c>
      <c r="O260">
        <v>314.93</v>
      </c>
      <c r="P260">
        <v>687.95</v>
      </c>
      <c r="Q260">
        <v>0.20499999999999999</v>
      </c>
      <c r="R260">
        <v>8</v>
      </c>
    </row>
    <row r="261" spans="1:18" x14ac:dyDescent="0.45">
      <c r="A261" t="s">
        <v>273</v>
      </c>
      <c r="B261" s="5">
        <v>45210</v>
      </c>
      <c r="C261" s="5">
        <v>45212</v>
      </c>
      <c r="D261" s="5">
        <f t="shared" si="12"/>
        <v>45210</v>
      </c>
      <c r="E261" s="5">
        <f t="shared" si="13"/>
        <v>45212</v>
      </c>
      <c r="F261" s="7">
        <f t="shared" si="14"/>
        <v>2</v>
      </c>
      <c r="G261" t="s">
        <v>648</v>
      </c>
      <c r="H261" t="s">
        <v>655</v>
      </c>
      <c r="I261" t="s">
        <v>672</v>
      </c>
      <c r="J261" t="s">
        <v>704</v>
      </c>
      <c r="K261" t="s">
        <v>710</v>
      </c>
      <c r="M261" t="s">
        <v>733</v>
      </c>
      <c r="N261" t="s">
        <v>993</v>
      </c>
      <c r="O261">
        <v>715.94</v>
      </c>
      <c r="P261">
        <v>550.07000000000005</v>
      </c>
      <c r="Q261">
        <v>0.14000000000000001</v>
      </c>
      <c r="R261">
        <v>16</v>
      </c>
    </row>
    <row r="262" spans="1:18" x14ac:dyDescent="0.45">
      <c r="A262" t="s">
        <v>274</v>
      </c>
      <c r="B262" s="5">
        <v>45066</v>
      </c>
      <c r="C262" s="5">
        <v>45084</v>
      </c>
      <c r="D262" s="5">
        <f t="shared" si="12"/>
        <v>45066</v>
      </c>
      <c r="E262" s="5">
        <f t="shared" si="13"/>
        <v>45084</v>
      </c>
      <c r="F262" s="7">
        <f t="shared" si="14"/>
        <v>18</v>
      </c>
      <c r="G262" t="s">
        <v>646</v>
      </c>
      <c r="H262" t="s">
        <v>651</v>
      </c>
      <c r="I262" t="s">
        <v>663</v>
      </c>
      <c r="J262" t="s">
        <v>706</v>
      </c>
      <c r="K262" t="s">
        <v>710</v>
      </c>
      <c r="L262" t="s">
        <v>718</v>
      </c>
      <c r="M262" t="s">
        <v>727</v>
      </c>
      <c r="N262" t="s">
        <v>994</v>
      </c>
      <c r="O262">
        <v>1120.06</v>
      </c>
      <c r="P262">
        <v>2068.21</v>
      </c>
      <c r="Q262">
        <v>7.8E-2</v>
      </c>
      <c r="R262">
        <v>12</v>
      </c>
    </row>
    <row r="263" spans="1:18" x14ac:dyDescent="0.45">
      <c r="A263" t="s">
        <v>275</v>
      </c>
      <c r="B263" s="5">
        <v>45073</v>
      </c>
      <c r="C263" s="5">
        <v>45096</v>
      </c>
      <c r="D263" s="5">
        <f t="shared" si="12"/>
        <v>45073</v>
      </c>
      <c r="E263" s="5">
        <f t="shared" si="13"/>
        <v>45096</v>
      </c>
      <c r="F263" s="7">
        <f t="shared" si="14"/>
        <v>23</v>
      </c>
      <c r="G263" t="s">
        <v>649</v>
      </c>
      <c r="H263" t="s">
        <v>656</v>
      </c>
      <c r="I263" t="s">
        <v>671</v>
      </c>
      <c r="J263" t="s">
        <v>702</v>
      </c>
      <c r="K263" t="s">
        <v>707</v>
      </c>
      <c r="L263" t="s">
        <v>719</v>
      </c>
      <c r="M263" t="s">
        <v>733</v>
      </c>
      <c r="N263" t="s">
        <v>995</v>
      </c>
      <c r="O263">
        <v>1471.58</v>
      </c>
      <c r="P263">
        <v>2576.65</v>
      </c>
      <c r="Q263">
        <v>4.0000000000000001E-3</v>
      </c>
      <c r="R263">
        <v>7</v>
      </c>
    </row>
    <row r="264" spans="1:18" x14ac:dyDescent="0.45">
      <c r="A264" t="s">
        <v>276</v>
      </c>
      <c r="B264" s="5">
        <v>45142</v>
      </c>
      <c r="C264" s="5">
        <v>45162</v>
      </c>
      <c r="D264" s="5">
        <f t="shared" si="12"/>
        <v>45142</v>
      </c>
      <c r="E264" s="5">
        <f t="shared" si="13"/>
        <v>45162</v>
      </c>
      <c r="F264" s="7">
        <f t="shared" si="14"/>
        <v>20</v>
      </c>
      <c r="G264" t="s">
        <v>648</v>
      </c>
      <c r="H264" t="s">
        <v>655</v>
      </c>
      <c r="I264" t="s">
        <v>672</v>
      </c>
      <c r="J264" t="s">
        <v>703</v>
      </c>
      <c r="K264" t="s">
        <v>711</v>
      </c>
      <c r="M264" t="s">
        <v>729</v>
      </c>
      <c r="N264" t="s">
        <v>996</v>
      </c>
      <c r="O264">
        <v>582.88</v>
      </c>
      <c r="P264">
        <v>1044.1400000000001</v>
      </c>
      <c r="Q264">
        <v>0.216</v>
      </c>
      <c r="R264">
        <v>10</v>
      </c>
    </row>
    <row r="265" spans="1:18" x14ac:dyDescent="0.45">
      <c r="A265" t="s">
        <v>277</v>
      </c>
      <c r="B265" s="5">
        <v>45829</v>
      </c>
      <c r="C265" s="5">
        <v>45835</v>
      </c>
      <c r="D265" s="5">
        <f t="shared" si="12"/>
        <v>45829</v>
      </c>
      <c r="E265" s="5">
        <f t="shared" si="13"/>
        <v>45835</v>
      </c>
      <c r="F265" s="7">
        <f t="shared" si="14"/>
        <v>6</v>
      </c>
      <c r="G265" t="s">
        <v>646</v>
      </c>
      <c r="H265" t="s">
        <v>661</v>
      </c>
      <c r="I265" t="s">
        <v>687</v>
      </c>
      <c r="J265" t="s">
        <v>706</v>
      </c>
      <c r="K265" t="s">
        <v>710</v>
      </c>
      <c r="L265" t="s">
        <v>725</v>
      </c>
      <c r="M265" t="s">
        <v>730</v>
      </c>
      <c r="N265" t="s">
        <v>997</v>
      </c>
      <c r="O265">
        <v>93.91</v>
      </c>
      <c r="P265">
        <v>99.04</v>
      </c>
      <c r="Q265">
        <v>5.7000000000000002E-2</v>
      </c>
      <c r="R265">
        <v>6</v>
      </c>
    </row>
    <row r="266" spans="1:18" x14ac:dyDescent="0.45">
      <c r="A266" t="s">
        <v>278</v>
      </c>
      <c r="B266" s="5">
        <v>45763</v>
      </c>
      <c r="C266" s="5">
        <v>45773</v>
      </c>
      <c r="D266" s="5">
        <f t="shared" si="12"/>
        <v>45763</v>
      </c>
      <c r="E266" s="5">
        <f t="shared" si="13"/>
        <v>45773</v>
      </c>
      <c r="F266" s="7">
        <f t="shared" si="14"/>
        <v>10</v>
      </c>
      <c r="G266" t="s">
        <v>646</v>
      </c>
      <c r="H266" t="s">
        <v>651</v>
      </c>
      <c r="I266" t="s">
        <v>663</v>
      </c>
      <c r="J266" t="s">
        <v>706</v>
      </c>
      <c r="K266" t="s">
        <v>709</v>
      </c>
      <c r="L266" t="s">
        <v>721</v>
      </c>
      <c r="M266" t="s">
        <v>731</v>
      </c>
      <c r="N266" t="s">
        <v>998</v>
      </c>
      <c r="O266">
        <v>1457.44</v>
      </c>
      <c r="P266">
        <v>1996.81</v>
      </c>
      <c r="Q266">
        <v>0.126</v>
      </c>
      <c r="R266">
        <v>23</v>
      </c>
    </row>
    <row r="267" spans="1:18" x14ac:dyDescent="0.45">
      <c r="A267" t="s">
        <v>279</v>
      </c>
      <c r="B267" s="5">
        <v>45902</v>
      </c>
      <c r="C267" s="5">
        <v>45911</v>
      </c>
      <c r="D267" s="5">
        <f t="shared" si="12"/>
        <v>45902</v>
      </c>
      <c r="E267" s="5">
        <f t="shared" si="13"/>
        <v>45911</v>
      </c>
      <c r="F267" s="7">
        <f t="shared" si="14"/>
        <v>9</v>
      </c>
      <c r="G267" t="s">
        <v>648</v>
      </c>
      <c r="H267" t="s">
        <v>653</v>
      </c>
      <c r="I267" t="s">
        <v>667</v>
      </c>
      <c r="J267" t="s">
        <v>701</v>
      </c>
      <c r="K267" t="s">
        <v>710</v>
      </c>
      <c r="L267" t="s">
        <v>724</v>
      </c>
      <c r="M267" t="s">
        <v>728</v>
      </c>
      <c r="N267" t="s">
        <v>999</v>
      </c>
      <c r="O267">
        <v>1207.6300000000001</v>
      </c>
      <c r="P267">
        <v>921.68</v>
      </c>
      <c r="Q267">
        <v>0.19600000000000001</v>
      </c>
      <c r="R267">
        <v>17</v>
      </c>
    </row>
    <row r="268" spans="1:18" x14ac:dyDescent="0.45">
      <c r="A268" t="s">
        <v>280</v>
      </c>
      <c r="B268" s="5">
        <v>45573</v>
      </c>
      <c r="C268" s="5">
        <v>45573</v>
      </c>
      <c r="D268" s="5">
        <f t="shared" si="12"/>
        <v>45573</v>
      </c>
      <c r="E268" s="5">
        <f t="shared" si="13"/>
        <v>45573</v>
      </c>
      <c r="F268" s="7">
        <f t="shared" si="14"/>
        <v>0</v>
      </c>
      <c r="G268" t="s">
        <v>649</v>
      </c>
      <c r="H268" t="s">
        <v>658</v>
      </c>
      <c r="I268" t="s">
        <v>683</v>
      </c>
      <c r="J268" t="s">
        <v>701</v>
      </c>
      <c r="K268" t="s">
        <v>708</v>
      </c>
      <c r="L268" t="s">
        <v>718</v>
      </c>
      <c r="M268" t="s">
        <v>732</v>
      </c>
      <c r="N268" t="s">
        <v>1000</v>
      </c>
      <c r="O268">
        <v>1108.1099999999999</v>
      </c>
      <c r="P268">
        <v>2503.79</v>
      </c>
      <c r="Q268">
        <v>0.184</v>
      </c>
      <c r="R268">
        <v>19</v>
      </c>
    </row>
    <row r="269" spans="1:18" x14ac:dyDescent="0.45">
      <c r="A269" t="s">
        <v>281</v>
      </c>
      <c r="B269" s="5">
        <v>45053</v>
      </c>
      <c r="C269" s="5">
        <v>45051</v>
      </c>
      <c r="D269" s="5">
        <f t="shared" si="12"/>
        <v>45051</v>
      </c>
      <c r="E269" s="5">
        <f t="shared" si="13"/>
        <v>45053</v>
      </c>
      <c r="F269" s="7">
        <f t="shared" si="14"/>
        <v>2</v>
      </c>
      <c r="G269" t="s">
        <v>646</v>
      </c>
      <c r="H269" t="s">
        <v>651</v>
      </c>
      <c r="I269" t="s">
        <v>663</v>
      </c>
      <c r="J269" t="s">
        <v>703</v>
      </c>
      <c r="K269" t="s">
        <v>709</v>
      </c>
      <c r="L269" t="s">
        <v>720</v>
      </c>
      <c r="M269" t="s">
        <v>727</v>
      </c>
      <c r="N269" t="s">
        <v>1001</v>
      </c>
      <c r="O269">
        <v>1269.6500000000001</v>
      </c>
      <c r="P269">
        <v>2462.77</v>
      </c>
      <c r="Q269">
        <v>0.107</v>
      </c>
      <c r="R269">
        <v>8</v>
      </c>
    </row>
    <row r="270" spans="1:18" x14ac:dyDescent="0.45">
      <c r="A270" t="s">
        <v>282</v>
      </c>
      <c r="B270" s="5">
        <v>45284</v>
      </c>
      <c r="C270" s="5">
        <v>45292</v>
      </c>
      <c r="D270" s="5">
        <f t="shared" si="12"/>
        <v>45284</v>
      </c>
      <c r="E270" s="5">
        <f t="shared" si="13"/>
        <v>45292</v>
      </c>
      <c r="F270" s="7">
        <f t="shared" si="14"/>
        <v>8</v>
      </c>
      <c r="G270" t="s">
        <v>648</v>
      </c>
      <c r="H270" t="s">
        <v>655</v>
      </c>
      <c r="I270" t="s">
        <v>670</v>
      </c>
      <c r="J270" t="s">
        <v>702</v>
      </c>
      <c r="K270" t="s">
        <v>711</v>
      </c>
      <c r="L270" t="s">
        <v>712</v>
      </c>
      <c r="M270" t="s">
        <v>730</v>
      </c>
      <c r="N270" t="s">
        <v>1002</v>
      </c>
      <c r="O270">
        <v>526.49</v>
      </c>
      <c r="P270">
        <v>496.2</v>
      </c>
      <c r="Q270">
        <v>0</v>
      </c>
      <c r="R270">
        <v>14</v>
      </c>
    </row>
    <row r="271" spans="1:18" x14ac:dyDescent="0.45">
      <c r="A271" t="s">
        <v>283</v>
      </c>
      <c r="B271" s="5">
        <v>45301</v>
      </c>
      <c r="C271" s="5">
        <v>45314</v>
      </c>
      <c r="D271" s="5">
        <f t="shared" si="12"/>
        <v>45301</v>
      </c>
      <c r="E271" s="5">
        <f t="shared" si="13"/>
        <v>45314</v>
      </c>
      <c r="F271" s="7">
        <f t="shared" si="14"/>
        <v>13</v>
      </c>
      <c r="G271" t="s">
        <v>649</v>
      </c>
      <c r="H271" t="s">
        <v>657</v>
      </c>
      <c r="I271" t="s">
        <v>673</v>
      </c>
      <c r="J271" t="s">
        <v>701</v>
      </c>
      <c r="K271" t="s">
        <v>711</v>
      </c>
      <c r="L271" t="s">
        <v>720</v>
      </c>
      <c r="M271" t="s">
        <v>728</v>
      </c>
      <c r="N271" t="s">
        <v>1003</v>
      </c>
      <c r="O271">
        <v>720</v>
      </c>
      <c r="P271">
        <v>907.59</v>
      </c>
      <c r="Q271">
        <v>0.154</v>
      </c>
      <c r="R271">
        <v>10</v>
      </c>
    </row>
    <row r="272" spans="1:18" x14ac:dyDescent="0.45">
      <c r="A272" t="s">
        <v>284</v>
      </c>
      <c r="B272" s="5">
        <v>45141</v>
      </c>
      <c r="C272" s="5">
        <v>45152</v>
      </c>
      <c r="D272" s="5">
        <f t="shared" si="12"/>
        <v>45141</v>
      </c>
      <c r="E272" s="5">
        <f t="shared" si="13"/>
        <v>45152</v>
      </c>
      <c r="F272" s="7">
        <f t="shared" si="14"/>
        <v>11</v>
      </c>
      <c r="G272" t="s">
        <v>648</v>
      </c>
      <c r="H272" t="s">
        <v>655</v>
      </c>
      <c r="I272" t="s">
        <v>672</v>
      </c>
      <c r="J272" t="s">
        <v>701</v>
      </c>
      <c r="K272" t="s">
        <v>711</v>
      </c>
      <c r="L272" t="s">
        <v>713</v>
      </c>
      <c r="M272" t="s">
        <v>733</v>
      </c>
      <c r="N272" t="s">
        <v>1004</v>
      </c>
      <c r="O272">
        <v>232.73</v>
      </c>
      <c r="P272">
        <v>334.19</v>
      </c>
      <c r="Q272">
        <v>0.13400000000000001</v>
      </c>
      <c r="R272">
        <v>25</v>
      </c>
    </row>
    <row r="273" spans="1:18" x14ac:dyDescent="0.45">
      <c r="A273" t="s">
        <v>285</v>
      </c>
      <c r="B273" s="5">
        <v>45707</v>
      </c>
      <c r="C273" s="5">
        <v>45725</v>
      </c>
      <c r="D273" s="5">
        <f t="shared" si="12"/>
        <v>45707</v>
      </c>
      <c r="E273" s="5">
        <f t="shared" si="13"/>
        <v>45725</v>
      </c>
      <c r="F273" s="7">
        <f t="shared" si="14"/>
        <v>18</v>
      </c>
      <c r="G273" t="s">
        <v>647</v>
      </c>
      <c r="H273" t="s">
        <v>654</v>
      </c>
      <c r="I273" t="s">
        <v>680</v>
      </c>
      <c r="J273" t="s">
        <v>705</v>
      </c>
      <c r="K273" t="s">
        <v>711</v>
      </c>
      <c r="L273" t="s">
        <v>719</v>
      </c>
      <c r="M273" t="s">
        <v>732</v>
      </c>
      <c r="N273" t="s">
        <v>1005</v>
      </c>
      <c r="O273">
        <v>325.87</v>
      </c>
      <c r="P273">
        <v>538.79</v>
      </c>
      <c r="Q273">
        <v>0.17399999999999999</v>
      </c>
      <c r="R273">
        <v>16</v>
      </c>
    </row>
    <row r="274" spans="1:18" x14ac:dyDescent="0.45">
      <c r="A274" t="s">
        <v>286</v>
      </c>
      <c r="B274" s="5">
        <v>45382</v>
      </c>
      <c r="C274" s="5">
        <v>45399</v>
      </c>
      <c r="D274" s="5">
        <f t="shared" si="12"/>
        <v>45382</v>
      </c>
      <c r="E274" s="5">
        <f t="shared" si="13"/>
        <v>45399</v>
      </c>
      <c r="F274" s="7">
        <f t="shared" si="14"/>
        <v>17</v>
      </c>
      <c r="G274" t="s">
        <v>649</v>
      </c>
      <c r="H274" t="s">
        <v>656</v>
      </c>
      <c r="I274" t="s">
        <v>698</v>
      </c>
      <c r="J274" t="s">
        <v>702</v>
      </c>
      <c r="K274" t="s">
        <v>711</v>
      </c>
      <c r="L274" t="s">
        <v>722</v>
      </c>
      <c r="M274" t="s">
        <v>732</v>
      </c>
      <c r="N274" t="s">
        <v>1006</v>
      </c>
      <c r="O274">
        <v>1025.51</v>
      </c>
      <c r="P274">
        <v>1436.54</v>
      </c>
      <c r="Q274">
        <v>0.13900000000000001</v>
      </c>
      <c r="R274">
        <v>28</v>
      </c>
    </row>
    <row r="275" spans="1:18" x14ac:dyDescent="0.45">
      <c r="A275" t="s">
        <v>287</v>
      </c>
      <c r="B275" s="5">
        <v>45131</v>
      </c>
      <c r="C275" s="5">
        <v>45151</v>
      </c>
      <c r="D275" s="5">
        <f t="shared" si="12"/>
        <v>45131</v>
      </c>
      <c r="E275" s="5">
        <f t="shared" si="13"/>
        <v>45151</v>
      </c>
      <c r="F275" s="7">
        <f t="shared" si="14"/>
        <v>20</v>
      </c>
      <c r="G275" t="s">
        <v>648</v>
      </c>
      <c r="H275" t="s">
        <v>653</v>
      </c>
      <c r="I275" t="s">
        <v>681</v>
      </c>
      <c r="J275" t="s">
        <v>702</v>
      </c>
      <c r="K275" t="s">
        <v>711</v>
      </c>
      <c r="L275" t="s">
        <v>712</v>
      </c>
      <c r="M275" t="s">
        <v>732</v>
      </c>
      <c r="N275" t="s">
        <v>1007</v>
      </c>
      <c r="O275">
        <v>1082.3800000000001</v>
      </c>
      <c r="P275">
        <v>1766.55</v>
      </c>
      <c r="Q275">
        <v>0.16400000000000001</v>
      </c>
      <c r="R275">
        <v>20</v>
      </c>
    </row>
    <row r="276" spans="1:18" x14ac:dyDescent="0.45">
      <c r="A276" t="s">
        <v>288</v>
      </c>
      <c r="B276" s="5">
        <v>45367</v>
      </c>
      <c r="C276" s="5">
        <v>45395</v>
      </c>
      <c r="D276" s="5">
        <f t="shared" si="12"/>
        <v>45367</v>
      </c>
      <c r="E276" s="5">
        <f t="shared" si="13"/>
        <v>45395</v>
      </c>
      <c r="F276" s="7">
        <f t="shared" si="14"/>
        <v>28</v>
      </c>
      <c r="G276" t="s">
        <v>649</v>
      </c>
      <c r="H276" t="s">
        <v>657</v>
      </c>
      <c r="I276" t="s">
        <v>690</v>
      </c>
      <c r="J276" t="s">
        <v>705</v>
      </c>
      <c r="K276" t="s">
        <v>708</v>
      </c>
      <c r="L276" t="s">
        <v>723</v>
      </c>
      <c r="M276" t="s">
        <v>728</v>
      </c>
      <c r="N276" t="s">
        <v>1008</v>
      </c>
      <c r="O276">
        <v>287.61</v>
      </c>
      <c r="P276">
        <v>628.54</v>
      </c>
      <c r="Q276">
        <v>0.13500000000000001</v>
      </c>
      <c r="R276">
        <v>21</v>
      </c>
    </row>
    <row r="277" spans="1:18" x14ac:dyDescent="0.45">
      <c r="A277" t="s">
        <v>289</v>
      </c>
      <c r="B277" s="5">
        <v>45316</v>
      </c>
      <c r="C277" s="5">
        <v>45318</v>
      </c>
      <c r="D277" s="5">
        <f t="shared" si="12"/>
        <v>45316</v>
      </c>
      <c r="E277" s="5">
        <f t="shared" si="13"/>
        <v>45318</v>
      </c>
      <c r="F277" s="7">
        <f t="shared" si="14"/>
        <v>2</v>
      </c>
      <c r="G277" t="s">
        <v>648</v>
      </c>
      <c r="H277" t="s">
        <v>655</v>
      </c>
      <c r="I277" t="s">
        <v>670</v>
      </c>
      <c r="J277" t="s">
        <v>703</v>
      </c>
      <c r="K277" t="s">
        <v>709</v>
      </c>
      <c r="L277" t="s">
        <v>725</v>
      </c>
      <c r="M277" t="s">
        <v>731</v>
      </c>
      <c r="N277" t="s">
        <v>1009</v>
      </c>
      <c r="O277">
        <v>1410.97</v>
      </c>
      <c r="P277">
        <v>1650.75</v>
      </c>
      <c r="Q277">
        <v>0.13500000000000001</v>
      </c>
      <c r="R277">
        <v>6</v>
      </c>
    </row>
    <row r="278" spans="1:18" x14ac:dyDescent="0.45">
      <c r="A278" t="s">
        <v>290</v>
      </c>
      <c r="B278" s="5">
        <v>45378</v>
      </c>
      <c r="C278" s="5">
        <v>45393</v>
      </c>
      <c r="D278" s="5">
        <f t="shared" si="12"/>
        <v>45378</v>
      </c>
      <c r="E278" s="5">
        <f t="shared" si="13"/>
        <v>45393</v>
      </c>
      <c r="F278" s="7">
        <f t="shared" si="14"/>
        <v>15</v>
      </c>
      <c r="G278" t="s">
        <v>648</v>
      </c>
      <c r="H278" t="s">
        <v>660</v>
      </c>
      <c r="I278" t="s">
        <v>686</v>
      </c>
      <c r="J278" t="s">
        <v>705</v>
      </c>
      <c r="K278" t="s">
        <v>711</v>
      </c>
      <c r="L278" t="s">
        <v>719</v>
      </c>
      <c r="M278" t="s">
        <v>729</v>
      </c>
      <c r="N278" t="s">
        <v>1010</v>
      </c>
      <c r="O278">
        <v>1338.35</v>
      </c>
      <c r="P278">
        <v>2247.14</v>
      </c>
      <c r="Q278">
        <v>0.115</v>
      </c>
      <c r="R278">
        <v>40</v>
      </c>
    </row>
    <row r="279" spans="1:18" x14ac:dyDescent="0.45">
      <c r="A279" t="s">
        <v>291</v>
      </c>
      <c r="B279" s="5">
        <v>45832</v>
      </c>
      <c r="C279" s="5">
        <v>45852</v>
      </c>
      <c r="D279" s="5">
        <f t="shared" si="12"/>
        <v>45832</v>
      </c>
      <c r="E279" s="5">
        <f t="shared" si="13"/>
        <v>45852</v>
      </c>
      <c r="F279" s="7">
        <f t="shared" si="14"/>
        <v>20</v>
      </c>
      <c r="G279" t="s">
        <v>649</v>
      </c>
      <c r="H279" t="s">
        <v>656</v>
      </c>
      <c r="I279" t="s">
        <v>671</v>
      </c>
      <c r="J279" t="s">
        <v>701</v>
      </c>
      <c r="K279" t="s">
        <v>711</v>
      </c>
      <c r="L279" t="s">
        <v>719</v>
      </c>
      <c r="M279" t="s">
        <v>733</v>
      </c>
      <c r="N279" t="s">
        <v>1011</v>
      </c>
      <c r="O279">
        <v>385.08</v>
      </c>
      <c r="P279">
        <v>893.19</v>
      </c>
      <c r="Q279">
        <v>0.151</v>
      </c>
      <c r="R279">
        <v>8</v>
      </c>
    </row>
    <row r="280" spans="1:18" x14ac:dyDescent="0.45">
      <c r="A280" t="s">
        <v>292</v>
      </c>
      <c r="B280" s="5">
        <v>45459</v>
      </c>
      <c r="C280" s="5">
        <v>45476</v>
      </c>
      <c r="D280" s="5">
        <f t="shared" si="12"/>
        <v>45459</v>
      </c>
      <c r="E280" s="5">
        <f t="shared" si="13"/>
        <v>45476</v>
      </c>
      <c r="F280" s="7">
        <f t="shared" si="14"/>
        <v>17</v>
      </c>
      <c r="G280" t="s">
        <v>646</v>
      </c>
      <c r="H280" t="s">
        <v>661</v>
      </c>
      <c r="I280" t="s">
        <v>682</v>
      </c>
      <c r="J280" t="s">
        <v>706</v>
      </c>
      <c r="K280" t="s">
        <v>709</v>
      </c>
      <c r="L280" t="s">
        <v>721</v>
      </c>
      <c r="M280" t="s">
        <v>730</v>
      </c>
      <c r="N280" t="s">
        <v>1012</v>
      </c>
      <c r="O280">
        <v>1173.83</v>
      </c>
      <c r="P280">
        <v>2328.9</v>
      </c>
      <c r="Q280">
        <v>0.12</v>
      </c>
      <c r="R280">
        <v>17</v>
      </c>
    </row>
    <row r="281" spans="1:18" x14ac:dyDescent="0.45">
      <c r="A281" t="s">
        <v>293</v>
      </c>
      <c r="B281" s="5">
        <v>45229</v>
      </c>
      <c r="C281" s="5">
        <v>45244</v>
      </c>
      <c r="D281" s="5">
        <f t="shared" si="12"/>
        <v>45229</v>
      </c>
      <c r="E281" s="5">
        <f t="shared" si="13"/>
        <v>45244</v>
      </c>
      <c r="F281" s="7">
        <f t="shared" si="14"/>
        <v>15</v>
      </c>
      <c r="G281" t="s">
        <v>647</v>
      </c>
      <c r="H281" t="s">
        <v>654</v>
      </c>
      <c r="I281" t="s">
        <v>668</v>
      </c>
      <c r="J281" t="s">
        <v>701</v>
      </c>
      <c r="K281" t="s">
        <v>708</v>
      </c>
      <c r="L281" t="s">
        <v>721</v>
      </c>
      <c r="M281" t="s">
        <v>731</v>
      </c>
      <c r="N281" t="s">
        <v>1013</v>
      </c>
      <c r="O281">
        <v>953.46</v>
      </c>
      <c r="P281">
        <v>2066.75</v>
      </c>
      <c r="Q281">
        <v>0.13800000000000001</v>
      </c>
      <c r="R281">
        <v>5</v>
      </c>
    </row>
    <row r="282" spans="1:18" x14ac:dyDescent="0.45">
      <c r="A282" t="s">
        <v>294</v>
      </c>
      <c r="B282" s="5">
        <v>45092</v>
      </c>
      <c r="C282" s="5">
        <v>45100</v>
      </c>
      <c r="D282" s="5">
        <f t="shared" si="12"/>
        <v>45092</v>
      </c>
      <c r="E282" s="5">
        <f t="shared" si="13"/>
        <v>45100</v>
      </c>
      <c r="F282" s="7">
        <f t="shared" si="14"/>
        <v>8</v>
      </c>
      <c r="G282" t="s">
        <v>648</v>
      </c>
      <c r="H282" t="s">
        <v>660</v>
      </c>
      <c r="I282" t="s">
        <v>686</v>
      </c>
      <c r="J282" t="s">
        <v>704</v>
      </c>
      <c r="K282" t="s">
        <v>710</v>
      </c>
      <c r="L282" t="s">
        <v>719</v>
      </c>
      <c r="M282" t="s">
        <v>732</v>
      </c>
      <c r="N282" t="s">
        <v>1014</v>
      </c>
      <c r="O282">
        <v>1097.0899999999999</v>
      </c>
      <c r="P282">
        <v>2182.31</v>
      </c>
      <c r="Q282">
        <v>0.112</v>
      </c>
      <c r="R282">
        <v>9</v>
      </c>
    </row>
    <row r="283" spans="1:18" x14ac:dyDescent="0.45">
      <c r="A283" t="s">
        <v>295</v>
      </c>
      <c r="B283" s="5">
        <v>45730</v>
      </c>
      <c r="C283" s="5">
        <v>45745</v>
      </c>
      <c r="D283" s="5">
        <f t="shared" si="12"/>
        <v>45730</v>
      </c>
      <c r="E283" s="5">
        <f t="shared" si="13"/>
        <v>45745</v>
      </c>
      <c r="F283" s="7">
        <f t="shared" si="14"/>
        <v>15</v>
      </c>
      <c r="G283" t="s">
        <v>647</v>
      </c>
      <c r="H283" t="s">
        <v>652</v>
      </c>
      <c r="I283" t="s">
        <v>689</v>
      </c>
      <c r="J283" t="s">
        <v>703</v>
      </c>
      <c r="K283" t="s">
        <v>711</v>
      </c>
      <c r="L283" t="s">
        <v>722</v>
      </c>
      <c r="M283" t="s">
        <v>729</v>
      </c>
      <c r="N283" t="s">
        <v>1015</v>
      </c>
      <c r="O283">
        <v>1106.96</v>
      </c>
      <c r="P283">
        <v>2726.62</v>
      </c>
      <c r="Q283">
        <v>0.317</v>
      </c>
      <c r="R283">
        <v>7</v>
      </c>
    </row>
    <row r="284" spans="1:18" x14ac:dyDescent="0.45">
      <c r="A284" t="s">
        <v>296</v>
      </c>
      <c r="B284" s="5">
        <v>45153</v>
      </c>
      <c r="C284" s="5">
        <v>45163</v>
      </c>
      <c r="D284" s="5">
        <f t="shared" si="12"/>
        <v>45153</v>
      </c>
      <c r="E284" s="5">
        <f t="shared" si="13"/>
        <v>45163</v>
      </c>
      <c r="F284" s="7">
        <f t="shared" si="14"/>
        <v>10</v>
      </c>
      <c r="G284" t="s">
        <v>646</v>
      </c>
      <c r="H284" t="s">
        <v>650</v>
      </c>
      <c r="I284" t="s">
        <v>664</v>
      </c>
      <c r="J284" t="s">
        <v>705</v>
      </c>
      <c r="K284" t="s">
        <v>707</v>
      </c>
      <c r="L284" t="s">
        <v>725</v>
      </c>
      <c r="M284" t="s">
        <v>730</v>
      </c>
      <c r="N284" t="s">
        <v>1016</v>
      </c>
      <c r="O284">
        <v>91.85</v>
      </c>
      <c r="P284">
        <v>111.29</v>
      </c>
      <c r="Q284">
        <v>0</v>
      </c>
      <c r="R284">
        <v>6</v>
      </c>
    </row>
    <row r="285" spans="1:18" x14ac:dyDescent="0.45">
      <c r="A285" t="s">
        <v>297</v>
      </c>
      <c r="B285" s="5">
        <v>45794</v>
      </c>
      <c r="C285" s="5">
        <v>45805</v>
      </c>
      <c r="D285" s="5">
        <f t="shared" si="12"/>
        <v>45794</v>
      </c>
      <c r="E285" s="5">
        <f t="shared" si="13"/>
        <v>45805</v>
      </c>
      <c r="F285" s="7">
        <f t="shared" si="14"/>
        <v>11</v>
      </c>
      <c r="G285" t="s">
        <v>647</v>
      </c>
      <c r="H285" t="s">
        <v>654</v>
      </c>
      <c r="I285" t="s">
        <v>668</v>
      </c>
      <c r="J285" t="s">
        <v>701</v>
      </c>
      <c r="K285" t="s">
        <v>710</v>
      </c>
      <c r="L285" t="s">
        <v>717</v>
      </c>
      <c r="M285" t="s">
        <v>731</v>
      </c>
      <c r="N285" t="s">
        <v>1017</v>
      </c>
      <c r="O285">
        <v>623.4</v>
      </c>
      <c r="P285">
        <v>1100.0899999999999</v>
      </c>
      <c r="Q285">
        <v>0.114</v>
      </c>
      <c r="R285">
        <v>12</v>
      </c>
    </row>
    <row r="286" spans="1:18" x14ac:dyDescent="0.45">
      <c r="A286" t="s">
        <v>298</v>
      </c>
      <c r="B286" s="5">
        <v>45304</v>
      </c>
      <c r="C286" s="5">
        <v>45327</v>
      </c>
      <c r="D286" s="5">
        <f t="shared" si="12"/>
        <v>45304</v>
      </c>
      <c r="E286" s="5">
        <f t="shared" si="13"/>
        <v>45327</v>
      </c>
      <c r="F286" s="7">
        <f t="shared" si="14"/>
        <v>23</v>
      </c>
      <c r="G286" t="s">
        <v>649</v>
      </c>
      <c r="H286" t="s">
        <v>656</v>
      </c>
      <c r="I286" t="s">
        <v>698</v>
      </c>
      <c r="J286" t="s">
        <v>702</v>
      </c>
      <c r="K286" t="s">
        <v>711</v>
      </c>
      <c r="L286" t="s">
        <v>717</v>
      </c>
      <c r="M286" t="s">
        <v>731</v>
      </c>
      <c r="N286" t="s">
        <v>1018</v>
      </c>
      <c r="O286">
        <v>1017.93</v>
      </c>
      <c r="P286">
        <v>1529.14</v>
      </c>
      <c r="Q286">
        <v>0.155</v>
      </c>
      <c r="R286">
        <v>12</v>
      </c>
    </row>
    <row r="287" spans="1:18" x14ac:dyDescent="0.45">
      <c r="A287" t="s">
        <v>299</v>
      </c>
      <c r="B287" s="5">
        <v>45101</v>
      </c>
      <c r="C287" s="5">
        <v>45128</v>
      </c>
      <c r="D287" s="5">
        <f t="shared" si="12"/>
        <v>45101</v>
      </c>
      <c r="E287" s="5">
        <f t="shared" si="13"/>
        <v>45128</v>
      </c>
      <c r="F287" s="7">
        <f t="shared" si="14"/>
        <v>27</v>
      </c>
      <c r="G287" t="s">
        <v>647</v>
      </c>
      <c r="H287" t="s">
        <v>652</v>
      </c>
      <c r="I287" t="s">
        <v>694</v>
      </c>
      <c r="J287" t="s">
        <v>704</v>
      </c>
      <c r="K287" t="s">
        <v>709</v>
      </c>
      <c r="L287" t="s">
        <v>713</v>
      </c>
      <c r="M287" t="s">
        <v>730</v>
      </c>
      <c r="N287" t="s">
        <v>1019</v>
      </c>
      <c r="O287">
        <v>554.76</v>
      </c>
      <c r="P287">
        <v>728.69</v>
      </c>
      <c r="Q287">
        <v>0.22</v>
      </c>
      <c r="R287">
        <v>7</v>
      </c>
    </row>
    <row r="288" spans="1:18" x14ac:dyDescent="0.45">
      <c r="A288" t="s">
        <v>300</v>
      </c>
      <c r="B288" s="5">
        <v>45751</v>
      </c>
      <c r="C288" s="5">
        <v>45760</v>
      </c>
      <c r="D288" s="5">
        <f t="shared" si="12"/>
        <v>45751</v>
      </c>
      <c r="E288" s="5">
        <f t="shared" si="13"/>
        <v>45760</v>
      </c>
      <c r="F288" s="7">
        <f t="shared" si="14"/>
        <v>9</v>
      </c>
      <c r="G288" t="s">
        <v>649</v>
      </c>
      <c r="H288" t="s">
        <v>656</v>
      </c>
      <c r="I288" t="s">
        <v>684</v>
      </c>
      <c r="J288" t="s">
        <v>704</v>
      </c>
      <c r="K288" t="s">
        <v>709</v>
      </c>
      <c r="L288" t="s">
        <v>721</v>
      </c>
      <c r="M288" t="s">
        <v>730</v>
      </c>
      <c r="N288" t="s">
        <v>1020</v>
      </c>
      <c r="O288">
        <v>7.02</v>
      </c>
      <c r="P288">
        <v>6.28</v>
      </c>
      <c r="Q288">
        <v>0.13400000000000001</v>
      </c>
      <c r="R288">
        <v>14</v>
      </c>
    </row>
    <row r="289" spans="1:18" x14ac:dyDescent="0.45">
      <c r="A289" t="s">
        <v>301</v>
      </c>
      <c r="B289" s="5">
        <v>45542</v>
      </c>
      <c r="C289" s="5">
        <v>45542</v>
      </c>
      <c r="D289" s="5">
        <f t="shared" si="12"/>
        <v>45542</v>
      </c>
      <c r="E289" s="5">
        <f t="shared" si="13"/>
        <v>45542</v>
      </c>
      <c r="F289" s="7">
        <f t="shared" si="14"/>
        <v>0</v>
      </c>
      <c r="G289" t="s">
        <v>647</v>
      </c>
      <c r="H289" t="s">
        <v>654</v>
      </c>
      <c r="I289" t="s">
        <v>691</v>
      </c>
      <c r="J289" t="s">
        <v>702</v>
      </c>
      <c r="K289" t="s">
        <v>710</v>
      </c>
      <c r="L289" t="s">
        <v>717</v>
      </c>
      <c r="M289" t="s">
        <v>729</v>
      </c>
      <c r="N289" t="s">
        <v>1021</v>
      </c>
      <c r="O289">
        <v>1066.6500000000001</v>
      </c>
      <c r="P289">
        <v>2569.77</v>
      </c>
      <c r="Q289">
        <v>0.13400000000000001</v>
      </c>
      <c r="R289">
        <v>9</v>
      </c>
    </row>
    <row r="290" spans="1:18" x14ac:dyDescent="0.45">
      <c r="A290" t="s">
        <v>302</v>
      </c>
      <c r="B290" s="5">
        <v>45319</v>
      </c>
      <c r="C290" s="5">
        <v>45321</v>
      </c>
      <c r="D290" s="5">
        <f t="shared" si="12"/>
        <v>45319</v>
      </c>
      <c r="E290" s="5">
        <f t="shared" si="13"/>
        <v>45321</v>
      </c>
      <c r="F290" s="7">
        <f t="shared" si="14"/>
        <v>2</v>
      </c>
      <c r="G290" t="s">
        <v>646</v>
      </c>
      <c r="H290" t="s">
        <v>661</v>
      </c>
      <c r="I290" t="s">
        <v>695</v>
      </c>
      <c r="J290" t="s">
        <v>704</v>
      </c>
      <c r="K290" t="s">
        <v>711</v>
      </c>
      <c r="L290" t="s">
        <v>721</v>
      </c>
      <c r="M290" t="s">
        <v>733</v>
      </c>
      <c r="N290" t="s">
        <v>1022</v>
      </c>
      <c r="O290">
        <v>798.45</v>
      </c>
      <c r="P290">
        <v>1592.02</v>
      </c>
      <c r="Q290">
        <v>6.6000000000000003E-2</v>
      </c>
      <c r="R290">
        <v>18</v>
      </c>
    </row>
    <row r="291" spans="1:18" x14ac:dyDescent="0.45">
      <c r="A291" t="s">
        <v>303</v>
      </c>
      <c r="B291" s="5">
        <v>45125</v>
      </c>
      <c r="C291" s="5">
        <v>45148</v>
      </c>
      <c r="D291" s="5">
        <f t="shared" si="12"/>
        <v>45125</v>
      </c>
      <c r="E291" s="5">
        <f t="shared" si="13"/>
        <v>45148</v>
      </c>
      <c r="F291" s="7">
        <f t="shared" si="14"/>
        <v>23</v>
      </c>
      <c r="G291" t="s">
        <v>646</v>
      </c>
      <c r="H291" t="s">
        <v>661</v>
      </c>
      <c r="I291" t="s">
        <v>682</v>
      </c>
      <c r="J291" t="s">
        <v>705</v>
      </c>
      <c r="K291" t="s">
        <v>707</v>
      </c>
      <c r="L291" t="s">
        <v>716</v>
      </c>
      <c r="M291" t="s">
        <v>727</v>
      </c>
      <c r="N291" t="s">
        <v>1023</v>
      </c>
      <c r="O291">
        <v>1271.56</v>
      </c>
      <c r="P291">
        <v>995.47</v>
      </c>
      <c r="Q291">
        <v>0.192</v>
      </c>
      <c r="R291">
        <v>13</v>
      </c>
    </row>
    <row r="292" spans="1:18" x14ac:dyDescent="0.45">
      <c r="A292" t="s">
        <v>304</v>
      </c>
      <c r="B292" s="5">
        <v>45897</v>
      </c>
      <c r="C292" s="5">
        <v>45895</v>
      </c>
      <c r="D292" s="5">
        <f t="shared" si="12"/>
        <v>45895</v>
      </c>
      <c r="E292" s="5">
        <f t="shared" si="13"/>
        <v>45897</v>
      </c>
      <c r="F292" s="7">
        <f t="shared" si="14"/>
        <v>2</v>
      </c>
      <c r="G292" t="s">
        <v>646</v>
      </c>
      <c r="H292" t="s">
        <v>651</v>
      </c>
      <c r="I292" t="s">
        <v>663</v>
      </c>
      <c r="J292" t="s">
        <v>705</v>
      </c>
      <c r="K292" t="s">
        <v>707</v>
      </c>
      <c r="L292" t="s">
        <v>720</v>
      </c>
      <c r="M292" t="s">
        <v>733</v>
      </c>
      <c r="N292" t="s">
        <v>1024</v>
      </c>
      <c r="O292">
        <v>521.05999999999995</v>
      </c>
      <c r="P292">
        <v>1240.31</v>
      </c>
      <c r="Q292">
        <v>0.14599999999999999</v>
      </c>
      <c r="R292">
        <v>18</v>
      </c>
    </row>
    <row r="293" spans="1:18" x14ac:dyDescent="0.45">
      <c r="A293" t="s">
        <v>305</v>
      </c>
      <c r="B293" s="5">
        <v>45746</v>
      </c>
      <c r="C293" s="5">
        <v>45754</v>
      </c>
      <c r="D293" s="5">
        <f t="shared" si="12"/>
        <v>45746</v>
      </c>
      <c r="E293" s="5">
        <f t="shared" si="13"/>
        <v>45754</v>
      </c>
      <c r="F293" s="7">
        <f t="shared" si="14"/>
        <v>8</v>
      </c>
      <c r="G293" t="s">
        <v>648</v>
      </c>
      <c r="H293" t="s">
        <v>655</v>
      </c>
      <c r="I293" t="s">
        <v>670</v>
      </c>
      <c r="J293" t="s">
        <v>703</v>
      </c>
      <c r="K293" t="s">
        <v>711</v>
      </c>
      <c r="L293" t="s">
        <v>716</v>
      </c>
      <c r="M293" t="s">
        <v>728</v>
      </c>
      <c r="N293" t="s">
        <v>1025</v>
      </c>
      <c r="O293">
        <v>71.62</v>
      </c>
      <c r="P293">
        <v>118.37</v>
      </c>
      <c r="Q293">
        <v>0.156</v>
      </c>
      <c r="R293">
        <v>11</v>
      </c>
    </row>
    <row r="294" spans="1:18" x14ac:dyDescent="0.45">
      <c r="A294" t="s">
        <v>306</v>
      </c>
      <c r="B294" s="5">
        <v>45220</v>
      </c>
      <c r="C294" s="5">
        <v>45239</v>
      </c>
      <c r="D294" s="5">
        <f t="shared" si="12"/>
        <v>45220</v>
      </c>
      <c r="E294" s="5">
        <f t="shared" si="13"/>
        <v>45239</v>
      </c>
      <c r="F294" s="7">
        <f t="shared" si="14"/>
        <v>19</v>
      </c>
      <c r="G294" t="s">
        <v>649</v>
      </c>
      <c r="H294" t="s">
        <v>658</v>
      </c>
      <c r="I294" t="s">
        <v>683</v>
      </c>
      <c r="J294" t="s">
        <v>703</v>
      </c>
      <c r="K294" t="s">
        <v>711</v>
      </c>
      <c r="L294" t="s">
        <v>720</v>
      </c>
      <c r="M294" t="s">
        <v>733</v>
      </c>
      <c r="N294" t="s">
        <v>1026</v>
      </c>
      <c r="O294">
        <v>1142.48</v>
      </c>
      <c r="P294">
        <v>2105.5300000000002</v>
      </c>
      <c r="Q294">
        <v>0.20699999999999999</v>
      </c>
      <c r="R294">
        <v>14</v>
      </c>
    </row>
    <row r="295" spans="1:18" x14ac:dyDescent="0.45">
      <c r="A295" t="s">
        <v>307</v>
      </c>
      <c r="B295" s="5">
        <v>45161</v>
      </c>
      <c r="C295" s="5">
        <v>45191</v>
      </c>
      <c r="D295" s="5">
        <f t="shared" si="12"/>
        <v>45161</v>
      </c>
      <c r="E295" s="5">
        <f t="shared" si="13"/>
        <v>45191</v>
      </c>
      <c r="F295" s="7">
        <f t="shared" si="14"/>
        <v>30</v>
      </c>
      <c r="G295" t="s">
        <v>649</v>
      </c>
      <c r="H295" t="s">
        <v>658</v>
      </c>
      <c r="I295" t="s">
        <v>683</v>
      </c>
      <c r="J295" t="s">
        <v>704</v>
      </c>
      <c r="K295" t="s">
        <v>710</v>
      </c>
      <c r="L295" t="s">
        <v>719</v>
      </c>
      <c r="M295" t="s">
        <v>733</v>
      </c>
      <c r="N295" t="s">
        <v>1027</v>
      </c>
      <c r="O295">
        <v>209.81</v>
      </c>
      <c r="P295">
        <v>523</v>
      </c>
      <c r="Q295">
        <v>5.8999999999999997E-2</v>
      </c>
      <c r="R295">
        <v>15</v>
      </c>
    </row>
    <row r="296" spans="1:18" x14ac:dyDescent="0.45">
      <c r="A296" t="s">
        <v>308</v>
      </c>
      <c r="B296" s="5">
        <v>45758</v>
      </c>
      <c r="C296" s="5">
        <v>45781</v>
      </c>
      <c r="D296" s="5">
        <f t="shared" si="12"/>
        <v>45758</v>
      </c>
      <c r="E296" s="5">
        <f t="shared" si="13"/>
        <v>45781</v>
      </c>
      <c r="F296" s="7">
        <f t="shared" si="14"/>
        <v>23</v>
      </c>
      <c r="G296" t="s">
        <v>647</v>
      </c>
      <c r="H296" t="s">
        <v>652</v>
      </c>
      <c r="I296" t="s">
        <v>666</v>
      </c>
      <c r="J296" t="s">
        <v>705</v>
      </c>
      <c r="K296" t="s">
        <v>708</v>
      </c>
      <c r="L296" t="s">
        <v>724</v>
      </c>
      <c r="M296" t="s">
        <v>727</v>
      </c>
      <c r="N296" t="s">
        <v>1028</v>
      </c>
      <c r="O296">
        <v>786.2</v>
      </c>
      <c r="P296">
        <v>1075.3</v>
      </c>
      <c r="Q296">
        <v>0.08</v>
      </c>
      <c r="R296">
        <v>9</v>
      </c>
    </row>
    <row r="297" spans="1:18" x14ac:dyDescent="0.45">
      <c r="A297" t="s">
        <v>309</v>
      </c>
      <c r="B297" s="5">
        <v>45809</v>
      </c>
      <c r="C297" s="5">
        <v>45835</v>
      </c>
      <c r="D297" s="5">
        <f t="shared" si="12"/>
        <v>45809</v>
      </c>
      <c r="E297" s="5">
        <f t="shared" si="13"/>
        <v>45835</v>
      </c>
      <c r="F297" s="7">
        <f t="shared" si="14"/>
        <v>26</v>
      </c>
      <c r="G297" t="s">
        <v>649</v>
      </c>
      <c r="H297" t="s">
        <v>656</v>
      </c>
      <c r="I297" t="s">
        <v>684</v>
      </c>
      <c r="J297" t="s">
        <v>704</v>
      </c>
      <c r="K297" t="s">
        <v>710</v>
      </c>
      <c r="L297" t="s">
        <v>718</v>
      </c>
      <c r="M297" t="s">
        <v>731</v>
      </c>
      <c r="N297" t="s">
        <v>1029</v>
      </c>
      <c r="O297">
        <v>1362.31</v>
      </c>
      <c r="P297">
        <v>3294.57</v>
      </c>
      <c r="Q297">
        <v>0.113</v>
      </c>
      <c r="R297">
        <v>7</v>
      </c>
    </row>
    <row r="298" spans="1:18" x14ac:dyDescent="0.45">
      <c r="A298" t="s">
        <v>310</v>
      </c>
      <c r="B298" s="5">
        <v>45353</v>
      </c>
      <c r="C298" s="5">
        <v>45367</v>
      </c>
      <c r="D298" s="5">
        <f t="shared" si="12"/>
        <v>45353</v>
      </c>
      <c r="E298" s="5">
        <f t="shared" si="13"/>
        <v>45367</v>
      </c>
      <c r="F298" s="7">
        <f t="shared" si="14"/>
        <v>14</v>
      </c>
      <c r="G298" t="s">
        <v>648</v>
      </c>
      <c r="H298" t="s">
        <v>653</v>
      </c>
      <c r="I298" t="s">
        <v>688</v>
      </c>
      <c r="J298" t="s">
        <v>703</v>
      </c>
      <c r="K298" t="s">
        <v>711</v>
      </c>
      <c r="L298" t="s">
        <v>719</v>
      </c>
      <c r="M298" t="s">
        <v>728</v>
      </c>
      <c r="N298" t="s">
        <v>1030</v>
      </c>
      <c r="O298">
        <v>248.24</v>
      </c>
      <c r="P298">
        <v>464.05</v>
      </c>
      <c r="Q298">
        <v>0.16900000000000001</v>
      </c>
      <c r="R298">
        <v>11</v>
      </c>
    </row>
    <row r="299" spans="1:18" x14ac:dyDescent="0.45">
      <c r="A299" t="s">
        <v>311</v>
      </c>
      <c r="B299" s="5">
        <v>45097</v>
      </c>
      <c r="C299" s="5">
        <v>45115</v>
      </c>
      <c r="D299" s="5">
        <f t="shared" si="12"/>
        <v>45097</v>
      </c>
      <c r="E299" s="5">
        <f t="shared" si="13"/>
        <v>45115</v>
      </c>
      <c r="F299" s="7">
        <f t="shared" si="14"/>
        <v>18</v>
      </c>
      <c r="G299" t="s">
        <v>648</v>
      </c>
      <c r="H299" t="s">
        <v>660</v>
      </c>
      <c r="I299" t="s">
        <v>697</v>
      </c>
      <c r="J299" t="s">
        <v>703</v>
      </c>
      <c r="K299" t="s">
        <v>711</v>
      </c>
      <c r="L299" t="s">
        <v>721</v>
      </c>
      <c r="M299" t="s">
        <v>732</v>
      </c>
      <c r="N299" t="s">
        <v>1031</v>
      </c>
      <c r="O299">
        <v>337</v>
      </c>
      <c r="P299">
        <v>511.03</v>
      </c>
      <c r="Q299">
        <v>0.108</v>
      </c>
      <c r="R299">
        <v>7</v>
      </c>
    </row>
    <row r="300" spans="1:18" x14ac:dyDescent="0.45">
      <c r="A300" t="s">
        <v>312</v>
      </c>
      <c r="B300" s="5">
        <v>45377</v>
      </c>
      <c r="C300" s="5">
        <v>45387</v>
      </c>
      <c r="D300" s="5">
        <f t="shared" si="12"/>
        <v>45377</v>
      </c>
      <c r="E300" s="5">
        <f t="shared" si="13"/>
        <v>45387</v>
      </c>
      <c r="F300" s="7">
        <f t="shared" si="14"/>
        <v>10</v>
      </c>
      <c r="G300" t="s">
        <v>648</v>
      </c>
      <c r="H300" t="s">
        <v>660</v>
      </c>
      <c r="I300" t="s">
        <v>697</v>
      </c>
      <c r="J300" t="s">
        <v>704</v>
      </c>
      <c r="K300" t="s">
        <v>711</v>
      </c>
      <c r="L300" t="s">
        <v>713</v>
      </c>
      <c r="M300" t="s">
        <v>732</v>
      </c>
      <c r="N300" t="s">
        <v>1032</v>
      </c>
      <c r="O300">
        <v>5.66</v>
      </c>
      <c r="P300">
        <v>4.22</v>
      </c>
      <c r="Q300">
        <v>0.11899999999999999</v>
      </c>
      <c r="R300">
        <v>18</v>
      </c>
    </row>
    <row r="301" spans="1:18" x14ac:dyDescent="0.45">
      <c r="A301" t="s">
        <v>313</v>
      </c>
      <c r="B301" s="5">
        <v>45679</v>
      </c>
      <c r="C301" s="5">
        <v>45679</v>
      </c>
      <c r="D301" s="5">
        <f t="shared" si="12"/>
        <v>45679</v>
      </c>
      <c r="E301" s="5">
        <f t="shared" si="13"/>
        <v>45679</v>
      </c>
      <c r="F301" s="7">
        <f t="shared" si="14"/>
        <v>0</v>
      </c>
      <c r="G301" t="s">
        <v>649</v>
      </c>
      <c r="H301" t="s">
        <v>657</v>
      </c>
      <c r="I301" t="s">
        <v>679</v>
      </c>
      <c r="J301" t="s">
        <v>705</v>
      </c>
      <c r="K301" t="s">
        <v>708</v>
      </c>
      <c r="L301" t="s">
        <v>717</v>
      </c>
      <c r="M301" t="s">
        <v>733</v>
      </c>
      <c r="N301" t="s">
        <v>1033</v>
      </c>
      <c r="O301">
        <v>591.72</v>
      </c>
      <c r="P301">
        <v>577.24</v>
      </c>
      <c r="Q301">
        <v>0</v>
      </c>
      <c r="R301">
        <v>22</v>
      </c>
    </row>
    <row r="302" spans="1:18" x14ac:dyDescent="0.45">
      <c r="A302" t="s">
        <v>314</v>
      </c>
      <c r="B302" s="5">
        <v>45787</v>
      </c>
      <c r="C302" s="5">
        <v>45804</v>
      </c>
      <c r="D302" s="5">
        <f t="shared" si="12"/>
        <v>45787</v>
      </c>
      <c r="E302" s="5">
        <f t="shared" si="13"/>
        <v>45804</v>
      </c>
      <c r="F302" s="7">
        <f t="shared" si="14"/>
        <v>17</v>
      </c>
      <c r="G302" t="s">
        <v>648</v>
      </c>
      <c r="H302" t="s">
        <v>653</v>
      </c>
      <c r="I302" t="s">
        <v>688</v>
      </c>
      <c r="J302" t="s">
        <v>702</v>
      </c>
      <c r="K302" t="s">
        <v>711</v>
      </c>
      <c r="L302" t="s">
        <v>712</v>
      </c>
      <c r="M302" t="s">
        <v>727</v>
      </c>
      <c r="N302" t="s">
        <v>1034</v>
      </c>
      <c r="O302">
        <v>862.89</v>
      </c>
      <c r="P302">
        <v>1426.03</v>
      </c>
      <c r="Q302">
        <v>5.6000000000000001E-2</v>
      </c>
      <c r="R302">
        <v>19</v>
      </c>
    </row>
    <row r="303" spans="1:18" x14ac:dyDescent="0.45">
      <c r="A303" t="s">
        <v>315</v>
      </c>
      <c r="B303" s="5">
        <v>45204</v>
      </c>
      <c r="C303" s="5">
        <v>45230</v>
      </c>
      <c r="D303" s="5">
        <f t="shared" si="12"/>
        <v>45204</v>
      </c>
      <c r="E303" s="5">
        <f t="shared" si="13"/>
        <v>45230</v>
      </c>
      <c r="F303" s="7">
        <f t="shared" si="14"/>
        <v>26</v>
      </c>
      <c r="G303" t="s">
        <v>647</v>
      </c>
      <c r="H303" t="s">
        <v>659</v>
      </c>
      <c r="I303" t="s">
        <v>685</v>
      </c>
      <c r="J303" t="s">
        <v>704</v>
      </c>
      <c r="L303" t="s">
        <v>713</v>
      </c>
      <c r="M303" t="s">
        <v>728</v>
      </c>
      <c r="N303" t="s">
        <v>1035</v>
      </c>
      <c r="O303">
        <v>649.91</v>
      </c>
      <c r="P303">
        <v>1360.12</v>
      </c>
      <c r="Q303">
        <v>0.19400000000000001</v>
      </c>
      <c r="R303">
        <v>9</v>
      </c>
    </row>
    <row r="304" spans="1:18" x14ac:dyDescent="0.45">
      <c r="A304" t="s">
        <v>316</v>
      </c>
      <c r="B304" s="5">
        <v>45125</v>
      </c>
      <c r="C304" s="5">
        <v>45129</v>
      </c>
      <c r="D304" s="5">
        <f t="shared" si="12"/>
        <v>45125</v>
      </c>
      <c r="E304" s="5">
        <f t="shared" si="13"/>
        <v>45129</v>
      </c>
      <c r="F304" s="7">
        <f t="shared" si="14"/>
        <v>4</v>
      </c>
      <c r="G304" t="s">
        <v>648</v>
      </c>
      <c r="H304" t="s">
        <v>655</v>
      </c>
      <c r="I304" t="s">
        <v>670</v>
      </c>
      <c r="J304" t="s">
        <v>704</v>
      </c>
      <c r="K304" t="s">
        <v>711</v>
      </c>
      <c r="L304" t="s">
        <v>721</v>
      </c>
      <c r="M304" t="s">
        <v>729</v>
      </c>
      <c r="N304" t="s">
        <v>1036</v>
      </c>
      <c r="O304">
        <v>1269.55</v>
      </c>
      <c r="P304">
        <v>2071.1</v>
      </c>
      <c r="Q304">
        <v>0.129</v>
      </c>
      <c r="R304">
        <v>22</v>
      </c>
    </row>
    <row r="305" spans="1:18" x14ac:dyDescent="0.45">
      <c r="A305" t="s">
        <v>317</v>
      </c>
      <c r="B305" s="5">
        <v>45830</v>
      </c>
      <c r="C305" s="5">
        <v>45846</v>
      </c>
      <c r="D305" s="5">
        <f t="shared" si="12"/>
        <v>45830</v>
      </c>
      <c r="E305" s="5">
        <f t="shared" si="13"/>
        <v>45846</v>
      </c>
      <c r="F305" s="7">
        <f t="shared" si="14"/>
        <v>16</v>
      </c>
      <c r="G305" t="s">
        <v>649</v>
      </c>
      <c r="H305" t="s">
        <v>658</v>
      </c>
      <c r="I305" t="s">
        <v>683</v>
      </c>
      <c r="J305" t="s">
        <v>702</v>
      </c>
      <c r="K305" t="s">
        <v>711</v>
      </c>
      <c r="L305" t="s">
        <v>720</v>
      </c>
      <c r="M305" t="s">
        <v>730</v>
      </c>
      <c r="N305" t="s">
        <v>1037</v>
      </c>
      <c r="O305">
        <v>892.73</v>
      </c>
      <c r="P305">
        <v>979.84</v>
      </c>
      <c r="Q305">
        <v>0.17399999999999999</v>
      </c>
      <c r="R305">
        <v>10</v>
      </c>
    </row>
    <row r="306" spans="1:18" x14ac:dyDescent="0.45">
      <c r="A306" t="s">
        <v>318</v>
      </c>
      <c r="B306" s="5">
        <v>45462</v>
      </c>
      <c r="C306" s="5">
        <v>45463</v>
      </c>
      <c r="D306" s="5">
        <f t="shared" si="12"/>
        <v>45462</v>
      </c>
      <c r="E306" s="5">
        <f t="shared" si="13"/>
        <v>45463</v>
      </c>
      <c r="F306" s="7">
        <f t="shared" si="14"/>
        <v>1</v>
      </c>
      <c r="G306" t="s">
        <v>646</v>
      </c>
      <c r="H306" t="s">
        <v>650</v>
      </c>
      <c r="I306" t="s">
        <v>662</v>
      </c>
      <c r="J306" t="s">
        <v>705</v>
      </c>
      <c r="K306" t="s">
        <v>711</v>
      </c>
      <c r="L306" t="s">
        <v>713</v>
      </c>
      <c r="M306" t="s">
        <v>731</v>
      </c>
      <c r="N306" t="s">
        <v>1038</v>
      </c>
      <c r="O306">
        <v>231.63</v>
      </c>
      <c r="P306">
        <v>537.39</v>
      </c>
      <c r="Q306">
        <v>0.08</v>
      </c>
      <c r="R306">
        <v>12</v>
      </c>
    </row>
    <row r="307" spans="1:18" x14ac:dyDescent="0.45">
      <c r="A307" t="s">
        <v>319</v>
      </c>
      <c r="B307" s="5">
        <v>45756</v>
      </c>
      <c r="C307" s="5">
        <v>45759</v>
      </c>
      <c r="D307" s="5">
        <f t="shared" si="12"/>
        <v>45756</v>
      </c>
      <c r="E307" s="5">
        <f t="shared" si="13"/>
        <v>45759</v>
      </c>
      <c r="F307" s="7">
        <f t="shared" si="14"/>
        <v>3</v>
      </c>
      <c r="G307" t="s">
        <v>649</v>
      </c>
      <c r="H307" t="s">
        <v>657</v>
      </c>
      <c r="I307" t="s">
        <v>679</v>
      </c>
      <c r="J307" t="s">
        <v>705</v>
      </c>
      <c r="K307" t="s">
        <v>710</v>
      </c>
      <c r="L307" t="s">
        <v>722</v>
      </c>
      <c r="M307" t="s">
        <v>732</v>
      </c>
      <c r="N307" t="s">
        <v>1039</v>
      </c>
      <c r="O307">
        <v>86.68</v>
      </c>
      <c r="P307">
        <v>213.32</v>
      </c>
      <c r="Q307">
        <v>3.7999999999999999E-2</v>
      </c>
      <c r="R307">
        <v>8</v>
      </c>
    </row>
    <row r="308" spans="1:18" x14ac:dyDescent="0.45">
      <c r="A308" t="s">
        <v>320</v>
      </c>
      <c r="B308" s="5">
        <v>45741</v>
      </c>
      <c r="C308" s="5">
        <v>45742</v>
      </c>
      <c r="D308" s="5">
        <f t="shared" si="12"/>
        <v>45741</v>
      </c>
      <c r="E308" s="5">
        <f t="shared" si="13"/>
        <v>45742</v>
      </c>
      <c r="F308" s="7">
        <f t="shared" si="14"/>
        <v>1</v>
      </c>
      <c r="G308" t="s">
        <v>646</v>
      </c>
      <c r="H308" t="s">
        <v>651</v>
      </c>
      <c r="I308" t="s">
        <v>665</v>
      </c>
      <c r="J308" t="s">
        <v>702</v>
      </c>
      <c r="K308" t="s">
        <v>710</v>
      </c>
      <c r="L308" t="s">
        <v>715</v>
      </c>
      <c r="M308" t="s">
        <v>733</v>
      </c>
      <c r="N308" t="s">
        <v>1040</v>
      </c>
      <c r="O308">
        <v>1450.43</v>
      </c>
      <c r="P308">
        <v>1994.67</v>
      </c>
      <c r="Q308">
        <v>0.1</v>
      </c>
      <c r="R308">
        <v>24</v>
      </c>
    </row>
    <row r="309" spans="1:18" x14ac:dyDescent="0.45">
      <c r="A309" t="s">
        <v>321</v>
      </c>
      <c r="B309" s="5">
        <v>45795</v>
      </c>
      <c r="C309" s="5">
        <v>45817</v>
      </c>
      <c r="D309" s="5">
        <f t="shared" si="12"/>
        <v>45795</v>
      </c>
      <c r="E309" s="5">
        <f t="shared" si="13"/>
        <v>45817</v>
      </c>
      <c r="F309" s="7">
        <f t="shared" si="14"/>
        <v>22</v>
      </c>
      <c r="G309" t="s">
        <v>648</v>
      </c>
      <c r="H309" t="s">
        <v>660</v>
      </c>
      <c r="I309" t="s">
        <v>700</v>
      </c>
      <c r="J309" t="s">
        <v>704</v>
      </c>
      <c r="K309" t="s">
        <v>707</v>
      </c>
      <c r="L309" t="s">
        <v>722</v>
      </c>
      <c r="M309" t="s">
        <v>729</v>
      </c>
      <c r="N309" t="s">
        <v>1041</v>
      </c>
      <c r="O309">
        <v>382.96</v>
      </c>
      <c r="P309">
        <v>552.84</v>
      </c>
      <c r="Q309">
        <v>0.17599999999999999</v>
      </c>
      <c r="R309">
        <v>8</v>
      </c>
    </row>
    <row r="310" spans="1:18" x14ac:dyDescent="0.45">
      <c r="A310" t="s">
        <v>322</v>
      </c>
      <c r="B310" s="5">
        <v>45679</v>
      </c>
      <c r="C310" s="5">
        <v>45692</v>
      </c>
      <c r="D310" s="5">
        <f t="shared" si="12"/>
        <v>45679</v>
      </c>
      <c r="E310" s="5">
        <f t="shared" si="13"/>
        <v>45692</v>
      </c>
      <c r="F310" s="7">
        <f t="shared" si="14"/>
        <v>13</v>
      </c>
      <c r="G310" t="s">
        <v>647</v>
      </c>
      <c r="H310" t="s">
        <v>652</v>
      </c>
      <c r="I310" t="s">
        <v>689</v>
      </c>
      <c r="J310" t="s">
        <v>705</v>
      </c>
      <c r="K310" t="s">
        <v>710</v>
      </c>
      <c r="L310" t="s">
        <v>716</v>
      </c>
      <c r="M310" t="s">
        <v>728</v>
      </c>
      <c r="N310" t="s">
        <v>1042</v>
      </c>
      <c r="O310">
        <v>122.29</v>
      </c>
      <c r="P310">
        <v>224.95</v>
      </c>
      <c r="Q310">
        <v>0.153</v>
      </c>
      <c r="R310">
        <v>28</v>
      </c>
    </row>
    <row r="311" spans="1:18" x14ac:dyDescent="0.45">
      <c r="A311" t="s">
        <v>323</v>
      </c>
      <c r="B311" s="5">
        <v>44936</v>
      </c>
      <c r="C311" s="5">
        <v>44955</v>
      </c>
      <c r="D311" s="5">
        <f t="shared" si="12"/>
        <v>44936</v>
      </c>
      <c r="E311" s="5">
        <f t="shared" si="13"/>
        <v>44955</v>
      </c>
      <c r="F311" s="7">
        <f t="shared" si="14"/>
        <v>19</v>
      </c>
      <c r="G311" t="s">
        <v>649</v>
      </c>
      <c r="H311" t="s">
        <v>657</v>
      </c>
      <c r="I311" t="s">
        <v>679</v>
      </c>
      <c r="J311" t="s">
        <v>703</v>
      </c>
      <c r="K311" t="s">
        <v>711</v>
      </c>
      <c r="L311" t="s">
        <v>726</v>
      </c>
      <c r="M311" t="s">
        <v>731</v>
      </c>
      <c r="N311" t="s">
        <v>1043</v>
      </c>
      <c r="O311">
        <v>401.66</v>
      </c>
      <c r="P311">
        <v>772.09</v>
      </c>
      <c r="Q311">
        <v>8.8999999999999996E-2</v>
      </c>
      <c r="R311">
        <v>14</v>
      </c>
    </row>
    <row r="312" spans="1:18" x14ac:dyDescent="0.45">
      <c r="A312" t="s">
        <v>324</v>
      </c>
      <c r="B312" s="5">
        <v>45655</v>
      </c>
      <c r="C312" s="5">
        <v>45669</v>
      </c>
      <c r="D312" s="5">
        <f t="shared" si="12"/>
        <v>45655</v>
      </c>
      <c r="E312" s="5">
        <f t="shared" si="13"/>
        <v>45669</v>
      </c>
      <c r="F312" s="7">
        <f t="shared" si="14"/>
        <v>14</v>
      </c>
      <c r="G312" t="s">
        <v>649</v>
      </c>
      <c r="H312" t="s">
        <v>658</v>
      </c>
      <c r="I312" t="s">
        <v>693</v>
      </c>
      <c r="J312" t="s">
        <v>701</v>
      </c>
      <c r="K312" t="s">
        <v>711</v>
      </c>
      <c r="L312" t="s">
        <v>717</v>
      </c>
      <c r="M312" t="s">
        <v>732</v>
      </c>
      <c r="N312" t="s">
        <v>1044</v>
      </c>
      <c r="O312">
        <v>1399.72</v>
      </c>
      <c r="P312">
        <v>3149.21</v>
      </c>
      <c r="Q312">
        <v>0.185</v>
      </c>
      <c r="R312">
        <v>12</v>
      </c>
    </row>
    <row r="313" spans="1:18" x14ac:dyDescent="0.45">
      <c r="A313" t="s">
        <v>325</v>
      </c>
      <c r="B313" s="5">
        <v>45435</v>
      </c>
      <c r="C313" s="5">
        <v>45449</v>
      </c>
      <c r="D313" s="5">
        <f t="shared" si="12"/>
        <v>45435</v>
      </c>
      <c r="E313" s="5">
        <f t="shared" si="13"/>
        <v>45449</v>
      </c>
      <c r="F313" s="7">
        <f t="shared" si="14"/>
        <v>14</v>
      </c>
      <c r="G313" t="s">
        <v>648</v>
      </c>
      <c r="H313" t="s">
        <v>655</v>
      </c>
      <c r="I313" t="s">
        <v>692</v>
      </c>
      <c r="J313" t="s">
        <v>703</v>
      </c>
      <c r="K313" t="s">
        <v>708</v>
      </c>
      <c r="L313" t="s">
        <v>714</v>
      </c>
      <c r="M313" t="s">
        <v>729</v>
      </c>
      <c r="N313" t="s">
        <v>1045</v>
      </c>
      <c r="O313">
        <v>51.13</v>
      </c>
      <c r="P313">
        <v>57.53</v>
      </c>
      <c r="Q313">
        <v>4.4999999999999998E-2</v>
      </c>
      <c r="R313">
        <v>16</v>
      </c>
    </row>
    <row r="314" spans="1:18" x14ac:dyDescent="0.45">
      <c r="A314" t="s">
        <v>326</v>
      </c>
      <c r="B314" s="5">
        <v>45101</v>
      </c>
      <c r="C314" s="5">
        <v>45099</v>
      </c>
      <c r="D314" s="5">
        <f t="shared" si="12"/>
        <v>45099</v>
      </c>
      <c r="E314" s="5">
        <f t="shared" si="13"/>
        <v>45101</v>
      </c>
      <c r="F314" s="7">
        <f t="shared" si="14"/>
        <v>2</v>
      </c>
      <c r="G314" t="s">
        <v>648</v>
      </c>
      <c r="H314" t="s">
        <v>653</v>
      </c>
      <c r="I314" t="s">
        <v>667</v>
      </c>
      <c r="J314" t="s">
        <v>703</v>
      </c>
      <c r="K314" t="s">
        <v>707</v>
      </c>
      <c r="L314" t="s">
        <v>724</v>
      </c>
      <c r="M314" t="s">
        <v>733</v>
      </c>
      <c r="N314" t="s">
        <v>1046</v>
      </c>
      <c r="O314">
        <v>471.42</v>
      </c>
      <c r="P314">
        <v>824.81</v>
      </c>
      <c r="Q314">
        <v>8.7999999999999995E-2</v>
      </c>
      <c r="R314">
        <v>15</v>
      </c>
    </row>
    <row r="315" spans="1:18" x14ac:dyDescent="0.45">
      <c r="A315" t="s">
        <v>327</v>
      </c>
      <c r="B315" s="5">
        <v>45600</v>
      </c>
      <c r="C315" s="5">
        <v>45601</v>
      </c>
      <c r="D315" s="5">
        <f t="shared" si="12"/>
        <v>45600</v>
      </c>
      <c r="E315" s="5">
        <f t="shared" si="13"/>
        <v>45601</v>
      </c>
      <c r="F315" s="7">
        <f t="shared" si="14"/>
        <v>1</v>
      </c>
      <c r="G315" t="s">
        <v>649</v>
      </c>
      <c r="H315" t="s">
        <v>658</v>
      </c>
      <c r="I315" t="s">
        <v>683</v>
      </c>
      <c r="J315" t="s">
        <v>701</v>
      </c>
      <c r="K315" t="s">
        <v>707</v>
      </c>
      <c r="L315" t="s">
        <v>724</v>
      </c>
      <c r="M315" t="s">
        <v>728</v>
      </c>
      <c r="N315" t="s">
        <v>1047</v>
      </c>
      <c r="O315">
        <v>840.68</v>
      </c>
      <c r="P315">
        <v>1493.53</v>
      </c>
      <c r="Q315">
        <v>0</v>
      </c>
      <c r="R315">
        <v>27</v>
      </c>
    </row>
    <row r="316" spans="1:18" x14ac:dyDescent="0.45">
      <c r="A316" t="s">
        <v>328</v>
      </c>
      <c r="B316" s="5">
        <v>45451</v>
      </c>
      <c r="C316" s="5">
        <v>45467</v>
      </c>
      <c r="D316" s="5">
        <f t="shared" si="12"/>
        <v>45451</v>
      </c>
      <c r="E316" s="5">
        <f t="shared" si="13"/>
        <v>45467</v>
      </c>
      <c r="F316" s="7">
        <f t="shared" si="14"/>
        <v>16</v>
      </c>
      <c r="G316" t="s">
        <v>646</v>
      </c>
      <c r="H316" t="s">
        <v>661</v>
      </c>
      <c r="I316" t="s">
        <v>687</v>
      </c>
      <c r="J316" t="s">
        <v>702</v>
      </c>
      <c r="K316" t="s">
        <v>710</v>
      </c>
      <c r="L316" t="s">
        <v>722</v>
      </c>
      <c r="M316" t="s">
        <v>732</v>
      </c>
      <c r="N316" t="s">
        <v>1048</v>
      </c>
      <c r="O316">
        <v>597.85</v>
      </c>
      <c r="P316">
        <v>741.92</v>
      </c>
      <c r="Q316">
        <v>3.1E-2</v>
      </c>
      <c r="R316">
        <v>7</v>
      </c>
    </row>
    <row r="317" spans="1:18" x14ac:dyDescent="0.45">
      <c r="A317" t="s">
        <v>329</v>
      </c>
      <c r="B317" s="5">
        <v>45809</v>
      </c>
      <c r="C317" s="5">
        <v>45814</v>
      </c>
      <c r="D317" s="5">
        <f t="shared" si="12"/>
        <v>45809</v>
      </c>
      <c r="E317" s="5">
        <f t="shared" si="13"/>
        <v>45814</v>
      </c>
      <c r="F317" s="7">
        <f t="shared" si="14"/>
        <v>5</v>
      </c>
      <c r="G317" t="s">
        <v>649</v>
      </c>
      <c r="H317" t="s">
        <v>657</v>
      </c>
      <c r="I317" t="s">
        <v>690</v>
      </c>
      <c r="J317" t="s">
        <v>704</v>
      </c>
      <c r="K317" t="s">
        <v>710</v>
      </c>
      <c r="L317" t="s">
        <v>715</v>
      </c>
      <c r="M317" t="s">
        <v>727</v>
      </c>
      <c r="N317" t="s">
        <v>1049</v>
      </c>
      <c r="O317">
        <v>379.45</v>
      </c>
      <c r="P317">
        <v>742.23</v>
      </c>
      <c r="Q317">
        <v>0.09</v>
      </c>
      <c r="R317">
        <v>13</v>
      </c>
    </row>
    <row r="318" spans="1:18" x14ac:dyDescent="0.45">
      <c r="A318" t="s">
        <v>330</v>
      </c>
      <c r="B318" s="5">
        <v>45052</v>
      </c>
      <c r="C318" s="5">
        <v>45060</v>
      </c>
      <c r="D318" s="5">
        <f t="shared" si="12"/>
        <v>45052</v>
      </c>
      <c r="E318" s="5">
        <f t="shared" si="13"/>
        <v>45060</v>
      </c>
      <c r="F318" s="7">
        <f t="shared" si="14"/>
        <v>8</v>
      </c>
      <c r="G318" t="s">
        <v>647</v>
      </c>
      <c r="H318" t="s">
        <v>652</v>
      </c>
      <c r="I318" t="s">
        <v>666</v>
      </c>
      <c r="J318" t="s">
        <v>706</v>
      </c>
      <c r="K318" t="s">
        <v>709</v>
      </c>
      <c r="L318" t="s">
        <v>717</v>
      </c>
      <c r="M318" t="s">
        <v>730</v>
      </c>
      <c r="N318" t="s">
        <v>1050</v>
      </c>
      <c r="O318">
        <v>291.18</v>
      </c>
      <c r="P318">
        <v>479.54</v>
      </c>
      <c r="Q318">
        <v>0.14099999999999999</v>
      </c>
      <c r="R318">
        <v>22</v>
      </c>
    </row>
    <row r="319" spans="1:18" x14ac:dyDescent="0.45">
      <c r="A319" t="s">
        <v>331</v>
      </c>
      <c r="B319" s="5">
        <v>45244</v>
      </c>
      <c r="C319" s="5">
        <v>45260</v>
      </c>
      <c r="D319" s="5">
        <f t="shared" si="12"/>
        <v>45244</v>
      </c>
      <c r="E319" s="5">
        <f t="shared" si="13"/>
        <v>45260</v>
      </c>
      <c r="F319" s="7">
        <f t="shared" si="14"/>
        <v>16</v>
      </c>
      <c r="G319" t="s">
        <v>648</v>
      </c>
      <c r="H319" t="s">
        <v>655</v>
      </c>
      <c r="I319" t="s">
        <v>670</v>
      </c>
      <c r="J319" t="s">
        <v>706</v>
      </c>
      <c r="K319" t="s">
        <v>711</v>
      </c>
      <c r="L319" t="s">
        <v>723</v>
      </c>
      <c r="M319" t="s">
        <v>729</v>
      </c>
      <c r="N319" t="s">
        <v>1051</v>
      </c>
      <c r="O319">
        <v>1017.92</v>
      </c>
      <c r="P319">
        <v>1175.25</v>
      </c>
      <c r="Q319">
        <v>7.4999999999999997E-2</v>
      </c>
      <c r="R319">
        <v>15</v>
      </c>
    </row>
    <row r="320" spans="1:18" x14ac:dyDescent="0.45">
      <c r="A320" t="s">
        <v>332</v>
      </c>
      <c r="B320" s="5">
        <v>45748</v>
      </c>
      <c r="C320" s="5">
        <v>45774</v>
      </c>
      <c r="D320" s="5">
        <f t="shared" si="12"/>
        <v>45748</v>
      </c>
      <c r="E320" s="5">
        <f t="shared" si="13"/>
        <v>45774</v>
      </c>
      <c r="F320" s="7">
        <f t="shared" si="14"/>
        <v>26</v>
      </c>
      <c r="G320" t="s">
        <v>648</v>
      </c>
      <c r="H320" t="s">
        <v>660</v>
      </c>
      <c r="I320" t="s">
        <v>686</v>
      </c>
      <c r="J320" t="s">
        <v>701</v>
      </c>
      <c r="K320" t="s">
        <v>711</v>
      </c>
      <c r="L320" t="s">
        <v>714</v>
      </c>
      <c r="M320" t="s">
        <v>732</v>
      </c>
      <c r="N320" t="s">
        <v>1052</v>
      </c>
      <c r="O320">
        <v>156.55000000000001</v>
      </c>
      <c r="P320">
        <v>227.45</v>
      </c>
      <c r="Q320">
        <v>1.4E-2</v>
      </c>
      <c r="R320">
        <v>13</v>
      </c>
    </row>
    <row r="321" spans="1:18" x14ac:dyDescent="0.45">
      <c r="A321" t="s">
        <v>333</v>
      </c>
      <c r="B321" s="5">
        <v>45008</v>
      </c>
      <c r="C321" s="5">
        <v>45031</v>
      </c>
      <c r="D321" s="5">
        <f t="shared" si="12"/>
        <v>45008</v>
      </c>
      <c r="E321" s="5">
        <f t="shared" si="13"/>
        <v>45031</v>
      </c>
      <c r="F321" s="7">
        <f t="shared" si="14"/>
        <v>23</v>
      </c>
      <c r="G321" t="s">
        <v>646</v>
      </c>
      <c r="H321" t="s">
        <v>650</v>
      </c>
      <c r="I321" t="s">
        <v>675</v>
      </c>
      <c r="J321" t="s">
        <v>705</v>
      </c>
      <c r="K321" t="s">
        <v>707</v>
      </c>
      <c r="L321" t="s">
        <v>712</v>
      </c>
      <c r="M321" t="s">
        <v>733</v>
      </c>
      <c r="N321" t="s">
        <v>1053</v>
      </c>
      <c r="O321">
        <v>875.36</v>
      </c>
      <c r="P321">
        <v>1178.6199999999999</v>
      </c>
      <c r="Q321">
        <v>0.151</v>
      </c>
      <c r="R321">
        <v>53</v>
      </c>
    </row>
    <row r="322" spans="1:18" x14ac:dyDescent="0.45">
      <c r="A322" t="s">
        <v>334</v>
      </c>
      <c r="B322" s="5">
        <v>45440</v>
      </c>
      <c r="C322" s="5">
        <v>45461</v>
      </c>
      <c r="D322" s="5">
        <f t="shared" si="12"/>
        <v>45440</v>
      </c>
      <c r="E322" s="5">
        <f t="shared" si="13"/>
        <v>45461</v>
      </c>
      <c r="F322" s="7">
        <f t="shared" si="14"/>
        <v>21</v>
      </c>
      <c r="G322" t="s">
        <v>649</v>
      </c>
      <c r="H322" t="s">
        <v>656</v>
      </c>
      <c r="I322" t="s">
        <v>698</v>
      </c>
      <c r="J322" t="s">
        <v>705</v>
      </c>
      <c r="K322" t="s">
        <v>708</v>
      </c>
      <c r="L322" t="s">
        <v>718</v>
      </c>
      <c r="M322" t="s">
        <v>730</v>
      </c>
      <c r="N322" t="s">
        <v>1054</v>
      </c>
      <c r="O322">
        <v>986.85</v>
      </c>
      <c r="P322">
        <v>2422.1</v>
      </c>
      <c r="Q322">
        <v>7.5999999999999998E-2</v>
      </c>
      <c r="R322">
        <v>10</v>
      </c>
    </row>
    <row r="323" spans="1:18" x14ac:dyDescent="0.45">
      <c r="A323" t="s">
        <v>335</v>
      </c>
      <c r="B323" s="5">
        <v>45293</v>
      </c>
      <c r="C323" s="5">
        <v>45292</v>
      </c>
      <c r="D323" s="5">
        <f t="shared" ref="D323:D386" si="15">IF(C323&gt;B323,B323,C323)</f>
        <v>45292</v>
      </c>
      <c r="E323" s="5">
        <f t="shared" ref="E323:E386" si="16">IF(C323&gt;B323,C323,B323)</f>
        <v>45293</v>
      </c>
      <c r="F323" s="7">
        <f t="shared" ref="F323:F386" si="17">DATEDIF(D323,E323,"d")</f>
        <v>1</v>
      </c>
      <c r="G323" t="s">
        <v>648</v>
      </c>
      <c r="H323" t="s">
        <v>660</v>
      </c>
      <c r="I323" t="s">
        <v>677</v>
      </c>
      <c r="J323" t="s">
        <v>702</v>
      </c>
      <c r="K323" t="s">
        <v>709</v>
      </c>
      <c r="L323" t="s">
        <v>717</v>
      </c>
      <c r="M323" t="s">
        <v>729</v>
      </c>
      <c r="N323" t="s">
        <v>1055</v>
      </c>
      <c r="O323">
        <v>404.77</v>
      </c>
      <c r="P323">
        <v>433.88</v>
      </c>
      <c r="Q323">
        <v>0.215</v>
      </c>
      <c r="R323">
        <v>22</v>
      </c>
    </row>
    <row r="324" spans="1:18" x14ac:dyDescent="0.45">
      <c r="A324" t="s">
        <v>336</v>
      </c>
      <c r="B324" s="5">
        <v>44985</v>
      </c>
      <c r="C324" s="5">
        <v>44984</v>
      </c>
      <c r="D324" s="5">
        <f t="shared" si="15"/>
        <v>44984</v>
      </c>
      <c r="E324" s="5">
        <f t="shared" si="16"/>
        <v>44985</v>
      </c>
      <c r="F324" s="7">
        <f t="shared" si="17"/>
        <v>1</v>
      </c>
      <c r="G324" t="s">
        <v>649</v>
      </c>
      <c r="H324" t="s">
        <v>657</v>
      </c>
      <c r="I324" t="s">
        <v>673</v>
      </c>
      <c r="J324" t="s">
        <v>701</v>
      </c>
      <c r="K324" t="s">
        <v>707</v>
      </c>
      <c r="L324" t="s">
        <v>723</v>
      </c>
      <c r="M324" t="s">
        <v>729</v>
      </c>
      <c r="N324" t="s">
        <v>1056</v>
      </c>
      <c r="O324">
        <v>1299.81</v>
      </c>
      <c r="P324">
        <v>3149.13</v>
      </c>
      <c r="Q324">
        <v>0.10299999999999999</v>
      </c>
      <c r="R324">
        <v>14</v>
      </c>
    </row>
    <row r="325" spans="1:18" x14ac:dyDescent="0.45">
      <c r="A325" t="s">
        <v>337</v>
      </c>
      <c r="B325" s="5">
        <v>45340</v>
      </c>
      <c r="C325" s="5">
        <v>45362</v>
      </c>
      <c r="D325" s="5">
        <f t="shared" si="15"/>
        <v>45340</v>
      </c>
      <c r="E325" s="5">
        <f t="shared" si="16"/>
        <v>45362</v>
      </c>
      <c r="F325" s="7">
        <f t="shared" si="17"/>
        <v>22</v>
      </c>
      <c r="G325" t="s">
        <v>648</v>
      </c>
      <c r="H325" t="s">
        <v>655</v>
      </c>
      <c r="I325" t="s">
        <v>670</v>
      </c>
      <c r="J325" t="s">
        <v>704</v>
      </c>
      <c r="K325" t="s">
        <v>708</v>
      </c>
      <c r="L325" t="s">
        <v>720</v>
      </c>
      <c r="M325" t="s">
        <v>727</v>
      </c>
      <c r="N325" t="s">
        <v>1057</v>
      </c>
      <c r="O325">
        <v>80.48</v>
      </c>
      <c r="P325">
        <v>65.650000000000006</v>
      </c>
      <c r="Q325">
        <v>0.17599999999999999</v>
      </c>
      <c r="R325">
        <v>13</v>
      </c>
    </row>
    <row r="326" spans="1:18" x14ac:dyDescent="0.45">
      <c r="A326" t="s">
        <v>338</v>
      </c>
      <c r="B326" s="5">
        <v>45544</v>
      </c>
      <c r="C326" s="5">
        <v>45573</v>
      </c>
      <c r="D326" s="5">
        <f t="shared" si="15"/>
        <v>45544</v>
      </c>
      <c r="E326" s="5">
        <f t="shared" si="16"/>
        <v>45573</v>
      </c>
      <c r="F326" s="7">
        <f t="shared" si="17"/>
        <v>29</v>
      </c>
      <c r="G326" t="s">
        <v>648</v>
      </c>
      <c r="H326" t="s">
        <v>655</v>
      </c>
      <c r="I326" t="s">
        <v>670</v>
      </c>
      <c r="J326" t="s">
        <v>702</v>
      </c>
      <c r="K326" t="s">
        <v>711</v>
      </c>
      <c r="L326" t="s">
        <v>713</v>
      </c>
      <c r="M326" t="s">
        <v>727</v>
      </c>
      <c r="N326" t="s">
        <v>1058</v>
      </c>
      <c r="O326">
        <v>1010.33</v>
      </c>
      <c r="P326">
        <v>2492.14</v>
      </c>
      <c r="Q326">
        <v>5.0999999999999997E-2</v>
      </c>
      <c r="R326">
        <v>11</v>
      </c>
    </row>
    <row r="327" spans="1:18" x14ac:dyDescent="0.45">
      <c r="A327" t="s">
        <v>339</v>
      </c>
      <c r="B327" s="5">
        <v>45053</v>
      </c>
      <c r="C327" s="5">
        <v>45075</v>
      </c>
      <c r="D327" s="5">
        <f t="shared" si="15"/>
        <v>45053</v>
      </c>
      <c r="E327" s="5">
        <f t="shared" si="16"/>
        <v>45075</v>
      </c>
      <c r="F327" s="7">
        <f t="shared" si="17"/>
        <v>22</v>
      </c>
      <c r="G327" t="s">
        <v>646</v>
      </c>
      <c r="H327" t="s">
        <v>661</v>
      </c>
      <c r="I327" t="s">
        <v>687</v>
      </c>
      <c r="J327" t="s">
        <v>702</v>
      </c>
      <c r="K327" t="s">
        <v>710</v>
      </c>
      <c r="L327" t="s">
        <v>723</v>
      </c>
      <c r="M327" t="s">
        <v>733</v>
      </c>
      <c r="N327" t="s">
        <v>1059</v>
      </c>
      <c r="O327">
        <v>653.86</v>
      </c>
      <c r="P327">
        <v>931.84</v>
      </c>
      <c r="Q327">
        <v>0.121</v>
      </c>
      <c r="R327">
        <v>12</v>
      </c>
    </row>
    <row r="328" spans="1:18" x14ac:dyDescent="0.45">
      <c r="A328" t="s">
        <v>340</v>
      </c>
      <c r="B328" s="5">
        <v>45303</v>
      </c>
      <c r="C328" s="5">
        <v>45320</v>
      </c>
      <c r="D328" s="5">
        <f t="shared" si="15"/>
        <v>45303</v>
      </c>
      <c r="E328" s="5">
        <f t="shared" si="16"/>
        <v>45320</v>
      </c>
      <c r="F328" s="7">
        <f t="shared" si="17"/>
        <v>17</v>
      </c>
      <c r="G328" t="s">
        <v>647</v>
      </c>
      <c r="H328" t="s">
        <v>654</v>
      </c>
      <c r="I328" t="s">
        <v>696</v>
      </c>
      <c r="J328" t="s">
        <v>705</v>
      </c>
      <c r="K328" t="s">
        <v>711</v>
      </c>
      <c r="L328" t="s">
        <v>717</v>
      </c>
      <c r="M328" t="s">
        <v>727</v>
      </c>
      <c r="N328" t="s">
        <v>1060</v>
      </c>
      <c r="O328">
        <v>310.02</v>
      </c>
      <c r="P328">
        <v>619.51</v>
      </c>
      <c r="Q328">
        <v>4.2000000000000003E-2</v>
      </c>
      <c r="R328">
        <v>4</v>
      </c>
    </row>
    <row r="329" spans="1:18" x14ac:dyDescent="0.45">
      <c r="A329" t="s">
        <v>341</v>
      </c>
      <c r="B329" s="5">
        <v>45087</v>
      </c>
      <c r="C329" s="5">
        <v>45095</v>
      </c>
      <c r="D329" s="5">
        <f t="shared" si="15"/>
        <v>45087</v>
      </c>
      <c r="E329" s="5">
        <f t="shared" si="16"/>
        <v>45095</v>
      </c>
      <c r="F329" s="7">
        <f t="shared" si="17"/>
        <v>8</v>
      </c>
      <c r="G329" t="s">
        <v>646</v>
      </c>
      <c r="H329" t="s">
        <v>650</v>
      </c>
      <c r="I329" t="s">
        <v>678</v>
      </c>
      <c r="J329" t="s">
        <v>706</v>
      </c>
      <c r="K329" t="s">
        <v>711</v>
      </c>
      <c r="L329" t="s">
        <v>722</v>
      </c>
      <c r="M329" t="s">
        <v>730</v>
      </c>
      <c r="N329" t="s">
        <v>1061</v>
      </c>
      <c r="O329">
        <v>894.23</v>
      </c>
      <c r="P329">
        <v>1421.55</v>
      </c>
      <c r="Q329">
        <v>0.109</v>
      </c>
      <c r="R329">
        <v>3</v>
      </c>
    </row>
    <row r="330" spans="1:18" x14ac:dyDescent="0.45">
      <c r="A330" t="s">
        <v>342</v>
      </c>
      <c r="B330" s="5">
        <v>45796</v>
      </c>
      <c r="C330" s="5">
        <v>45794</v>
      </c>
      <c r="D330" s="5">
        <f t="shared" si="15"/>
        <v>45794</v>
      </c>
      <c r="E330" s="5">
        <f t="shared" si="16"/>
        <v>45796</v>
      </c>
      <c r="F330" s="7">
        <f t="shared" si="17"/>
        <v>2</v>
      </c>
      <c r="G330" t="s">
        <v>648</v>
      </c>
      <c r="H330" t="s">
        <v>655</v>
      </c>
      <c r="I330" t="s">
        <v>670</v>
      </c>
      <c r="J330" t="s">
        <v>705</v>
      </c>
      <c r="K330" t="s">
        <v>710</v>
      </c>
      <c r="L330" t="s">
        <v>716</v>
      </c>
      <c r="M330" t="s">
        <v>732</v>
      </c>
      <c r="N330" t="s">
        <v>1062</v>
      </c>
      <c r="O330">
        <v>383.77</v>
      </c>
      <c r="P330">
        <v>952.56</v>
      </c>
      <c r="Q330">
        <v>0.34599999999999997</v>
      </c>
      <c r="R330">
        <v>10</v>
      </c>
    </row>
    <row r="331" spans="1:18" x14ac:dyDescent="0.45">
      <c r="A331" t="s">
        <v>343</v>
      </c>
      <c r="B331" s="5">
        <v>45221</v>
      </c>
      <c r="C331" s="5">
        <v>45246</v>
      </c>
      <c r="D331" s="5">
        <f t="shared" si="15"/>
        <v>45221</v>
      </c>
      <c r="E331" s="5">
        <f t="shared" si="16"/>
        <v>45246</v>
      </c>
      <c r="F331" s="7">
        <f t="shared" si="17"/>
        <v>25</v>
      </c>
      <c r="G331" t="s">
        <v>648</v>
      </c>
      <c r="H331" t="s">
        <v>653</v>
      </c>
      <c r="I331" t="s">
        <v>667</v>
      </c>
      <c r="J331" t="s">
        <v>705</v>
      </c>
      <c r="K331" t="s">
        <v>709</v>
      </c>
      <c r="L331" t="s">
        <v>714</v>
      </c>
      <c r="M331" t="s">
        <v>731</v>
      </c>
      <c r="N331" t="s">
        <v>1063</v>
      </c>
      <c r="O331">
        <v>1373.31</v>
      </c>
      <c r="P331">
        <v>3154.14</v>
      </c>
      <c r="Q331">
        <v>0.2</v>
      </c>
      <c r="R331">
        <v>11</v>
      </c>
    </row>
    <row r="332" spans="1:18" x14ac:dyDescent="0.45">
      <c r="A332" t="s">
        <v>344</v>
      </c>
      <c r="B332" s="5">
        <v>45668</v>
      </c>
      <c r="C332" s="5">
        <v>45680</v>
      </c>
      <c r="D332" s="5">
        <f t="shared" si="15"/>
        <v>45668</v>
      </c>
      <c r="E332" s="5">
        <f t="shared" si="16"/>
        <v>45680</v>
      </c>
      <c r="F332" s="7">
        <f t="shared" si="17"/>
        <v>12</v>
      </c>
      <c r="G332" t="s">
        <v>648</v>
      </c>
      <c r="H332" t="s">
        <v>660</v>
      </c>
      <c r="I332" t="s">
        <v>697</v>
      </c>
      <c r="J332" t="s">
        <v>704</v>
      </c>
      <c r="K332" t="s">
        <v>710</v>
      </c>
      <c r="L332" t="s">
        <v>722</v>
      </c>
      <c r="M332" t="s">
        <v>730</v>
      </c>
      <c r="N332" t="s">
        <v>1064</v>
      </c>
      <c r="O332">
        <v>100.69</v>
      </c>
      <c r="P332">
        <v>226.14</v>
      </c>
      <c r="Q332">
        <v>6.5000000000000002E-2</v>
      </c>
      <c r="R332">
        <v>12</v>
      </c>
    </row>
    <row r="333" spans="1:18" x14ac:dyDescent="0.45">
      <c r="A333" t="s">
        <v>345</v>
      </c>
      <c r="B333" s="5">
        <v>45914</v>
      </c>
      <c r="C333" s="5">
        <v>45926</v>
      </c>
      <c r="D333" s="5">
        <f t="shared" si="15"/>
        <v>45914</v>
      </c>
      <c r="E333" s="5">
        <f t="shared" si="16"/>
        <v>45926</v>
      </c>
      <c r="F333" s="7">
        <f t="shared" si="17"/>
        <v>12</v>
      </c>
      <c r="G333" t="s">
        <v>649</v>
      </c>
      <c r="H333" t="s">
        <v>658</v>
      </c>
      <c r="I333" t="s">
        <v>683</v>
      </c>
      <c r="J333" t="s">
        <v>705</v>
      </c>
      <c r="K333" t="s">
        <v>711</v>
      </c>
      <c r="L333" t="s">
        <v>725</v>
      </c>
      <c r="M333" t="s">
        <v>729</v>
      </c>
      <c r="N333" t="s">
        <v>1065</v>
      </c>
      <c r="O333">
        <v>425.15</v>
      </c>
      <c r="P333">
        <v>885.92</v>
      </c>
      <c r="Q333">
        <v>0.23899999999999999</v>
      </c>
      <c r="R333">
        <v>13</v>
      </c>
    </row>
    <row r="334" spans="1:18" x14ac:dyDescent="0.45">
      <c r="A334" t="s">
        <v>346</v>
      </c>
      <c r="B334" s="5">
        <v>45168</v>
      </c>
      <c r="C334" s="5">
        <v>45172</v>
      </c>
      <c r="D334" s="5">
        <f t="shared" si="15"/>
        <v>45168</v>
      </c>
      <c r="E334" s="5">
        <f t="shared" si="16"/>
        <v>45172</v>
      </c>
      <c r="F334" s="7">
        <f t="shared" si="17"/>
        <v>4</v>
      </c>
      <c r="G334" t="s">
        <v>647</v>
      </c>
      <c r="H334" t="s">
        <v>654</v>
      </c>
      <c r="I334" t="s">
        <v>680</v>
      </c>
      <c r="J334" t="s">
        <v>705</v>
      </c>
      <c r="K334" t="s">
        <v>709</v>
      </c>
      <c r="L334" t="s">
        <v>716</v>
      </c>
      <c r="M334" t="s">
        <v>733</v>
      </c>
      <c r="N334" t="s">
        <v>1066</v>
      </c>
      <c r="O334">
        <v>1082.25</v>
      </c>
      <c r="P334">
        <v>2433.34</v>
      </c>
      <c r="Q334">
        <v>0.27</v>
      </c>
      <c r="R334">
        <v>4</v>
      </c>
    </row>
    <row r="335" spans="1:18" x14ac:dyDescent="0.45">
      <c r="A335" t="s">
        <v>347</v>
      </c>
      <c r="B335" s="5">
        <v>45245</v>
      </c>
      <c r="C335" s="5">
        <v>45266</v>
      </c>
      <c r="D335" s="5">
        <f t="shared" si="15"/>
        <v>45245</v>
      </c>
      <c r="E335" s="5">
        <f t="shared" si="16"/>
        <v>45266</v>
      </c>
      <c r="F335" s="7">
        <f t="shared" si="17"/>
        <v>21</v>
      </c>
      <c r="G335" t="s">
        <v>649</v>
      </c>
      <c r="H335" t="s">
        <v>658</v>
      </c>
      <c r="I335" t="s">
        <v>693</v>
      </c>
      <c r="J335" t="s">
        <v>702</v>
      </c>
      <c r="K335" t="s">
        <v>711</v>
      </c>
      <c r="L335" t="s">
        <v>722</v>
      </c>
      <c r="M335" t="s">
        <v>733</v>
      </c>
      <c r="N335" t="s">
        <v>1067</v>
      </c>
      <c r="O335">
        <v>1184.99</v>
      </c>
      <c r="P335">
        <v>1154.3399999999999</v>
      </c>
      <c r="Q335">
        <v>2.8000000000000001E-2</v>
      </c>
      <c r="R335">
        <v>5</v>
      </c>
    </row>
    <row r="336" spans="1:18" x14ac:dyDescent="0.45">
      <c r="A336" t="s">
        <v>348</v>
      </c>
      <c r="B336" s="5">
        <v>45774</v>
      </c>
      <c r="C336" s="5">
        <v>45804</v>
      </c>
      <c r="D336" s="5">
        <f t="shared" si="15"/>
        <v>45774</v>
      </c>
      <c r="E336" s="5">
        <f t="shared" si="16"/>
        <v>45804</v>
      </c>
      <c r="F336" s="7">
        <f t="shared" si="17"/>
        <v>30</v>
      </c>
      <c r="G336" t="s">
        <v>647</v>
      </c>
      <c r="H336" t="s">
        <v>654</v>
      </c>
      <c r="J336" t="s">
        <v>706</v>
      </c>
      <c r="K336" t="s">
        <v>709</v>
      </c>
      <c r="L336" t="s">
        <v>722</v>
      </c>
      <c r="M336" t="s">
        <v>730</v>
      </c>
      <c r="N336" t="s">
        <v>1068</v>
      </c>
      <c r="O336">
        <v>481.32</v>
      </c>
      <c r="P336">
        <v>1135.99</v>
      </c>
      <c r="Q336">
        <v>0.14499999999999999</v>
      </c>
      <c r="R336">
        <v>5</v>
      </c>
    </row>
    <row r="337" spans="1:18" x14ac:dyDescent="0.45">
      <c r="A337" t="s">
        <v>349</v>
      </c>
      <c r="B337" s="5">
        <v>45391</v>
      </c>
      <c r="C337" s="5">
        <v>45400</v>
      </c>
      <c r="D337" s="5">
        <f t="shared" si="15"/>
        <v>45391</v>
      </c>
      <c r="E337" s="5">
        <f t="shared" si="16"/>
        <v>45400</v>
      </c>
      <c r="F337" s="7">
        <f t="shared" si="17"/>
        <v>9</v>
      </c>
      <c r="G337" t="s">
        <v>649</v>
      </c>
      <c r="H337" t="s">
        <v>657</v>
      </c>
      <c r="I337" t="s">
        <v>679</v>
      </c>
      <c r="J337" t="s">
        <v>704</v>
      </c>
      <c r="K337" t="s">
        <v>708</v>
      </c>
      <c r="L337" t="s">
        <v>718</v>
      </c>
      <c r="M337" t="s">
        <v>728</v>
      </c>
      <c r="N337" t="s">
        <v>1069</v>
      </c>
      <c r="O337">
        <v>1288.8499999999999</v>
      </c>
      <c r="P337">
        <v>2751.84</v>
      </c>
      <c r="Q337">
        <v>0.158</v>
      </c>
      <c r="R337">
        <v>7</v>
      </c>
    </row>
    <row r="338" spans="1:18" x14ac:dyDescent="0.45">
      <c r="A338" t="s">
        <v>350</v>
      </c>
      <c r="B338" s="5">
        <v>45484</v>
      </c>
      <c r="C338" s="5">
        <v>45504</v>
      </c>
      <c r="D338" s="5">
        <f t="shared" si="15"/>
        <v>45484</v>
      </c>
      <c r="E338" s="5">
        <f t="shared" si="16"/>
        <v>45504</v>
      </c>
      <c r="F338" s="7">
        <f t="shared" si="17"/>
        <v>20</v>
      </c>
      <c r="G338" t="s">
        <v>647</v>
      </c>
      <c r="H338" t="s">
        <v>659</v>
      </c>
      <c r="I338" t="s">
        <v>676</v>
      </c>
      <c r="J338" t="s">
        <v>704</v>
      </c>
      <c r="K338" t="s">
        <v>708</v>
      </c>
      <c r="L338" t="s">
        <v>715</v>
      </c>
      <c r="M338" t="s">
        <v>730</v>
      </c>
      <c r="N338" t="s">
        <v>1070</v>
      </c>
      <c r="O338">
        <v>647.26</v>
      </c>
      <c r="P338">
        <v>1374.72</v>
      </c>
      <c r="Q338">
        <v>6.6000000000000003E-2</v>
      </c>
      <c r="R338">
        <v>22</v>
      </c>
    </row>
    <row r="339" spans="1:18" x14ac:dyDescent="0.45">
      <c r="A339" t="s">
        <v>351</v>
      </c>
      <c r="B339" s="5">
        <v>45340</v>
      </c>
      <c r="C339" s="5">
        <v>45354</v>
      </c>
      <c r="D339" s="5">
        <f t="shared" si="15"/>
        <v>45340</v>
      </c>
      <c r="E339" s="5">
        <f t="shared" si="16"/>
        <v>45354</v>
      </c>
      <c r="F339" s="7">
        <f t="shared" si="17"/>
        <v>14</v>
      </c>
      <c r="G339" t="s">
        <v>648</v>
      </c>
      <c r="H339" t="s">
        <v>655</v>
      </c>
      <c r="J339" t="s">
        <v>706</v>
      </c>
      <c r="K339" t="s">
        <v>710</v>
      </c>
      <c r="L339" t="s">
        <v>720</v>
      </c>
      <c r="M339" t="s">
        <v>728</v>
      </c>
      <c r="N339" t="s">
        <v>1071</v>
      </c>
      <c r="O339">
        <v>624.23</v>
      </c>
      <c r="P339">
        <v>1318.37</v>
      </c>
      <c r="Q339">
        <v>0.21</v>
      </c>
      <c r="R339">
        <v>37</v>
      </c>
    </row>
    <row r="340" spans="1:18" x14ac:dyDescent="0.45">
      <c r="A340" t="s">
        <v>352</v>
      </c>
      <c r="B340" s="5">
        <v>45132</v>
      </c>
      <c r="C340" s="5">
        <v>45148</v>
      </c>
      <c r="D340" s="5">
        <f t="shared" si="15"/>
        <v>45132</v>
      </c>
      <c r="E340" s="5">
        <f t="shared" si="16"/>
        <v>45148</v>
      </c>
      <c r="F340" s="7">
        <f t="shared" si="17"/>
        <v>16</v>
      </c>
      <c r="G340" t="s">
        <v>646</v>
      </c>
      <c r="H340" t="s">
        <v>651</v>
      </c>
      <c r="I340" t="s">
        <v>663</v>
      </c>
      <c r="J340" t="s">
        <v>701</v>
      </c>
      <c r="K340" t="s">
        <v>710</v>
      </c>
      <c r="L340" t="s">
        <v>714</v>
      </c>
      <c r="M340" t="s">
        <v>733</v>
      </c>
      <c r="N340" t="s">
        <v>1072</v>
      </c>
      <c r="O340">
        <v>506.83</v>
      </c>
      <c r="P340">
        <v>441.74</v>
      </c>
      <c r="Q340">
        <v>0.24</v>
      </c>
      <c r="R340">
        <v>9</v>
      </c>
    </row>
    <row r="341" spans="1:18" x14ac:dyDescent="0.45">
      <c r="A341" t="s">
        <v>353</v>
      </c>
      <c r="B341" s="5">
        <v>45121</v>
      </c>
      <c r="C341" s="5">
        <v>45128</v>
      </c>
      <c r="D341" s="5">
        <f t="shared" si="15"/>
        <v>45121</v>
      </c>
      <c r="E341" s="5">
        <f t="shared" si="16"/>
        <v>45128</v>
      </c>
      <c r="F341" s="7">
        <f t="shared" si="17"/>
        <v>7</v>
      </c>
      <c r="G341" t="s">
        <v>646</v>
      </c>
      <c r="H341" t="s">
        <v>661</v>
      </c>
      <c r="I341" t="s">
        <v>687</v>
      </c>
      <c r="J341" t="s">
        <v>706</v>
      </c>
      <c r="K341" t="s">
        <v>709</v>
      </c>
      <c r="M341" t="s">
        <v>732</v>
      </c>
      <c r="N341" t="s">
        <v>1073</v>
      </c>
      <c r="O341">
        <v>620.74</v>
      </c>
      <c r="P341">
        <v>1330.07</v>
      </c>
      <c r="Q341">
        <v>0.29899999999999999</v>
      </c>
      <c r="R341">
        <v>28</v>
      </c>
    </row>
    <row r="342" spans="1:18" x14ac:dyDescent="0.45">
      <c r="A342" t="s">
        <v>354</v>
      </c>
      <c r="B342" s="5">
        <v>45131</v>
      </c>
      <c r="C342" s="5">
        <v>45157</v>
      </c>
      <c r="D342" s="5">
        <f t="shared" si="15"/>
        <v>45131</v>
      </c>
      <c r="E342" s="5">
        <f t="shared" si="16"/>
        <v>45157</v>
      </c>
      <c r="F342" s="7">
        <f t="shared" si="17"/>
        <v>26</v>
      </c>
      <c r="G342" t="s">
        <v>646</v>
      </c>
      <c r="H342" t="s">
        <v>650</v>
      </c>
      <c r="I342" t="s">
        <v>664</v>
      </c>
      <c r="J342" t="s">
        <v>706</v>
      </c>
      <c r="K342" t="s">
        <v>710</v>
      </c>
      <c r="L342" t="s">
        <v>724</v>
      </c>
      <c r="M342" t="s">
        <v>733</v>
      </c>
      <c r="N342" t="s">
        <v>1074</v>
      </c>
      <c r="O342">
        <v>661.45</v>
      </c>
      <c r="P342">
        <v>1634.86</v>
      </c>
      <c r="Q342">
        <v>0.56499999999999995</v>
      </c>
      <c r="R342">
        <v>24</v>
      </c>
    </row>
    <row r="343" spans="1:18" x14ac:dyDescent="0.45">
      <c r="A343" t="s">
        <v>355</v>
      </c>
      <c r="B343" s="5">
        <v>45029</v>
      </c>
      <c r="C343" s="5">
        <v>45027</v>
      </c>
      <c r="D343" s="5">
        <f t="shared" si="15"/>
        <v>45027</v>
      </c>
      <c r="E343" s="5">
        <f t="shared" si="16"/>
        <v>45029</v>
      </c>
      <c r="F343" s="7">
        <f t="shared" si="17"/>
        <v>2</v>
      </c>
      <c r="G343" t="s">
        <v>648</v>
      </c>
      <c r="H343" t="s">
        <v>660</v>
      </c>
      <c r="I343" t="s">
        <v>686</v>
      </c>
      <c r="J343" t="s">
        <v>702</v>
      </c>
      <c r="K343" t="s">
        <v>709</v>
      </c>
      <c r="L343" t="s">
        <v>715</v>
      </c>
      <c r="M343" t="s">
        <v>729</v>
      </c>
      <c r="N343" t="s">
        <v>1075</v>
      </c>
      <c r="O343">
        <v>32.1</v>
      </c>
      <c r="P343">
        <v>70.599999999999994</v>
      </c>
      <c r="Q343">
        <v>0.28199999999999997</v>
      </c>
      <c r="R343">
        <v>22</v>
      </c>
    </row>
    <row r="344" spans="1:18" x14ac:dyDescent="0.45">
      <c r="A344" t="s">
        <v>356</v>
      </c>
      <c r="B344" s="5">
        <v>45594</v>
      </c>
      <c r="C344" s="5">
        <v>45600</v>
      </c>
      <c r="D344" s="5">
        <f t="shared" si="15"/>
        <v>45594</v>
      </c>
      <c r="E344" s="5">
        <f t="shared" si="16"/>
        <v>45600</v>
      </c>
      <c r="F344" s="7">
        <f t="shared" si="17"/>
        <v>6</v>
      </c>
      <c r="G344" t="s">
        <v>646</v>
      </c>
      <c r="H344" t="s">
        <v>650</v>
      </c>
      <c r="I344" t="s">
        <v>664</v>
      </c>
      <c r="J344" t="s">
        <v>701</v>
      </c>
      <c r="K344" t="s">
        <v>710</v>
      </c>
      <c r="L344" t="s">
        <v>724</v>
      </c>
      <c r="M344" t="s">
        <v>728</v>
      </c>
      <c r="N344" t="s">
        <v>1076</v>
      </c>
      <c r="O344">
        <v>805.81</v>
      </c>
      <c r="P344">
        <v>1823.04</v>
      </c>
      <c r="Q344">
        <v>0</v>
      </c>
      <c r="R344">
        <v>11</v>
      </c>
    </row>
    <row r="345" spans="1:18" x14ac:dyDescent="0.45">
      <c r="A345" t="s">
        <v>357</v>
      </c>
      <c r="B345" s="5">
        <v>45339</v>
      </c>
      <c r="C345" s="5">
        <v>45355</v>
      </c>
      <c r="D345" s="5">
        <f t="shared" si="15"/>
        <v>45339</v>
      </c>
      <c r="E345" s="5">
        <f t="shared" si="16"/>
        <v>45355</v>
      </c>
      <c r="F345" s="7">
        <f t="shared" si="17"/>
        <v>16</v>
      </c>
      <c r="G345" t="s">
        <v>647</v>
      </c>
      <c r="H345" t="s">
        <v>654</v>
      </c>
      <c r="I345" t="s">
        <v>680</v>
      </c>
      <c r="J345" t="s">
        <v>705</v>
      </c>
      <c r="K345" t="s">
        <v>709</v>
      </c>
      <c r="L345" t="s">
        <v>721</v>
      </c>
      <c r="M345" t="s">
        <v>730</v>
      </c>
      <c r="N345" t="s">
        <v>1077</v>
      </c>
      <c r="O345">
        <v>1231.8</v>
      </c>
      <c r="P345">
        <v>2015.99</v>
      </c>
      <c r="Q345">
        <v>0.26100000000000001</v>
      </c>
      <c r="R345">
        <v>6</v>
      </c>
    </row>
    <row r="346" spans="1:18" x14ac:dyDescent="0.45">
      <c r="A346" t="s">
        <v>358</v>
      </c>
      <c r="B346" s="5">
        <v>45486</v>
      </c>
      <c r="C346" s="5">
        <v>45485</v>
      </c>
      <c r="D346" s="5">
        <f t="shared" si="15"/>
        <v>45485</v>
      </c>
      <c r="E346" s="5">
        <f t="shared" si="16"/>
        <v>45486</v>
      </c>
      <c r="F346" s="7">
        <f t="shared" si="17"/>
        <v>1</v>
      </c>
      <c r="G346" t="s">
        <v>647</v>
      </c>
      <c r="H346" t="s">
        <v>652</v>
      </c>
      <c r="I346" t="s">
        <v>694</v>
      </c>
      <c r="J346" t="s">
        <v>705</v>
      </c>
      <c r="K346" t="s">
        <v>709</v>
      </c>
      <c r="L346" t="s">
        <v>721</v>
      </c>
      <c r="M346" t="s">
        <v>729</v>
      </c>
      <c r="N346" t="s">
        <v>1078</v>
      </c>
      <c r="O346">
        <v>105.13</v>
      </c>
      <c r="P346">
        <v>244.13</v>
      </c>
      <c r="Q346">
        <v>7.0999999999999994E-2</v>
      </c>
      <c r="R346">
        <v>14</v>
      </c>
    </row>
    <row r="347" spans="1:18" x14ac:dyDescent="0.45">
      <c r="A347" t="s">
        <v>359</v>
      </c>
      <c r="B347" s="5">
        <v>45261</v>
      </c>
      <c r="C347" s="5">
        <v>45278</v>
      </c>
      <c r="D347" s="5">
        <f t="shared" si="15"/>
        <v>45261</v>
      </c>
      <c r="E347" s="5">
        <f t="shared" si="16"/>
        <v>45278</v>
      </c>
      <c r="F347" s="7">
        <f t="shared" si="17"/>
        <v>17</v>
      </c>
      <c r="G347" t="s">
        <v>647</v>
      </c>
      <c r="H347" t="s">
        <v>652</v>
      </c>
      <c r="I347" t="s">
        <v>694</v>
      </c>
      <c r="J347" t="s">
        <v>705</v>
      </c>
      <c r="K347" t="s">
        <v>711</v>
      </c>
      <c r="L347" t="s">
        <v>725</v>
      </c>
      <c r="M347" t="s">
        <v>731</v>
      </c>
      <c r="N347" t="s">
        <v>1079</v>
      </c>
      <c r="O347">
        <v>1495.79</v>
      </c>
      <c r="P347">
        <v>2783.12</v>
      </c>
      <c r="Q347">
        <v>0.02</v>
      </c>
      <c r="R347">
        <v>5</v>
      </c>
    </row>
    <row r="348" spans="1:18" x14ac:dyDescent="0.45">
      <c r="A348" t="s">
        <v>360</v>
      </c>
      <c r="B348" s="5">
        <v>45498</v>
      </c>
      <c r="C348" s="5">
        <v>45506</v>
      </c>
      <c r="D348" s="5">
        <f t="shared" si="15"/>
        <v>45498</v>
      </c>
      <c r="E348" s="5">
        <f t="shared" si="16"/>
        <v>45506</v>
      </c>
      <c r="F348" s="7">
        <f t="shared" si="17"/>
        <v>8</v>
      </c>
      <c r="G348" t="s">
        <v>648</v>
      </c>
      <c r="H348" t="s">
        <v>653</v>
      </c>
      <c r="I348" t="s">
        <v>681</v>
      </c>
      <c r="J348" t="s">
        <v>704</v>
      </c>
      <c r="K348" t="s">
        <v>711</v>
      </c>
      <c r="L348" t="s">
        <v>713</v>
      </c>
      <c r="M348" t="s">
        <v>733</v>
      </c>
      <c r="N348" t="s">
        <v>1080</v>
      </c>
      <c r="O348">
        <v>986.81</v>
      </c>
      <c r="P348">
        <v>2050.31</v>
      </c>
      <c r="Q348">
        <v>0.10299999999999999</v>
      </c>
      <c r="R348">
        <v>43</v>
      </c>
    </row>
    <row r="349" spans="1:18" x14ac:dyDescent="0.45">
      <c r="A349" t="s">
        <v>361</v>
      </c>
      <c r="B349" s="5">
        <v>45050</v>
      </c>
      <c r="C349" s="5">
        <v>45062</v>
      </c>
      <c r="D349" s="5">
        <f t="shared" si="15"/>
        <v>45050</v>
      </c>
      <c r="E349" s="5">
        <f t="shared" si="16"/>
        <v>45062</v>
      </c>
      <c r="F349" s="7">
        <f t="shared" si="17"/>
        <v>12</v>
      </c>
      <c r="G349" t="s">
        <v>646</v>
      </c>
      <c r="H349" t="s">
        <v>651</v>
      </c>
      <c r="I349" t="s">
        <v>669</v>
      </c>
      <c r="J349" t="s">
        <v>705</v>
      </c>
      <c r="K349" t="s">
        <v>709</v>
      </c>
      <c r="L349" t="s">
        <v>713</v>
      </c>
      <c r="M349" t="s">
        <v>730</v>
      </c>
      <c r="N349" t="s">
        <v>1081</v>
      </c>
      <c r="O349">
        <v>77.739999999999995</v>
      </c>
      <c r="P349">
        <v>147.12</v>
      </c>
      <c r="Q349">
        <v>0</v>
      </c>
      <c r="R349">
        <v>15</v>
      </c>
    </row>
    <row r="350" spans="1:18" x14ac:dyDescent="0.45">
      <c r="A350" t="s">
        <v>362</v>
      </c>
      <c r="B350" s="5">
        <v>45281</v>
      </c>
      <c r="C350" s="5">
        <v>45297</v>
      </c>
      <c r="D350" s="5">
        <f t="shared" si="15"/>
        <v>45281</v>
      </c>
      <c r="E350" s="5">
        <f t="shared" si="16"/>
        <v>45297</v>
      </c>
      <c r="F350" s="7">
        <f t="shared" si="17"/>
        <v>16</v>
      </c>
      <c r="G350" t="s">
        <v>646</v>
      </c>
      <c r="H350" t="s">
        <v>651</v>
      </c>
      <c r="J350" t="s">
        <v>701</v>
      </c>
      <c r="K350" t="s">
        <v>709</v>
      </c>
      <c r="L350" t="s">
        <v>723</v>
      </c>
      <c r="M350" t="s">
        <v>727</v>
      </c>
      <c r="N350" t="s">
        <v>1082</v>
      </c>
      <c r="O350">
        <v>932.61</v>
      </c>
      <c r="P350">
        <v>1982.98</v>
      </c>
      <c r="Q350">
        <v>0.14399999999999999</v>
      </c>
      <c r="R350">
        <v>16</v>
      </c>
    </row>
    <row r="351" spans="1:18" x14ac:dyDescent="0.45">
      <c r="A351" t="s">
        <v>363</v>
      </c>
      <c r="B351" s="5">
        <v>45825</v>
      </c>
      <c r="C351" s="5">
        <v>45843</v>
      </c>
      <c r="D351" s="5">
        <f t="shared" si="15"/>
        <v>45825</v>
      </c>
      <c r="E351" s="5">
        <f t="shared" si="16"/>
        <v>45843</v>
      </c>
      <c r="F351" s="7">
        <f t="shared" si="17"/>
        <v>18</v>
      </c>
      <c r="G351" t="s">
        <v>647</v>
      </c>
      <c r="H351" t="s">
        <v>654</v>
      </c>
      <c r="I351" t="s">
        <v>680</v>
      </c>
      <c r="J351" t="s">
        <v>704</v>
      </c>
      <c r="K351" t="s">
        <v>709</v>
      </c>
      <c r="L351" t="s">
        <v>716</v>
      </c>
      <c r="M351" t="s">
        <v>731</v>
      </c>
      <c r="N351" t="s">
        <v>1083</v>
      </c>
      <c r="O351">
        <v>982.93</v>
      </c>
      <c r="P351">
        <v>2299.3000000000002</v>
      </c>
      <c r="Q351">
        <v>0.113</v>
      </c>
      <c r="R351">
        <v>6</v>
      </c>
    </row>
    <row r="352" spans="1:18" x14ac:dyDescent="0.45">
      <c r="A352" t="s">
        <v>364</v>
      </c>
      <c r="B352" s="5">
        <v>44980</v>
      </c>
      <c r="C352" s="5">
        <v>44993</v>
      </c>
      <c r="D352" s="5">
        <f t="shared" si="15"/>
        <v>44980</v>
      </c>
      <c r="E352" s="5">
        <f t="shared" si="16"/>
        <v>44993</v>
      </c>
      <c r="F352" s="7">
        <f t="shared" si="17"/>
        <v>13</v>
      </c>
      <c r="G352" t="s">
        <v>649</v>
      </c>
      <c r="H352" t="s">
        <v>658</v>
      </c>
      <c r="I352" t="s">
        <v>693</v>
      </c>
      <c r="J352" t="s">
        <v>705</v>
      </c>
      <c r="K352" t="s">
        <v>711</v>
      </c>
      <c r="L352" t="s">
        <v>712</v>
      </c>
      <c r="M352" t="s">
        <v>728</v>
      </c>
      <c r="N352" t="s">
        <v>1084</v>
      </c>
      <c r="O352">
        <v>307.37</v>
      </c>
      <c r="P352">
        <v>462.61</v>
      </c>
      <c r="Q352">
        <v>0.188</v>
      </c>
      <c r="R352">
        <v>11</v>
      </c>
    </row>
    <row r="353" spans="1:18" x14ac:dyDescent="0.45">
      <c r="A353" t="s">
        <v>365</v>
      </c>
      <c r="B353" s="5">
        <v>45262</v>
      </c>
      <c r="C353" s="5">
        <v>45276</v>
      </c>
      <c r="D353" s="5">
        <f t="shared" si="15"/>
        <v>45262</v>
      </c>
      <c r="E353" s="5">
        <f t="shared" si="16"/>
        <v>45276</v>
      </c>
      <c r="F353" s="7">
        <f t="shared" si="17"/>
        <v>14</v>
      </c>
      <c r="G353" t="s">
        <v>649</v>
      </c>
      <c r="H353" t="s">
        <v>656</v>
      </c>
      <c r="I353" t="s">
        <v>698</v>
      </c>
      <c r="J353" t="s">
        <v>702</v>
      </c>
      <c r="K353" t="s">
        <v>711</v>
      </c>
      <c r="L353" t="s">
        <v>725</v>
      </c>
      <c r="M353" t="s">
        <v>732</v>
      </c>
      <c r="N353" t="s">
        <v>1085</v>
      </c>
      <c r="O353">
        <v>879.08</v>
      </c>
      <c r="P353">
        <v>1093.3900000000001</v>
      </c>
      <c r="Q353">
        <v>0.113</v>
      </c>
      <c r="R353">
        <v>17</v>
      </c>
    </row>
    <row r="354" spans="1:18" x14ac:dyDescent="0.45">
      <c r="A354" t="s">
        <v>366</v>
      </c>
      <c r="B354" s="5">
        <v>45121</v>
      </c>
      <c r="C354" s="5">
        <v>45121</v>
      </c>
      <c r="D354" s="5">
        <f t="shared" si="15"/>
        <v>45121</v>
      </c>
      <c r="E354" s="5">
        <f t="shared" si="16"/>
        <v>45121</v>
      </c>
      <c r="F354" s="7">
        <f t="shared" si="17"/>
        <v>0</v>
      </c>
      <c r="G354" t="s">
        <v>646</v>
      </c>
      <c r="H354" t="s">
        <v>651</v>
      </c>
      <c r="I354" t="s">
        <v>665</v>
      </c>
      <c r="J354" t="s">
        <v>702</v>
      </c>
      <c r="K354" t="s">
        <v>707</v>
      </c>
      <c r="L354" t="s">
        <v>714</v>
      </c>
      <c r="M354" t="s">
        <v>733</v>
      </c>
      <c r="N354" t="s">
        <v>1086</v>
      </c>
      <c r="O354">
        <v>956.38</v>
      </c>
      <c r="P354">
        <v>1454.22</v>
      </c>
      <c r="Q354">
        <v>3.9E-2</v>
      </c>
      <c r="R354">
        <v>19</v>
      </c>
    </row>
    <row r="355" spans="1:18" x14ac:dyDescent="0.45">
      <c r="A355" t="s">
        <v>367</v>
      </c>
      <c r="B355" s="5">
        <v>45512</v>
      </c>
      <c r="C355" s="5">
        <v>45524</v>
      </c>
      <c r="D355" s="5">
        <f t="shared" si="15"/>
        <v>45512</v>
      </c>
      <c r="E355" s="5">
        <f t="shared" si="16"/>
        <v>45524</v>
      </c>
      <c r="F355" s="7">
        <f t="shared" si="17"/>
        <v>12</v>
      </c>
      <c r="G355" t="s">
        <v>647</v>
      </c>
      <c r="H355" t="s">
        <v>652</v>
      </c>
      <c r="I355" t="s">
        <v>666</v>
      </c>
      <c r="J355" t="s">
        <v>705</v>
      </c>
      <c r="K355" t="s">
        <v>707</v>
      </c>
      <c r="L355" t="s">
        <v>722</v>
      </c>
      <c r="M355" t="s">
        <v>729</v>
      </c>
      <c r="N355" t="s">
        <v>1087</v>
      </c>
      <c r="O355">
        <v>1233.3599999999999</v>
      </c>
      <c r="P355">
        <v>2120.4</v>
      </c>
      <c r="Q355">
        <v>0.17899999999999999</v>
      </c>
      <c r="R355">
        <v>20</v>
      </c>
    </row>
    <row r="356" spans="1:18" x14ac:dyDescent="0.45">
      <c r="A356" t="s">
        <v>368</v>
      </c>
      <c r="B356" s="5">
        <v>45603</v>
      </c>
      <c r="C356" s="5">
        <v>45622</v>
      </c>
      <c r="D356" s="5">
        <f t="shared" si="15"/>
        <v>45603</v>
      </c>
      <c r="E356" s="5">
        <f t="shared" si="16"/>
        <v>45622</v>
      </c>
      <c r="F356" s="7">
        <f t="shared" si="17"/>
        <v>19</v>
      </c>
      <c r="G356" t="s">
        <v>648</v>
      </c>
      <c r="H356" t="s">
        <v>655</v>
      </c>
      <c r="I356" t="s">
        <v>692</v>
      </c>
      <c r="J356" t="s">
        <v>703</v>
      </c>
      <c r="K356" t="s">
        <v>710</v>
      </c>
      <c r="L356" t="s">
        <v>713</v>
      </c>
      <c r="M356" t="s">
        <v>728</v>
      </c>
      <c r="N356" t="s">
        <v>1088</v>
      </c>
      <c r="O356">
        <v>55.35</v>
      </c>
      <c r="P356">
        <v>128.68</v>
      </c>
      <c r="Q356">
        <v>0.128</v>
      </c>
      <c r="R356">
        <v>10</v>
      </c>
    </row>
    <row r="357" spans="1:18" x14ac:dyDescent="0.45">
      <c r="A357" t="s">
        <v>369</v>
      </c>
      <c r="B357" s="5">
        <v>45292</v>
      </c>
      <c r="C357" s="5">
        <v>45318</v>
      </c>
      <c r="D357" s="5">
        <f t="shared" si="15"/>
        <v>45292</v>
      </c>
      <c r="E357" s="5">
        <f t="shared" si="16"/>
        <v>45318</v>
      </c>
      <c r="F357" s="7">
        <f t="shared" si="17"/>
        <v>26</v>
      </c>
      <c r="G357" t="s">
        <v>649</v>
      </c>
      <c r="H357" t="s">
        <v>658</v>
      </c>
      <c r="I357" t="s">
        <v>693</v>
      </c>
      <c r="J357" t="s">
        <v>702</v>
      </c>
      <c r="K357" t="s">
        <v>710</v>
      </c>
      <c r="L357" t="s">
        <v>726</v>
      </c>
      <c r="M357" t="s">
        <v>733</v>
      </c>
      <c r="N357" t="s">
        <v>1089</v>
      </c>
      <c r="O357">
        <v>657.45</v>
      </c>
      <c r="P357">
        <v>1325.96</v>
      </c>
      <c r="Q357">
        <v>0.16700000000000001</v>
      </c>
      <c r="R357">
        <v>21</v>
      </c>
    </row>
    <row r="358" spans="1:18" x14ac:dyDescent="0.45">
      <c r="A358" t="s">
        <v>370</v>
      </c>
      <c r="B358" s="5">
        <v>45883</v>
      </c>
      <c r="C358" s="5">
        <v>45911</v>
      </c>
      <c r="D358" s="5">
        <f t="shared" si="15"/>
        <v>45883</v>
      </c>
      <c r="E358" s="5">
        <f t="shared" si="16"/>
        <v>45911</v>
      </c>
      <c r="F358" s="7">
        <f t="shared" si="17"/>
        <v>28</v>
      </c>
      <c r="G358" t="s">
        <v>648</v>
      </c>
      <c r="H358" t="s">
        <v>655</v>
      </c>
      <c r="I358" t="s">
        <v>670</v>
      </c>
      <c r="J358" t="s">
        <v>703</v>
      </c>
      <c r="K358" t="s">
        <v>711</v>
      </c>
      <c r="L358" t="s">
        <v>721</v>
      </c>
      <c r="M358" t="s">
        <v>728</v>
      </c>
      <c r="N358" t="s">
        <v>1090</v>
      </c>
      <c r="O358">
        <v>1203.02</v>
      </c>
      <c r="P358">
        <v>2439.33</v>
      </c>
      <c r="Q358">
        <v>0</v>
      </c>
      <c r="R358">
        <v>18</v>
      </c>
    </row>
    <row r="359" spans="1:18" x14ac:dyDescent="0.45">
      <c r="A359" t="s">
        <v>371</v>
      </c>
      <c r="B359" s="5">
        <v>45385</v>
      </c>
      <c r="C359" s="5">
        <v>45403</v>
      </c>
      <c r="D359" s="5">
        <f t="shared" si="15"/>
        <v>45385</v>
      </c>
      <c r="E359" s="5">
        <f t="shared" si="16"/>
        <v>45403</v>
      </c>
      <c r="F359" s="7">
        <f t="shared" si="17"/>
        <v>18</v>
      </c>
      <c r="G359" t="s">
        <v>648</v>
      </c>
      <c r="H359" t="s">
        <v>655</v>
      </c>
      <c r="I359" t="s">
        <v>672</v>
      </c>
      <c r="J359" t="s">
        <v>705</v>
      </c>
      <c r="K359" t="s">
        <v>710</v>
      </c>
      <c r="L359" t="s">
        <v>717</v>
      </c>
      <c r="M359" t="s">
        <v>729</v>
      </c>
      <c r="N359" t="s">
        <v>1091</v>
      </c>
      <c r="O359">
        <v>1176.69</v>
      </c>
      <c r="P359">
        <v>2201.54</v>
      </c>
      <c r="Q359">
        <v>0.17</v>
      </c>
      <c r="R359">
        <v>27</v>
      </c>
    </row>
    <row r="360" spans="1:18" x14ac:dyDescent="0.45">
      <c r="A360" t="s">
        <v>372</v>
      </c>
      <c r="B360" s="5">
        <v>45621</v>
      </c>
      <c r="C360" s="5">
        <v>45633</v>
      </c>
      <c r="D360" s="5">
        <f t="shared" si="15"/>
        <v>45621</v>
      </c>
      <c r="E360" s="5">
        <f t="shared" si="16"/>
        <v>45633</v>
      </c>
      <c r="F360" s="7">
        <f t="shared" si="17"/>
        <v>12</v>
      </c>
      <c r="G360" t="s">
        <v>647</v>
      </c>
      <c r="H360" t="s">
        <v>659</v>
      </c>
      <c r="I360" t="s">
        <v>685</v>
      </c>
      <c r="J360" t="s">
        <v>701</v>
      </c>
      <c r="K360" t="s">
        <v>710</v>
      </c>
      <c r="L360" t="s">
        <v>720</v>
      </c>
      <c r="M360" t="s">
        <v>733</v>
      </c>
      <c r="N360" t="s">
        <v>1092</v>
      </c>
      <c r="O360">
        <v>769.9</v>
      </c>
      <c r="P360">
        <v>814.36</v>
      </c>
      <c r="Q360">
        <v>0</v>
      </c>
      <c r="R360">
        <v>5</v>
      </c>
    </row>
    <row r="361" spans="1:18" x14ac:dyDescent="0.45">
      <c r="A361" t="s">
        <v>373</v>
      </c>
      <c r="B361" s="5">
        <v>45309</v>
      </c>
      <c r="C361" s="5">
        <v>45325</v>
      </c>
      <c r="D361" s="5">
        <f t="shared" si="15"/>
        <v>45309</v>
      </c>
      <c r="E361" s="5">
        <f t="shared" si="16"/>
        <v>45325</v>
      </c>
      <c r="F361" s="7">
        <f t="shared" si="17"/>
        <v>16</v>
      </c>
      <c r="G361" t="s">
        <v>646</v>
      </c>
      <c r="H361" t="s">
        <v>661</v>
      </c>
      <c r="I361" t="s">
        <v>695</v>
      </c>
      <c r="J361" t="s">
        <v>703</v>
      </c>
      <c r="K361" t="s">
        <v>710</v>
      </c>
      <c r="L361" t="s">
        <v>716</v>
      </c>
      <c r="M361" t="s">
        <v>728</v>
      </c>
      <c r="N361" t="s">
        <v>1093</v>
      </c>
      <c r="O361">
        <v>666.23</v>
      </c>
      <c r="P361">
        <v>1382.91</v>
      </c>
      <c r="Q361">
        <v>0.17599999999999999</v>
      </c>
      <c r="R361">
        <v>13</v>
      </c>
    </row>
    <row r="362" spans="1:18" x14ac:dyDescent="0.45">
      <c r="A362" t="s">
        <v>374</v>
      </c>
      <c r="B362" s="5">
        <v>45466</v>
      </c>
      <c r="C362" s="5">
        <v>45468</v>
      </c>
      <c r="D362" s="5">
        <f t="shared" si="15"/>
        <v>45466</v>
      </c>
      <c r="E362" s="5">
        <f t="shared" si="16"/>
        <v>45468</v>
      </c>
      <c r="F362" s="7">
        <f t="shared" si="17"/>
        <v>2</v>
      </c>
      <c r="G362" t="s">
        <v>649</v>
      </c>
      <c r="H362" t="s">
        <v>658</v>
      </c>
      <c r="I362" t="s">
        <v>674</v>
      </c>
      <c r="J362" t="s">
        <v>705</v>
      </c>
      <c r="K362" t="s">
        <v>709</v>
      </c>
      <c r="L362" t="s">
        <v>716</v>
      </c>
      <c r="M362" t="s">
        <v>733</v>
      </c>
      <c r="N362" t="s">
        <v>1094</v>
      </c>
      <c r="O362">
        <v>951.44</v>
      </c>
      <c r="P362">
        <v>1646.43</v>
      </c>
      <c r="Q362">
        <v>0.11</v>
      </c>
      <c r="R362">
        <v>24</v>
      </c>
    </row>
    <row r="363" spans="1:18" x14ac:dyDescent="0.45">
      <c r="A363" t="s">
        <v>375</v>
      </c>
      <c r="B363" s="5">
        <v>45833</v>
      </c>
      <c r="C363" s="5">
        <v>45848</v>
      </c>
      <c r="D363" s="5">
        <f t="shared" si="15"/>
        <v>45833</v>
      </c>
      <c r="E363" s="5">
        <f t="shared" si="16"/>
        <v>45848</v>
      </c>
      <c r="F363" s="7">
        <f t="shared" si="17"/>
        <v>15</v>
      </c>
      <c r="G363" t="s">
        <v>649</v>
      </c>
      <c r="H363" t="s">
        <v>658</v>
      </c>
      <c r="I363" t="s">
        <v>674</v>
      </c>
      <c r="J363" t="s">
        <v>703</v>
      </c>
      <c r="K363" t="s">
        <v>709</v>
      </c>
      <c r="L363" t="s">
        <v>726</v>
      </c>
      <c r="M363" t="s">
        <v>730</v>
      </c>
      <c r="N363" t="s">
        <v>1095</v>
      </c>
      <c r="O363">
        <v>546.83000000000004</v>
      </c>
      <c r="P363">
        <v>400.84</v>
      </c>
      <c r="Q363">
        <v>7.8E-2</v>
      </c>
      <c r="R363">
        <v>13</v>
      </c>
    </row>
    <row r="364" spans="1:18" x14ac:dyDescent="0.45">
      <c r="A364" t="s">
        <v>376</v>
      </c>
      <c r="B364" s="5">
        <v>45108</v>
      </c>
      <c r="C364" s="5">
        <v>45115</v>
      </c>
      <c r="D364" s="5">
        <f t="shared" si="15"/>
        <v>45108</v>
      </c>
      <c r="E364" s="5">
        <f t="shared" si="16"/>
        <v>45115</v>
      </c>
      <c r="F364" s="7">
        <f t="shared" si="17"/>
        <v>7</v>
      </c>
      <c r="G364" t="s">
        <v>646</v>
      </c>
      <c r="H364" t="s">
        <v>651</v>
      </c>
      <c r="I364" t="s">
        <v>663</v>
      </c>
      <c r="J364" t="s">
        <v>701</v>
      </c>
      <c r="K364" t="s">
        <v>707</v>
      </c>
      <c r="L364" t="s">
        <v>720</v>
      </c>
      <c r="M364" t="s">
        <v>731</v>
      </c>
      <c r="N364" t="s">
        <v>1096</v>
      </c>
      <c r="O364">
        <v>834.26</v>
      </c>
      <c r="P364">
        <v>1780.56</v>
      </c>
      <c r="Q364">
        <v>1.4E-2</v>
      </c>
      <c r="R364">
        <v>47</v>
      </c>
    </row>
    <row r="365" spans="1:18" x14ac:dyDescent="0.45">
      <c r="A365" t="s">
        <v>377</v>
      </c>
      <c r="B365" s="5">
        <v>45360</v>
      </c>
      <c r="C365" s="5">
        <v>45377</v>
      </c>
      <c r="D365" s="5">
        <f t="shared" si="15"/>
        <v>45360</v>
      </c>
      <c r="E365" s="5">
        <f t="shared" si="16"/>
        <v>45377</v>
      </c>
      <c r="F365" s="7">
        <f t="shared" si="17"/>
        <v>17</v>
      </c>
      <c r="G365" t="s">
        <v>647</v>
      </c>
      <c r="H365" t="s">
        <v>659</v>
      </c>
      <c r="I365" t="s">
        <v>676</v>
      </c>
      <c r="J365" t="s">
        <v>706</v>
      </c>
      <c r="K365" t="s">
        <v>708</v>
      </c>
      <c r="L365" t="s">
        <v>723</v>
      </c>
      <c r="M365" t="s">
        <v>732</v>
      </c>
      <c r="N365" t="s">
        <v>1097</v>
      </c>
      <c r="O365">
        <v>1029.67</v>
      </c>
      <c r="P365">
        <v>1118.43</v>
      </c>
      <c r="Q365">
        <v>0.27200000000000002</v>
      </c>
      <c r="R365">
        <v>9</v>
      </c>
    </row>
    <row r="366" spans="1:18" x14ac:dyDescent="0.45">
      <c r="A366" t="s">
        <v>378</v>
      </c>
      <c r="B366" s="5">
        <v>45082</v>
      </c>
      <c r="C366" s="5">
        <v>45105</v>
      </c>
      <c r="D366" s="5">
        <f t="shared" si="15"/>
        <v>45082</v>
      </c>
      <c r="E366" s="5">
        <f t="shared" si="16"/>
        <v>45105</v>
      </c>
      <c r="F366" s="7">
        <f t="shared" si="17"/>
        <v>23</v>
      </c>
      <c r="G366" t="s">
        <v>649</v>
      </c>
      <c r="H366" t="s">
        <v>658</v>
      </c>
      <c r="I366" t="s">
        <v>674</v>
      </c>
      <c r="J366" t="s">
        <v>701</v>
      </c>
      <c r="K366" t="s">
        <v>711</v>
      </c>
      <c r="L366" t="s">
        <v>723</v>
      </c>
      <c r="M366" t="s">
        <v>728</v>
      </c>
      <c r="N366" t="s">
        <v>1098</v>
      </c>
      <c r="O366">
        <v>605.82000000000005</v>
      </c>
      <c r="P366">
        <v>771.12</v>
      </c>
      <c r="Q366">
        <v>0.13200000000000001</v>
      </c>
      <c r="R366">
        <v>19</v>
      </c>
    </row>
    <row r="367" spans="1:18" x14ac:dyDescent="0.45">
      <c r="A367" t="s">
        <v>379</v>
      </c>
      <c r="B367" s="5">
        <v>45737</v>
      </c>
      <c r="C367" s="5">
        <v>45756</v>
      </c>
      <c r="D367" s="5">
        <f t="shared" si="15"/>
        <v>45737</v>
      </c>
      <c r="E367" s="5">
        <f t="shared" si="16"/>
        <v>45756</v>
      </c>
      <c r="F367" s="7">
        <f t="shared" si="17"/>
        <v>19</v>
      </c>
      <c r="G367" t="s">
        <v>647</v>
      </c>
      <c r="H367" t="s">
        <v>652</v>
      </c>
      <c r="I367" t="s">
        <v>689</v>
      </c>
      <c r="J367" t="s">
        <v>705</v>
      </c>
      <c r="K367" t="s">
        <v>710</v>
      </c>
      <c r="L367" t="s">
        <v>718</v>
      </c>
      <c r="M367" t="s">
        <v>727</v>
      </c>
      <c r="N367" t="s">
        <v>1099</v>
      </c>
      <c r="O367">
        <v>1055.45</v>
      </c>
      <c r="P367">
        <v>1210.04</v>
      </c>
      <c r="Q367">
        <v>8.9999999999999993E-3</v>
      </c>
      <c r="R367">
        <v>18</v>
      </c>
    </row>
    <row r="368" spans="1:18" x14ac:dyDescent="0.45">
      <c r="A368" t="s">
        <v>380</v>
      </c>
      <c r="B368" s="5">
        <v>45445</v>
      </c>
      <c r="C368" s="5">
        <v>45458</v>
      </c>
      <c r="D368" s="5">
        <f t="shared" si="15"/>
        <v>45445</v>
      </c>
      <c r="E368" s="5">
        <f t="shared" si="16"/>
        <v>45458</v>
      </c>
      <c r="F368" s="7">
        <f t="shared" si="17"/>
        <v>13</v>
      </c>
      <c r="G368" t="s">
        <v>646</v>
      </c>
      <c r="H368" t="s">
        <v>650</v>
      </c>
      <c r="I368" t="s">
        <v>675</v>
      </c>
      <c r="J368" t="s">
        <v>702</v>
      </c>
      <c r="K368" t="s">
        <v>708</v>
      </c>
      <c r="L368" t="s">
        <v>719</v>
      </c>
      <c r="M368" t="s">
        <v>730</v>
      </c>
      <c r="N368" t="s">
        <v>1100</v>
      </c>
      <c r="O368">
        <v>1295.18</v>
      </c>
      <c r="P368">
        <v>3024.03</v>
      </c>
      <c r="Q368">
        <v>0.192</v>
      </c>
      <c r="R368">
        <v>8</v>
      </c>
    </row>
    <row r="369" spans="1:18" x14ac:dyDescent="0.45">
      <c r="A369" t="s">
        <v>381</v>
      </c>
      <c r="B369" s="5">
        <v>45731</v>
      </c>
      <c r="C369" s="5">
        <v>45745</v>
      </c>
      <c r="D369" s="5">
        <f t="shared" si="15"/>
        <v>45731</v>
      </c>
      <c r="E369" s="5">
        <f t="shared" si="16"/>
        <v>45745</v>
      </c>
      <c r="F369" s="7">
        <f t="shared" si="17"/>
        <v>14</v>
      </c>
      <c r="G369" t="s">
        <v>647</v>
      </c>
      <c r="H369" t="s">
        <v>654</v>
      </c>
      <c r="I369" t="s">
        <v>691</v>
      </c>
      <c r="J369" t="s">
        <v>706</v>
      </c>
      <c r="K369" t="s">
        <v>711</v>
      </c>
      <c r="L369" t="s">
        <v>712</v>
      </c>
      <c r="M369" t="s">
        <v>727</v>
      </c>
      <c r="N369" t="s">
        <v>1101</v>
      </c>
      <c r="O369">
        <v>935.83</v>
      </c>
      <c r="P369">
        <v>2303.46</v>
      </c>
      <c r="Q369">
        <v>0.105</v>
      </c>
      <c r="R369">
        <v>9</v>
      </c>
    </row>
    <row r="370" spans="1:18" x14ac:dyDescent="0.45">
      <c r="A370" t="s">
        <v>382</v>
      </c>
      <c r="B370" s="5">
        <v>45194</v>
      </c>
      <c r="C370" s="5">
        <v>45208</v>
      </c>
      <c r="D370" s="5">
        <f t="shared" si="15"/>
        <v>45194</v>
      </c>
      <c r="E370" s="5">
        <f t="shared" si="16"/>
        <v>45208</v>
      </c>
      <c r="F370" s="7">
        <f t="shared" si="17"/>
        <v>14</v>
      </c>
      <c r="G370" t="s">
        <v>648</v>
      </c>
      <c r="H370" t="s">
        <v>660</v>
      </c>
      <c r="I370" t="s">
        <v>700</v>
      </c>
      <c r="J370" t="s">
        <v>705</v>
      </c>
      <c r="K370" t="s">
        <v>709</v>
      </c>
      <c r="L370" t="s">
        <v>713</v>
      </c>
      <c r="M370" t="s">
        <v>731</v>
      </c>
      <c r="N370" t="s">
        <v>1102</v>
      </c>
      <c r="O370">
        <v>1279.56</v>
      </c>
      <c r="P370">
        <v>3083.8</v>
      </c>
      <c r="Q370">
        <v>0.106</v>
      </c>
      <c r="R370">
        <v>5</v>
      </c>
    </row>
    <row r="371" spans="1:18" x14ac:dyDescent="0.45">
      <c r="A371" t="s">
        <v>383</v>
      </c>
      <c r="B371" s="5">
        <v>45832</v>
      </c>
      <c r="C371" s="5">
        <v>45861</v>
      </c>
      <c r="D371" s="5">
        <f t="shared" si="15"/>
        <v>45832</v>
      </c>
      <c r="E371" s="5">
        <f t="shared" si="16"/>
        <v>45861</v>
      </c>
      <c r="F371" s="7">
        <f t="shared" si="17"/>
        <v>29</v>
      </c>
      <c r="G371" t="s">
        <v>648</v>
      </c>
      <c r="H371" t="s">
        <v>653</v>
      </c>
      <c r="I371" t="s">
        <v>688</v>
      </c>
      <c r="J371" t="s">
        <v>703</v>
      </c>
      <c r="K371" t="s">
        <v>709</v>
      </c>
      <c r="L371" t="s">
        <v>714</v>
      </c>
      <c r="M371" t="s">
        <v>728</v>
      </c>
      <c r="N371" t="s">
        <v>1103</v>
      </c>
      <c r="O371">
        <v>255.4</v>
      </c>
      <c r="P371">
        <v>322.70999999999998</v>
      </c>
      <c r="Q371">
        <v>0.115</v>
      </c>
      <c r="R371">
        <v>16</v>
      </c>
    </row>
    <row r="372" spans="1:18" x14ac:dyDescent="0.45">
      <c r="A372" t="s">
        <v>384</v>
      </c>
      <c r="B372" s="5">
        <v>45286</v>
      </c>
      <c r="C372" s="5">
        <v>45294</v>
      </c>
      <c r="D372" s="5">
        <f t="shared" si="15"/>
        <v>45286</v>
      </c>
      <c r="E372" s="5">
        <f t="shared" si="16"/>
        <v>45294</v>
      </c>
      <c r="F372" s="7">
        <f t="shared" si="17"/>
        <v>8</v>
      </c>
      <c r="G372" t="s">
        <v>649</v>
      </c>
      <c r="H372" t="s">
        <v>657</v>
      </c>
      <c r="I372" t="s">
        <v>679</v>
      </c>
      <c r="J372" t="s">
        <v>705</v>
      </c>
      <c r="K372" t="s">
        <v>707</v>
      </c>
      <c r="L372" t="s">
        <v>724</v>
      </c>
      <c r="M372" t="s">
        <v>731</v>
      </c>
      <c r="N372" t="s">
        <v>1104</v>
      </c>
      <c r="O372">
        <v>492.75</v>
      </c>
      <c r="P372">
        <v>731.29</v>
      </c>
      <c r="Q372">
        <v>5.8000000000000003E-2</v>
      </c>
      <c r="R372">
        <v>6</v>
      </c>
    </row>
    <row r="373" spans="1:18" x14ac:dyDescent="0.45">
      <c r="A373" t="s">
        <v>385</v>
      </c>
      <c r="B373" s="5">
        <v>44962</v>
      </c>
      <c r="C373" s="5">
        <v>44985</v>
      </c>
      <c r="D373" s="5">
        <f t="shared" si="15"/>
        <v>44962</v>
      </c>
      <c r="E373" s="5">
        <f t="shared" si="16"/>
        <v>44985</v>
      </c>
      <c r="F373" s="7">
        <f t="shared" si="17"/>
        <v>23</v>
      </c>
      <c r="G373" t="s">
        <v>648</v>
      </c>
      <c r="H373" t="s">
        <v>660</v>
      </c>
      <c r="I373" t="s">
        <v>697</v>
      </c>
      <c r="J373" t="s">
        <v>703</v>
      </c>
      <c r="K373" t="s">
        <v>710</v>
      </c>
      <c r="L373" t="s">
        <v>716</v>
      </c>
      <c r="M373" t="s">
        <v>730</v>
      </c>
      <c r="N373" t="s">
        <v>1105</v>
      </c>
      <c r="O373">
        <v>1214.49</v>
      </c>
      <c r="P373">
        <v>1533.95</v>
      </c>
      <c r="Q373">
        <v>0</v>
      </c>
      <c r="R373">
        <v>11</v>
      </c>
    </row>
    <row r="374" spans="1:18" x14ac:dyDescent="0.45">
      <c r="A374" t="s">
        <v>386</v>
      </c>
      <c r="B374" s="5">
        <v>45022</v>
      </c>
      <c r="C374" s="5">
        <v>45024</v>
      </c>
      <c r="D374" s="5">
        <f t="shared" si="15"/>
        <v>45022</v>
      </c>
      <c r="E374" s="5">
        <f t="shared" si="16"/>
        <v>45024</v>
      </c>
      <c r="F374" s="7">
        <f t="shared" si="17"/>
        <v>2</v>
      </c>
      <c r="G374" t="s">
        <v>646</v>
      </c>
      <c r="H374" t="s">
        <v>651</v>
      </c>
      <c r="I374" t="s">
        <v>669</v>
      </c>
      <c r="J374" t="s">
        <v>705</v>
      </c>
      <c r="K374" t="s">
        <v>709</v>
      </c>
      <c r="L374" t="s">
        <v>723</v>
      </c>
      <c r="M374" t="s">
        <v>732</v>
      </c>
      <c r="N374" t="s">
        <v>1106</v>
      </c>
      <c r="O374">
        <v>720.35</v>
      </c>
      <c r="P374">
        <v>1571.66</v>
      </c>
      <c r="Q374">
        <v>0.107</v>
      </c>
      <c r="R374">
        <v>23</v>
      </c>
    </row>
    <row r="375" spans="1:18" x14ac:dyDescent="0.45">
      <c r="A375" t="s">
        <v>387</v>
      </c>
      <c r="B375" s="5">
        <v>45751</v>
      </c>
      <c r="C375" s="5">
        <v>45757</v>
      </c>
      <c r="D375" s="5">
        <f t="shared" si="15"/>
        <v>45751</v>
      </c>
      <c r="E375" s="5">
        <f t="shared" si="16"/>
        <v>45757</v>
      </c>
      <c r="F375" s="7">
        <f t="shared" si="17"/>
        <v>6</v>
      </c>
      <c r="G375" t="s">
        <v>649</v>
      </c>
      <c r="H375" t="s">
        <v>658</v>
      </c>
      <c r="I375" t="s">
        <v>674</v>
      </c>
      <c r="J375" t="s">
        <v>703</v>
      </c>
      <c r="K375" t="s">
        <v>711</v>
      </c>
      <c r="L375" t="s">
        <v>725</v>
      </c>
      <c r="M375" t="s">
        <v>728</v>
      </c>
      <c r="N375" t="s">
        <v>1107</v>
      </c>
      <c r="O375">
        <v>290.14</v>
      </c>
      <c r="P375">
        <v>250.73</v>
      </c>
      <c r="Q375">
        <v>3.4000000000000002E-2</v>
      </c>
      <c r="R375">
        <v>17</v>
      </c>
    </row>
    <row r="376" spans="1:18" x14ac:dyDescent="0.45">
      <c r="A376" t="s">
        <v>388</v>
      </c>
      <c r="B376" s="5">
        <v>45429</v>
      </c>
      <c r="C376" s="5">
        <v>45439</v>
      </c>
      <c r="D376" s="5">
        <f t="shared" si="15"/>
        <v>45429</v>
      </c>
      <c r="E376" s="5">
        <f t="shared" si="16"/>
        <v>45439</v>
      </c>
      <c r="F376" s="7">
        <f t="shared" si="17"/>
        <v>10</v>
      </c>
      <c r="G376" t="s">
        <v>648</v>
      </c>
      <c r="H376" t="s">
        <v>660</v>
      </c>
      <c r="I376" t="s">
        <v>697</v>
      </c>
      <c r="J376" t="s">
        <v>703</v>
      </c>
      <c r="K376" t="s">
        <v>708</v>
      </c>
      <c r="L376" t="s">
        <v>712</v>
      </c>
      <c r="M376" t="s">
        <v>730</v>
      </c>
      <c r="N376" t="s">
        <v>1108</v>
      </c>
      <c r="O376">
        <v>1484.23</v>
      </c>
      <c r="P376">
        <v>3472.81</v>
      </c>
      <c r="Q376">
        <v>0.25600000000000001</v>
      </c>
      <c r="R376">
        <v>12</v>
      </c>
    </row>
    <row r="377" spans="1:18" x14ac:dyDescent="0.45">
      <c r="A377" t="s">
        <v>389</v>
      </c>
      <c r="B377" s="5">
        <v>45354</v>
      </c>
      <c r="C377" s="5">
        <v>45370</v>
      </c>
      <c r="D377" s="5">
        <f t="shared" si="15"/>
        <v>45354</v>
      </c>
      <c r="E377" s="5">
        <f t="shared" si="16"/>
        <v>45370</v>
      </c>
      <c r="F377" s="7">
        <f t="shared" si="17"/>
        <v>16</v>
      </c>
      <c r="G377" t="s">
        <v>647</v>
      </c>
      <c r="H377" t="s">
        <v>659</v>
      </c>
      <c r="I377" t="s">
        <v>699</v>
      </c>
      <c r="J377" t="s">
        <v>704</v>
      </c>
      <c r="K377" t="s">
        <v>710</v>
      </c>
      <c r="L377" t="s">
        <v>715</v>
      </c>
      <c r="M377" t="s">
        <v>730</v>
      </c>
      <c r="N377" t="s">
        <v>1109</v>
      </c>
      <c r="O377">
        <v>988.83</v>
      </c>
      <c r="P377">
        <v>1206.04</v>
      </c>
      <c r="Q377">
        <v>6.3E-2</v>
      </c>
      <c r="R377">
        <v>34</v>
      </c>
    </row>
    <row r="378" spans="1:18" x14ac:dyDescent="0.45">
      <c r="A378" t="s">
        <v>390</v>
      </c>
      <c r="B378" s="5">
        <v>45835</v>
      </c>
      <c r="C378" s="5">
        <v>45849</v>
      </c>
      <c r="D378" s="5">
        <f t="shared" si="15"/>
        <v>45835</v>
      </c>
      <c r="E378" s="5">
        <f t="shared" si="16"/>
        <v>45849</v>
      </c>
      <c r="F378" s="7">
        <f t="shared" si="17"/>
        <v>14</v>
      </c>
      <c r="G378" t="s">
        <v>647</v>
      </c>
      <c r="H378" t="s">
        <v>659</v>
      </c>
      <c r="I378" t="s">
        <v>685</v>
      </c>
      <c r="J378" t="s">
        <v>705</v>
      </c>
      <c r="K378" t="s">
        <v>709</v>
      </c>
      <c r="L378" t="s">
        <v>716</v>
      </c>
      <c r="M378" t="s">
        <v>729</v>
      </c>
      <c r="N378" t="s">
        <v>1110</v>
      </c>
      <c r="O378">
        <v>1227.7</v>
      </c>
      <c r="P378">
        <v>2197.23</v>
      </c>
      <c r="Q378">
        <v>9.9000000000000005E-2</v>
      </c>
      <c r="R378">
        <v>22</v>
      </c>
    </row>
    <row r="379" spans="1:18" x14ac:dyDescent="0.45">
      <c r="A379" t="s">
        <v>391</v>
      </c>
      <c r="B379" s="5">
        <v>44998</v>
      </c>
      <c r="C379" s="5">
        <v>45020</v>
      </c>
      <c r="D379" s="5">
        <f t="shared" si="15"/>
        <v>44998</v>
      </c>
      <c r="E379" s="5">
        <f t="shared" si="16"/>
        <v>45020</v>
      </c>
      <c r="F379" s="7">
        <f t="shared" si="17"/>
        <v>22</v>
      </c>
      <c r="G379" t="s">
        <v>646</v>
      </c>
      <c r="H379" t="s">
        <v>661</v>
      </c>
      <c r="I379" t="s">
        <v>687</v>
      </c>
      <c r="J379" t="s">
        <v>705</v>
      </c>
      <c r="K379" t="s">
        <v>707</v>
      </c>
      <c r="L379" t="s">
        <v>720</v>
      </c>
      <c r="M379" t="s">
        <v>727</v>
      </c>
      <c r="N379" t="s">
        <v>1111</v>
      </c>
      <c r="O379">
        <v>1113.7</v>
      </c>
      <c r="P379">
        <v>1620.6</v>
      </c>
      <c r="Q379">
        <v>0.13900000000000001</v>
      </c>
      <c r="R379">
        <v>11</v>
      </c>
    </row>
    <row r="380" spans="1:18" x14ac:dyDescent="0.45">
      <c r="A380" t="s">
        <v>392</v>
      </c>
      <c r="B380" s="5">
        <v>45664</v>
      </c>
      <c r="C380" s="5">
        <v>45677</v>
      </c>
      <c r="D380" s="5">
        <f t="shared" si="15"/>
        <v>45664</v>
      </c>
      <c r="E380" s="5">
        <f t="shared" si="16"/>
        <v>45677</v>
      </c>
      <c r="F380" s="7">
        <f t="shared" si="17"/>
        <v>13</v>
      </c>
      <c r="G380" t="s">
        <v>646</v>
      </c>
      <c r="H380" t="s">
        <v>661</v>
      </c>
      <c r="I380" t="s">
        <v>695</v>
      </c>
      <c r="J380" t="s">
        <v>701</v>
      </c>
      <c r="K380" t="s">
        <v>711</v>
      </c>
      <c r="L380" t="s">
        <v>723</v>
      </c>
      <c r="M380" t="s">
        <v>729</v>
      </c>
      <c r="N380" t="s">
        <v>1112</v>
      </c>
      <c r="O380">
        <v>432.13</v>
      </c>
      <c r="P380">
        <v>1034.6600000000001</v>
      </c>
      <c r="Q380">
        <v>9.1999999999999998E-2</v>
      </c>
      <c r="R380">
        <v>7</v>
      </c>
    </row>
    <row r="381" spans="1:18" x14ac:dyDescent="0.45">
      <c r="A381" t="s">
        <v>393</v>
      </c>
      <c r="B381" s="5">
        <v>45694</v>
      </c>
      <c r="C381" s="5">
        <v>45703</v>
      </c>
      <c r="D381" s="5">
        <f t="shared" si="15"/>
        <v>45694</v>
      </c>
      <c r="E381" s="5">
        <f t="shared" si="16"/>
        <v>45703</v>
      </c>
      <c r="F381" s="7">
        <f t="shared" si="17"/>
        <v>9</v>
      </c>
      <c r="G381" t="s">
        <v>648</v>
      </c>
      <c r="H381" t="s">
        <v>655</v>
      </c>
      <c r="I381" t="s">
        <v>670</v>
      </c>
      <c r="J381" t="s">
        <v>703</v>
      </c>
      <c r="K381" t="s">
        <v>710</v>
      </c>
      <c r="L381" t="s">
        <v>721</v>
      </c>
      <c r="M381" t="s">
        <v>729</v>
      </c>
      <c r="N381" t="s">
        <v>1113</v>
      </c>
      <c r="O381">
        <v>837.39</v>
      </c>
      <c r="P381">
        <v>1905.42</v>
      </c>
      <c r="Q381">
        <v>3.2000000000000001E-2</v>
      </c>
      <c r="R381">
        <v>18</v>
      </c>
    </row>
    <row r="382" spans="1:18" x14ac:dyDescent="0.45">
      <c r="A382" t="s">
        <v>394</v>
      </c>
      <c r="B382" s="5">
        <v>45688</v>
      </c>
      <c r="C382" s="5">
        <v>45705</v>
      </c>
      <c r="D382" s="5">
        <f t="shared" si="15"/>
        <v>45688</v>
      </c>
      <c r="E382" s="5">
        <f t="shared" si="16"/>
        <v>45705</v>
      </c>
      <c r="F382" s="7">
        <f t="shared" si="17"/>
        <v>17</v>
      </c>
      <c r="G382" t="s">
        <v>649</v>
      </c>
      <c r="H382" t="s">
        <v>658</v>
      </c>
      <c r="I382" t="s">
        <v>683</v>
      </c>
      <c r="J382" t="s">
        <v>706</v>
      </c>
      <c r="K382" t="s">
        <v>707</v>
      </c>
      <c r="L382" t="s">
        <v>722</v>
      </c>
      <c r="M382" t="s">
        <v>727</v>
      </c>
      <c r="N382" t="s">
        <v>812</v>
      </c>
      <c r="O382">
        <v>378.26</v>
      </c>
      <c r="P382">
        <v>541.55999999999995</v>
      </c>
      <c r="Q382">
        <v>0.16300000000000001</v>
      </c>
      <c r="R382">
        <v>25</v>
      </c>
    </row>
    <row r="383" spans="1:18" x14ac:dyDescent="0.45">
      <c r="A383" t="s">
        <v>395</v>
      </c>
      <c r="B383" s="5">
        <v>45876</v>
      </c>
      <c r="C383" s="5">
        <v>45906</v>
      </c>
      <c r="D383" s="5">
        <f t="shared" si="15"/>
        <v>45876</v>
      </c>
      <c r="E383" s="5">
        <f t="shared" si="16"/>
        <v>45906</v>
      </c>
      <c r="F383" s="7">
        <f t="shared" si="17"/>
        <v>30</v>
      </c>
      <c r="G383" t="s">
        <v>648</v>
      </c>
      <c r="H383" t="s">
        <v>653</v>
      </c>
      <c r="I383" t="s">
        <v>681</v>
      </c>
      <c r="J383" t="s">
        <v>702</v>
      </c>
      <c r="K383" t="s">
        <v>711</v>
      </c>
      <c r="L383" t="s">
        <v>724</v>
      </c>
      <c r="M383" t="s">
        <v>729</v>
      </c>
      <c r="N383" t="s">
        <v>1114</v>
      </c>
      <c r="O383">
        <v>833.73</v>
      </c>
      <c r="P383">
        <v>1116.5999999999999</v>
      </c>
      <c r="Q383">
        <v>0.17599999999999999</v>
      </c>
      <c r="R383">
        <v>14</v>
      </c>
    </row>
    <row r="384" spans="1:18" x14ac:dyDescent="0.45">
      <c r="A384" t="s">
        <v>396</v>
      </c>
      <c r="B384" s="5">
        <v>45861</v>
      </c>
      <c r="C384" s="5">
        <v>45886</v>
      </c>
      <c r="D384" s="5">
        <f t="shared" si="15"/>
        <v>45861</v>
      </c>
      <c r="E384" s="5">
        <f t="shared" si="16"/>
        <v>45886</v>
      </c>
      <c r="F384" s="7">
        <f t="shared" si="17"/>
        <v>25</v>
      </c>
      <c r="G384" t="s">
        <v>649</v>
      </c>
      <c r="H384" t="s">
        <v>658</v>
      </c>
      <c r="I384" t="s">
        <v>674</v>
      </c>
      <c r="J384" t="s">
        <v>702</v>
      </c>
      <c r="K384" t="s">
        <v>708</v>
      </c>
      <c r="L384" t="s">
        <v>714</v>
      </c>
      <c r="M384" t="s">
        <v>728</v>
      </c>
      <c r="N384" t="s">
        <v>1115</v>
      </c>
      <c r="O384">
        <v>1142.06</v>
      </c>
      <c r="P384">
        <v>1455</v>
      </c>
      <c r="Q384">
        <v>7.8E-2</v>
      </c>
      <c r="R384">
        <v>28</v>
      </c>
    </row>
    <row r="385" spans="1:18" x14ac:dyDescent="0.45">
      <c r="A385" t="s">
        <v>397</v>
      </c>
      <c r="B385" s="5">
        <v>45097</v>
      </c>
      <c r="C385" s="5">
        <v>45115</v>
      </c>
      <c r="D385" s="5">
        <f t="shared" si="15"/>
        <v>45097</v>
      </c>
      <c r="E385" s="5">
        <f t="shared" si="16"/>
        <v>45115</v>
      </c>
      <c r="F385" s="7">
        <f t="shared" si="17"/>
        <v>18</v>
      </c>
      <c r="G385" t="s">
        <v>648</v>
      </c>
      <c r="H385" t="s">
        <v>660</v>
      </c>
      <c r="I385" t="s">
        <v>700</v>
      </c>
      <c r="J385" t="s">
        <v>704</v>
      </c>
      <c r="K385" t="s">
        <v>709</v>
      </c>
      <c r="L385" t="s">
        <v>719</v>
      </c>
      <c r="M385" t="s">
        <v>729</v>
      </c>
      <c r="N385" t="s">
        <v>1116</v>
      </c>
      <c r="O385">
        <v>1145.53</v>
      </c>
      <c r="P385">
        <v>1278.3</v>
      </c>
      <c r="Q385">
        <v>0.09</v>
      </c>
      <c r="R385">
        <v>41</v>
      </c>
    </row>
    <row r="386" spans="1:18" x14ac:dyDescent="0.45">
      <c r="A386" t="s">
        <v>398</v>
      </c>
      <c r="B386" s="5">
        <v>45491</v>
      </c>
      <c r="C386" s="5">
        <v>45511</v>
      </c>
      <c r="D386" s="5">
        <f t="shared" si="15"/>
        <v>45491</v>
      </c>
      <c r="E386" s="5">
        <f t="shared" si="16"/>
        <v>45511</v>
      </c>
      <c r="F386" s="7">
        <f t="shared" si="17"/>
        <v>20</v>
      </c>
      <c r="G386" t="s">
        <v>649</v>
      </c>
      <c r="H386" t="s">
        <v>657</v>
      </c>
      <c r="I386" t="s">
        <v>673</v>
      </c>
      <c r="J386" t="s">
        <v>701</v>
      </c>
      <c r="K386" t="s">
        <v>707</v>
      </c>
      <c r="L386" t="s">
        <v>721</v>
      </c>
      <c r="M386" t="s">
        <v>732</v>
      </c>
      <c r="N386" t="s">
        <v>1117</v>
      </c>
      <c r="O386">
        <v>941.35</v>
      </c>
      <c r="P386">
        <v>899.83</v>
      </c>
      <c r="Q386">
        <v>5.8000000000000003E-2</v>
      </c>
      <c r="R386">
        <v>18</v>
      </c>
    </row>
    <row r="387" spans="1:18" x14ac:dyDescent="0.45">
      <c r="A387" t="s">
        <v>399</v>
      </c>
      <c r="B387" s="5">
        <v>45066</v>
      </c>
      <c r="C387" s="5">
        <v>45096</v>
      </c>
      <c r="D387" s="5">
        <f t="shared" ref="D387:D450" si="18">IF(C387&gt;B387,B387,C387)</f>
        <v>45066</v>
      </c>
      <c r="E387" s="5">
        <f t="shared" ref="E387:E450" si="19">IF(C387&gt;B387,C387,B387)</f>
        <v>45096</v>
      </c>
      <c r="F387" s="7">
        <f t="shared" ref="F387:F450" si="20">DATEDIF(D387,E387,"d")</f>
        <v>30</v>
      </c>
      <c r="G387" t="s">
        <v>647</v>
      </c>
      <c r="H387" t="s">
        <v>654</v>
      </c>
      <c r="I387" t="s">
        <v>680</v>
      </c>
      <c r="J387" t="s">
        <v>703</v>
      </c>
      <c r="K387" t="s">
        <v>709</v>
      </c>
      <c r="L387" t="s">
        <v>722</v>
      </c>
      <c r="M387" t="s">
        <v>731</v>
      </c>
      <c r="N387" t="s">
        <v>1118</v>
      </c>
      <c r="O387">
        <v>1161.2</v>
      </c>
      <c r="P387">
        <v>878.73</v>
      </c>
      <c r="Q387">
        <v>0.19</v>
      </c>
      <c r="R387">
        <v>31</v>
      </c>
    </row>
    <row r="388" spans="1:18" x14ac:dyDescent="0.45">
      <c r="A388" t="s">
        <v>400</v>
      </c>
      <c r="B388" s="5">
        <v>45789</v>
      </c>
      <c r="C388" s="5">
        <v>45803</v>
      </c>
      <c r="D388" s="5">
        <f t="shared" si="18"/>
        <v>45789</v>
      </c>
      <c r="E388" s="5">
        <f t="shared" si="19"/>
        <v>45803</v>
      </c>
      <c r="F388" s="7">
        <f t="shared" si="20"/>
        <v>14</v>
      </c>
      <c r="G388" t="s">
        <v>647</v>
      </c>
      <c r="H388" t="s">
        <v>654</v>
      </c>
      <c r="I388" t="s">
        <v>696</v>
      </c>
      <c r="J388" t="s">
        <v>701</v>
      </c>
      <c r="K388" t="s">
        <v>709</v>
      </c>
      <c r="L388" t="s">
        <v>715</v>
      </c>
      <c r="M388" t="s">
        <v>728</v>
      </c>
      <c r="N388" t="s">
        <v>1119</v>
      </c>
      <c r="O388">
        <v>320.12</v>
      </c>
      <c r="P388">
        <v>594.41999999999996</v>
      </c>
      <c r="Q388">
        <v>0.104</v>
      </c>
      <c r="R388">
        <v>18</v>
      </c>
    </row>
    <row r="389" spans="1:18" x14ac:dyDescent="0.45">
      <c r="A389" t="s">
        <v>401</v>
      </c>
      <c r="B389" s="5">
        <v>45419</v>
      </c>
      <c r="C389" s="5">
        <v>45424</v>
      </c>
      <c r="D389" s="5">
        <f t="shared" si="18"/>
        <v>45419</v>
      </c>
      <c r="E389" s="5">
        <f t="shared" si="19"/>
        <v>45424</v>
      </c>
      <c r="F389" s="7">
        <f t="shared" si="20"/>
        <v>5</v>
      </c>
      <c r="G389" t="s">
        <v>646</v>
      </c>
      <c r="H389" t="s">
        <v>651</v>
      </c>
      <c r="I389" t="s">
        <v>669</v>
      </c>
      <c r="J389" t="s">
        <v>703</v>
      </c>
      <c r="K389" t="s">
        <v>710</v>
      </c>
      <c r="L389" t="s">
        <v>716</v>
      </c>
      <c r="M389" t="s">
        <v>731</v>
      </c>
      <c r="N389" t="s">
        <v>1120</v>
      </c>
      <c r="O389">
        <v>1163.99</v>
      </c>
      <c r="P389">
        <v>1617.85</v>
      </c>
      <c r="Q389">
        <v>0.127</v>
      </c>
      <c r="R389">
        <v>14</v>
      </c>
    </row>
    <row r="390" spans="1:18" x14ac:dyDescent="0.45">
      <c r="A390" t="s">
        <v>402</v>
      </c>
      <c r="B390" s="5">
        <v>45199</v>
      </c>
      <c r="C390" s="5">
        <v>45202</v>
      </c>
      <c r="D390" s="5">
        <f t="shared" si="18"/>
        <v>45199</v>
      </c>
      <c r="E390" s="5">
        <f t="shared" si="19"/>
        <v>45202</v>
      </c>
      <c r="F390" s="7">
        <f t="shared" si="20"/>
        <v>3</v>
      </c>
      <c r="G390" t="s">
        <v>647</v>
      </c>
      <c r="H390" t="s">
        <v>659</v>
      </c>
      <c r="I390" t="s">
        <v>699</v>
      </c>
      <c r="J390" t="s">
        <v>703</v>
      </c>
      <c r="K390" t="s">
        <v>707</v>
      </c>
      <c r="L390" t="s">
        <v>713</v>
      </c>
      <c r="M390" t="s">
        <v>731</v>
      </c>
      <c r="N390" t="s">
        <v>1121</v>
      </c>
      <c r="O390">
        <v>1019.36</v>
      </c>
      <c r="P390">
        <v>972.91</v>
      </c>
      <c r="Q390">
        <v>0.14699999999999999</v>
      </c>
      <c r="R390">
        <v>17</v>
      </c>
    </row>
    <row r="391" spans="1:18" x14ac:dyDescent="0.45">
      <c r="A391" t="s">
        <v>403</v>
      </c>
      <c r="B391" s="5">
        <v>45225</v>
      </c>
      <c r="C391" s="5">
        <v>45235</v>
      </c>
      <c r="D391" s="5">
        <f t="shared" si="18"/>
        <v>45225</v>
      </c>
      <c r="E391" s="5">
        <f t="shared" si="19"/>
        <v>45235</v>
      </c>
      <c r="F391" s="7">
        <f t="shared" si="20"/>
        <v>10</v>
      </c>
      <c r="G391" t="s">
        <v>646</v>
      </c>
      <c r="H391" t="s">
        <v>661</v>
      </c>
      <c r="I391" t="s">
        <v>695</v>
      </c>
      <c r="J391" t="s">
        <v>703</v>
      </c>
      <c r="K391" t="s">
        <v>708</v>
      </c>
      <c r="L391" t="s">
        <v>714</v>
      </c>
      <c r="M391" t="s">
        <v>731</v>
      </c>
      <c r="N391" t="s">
        <v>1122</v>
      </c>
      <c r="O391">
        <v>20.38</v>
      </c>
      <c r="P391">
        <v>42.56</v>
      </c>
      <c r="Q391">
        <v>7.1999999999999995E-2</v>
      </c>
      <c r="R391">
        <v>11</v>
      </c>
    </row>
    <row r="392" spans="1:18" x14ac:dyDescent="0.45">
      <c r="A392" t="s">
        <v>404</v>
      </c>
      <c r="B392" s="5">
        <v>45823</v>
      </c>
      <c r="C392" s="5">
        <v>45838</v>
      </c>
      <c r="D392" s="5">
        <f t="shared" si="18"/>
        <v>45823</v>
      </c>
      <c r="E392" s="5">
        <f t="shared" si="19"/>
        <v>45838</v>
      </c>
      <c r="F392" s="7">
        <f t="shared" si="20"/>
        <v>15</v>
      </c>
      <c r="G392" t="s">
        <v>646</v>
      </c>
      <c r="H392" t="s">
        <v>661</v>
      </c>
      <c r="I392" t="s">
        <v>682</v>
      </c>
      <c r="J392" t="s">
        <v>705</v>
      </c>
      <c r="K392" t="s">
        <v>711</v>
      </c>
      <c r="L392" t="s">
        <v>712</v>
      </c>
      <c r="M392" t="s">
        <v>732</v>
      </c>
      <c r="N392" t="s">
        <v>1123</v>
      </c>
      <c r="O392">
        <v>1487.59</v>
      </c>
      <c r="P392">
        <v>1480.83</v>
      </c>
      <c r="Q392">
        <v>8.9999999999999993E-3</v>
      </c>
      <c r="R392">
        <v>11</v>
      </c>
    </row>
    <row r="393" spans="1:18" x14ac:dyDescent="0.45">
      <c r="A393" t="s">
        <v>405</v>
      </c>
      <c r="B393" s="5">
        <v>45514</v>
      </c>
      <c r="C393" s="5">
        <v>45542</v>
      </c>
      <c r="D393" s="5">
        <f t="shared" si="18"/>
        <v>45514</v>
      </c>
      <c r="E393" s="5">
        <f t="shared" si="19"/>
        <v>45542</v>
      </c>
      <c r="F393" s="7">
        <f t="shared" si="20"/>
        <v>28</v>
      </c>
      <c r="G393" t="s">
        <v>649</v>
      </c>
      <c r="H393" t="s">
        <v>657</v>
      </c>
      <c r="I393" t="s">
        <v>673</v>
      </c>
      <c r="J393" t="s">
        <v>703</v>
      </c>
      <c r="K393" t="s">
        <v>711</v>
      </c>
      <c r="L393" t="s">
        <v>721</v>
      </c>
      <c r="M393" t="s">
        <v>728</v>
      </c>
      <c r="N393" t="s">
        <v>1124</v>
      </c>
      <c r="O393">
        <v>229.96</v>
      </c>
      <c r="P393">
        <v>564.26</v>
      </c>
      <c r="Q393">
        <v>0.105</v>
      </c>
      <c r="R393">
        <v>5</v>
      </c>
    </row>
    <row r="394" spans="1:18" x14ac:dyDescent="0.45">
      <c r="A394" t="s">
        <v>406</v>
      </c>
      <c r="B394" s="5">
        <v>45208</v>
      </c>
      <c r="C394" s="5">
        <v>45225</v>
      </c>
      <c r="D394" s="5">
        <f t="shared" si="18"/>
        <v>45208</v>
      </c>
      <c r="E394" s="5">
        <f t="shared" si="19"/>
        <v>45225</v>
      </c>
      <c r="F394" s="7">
        <f t="shared" si="20"/>
        <v>17</v>
      </c>
      <c r="G394" t="s">
        <v>647</v>
      </c>
      <c r="H394" t="s">
        <v>659</v>
      </c>
      <c r="I394" t="s">
        <v>685</v>
      </c>
      <c r="J394" t="s">
        <v>704</v>
      </c>
      <c r="K394" t="s">
        <v>709</v>
      </c>
      <c r="L394" t="s">
        <v>712</v>
      </c>
      <c r="M394" t="s">
        <v>727</v>
      </c>
      <c r="N394" t="s">
        <v>1125</v>
      </c>
      <c r="O394">
        <v>1132.03</v>
      </c>
      <c r="P394">
        <v>2137.21</v>
      </c>
      <c r="Q394">
        <v>0.35699999999999998</v>
      </c>
      <c r="R394">
        <v>35</v>
      </c>
    </row>
    <row r="395" spans="1:18" x14ac:dyDescent="0.45">
      <c r="A395" t="s">
        <v>407</v>
      </c>
      <c r="B395" s="5">
        <v>45360</v>
      </c>
      <c r="C395" s="5">
        <v>45377</v>
      </c>
      <c r="D395" s="5">
        <f t="shared" si="18"/>
        <v>45360</v>
      </c>
      <c r="E395" s="5">
        <f t="shared" si="19"/>
        <v>45377</v>
      </c>
      <c r="F395" s="7">
        <f t="shared" si="20"/>
        <v>17</v>
      </c>
      <c r="G395" t="s">
        <v>648</v>
      </c>
      <c r="H395" t="s">
        <v>660</v>
      </c>
      <c r="I395" t="s">
        <v>686</v>
      </c>
      <c r="J395" t="s">
        <v>702</v>
      </c>
      <c r="K395" t="s">
        <v>711</v>
      </c>
      <c r="L395" t="s">
        <v>714</v>
      </c>
      <c r="M395" t="s">
        <v>730</v>
      </c>
      <c r="N395" t="s">
        <v>1126</v>
      </c>
      <c r="O395">
        <v>1137.4100000000001</v>
      </c>
      <c r="P395">
        <v>1680.93</v>
      </c>
      <c r="Q395">
        <v>0.254</v>
      </c>
      <c r="R395">
        <v>9</v>
      </c>
    </row>
    <row r="396" spans="1:18" x14ac:dyDescent="0.45">
      <c r="A396" t="s">
        <v>408</v>
      </c>
      <c r="B396" s="5">
        <v>45075</v>
      </c>
      <c r="C396" s="5">
        <v>45097</v>
      </c>
      <c r="D396" s="5">
        <f t="shared" si="18"/>
        <v>45075</v>
      </c>
      <c r="E396" s="5">
        <f t="shared" si="19"/>
        <v>45097</v>
      </c>
      <c r="F396" s="7">
        <f t="shared" si="20"/>
        <v>22</v>
      </c>
      <c r="G396" t="s">
        <v>649</v>
      </c>
      <c r="H396" t="s">
        <v>658</v>
      </c>
      <c r="I396" t="s">
        <v>683</v>
      </c>
      <c r="J396" t="s">
        <v>705</v>
      </c>
      <c r="K396" t="s">
        <v>711</v>
      </c>
      <c r="L396" t="s">
        <v>723</v>
      </c>
      <c r="M396" t="s">
        <v>727</v>
      </c>
      <c r="N396" t="s">
        <v>1127</v>
      </c>
      <c r="O396">
        <v>1295.3900000000001</v>
      </c>
      <c r="P396">
        <v>2905.06</v>
      </c>
      <c r="Q396">
        <v>0.14799999999999999</v>
      </c>
      <c r="R396">
        <v>8</v>
      </c>
    </row>
    <row r="397" spans="1:18" x14ac:dyDescent="0.45">
      <c r="A397" t="s">
        <v>409</v>
      </c>
      <c r="B397" s="5">
        <v>45804</v>
      </c>
      <c r="C397" s="5">
        <v>45816</v>
      </c>
      <c r="D397" s="5">
        <f t="shared" si="18"/>
        <v>45804</v>
      </c>
      <c r="E397" s="5">
        <f t="shared" si="19"/>
        <v>45816</v>
      </c>
      <c r="F397" s="7">
        <f t="shared" si="20"/>
        <v>12</v>
      </c>
      <c r="G397" t="s">
        <v>647</v>
      </c>
      <c r="H397" t="s">
        <v>652</v>
      </c>
      <c r="I397" t="s">
        <v>666</v>
      </c>
      <c r="J397" t="s">
        <v>701</v>
      </c>
      <c r="K397" t="s">
        <v>707</v>
      </c>
      <c r="L397" t="s">
        <v>722</v>
      </c>
      <c r="M397" t="s">
        <v>733</v>
      </c>
      <c r="N397" t="s">
        <v>1128</v>
      </c>
      <c r="O397">
        <v>653.6</v>
      </c>
      <c r="P397">
        <v>842.09</v>
      </c>
      <c r="Q397">
        <v>9.8000000000000004E-2</v>
      </c>
      <c r="R397">
        <v>19</v>
      </c>
    </row>
    <row r="398" spans="1:18" x14ac:dyDescent="0.45">
      <c r="A398" t="s">
        <v>410</v>
      </c>
      <c r="B398" s="5">
        <v>45890</v>
      </c>
      <c r="C398" s="5">
        <v>45914</v>
      </c>
      <c r="D398" s="5">
        <f t="shared" si="18"/>
        <v>45890</v>
      </c>
      <c r="E398" s="5">
        <f t="shared" si="19"/>
        <v>45914</v>
      </c>
      <c r="F398" s="7">
        <f t="shared" si="20"/>
        <v>24</v>
      </c>
      <c r="G398" t="s">
        <v>649</v>
      </c>
      <c r="H398" t="s">
        <v>656</v>
      </c>
      <c r="I398" t="s">
        <v>671</v>
      </c>
      <c r="J398" t="s">
        <v>703</v>
      </c>
      <c r="K398" t="s">
        <v>708</v>
      </c>
      <c r="L398" t="s">
        <v>720</v>
      </c>
      <c r="M398" t="s">
        <v>732</v>
      </c>
      <c r="N398" t="s">
        <v>1129</v>
      </c>
      <c r="O398">
        <v>1397.67</v>
      </c>
      <c r="P398">
        <v>3131.37</v>
      </c>
      <c r="Q398">
        <v>0.10299999999999999</v>
      </c>
      <c r="R398">
        <v>20</v>
      </c>
    </row>
    <row r="399" spans="1:18" x14ac:dyDescent="0.45">
      <c r="A399" t="s">
        <v>411</v>
      </c>
      <c r="B399" s="5">
        <v>45638</v>
      </c>
      <c r="C399" s="5">
        <v>45646</v>
      </c>
      <c r="D399" s="5">
        <f t="shared" si="18"/>
        <v>45638</v>
      </c>
      <c r="E399" s="5">
        <f t="shared" si="19"/>
        <v>45646</v>
      </c>
      <c r="F399" s="7">
        <f t="shared" si="20"/>
        <v>8</v>
      </c>
      <c r="G399" t="s">
        <v>647</v>
      </c>
      <c r="H399" t="s">
        <v>652</v>
      </c>
      <c r="I399" t="s">
        <v>689</v>
      </c>
      <c r="J399" t="s">
        <v>701</v>
      </c>
      <c r="K399" t="s">
        <v>707</v>
      </c>
      <c r="L399" t="s">
        <v>717</v>
      </c>
      <c r="M399" t="s">
        <v>731</v>
      </c>
      <c r="N399" t="s">
        <v>1130</v>
      </c>
      <c r="O399">
        <v>1202.47</v>
      </c>
      <c r="P399">
        <v>1444.72</v>
      </c>
      <c r="Q399">
        <v>0.24099999999999999</v>
      </c>
      <c r="R399">
        <v>17</v>
      </c>
    </row>
    <row r="400" spans="1:18" x14ac:dyDescent="0.45">
      <c r="A400" t="s">
        <v>412</v>
      </c>
      <c r="B400" s="5">
        <v>45914</v>
      </c>
      <c r="C400" s="5">
        <v>45923</v>
      </c>
      <c r="D400" s="5">
        <f t="shared" si="18"/>
        <v>45914</v>
      </c>
      <c r="E400" s="5">
        <f t="shared" si="19"/>
        <v>45923</v>
      </c>
      <c r="F400" s="7">
        <f t="shared" si="20"/>
        <v>9</v>
      </c>
      <c r="G400" t="s">
        <v>646</v>
      </c>
      <c r="H400" t="s">
        <v>661</v>
      </c>
      <c r="I400" t="s">
        <v>687</v>
      </c>
      <c r="J400" t="s">
        <v>703</v>
      </c>
      <c r="K400" t="s">
        <v>708</v>
      </c>
      <c r="L400" t="s">
        <v>726</v>
      </c>
      <c r="M400" t="s">
        <v>727</v>
      </c>
      <c r="N400" t="s">
        <v>1131</v>
      </c>
      <c r="O400">
        <v>1310.3</v>
      </c>
      <c r="P400">
        <v>2875.8</v>
      </c>
      <c r="Q400">
        <v>8.3000000000000004E-2</v>
      </c>
      <c r="R400">
        <v>5</v>
      </c>
    </row>
    <row r="401" spans="1:18" x14ac:dyDescent="0.45">
      <c r="A401" t="s">
        <v>413</v>
      </c>
      <c r="B401" s="5">
        <v>45541</v>
      </c>
      <c r="C401" s="5">
        <v>45569</v>
      </c>
      <c r="D401" s="5">
        <f t="shared" si="18"/>
        <v>45541</v>
      </c>
      <c r="E401" s="5">
        <f t="shared" si="19"/>
        <v>45569</v>
      </c>
      <c r="F401" s="7">
        <f t="shared" si="20"/>
        <v>28</v>
      </c>
      <c r="G401" t="s">
        <v>646</v>
      </c>
      <c r="H401" t="s">
        <v>661</v>
      </c>
      <c r="I401" t="s">
        <v>695</v>
      </c>
      <c r="J401" t="s">
        <v>701</v>
      </c>
      <c r="K401" t="s">
        <v>709</v>
      </c>
      <c r="L401" t="s">
        <v>726</v>
      </c>
      <c r="M401" t="s">
        <v>732</v>
      </c>
      <c r="N401" t="s">
        <v>1132</v>
      </c>
      <c r="O401">
        <v>1174.17</v>
      </c>
      <c r="P401">
        <v>1641.61</v>
      </c>
      <c r="Q401">
        <v>0.122</v>
      </c>
      <c r="R401">
        <v>9</v>
      </c>
    </row>
    <row r="402" spans="1:18" x14ac:dyDescent="0.45">
      <c r="A402" t="s">
        <v>414</v>
      </c>
      <c r="B402" s="5">
        <v>45759</v>
      </c>
      <c r="C402" s="5">
        <v>45777</v>
      </c>
      <c r="D402" s="5">
        <f t="shared" si="18"/>
        <v>45759</v>
      </c>
      <c r="E402" s="5">
        <f t="shared" si="19"/>
        <v>45777</v>
      </c>
      <c r="F402" s="7">
        <f t="shared" si="20"/>
        <v>18</v>
      </c>
      <c r="G402" t="s">
        <v>646</v>
      </c>
      <c r="H402" t="s">
        <v>650</v>
      </c>
      <c r="I402" t="s">
        <v>662</v>
      </c>
      <c r="J402" t="s">
        <v>701</v>
      </c>
      <c r="K402" t="s">
        <v>709</v>
      </c>
      <c r="L402" t="s">
        <v>721</v>
      </c>
      <c r="M402" t="s">
        <v>729</v>
      </c>
      <c r="N402" t="s">
        <v>1133</v>
      </c>
      <c r="O402">
        <v>1119.04</v>
      </c>
      <c r="P402">
        <v>1299.02</v>
      </c>
      <c r="Q402">
        <v>2.5000000000000001E-2</v>
      </c>
      <c r="R402">
        <v>14</v>
      </c>
    </row>
    <row r="403" spans="1:18" x14ac:dyDescent="0.45">
      <c r="A403" t="s">
        <v>415</v>
      </c>
      <c r="B403" s="5">
        <v>45516</v>
      </c>
      <c r="C403" s="5">
        <v>45519</v>
      </c>
      <c r="D403" s="5">
        <f t="shared" si="18"/>
        <v>45516</v>
      </c>
      <c r="E403" s="5">
        <f t="shared" si="19"/>
        <v>45519</v>
      </c>
      <c r="F403" s="7">
        <f t="shared" si="20"/>
        <v>3</v>
      </c>
      <c r="G403" t="s">
        <v>648</v>
      </c>
      <c r="H403" t="s">
        <v>660</v>
      </c>
      <c r="I403" t="s">
        <v>677</v>
      </c>
      <c r="J403" t="s">
        <v>701</v>
      </c>
      <c r="K403" t="s">
        <v>709</v>
      </c>
      <c r="L403" t="s">
        <v>726</v>
      </c>
      <c r="M403" t="s">
        <v>728</v>
      </c>
      <c r="N403" t="s">
        <v>1134</v>
      </c>
      <c r="O403">
        <v>850.7</v>
      </c>
      <c r="P403">
        <v>1118.56</v>
      </c>
      <c r="Q403">
        <v>0.18</v>
      </c>
      <c r="R403">
        <v>19</v>
      </c>
    </row>
    <row r="404" spans="1:18" x14ac:dyDescent="0.45">
      <c r="A404" t="s">
        <v>416</v>
      </c>
      <c r="B404" s="5">
        <v>45601</v>
      </c>
      <c r="C404" s="5">
        <v>45604</v>
      </c>
      <c r="D404" s="5">
        <f t="shared" si="18"/>
        <v>45601</v>
      </c>
      <c r="E404" s="5">
        <f t="shared" si="19"/>
        <v>45604</v>
      </c>
      <c r="F404" s="7">
        <f t="shared" si="20"/>
        <v>3</v>
      </c>
      <c r="G404" t="s">
        <v>648</v>
      </c>
      <c r="H404" t="s">
        <v>653</v>
      </c>
      <c r="I404" t="s">
        <v>667</v>
      </c>
      <c r="J404" t="s">
        <v>702</v>
      </c>
      <c r="K404" t="s">
        <v>709</v>
      </c>
      <c r="L404" t="s">
        <v>719</v>
      </c>
      <c r="M404" t="s">
        <v>727</v>
      </c>
      <c r="N404" t="s">
        <v>1135</v>
      </c>
      <c r="O404">
        <v>1020.4</v>
      </c>
      <c r="P404">
        <v>1184.71</v>
      </c>
      <c r="Q404">
        <v>0.106</v>
      </c>
      <c r="R404">
        <v>16</v>
      </c>
    </row>
    <row r="405" spans="1:18" x14ac:dyDescent="0.45">
      <c r="A405" t="s">
        <v>417</v>
      </c>
      <c r="B405" s="5">
        <v>45497</v>
      </c>
      <c r="C405" s="5">
        <v>45512</v>
      </c>
      <c r="D405" s="5">
        <f t="shared" si="18"/>
        <v>45497</v>
      </c>
      <c r="E405" s="5">
        <f t="shared" si="19"/>
        <v>45512</v>
      </c>
      <c r="F405" s="7">
        <f t="shared" si="20"/>
        <v>15</v>
      </c>
      <c r="G405" t="s">
        <v>649</v>
      </c>
      <c r="H405" t="s">
        <v>657</v>
      </c>
      <c r="I405" t="s">
        <v>673</v>
      </c>
      <c r="J405" t="s">
        <v>706</v>
      </c>
      <c r="K405" t="s">
        <v>709</v>
      </c>
      <c r="L405" t="s">
        <v>722</v>
      </c>
      <c r="M405" t="s">
        <v>731</v>
      </c>
      <c r="N405" t="s">
        <v>1136</v>
      </c>
      <c r="O405">
        <v>501.5</v>
      </c>
      <c r="P405">
        <v>1201.47</v>
      </c>
      <c r="Q405">
        <v>0.126</v>
      </c>
      <c r="R405">
        <v>5</v>
      </c>
    </row>
    <row r="406" spans="1:18" x14ac:dyDescent="0.45">
      <c r="A406" t="s">
        <v>418</v>
      </c>
      <c r="B406" s="5">
        <v>45677</v>
      </c>
      <c r="C406" s="5">
        <v>45691</v>
      </c>
      <c r="D406" s="5">
        <f t="shared" si="18"/>
        <v>45677</v>
      </c>
      <c r="E406" s="5">
        <f t="shared" si="19"/>
        <v>45691</v>
      </c>
      <c r="F406" s="7">
        <f t="shared" si="20"/>
        <v>14</v>
      </c>
      <c r="G406" t="s">
        <v>648</v>
      </c>
      <c r="H406" t="s">
        <v>655</v>
      </c>
      <c r="I406" t="s">
        <v>672</v>
      </c>
      <c r="J406" t="s">
        <v>706</v>
      </c>
      <c r="K406" t="s">
        <v>709</v>
      </c>
      <c r="L406" t="s">
        <v>721</v>
      </c>
      <c r="M406" t="s">
        <v>727</v>
      </c>
      <c r="N406" t="s">
        <v>1137</v>
      </c>
      <c r="O406">
        <v>974.11</v>
      </c>
      <c r="P406">
        <v>880.99</v>
      </c>
      <c r="Q406">
        <v>0.111</v>
      </c>
      <c r="R406">
        <v>10</v>
      </c>
    </row>
    <row r="407" spans="1:18" x14ac:dyDescent="0.45">
      <c r="A407" t="s">
        <v>419</v>
      </c>
      <c r="B407" s="5">
        <v>44991</v>
      </c>
      <c r="C407" s="5">
        <v>45020</v>
      </c>
      <c r="D407" s="5">
        <f t="shared" si="18"/>
        <v>44991</v>
      </c>
      <c r="E407" s="5">
        <f t="shared" si="19"/>
        <v>45020</v>
      </c>
      <c r="F407" s="7">
        <f t="shared" si="20"/>
        <v>29</v>
      </c>
      <c r="G407" t="s">
        <v>647</v>
      </c>
      <c r="H407" t="s">
        <v>659</v>
      </c>
      <c r="I407" t="s">
        <v>699</v>
      </c>
      <c r="J407" t="s">
        <v>705</v>
      </c>
      <c r="K407" t="s">
        <v>711</v>
      </c>
      <c r="L407" t="s">
        <v>712</v>
      </c>
      <c r="M407" t="s">
        <v>732</v>
      </c>
      <c r="N407" t="s">
        <v>1138</v>
      </c>
      <c r="O407">
        <v>1126.29</v>
      </c>
      <c r="P407">
        <v>2050.87</v>
      </c>
      <c r="Q407">
        <v>6.4000000000000001E-2</v>
      </c>
      <c r="R407">
        <v>7</v>
      </c>
    </row>
    <row r="408" spans="1:18" x14ac:dyDescent="0.45">
      <c r="A408" t="s">
        <v>420</v>
      </c>
      <c r="B408" s="5">
        <v>45646</v>
      </c>
      <c r="C408" s="5">
        <v>45671</v>
      </c>
      <c r="D408" s="5">
        <f t="shared" si="18"/>
        <v>45646</v>
      </c>
      <c r="E408" s="5">
        <f t="shared" si="19"/>
        <v>45671</v>
      </c>
      <c r="F408" s="7">
        <f t="shared" si="20"/>
        <v>25</v>
      </c>
      <c r="G408" t="s">
        <v>647</v>
      </c>
      <c r="H408" t="s">
        <v>654</v>
      </c>
      <c r="I408" t="s">
        <v>680</v>
      </c>
      <c r="J408" t="s">
        <v>705</v>
      </c>
      <c r="K408" t="s">
        <v>707</v>
      </c>
      <c r="L408" t="s">
        <v>724</v>
      </c>
      <c r="M408" t="s">
        <v>728</v>
      </c>
      <c r="N408" t="s">
        <v>1139</v>
      </c>
      <c r="O408">
        <v>1361.34</v>
      </c>
      <c r="P408">
        <v>1737.9</v>
      </c>
      <c r="Q408">
        <v>7.6999999999999999E-2</v>
      </c>
      <c r="R408">
        <v>14</v>
      </c>
    </row>
    <row r="409" spans="1:18" x14ac:dyDescent="0.45">
      <c r="A409" t="s">
        <v>421</v>
      </c>
      <c r="B409" s="5">
        <v>45709</v>
      </c>
      <c r="C409" s="5">
        <v>45737</v>
      </c>
      <c r="D409" s="5">
        <f t="shared" si="18"/>
        <v>45709</v>
      </c>
      <c r="E409" s="5">
        <f t="shared" si="19"/>
        <v>45737</v>
      </c>
      <c r="F409" s="7">
        <f t="shared" si="20"/>
        <v>28</v>
      </c>
      <c r="G409" t="s">
        <v>646</v>
      </c>
      <c r="H409" t="s">
        <v>651</v>
      </c>
      <c r="I409" t="s">
        <v>669</v>
      </c>
      <c r="J409" t="s">
        <v>706</v>
      </c>
      <c r="K409" t="s">
        <v>709</v>
      </c>
      <c r="L409" t="s">
        <v>714</v>
      </c>
      <c r="M409" t="s">
        <v>730</v>
      </c>
      <c r="N409" t="s">
        <v>1140</v>
      </c>
      <c r="O409">
        <v>1437.39</v>
      </c>
      <c r="P409">
        <v>1388.31</v>
      </c>
      <c r="Q409">
        <v>0.13800000000000001</v>
      </c>
      <c r="R409">
        <v>18</v>
      </c>
    </row>
    <row r="410" spans="1:18" x14ac:dyDescent="0.45">
      <c r="A410" t="s">
        <v>422</v>
      </c>
      <c r="B410" s="5">
        <v>45724</v>
      </c>
      <c r="C410" s="5">
        <v>45731</v>
      </c>
      <c r="D410" s="5">
        <f t="shared" si="18"/>
        <v>45724</v>
      </c>
      <c r="E410" s="5">
        <f t="shared" si="19"/>
        <v>45731</v>
      </c>
      <c r="F410" s="7">
        <f t="shared" si="20"/>
        <v>7</v>
      </c>
      <c r="G410" t="s">
        <v>647</v>
      </c>
      <c r="H410" t="s">
        <v>654</v>
      </c>
      <c r="I410" t="s">
        <v>668</v>
      </c>
      <c r="J410" t="s">
        <v>701</v>
      </c>
      <c r="K410" t="s">
        <v>710</v>
      </c>
      <c r="L410" t="s">
        <v>723</v>
      </c>
      <c r="M410" t="s">
        <v>731</v>
      </c>
      <c r="N410" t="s">
        <v>1141</v>
      </c>
      <c r="O410">
        <v>475.66</v>
      </c>
      <c r="P410">
        <v>529.14</v>
      </c>
      <c r="Q410">
        <v>0.19600000000000001</v>
      </c>
      <c r="R410">
        <v>11</v>
      </c>
    </row>
    <row r="411" spans="1:18" x14ac:dyDescent="0.45">
      <c r="A411" t="s">
        <v>423</v>
      </c>
      <c r="B411" s="5">
        <v>45276</v>
      </c>
      <c r="C411" s="5">
        <v>45279</v>
      </c>
      <c r="D411" s="5">
        <f t="shared" si="18"/>
        <v>45276</v>
      </c>
      <c r="E411" s="5">
        <f t="shared" si="19"/>
        <v>45279</v>
      </c>
      <c r="F411" s="7">
        <f t="shared" si="20"/>
        <v>3</v>
      </c>
      <c r="G411" t="s">
        <v>647</v>
      </c>
      <c r="H411" t="s">
        <v>659</v>
      </c>
      <c r="I411" t="s">
        <v>699</v>
      </c>
      <c r="J411" t="s">
        <v>702</v>
      </c>
      <c r="K411" t="s">
        <v>707</v>
      </c>
      <c r="L411" t="s">
        <v>720</v>
      </c>
      <c r="M411" t="s">
        <v>733</v>
      </c>
      <c r="N411" t="s">
        <v>1142</v>
      </c>
      <c r="O411">
        <v>1415.05</v>
      </c>
      <c r="P411">
        <v>1972.38</v>
      </c>
      <c r="Q411">
        <v>0</v>
      </c>
      <c r="R411">
        <v>12</v>
      </c>
    </row>
    <row r="412" spans="1:18" x14ac:dyDescent="0.45">
      <c r="A412" t="s">
        <v>424</v>
      </c>
      <c r="B412" s="5">
        <v>45534</v>
      </c>
      <c r="C412" s="5">
        <v>45540</v>
      </c>
      <c r="D412" s="5">
        <f t="shared" si="18"/>
        <v>45534</v>
      </c>
      <c r="E412" s="5">
        <f t="shared" si="19"/>
        <v>45540</v>
      </c>
      <c r="F412" s="7">
        <f t="shared" si="20"/>
        <v>6</v>
      </c>
      <c r="G412" t="s">
        <v>647</v>
      </c>
      <c r="H412" t="s">
        <v>652</v>
      </c>
      <c r="I412" t="s">
        <v>694</v>
      </c>
      <c r="J412" t="s">
        <v>702</v>
      </c>
      <c r="K412" t="s">
        <v>708</v>
      </c>
      <c r="L412" t="s">
        <v>725</v>
      </c>
      <c r="M412" t="s">
        <v>731</v>
      </c>
      <c r="N412" t="s">
        <v>1143</v>
      </c>
      <c r="O412">
        <v>466.16</v>
      </c>
      <c r="P412">
        <v>876.81</v>
      </c>
      <c r="Q412">
        <v>0.24099999999999999</v>
      </c>
      <c r="R412">
        <v>8</v>
      </c>
    </row>
    <row r="413" spans="1:18" x14ac:dyDescent="0.45">
      <c r="A413" t="s">
        <v>425</v>
      </c>
      <c r="B413" s="5">
        <v>45430</v>
      </c>
      <c r="C413" s="5">
        <v>45433</v>
      </c>
      <c r="D413" s="5">
        <f t="shared" si="18"/>
        <v>45430</v>
      </c>
      <c r="E413" s="5">
        <f t="shared" si="19"/>
        <v>45433</v>
      </c>
      <c r="F413" s="7">
        <f t="shared" si="20"/>
        <v>3</v>
      </c>
      <c r="G413" t="s">
        <v>649</v>
      </c>
      <c r="H413" t="s">
        <v>657</v>
      </c>
      <c r="I413" t="s">
        <v>673</v>
      </c>
      <c r="J413" t="s">
        <v>703</v>
      </c>
      <c r="K413" t="s">
        <v>709</v>
      </c>
      <c r="L413" t="s">
        <v>726</v>
      </c>
      <c r="M413" t="s">
        <v>728</v>
      </c>
      <c r="N413" t="s">
        <v>1144</v>
      </c>
      <c r="O413">
        <v>663.66</v>
      </c>
      <c r="P413">
        <v>824.26</v>
      </c>
      <c r="Q413">
        <v>0.23899999999999999</v>
      </c>
      <c r="R413">
        <v>11</v>
      </c>
    </row>
    <row r="414" spans="1:18" x14ac:dyDescent="0.45">
      <c r="A414" t="s">
        <v>426</v>
      </c>
      <c r="B414" s="5">
        <v>45002</v>
      </c>
      <c r="C414" s="5">
        <v>45022</v>
      </c>
      <c r="D414" s="5">
        <f t="shared" si="18"/>
        <v>45002</v>
      </c>
      <c r="E414" s="5">
        <f t="shared" si="19"/>
        <v>45022</v>
      </c>
      <c r="F414" s="7">
        <f t="shared" si="20"/>
        <v>20</v>
      </c>
      <c r="G414" t="s">
        <v>649</v>
      </c>
      <c r="H414" t="s">
        <v>656</v>
      </c>
      <c r="I414" t="s">
        <v>684</v>
      </c>
      <c r="J414" t="s">
        <v>704</v>
      </c>
      <c r="K414" t="s">
        <v>707</v>
      </c>
      <c r="L414" t="s">
        <v>719</v>
      </c>
      <c r="M414" t="s">
        <v>730</v>
      </c>
      <c r="N414" t="s">
        <v>1145</v>
      </c>
      <c r="O414">
        <v>692.18</v>
      </c>
      <c r="P414">
        <v>1159.3499999999999</v>
      </c>
      <c r="Q414">
        <v>0.112</v>
      </c>
      <c r="R414">
        <v>2</v>
      </c>
    </row>
    <row r="415" spans="1:18" x14ac:dyDescent="0.45">
      <c r="A415" t="s">
        <v>427</v>
      </c>
      <c r="B415" s="5">
        <v>45163</v>
      </c>
      <c r="C415" s="5">
        <v>45185</v>
      </c>
      <c r="D415" s="5">
        <f t="shared" si="18"/>
        <v>45163</v>
      </c>
      <c r="E415" s="5">
        <f t="shared" si="19"/>
        <v>45185</v>
      </c>
      <c r="F415" s="7">
        <f t="shared" si="20"/>
        <v>22</v>
      </c>
      <c r="G415" t="s">
        <v>646</v>
      </c>
      <c r="H415" t="s">
        <v>651</v>
      </c>
      <c r="I415" t="s">
        <v>669</v>
      </c>
      <c r="J415" t="s">
        <v>701</v>
      </c>
      <c r="K415" t="s">
        <v>709</v>
      </c>
      <c r="L415" t="s">
        <v>716</v>
      </c>
      <c r="M415" t="s">
        <v>730</v>
      </c>
      <c r="N415" t="s">
        <v>1146</v>
      </c>
      <c r="O415">
        <v>1196.83</v>
      </c>
      <c r="P415">
        <v>2513.5100000000002</v>
      </c>
      <c r="Q415">
        <v>8.3000000000000004E-2</v>
      </c>
      <c r="R415">
        <v>7</v>
      </c>
    </row>
    <row r="416" spans="1:18" x14ac:dyDescent="0.45">
      <c r="A416" t="s">
        <v>428</v>
      </c>
      <c r="B416" s="5">
        <v>45449</v>
      </c>
      <c r="C416" s="5">
        <v>45467</v>
      </c>
      <c r="D416" s="5">
        <f t="shared" si="18"/>
        <v>45449</v>
      </c>
      <c r="E416" s="5">
        <f t="shared" si="19"/>
        <v>45467</v>
      </c>
      <c r="F416" s="7">
        <f t="shared" si="20"/>
        <v>18</v>
      </c>
      <c r="G416" t="s">
        <v>647</v>
      </c>
      <c r="H416" t="s">
        <v>654</v>
      </c>
      <c r="I416" t="s">
        <v>668</v>
      </c>
      <c r="J416" t="s">
        <v>705</v>
      </c>
      <c r="K416" t="s">
        <v>711</v>
      </c>
      <c r="L416" t="s">
        <v>722</v>
      </c>
      <c r="M416" t="s">
        <v>729</v>
      </c>
      <c r="N416" t="s">
        <v>1147</v>
      </c>
      <c r="O416">
        <v>1253.25</v>
      </c>
      <c r="P416">
        <v>3087.13</v>
      </c>
      <c r="Q416">
        <v>7.1999999999999995E-2</v>
      </c>
      <c r="R416">
        <v>11</v>
      </c>
    </row>
    <row r="417" spans="1:18" x14ac:dyDescent="0.45">
      <c r="A417" t="s">
        <v>429</v>
      </c>
      <c r="B417" s="5">
        <v>45167</v>
      </c>
      <c r="C417" s="5">
        <v>45182</v>
      </c>
      <c r="D417" s="5">
        <f t="shared" si="18"/>
        <v>45167</v>
      </c>
      <c r="E417" s="5">
        <f t="shared" si="19"/>
        <v>45182</v>
      </c>
      <c r="F417" s="7">
        <f t="shared" si="20"/>
        <v>15</v>
      </c>
      <c r="G417" t="s">
        <v>648</v>
      </c>
      <c r="H417" t="s">
        <v>653</v>
      </c>
      <c r="I417" t="s">
        <v>688</v>
      </c>
      <c r="J417" t="s">
        <v>705</v>
      </c>
      <c r="K417" t="s">
        <v>709</v>
      </c>
      <c r="L417" t="s">
        <v>719</v>
      </c>
      <c r="M417" t="s">
        <v>728</v>
      </c>
      <c r="N417" t="s">
        <v>1148</v>
      </c>
      <c r="O417">
        <v>1287.6400000000001</v>
      </c>
      <c r="P417">
        <v>2717.15</v>
      </c>
      <c r="Q417">
        <v>3.2000000000000001E-2</v>
      </c>
      <c r="R417">
        <v>7</v>
      </c>
    </row>
    <row r="418" spans="1:18" x14ac:dyDescent="0.45">
      <c r="A418" t="s">
        <v>430</v>
      </c>
      <c r="B418" s="5">
        <v>45626</v>
      </c>
      <c r="C418" s="5">
        <v>45636</v>
      </c>
      <c r="D418" s="5">
        <f t="shared" si="18"/>
        <v>45626</v>
      </c>
      <c r="E418" s="5">
        <f t="shared" si="19"/>
        <v>45636</v>
      </c>
      <c r="F418" s="7">
        <f t="shared" si="20"/>
        <v>10</v>
      </c>
      <c r="G418" t="s">
        <v>647</v>
      </c>
      <c r="H418" t="s">
        <v>654</v>
      </c>
      <c r="I418" t="s">
        <v>696</v>
      </c>
      <c r="J418" t="s">
        <v>705</v>
      </c>
      <c r="K418" t="s">
        <v>707</v>
      </c>
      <c r="L418" t="s">
        <v>721</v>
      </c>
      <c r="M418" t="s">
        <v>733</v>
      </c>
      <c r="N418" t="s">
        <v>1149</v>
      </c>
      <c r="O418">
        <v>851.49</v>
      </c>
      <c r="P418">
        <v>901.79</v>
      </c>
      <c r="Q418">
        <v>0.245</v>
      </c>
      <c r="R418">
        <v>16</v>
      </c>
    </row>
    <row r="419" spans="1:18" x14ac:dyDescent="0.45">
      <c r="A419" t="s">
        <v>431</v>
      </c>
      <c r="B419" s="5">
        <v>45813</v>
      </c>
      <c r="C419" s="5">
        <v>45822</v>
      </c>
      <c r="D419" s="5">
        <f t="shared" si="18"/>
        <v>45813</v>
      </c>
      <c r="E419" s="5">
        <f t="shared" si="19"/>
        <v>45822</v>
      </c>
      <c r="F419" s="7">
        <f t="shared" si="20"/>
        <v>9</v>
      </c>
      <c r="G419" t="s">
        <v>647</v>
      </c>
      <c r="H419" t="s">
        <v>654</v>
      </c>
      <c r="I419" t="s">
        <v>680</v>
      </c>
      <c r="J419" t="s">
        <v>703</v>
      </c>
      <c r="K419" t="s">
        <v>707</v>
      </c>
      <c r="L419" t="s">
        <v>720</v>
      </c>
      <c r="M419" t="s">
        <v>733</v>
      </c>
      <c r="N419" t="s">
        <v>1150</v>
      </c>
      <c r="O419">
        <v>618.69000000000005</v>
      </c>
      <c r="P419">
        <v>796.15</v>
      </c>
      <c r="Q419">
        <v>0.09</v>
      </c>
      <c r="R419">
        <v>11</v>
      </c>
    </row>
    <row r="420" spans="1:18" x14ac:dyDescent="0.45">
      <c r="A420" t="s">
        <v>432</v>
      </c>
      <c r="B420" s="5">
        <v>45730</v>
      </c>
      <c r="C420" s="5">
        <v>45755</v>
      </c>
      <c r="D420" s="5">
        <f t="shared" si="18"/>
        <v>45730</v>
      </c>
      <c r="E420" s="5">
        <f t="shared" si="19"/>
        <v>45755</v>
      </c>
      <c r="F420" s="7">
        <f t="shared" si="20"/>
        <v>25</v>
      </c>
      <c r="G420" t="s">
        <v>647</v>
      </c>
      <c r="H420" t="s">
        <v>659</v>
      </c>
      <c r="J420" t="s">
        <v>701</v>
      </c>
      <c r="K420" t="s">
        <v>710</v>
      </c>
      <c r="L420" t="s">
        <v>726</v>
      </c>
      <c r="M420" t="s">
        <v>728</v>
      </c>
      <c r="N420" t="s">
        <v>1151</v>
      </c>
      <c r="O420">
        <v>80.59</v>
      </c>
      <c r="P420">
        <v>157.82</v>
      </c>
      <c r="Q420">
        <v>0.217</v>
      </c>
      <c r="R420">
        <v>6</v>
      </c>
    </row>
    <row r="421" spans="1:18" x14ac:dyDescent="0.45">
      <c r="A421" t="s">
        <v>433</v>
      </c>
      <c r="B421" s="5">
        <v>45307</v>
      </c>
      <c r="C421" s="5">
        <v>45333</v>
      </c>
      <c r="D421" s="5">
        <f t="shared" si="18"/>
        <v>45307</v>
      </c>
      <c r="E421" s="5">
        <f t="shared" si="19"/>
        <v>45333</v>
      </c>
      <c r="F421" s="7">
        <f t="shared" si="20"/>
        <v>26</v>
      </c>
      <c r="G421" t="s">
        <v>649</v>
      </c>
      <c r="H421" t="s">
        <v>656</v>
      </c>
      <c r="I421" t="s">
        <v>698</v>
      </c>
      <c r="J421" t="s">
        <v>703</v>
      </c>
      <c r="K421" t="s">
        <v>710</v>
      </c>
      <c r="L421" t="s">
        <v>718</v>
      </c>
      <c r="M421" t="s">
        <v>732</v>
      </c>
      <c r="N421" t="s">
        <v>1152</v>
      </c>
      <c r="O421">
        <v>504.93</v>
      </c>
      <c r="P421">
        <v>819.06</v>
      </c>
      <c r="Q421">
        <v>0.22600000000000001</v>
      </c>
      <c r="R421">
        <v>15</v>
      </c>
    </row>
    <row r="422" spans="1:18" x14ac:dyDescent="0.45">
      <c r="A422" t="s">
        <v>434</v>
      </c>
      <c r="B422" s="5">
        <v>45211</v>
      </c>
      <c r="C422" s="5">
        <v>45228</v>
      </c>
      <c r="D422" s="5">
        <f t="shared" si="18"/>
        <v>45211</v>
      </c>
      <c r="E422" s="5">
        <f t="shared" si="19"/>
        <v>45228</v>
      </c>
      <c r="F422" s="7">
        <f t="shared" si="20"/>
        <v>17</v>
      </c>
      <c r="G422" t="s">
        <v>647</v>
      </c>
      <c r="H422" t="s">
        <v>652</v>
      </c>
      <c r="I422" t="s">
        <v>694</v>
      </c>
      <c r="J422" t="s">
        <v>703</v>
      </c>
      <c r="K422" t="s">
        <v>711</v>
      </c>
      <c r="L422" t="s">
        <v>722</v>
      </c>
      <c r="M422" t="s">
        <v>730</v>
      </c>
      <c r="N422" t="s">
        <v>1153</v>
      </c>
      <c r="O422">
        <v>1102.19</v>
      </c>
      <c r="P422">
        <v>1711.16</v>
      </c>
      <c r="Q422">
        <v>0.151</v>
      </c>
      <c r="R422">
        <v>10</v>
      </c>
    </row>
    <row r="423" spans="1:18" x14ac:dyDescent="0.45">
      <c r="A423" t="s">
        <v>435</v>
      </c>
      <c r="B423" s="5">
        <v>45713</v>
      </c>
      <c r="C423" s="5">
        <v>45733</v>
      </c>
      <c r="D423" s="5">
        <f t="shared" si="18"/>
        <v>45713</v>
      </c>
      <c r="E423" s="5">
        <f t="shared" si="19"/>
        <v>45733</v>
      </c>
      <c r="F423" s="7">
        <f t="shared" si="20"/>
        <v>20</v>
      </c>
      <c r="G423" t="s">
        <v>648</v>
      </c>
      <c r="H423" t="s">
        <v>660</v>
      </c>
      <c r="I423" t="s">
        <v>686</v>
      </c>
      <c r="J423" t="s">
        <v>703</v>
      </c>
      <c r="K423" t="s">
        <v>709</v>
      </c>
      <c r="L423" t="s">
        <v>722</v>
      </c>
      <c r="M423" t="s">
        <v>730</v>
      </c>
      <c r="N423" t="s">
        <v>1154</v>
      </c>
      <c r="O423">
        <v>1205.26</v>
      </c>
      <c r="P423">
        <v>1696.35</v>
      </c>
      <c r="Q423">
        <v>1.9E-2</v>
      </c>
      <c r="R423">
        <v>6</v>
      </c>
    </row>
    <row r="424" spans="1:18" x14ac:dyDescent="0.45">
      <c r="A424" t="s">
        <v>436</v>
      </c>
      <c r="B424" s="5">
        <v>45841</v>
      </c>
      <c r="C424" s="5">
        <v>45844</v>
      </c>
      <c r="D424" s="5">
        <f t="shared" si="18"/>
        <v>45841</v>
      </c>
      <c r="E424" s="5">
        <f t="shared" si="19"/>
        <v>45844</v>
      </c>
      <c r="F424" s="7">
        <f t="shared" si="20"/>
        <v>3</v>
      </c>
      <c r="G424" t="s">
        <v>646</v>
      </c>
      <c r="H424" t="s">
        <v>651</v>
      </c>
      <c r="I424" t="s">
        <v>665</v>
      </c>
      <c r="J424" t="s">
        <v>704</v>
      </c>
      <c r="K424" t="s">
        <v>708</v>
      </c>
      <c r="M424" t="s">
        <v>731</v>
      </c>
      <c r="N424" t="s">
        <v>1155</v>
      </c>
      <c r="O424">
        <v>1313.3</v>
      </c>
      <c r="P424">
        <v>2884.34</v>
      </c>
      <c r="Q424">
        <v>0.157</v>
      </c>
      <c r="R424">
        <v>42</v>
      </c>
    </row>
    <row r="425" spans="1:18" x14ac:dyDescent="0.45">
      <c r="A425" t="s">
        <v>437</v>
      </c>
      <c r="B425" s="5">
        <v>45915</v>
      </c>
      <c r="C425" s="5">
        <v>45925</v>
      </c>
      <c r="D425" s="5">
        <f t="shared" si="18"/>
        <v>45915</v>
      </c>
      <c r="E425" s="5">
        <f t="shared" si="19"/>
        <v>45925</v>
      </c>
      <c r="F425" s="7">
        <f t="shared" si="20"/>
        <v>10</v>
      </c>
      <c r="G425" t="s">
        <v>647</v>
      </c>
      <c r="H425" t="s">
        <v>654</v>
      </c>
      <c r="I425" t="s">
        <v>680</v>
      </c>
      <c r="J425" t="s">
        <v>704</v>
      </c>
      <c r="K425" t="s">
        <v>707</v>
      </c>
      <c r="L425" t="s">
        <v>720</v>
      </c>
      <c r="M425" t="s">
        <v>730</v>
      </c>
      <c r="N425" t="s">
        <v>1156</v>
      </c>
      <c r="O425">
        <v>1488.91</v>
      </c>
      <c r="P425">
        <v>1483.74</v>
      </c>
      <c r="Q425">
        <v>0.16800000000000001</v>
      </c>
      <c r="R425">
        <v>24</v>
      </c>
    </row>
    <row r="426" spans="1:18" x14ac:dyDescent="0.45">
      <c r="A426" t="s">
        <v>438</v>
      </c>
      <c r="B426" s="5">
        <v>45341</v>
      </c>
      <c r="C426" s="5">
        <v>45357</v>
      </c>
      <c r="D426" s="5">
        <f t="shared" si="18"/>
        <v>45341</v>
      </c>
      <c r="E426" s="5">
        <f t="shared" si="19"/>
        <v>45357</v>
      </c>
      <c r="F426" s="7">
        <f t="shared" si="20"/>
        <v>16</v>
      </c>
      <c r="G426" t="s">
        <v>647</v>
      </c>
      <c r="H426" t="s">
        <v>659</v>
      </c>
      <c r="I426" t="s">
        <v>699</v>
      </c>
      <c r="J426" t="s">
        <v>702</v>
      </c>
      <c r="K426" t="s">
        <v>709</v>
      </c>
      <c r="L426" t="s">
        <v>719</v>
      </c>
      <c r="M426" t="s">
        <v>728</v>
      </c>
      <c r="N426" t="s">
        <v>1157</v>
      </c>
      <c r="O426">
        <v>1477.84</v>
      </c>
      <c r="P426">
        <v>3197.47</v>
      </c>
      <c r="Q426">
        <v>0.24299999999999999</v>
      </c>
      <c r="R426">
        <v>24</v>
      </c>
    </row>
    <row r="427" spans="1:18" x14ac:dyDescent="0.45">
      <c r="A427" t="s">
        <v>439</v>
      </c>
      <c r="B427" s="5">
        <v>45349</v>
      </c>
      <c r="C427" s="5">
        <v>45377</v>
      </c>
      <c r="D427" s="5">
        <f t="shared" si="18"/>
        <v>45349</v>
      </c>
      <c r="E427" s="5">
        <f t="shared" si="19"/>
        <v>45377</v>
      </c>
      <c r="F427" s="7">
        <f t="shared" si="20"/>
        <v>28</v>
      </c>
      <c r="G427" t="s">
        <v>647</v>
      </c>
      <c r="H427" t="s">
        <v>654</v>
      </c>
      <c r="I427" t="s">
        <v>691</v>
      </c>
      <c r="J427" t="s">
        <v>702</v>
      </c>
      <c r="K427" t="s">
        <v>709</v>
      </c>
      <c r="L427" t="s">
        <v>715</v>
      </c>
      <c r="M427" t="s">
        <v>731</v>
      </c>
      <c r="N427" t="s">
        <v>1158</v>
      </c>
      <c r="O427">
        <v>1035.19</v>
      </c>
      <c r="P427">
        <v>2322.6999999999998</v>
      </c>
      <c r="Q427">
        <v>0.17299999999999999</v>
      </c>
      <c r="R427">
        <v>8</v>
      </c>
    </row>
    <row r="428" spans="1:18" x14ac:dyDescent="0.45">
      <c r="A428" t="s">
        <v>440</v>
      </c>
      <c r="B428" s="5">
        <v>45897</v>
      </c>
      <c r="C428" s="5">
        <v>45905</v>
      </c>
      <c r="D428" s="5">
        <f t="shared" si="18"/>
        <v>45897</v>
      </c>
      <c r="E428" s="5">
        <f t="shared" si="19"/>
        <v>45905</v>
      </c>
      <c r="F428" s="7">
        <f t="shared" si="20"/>
        <v>8</v>
      </c>
      <c r="G428" t="s">
        <v>646</v>
      </c>
      <c r="H428" t="s">
        <v>651</v>
      </c>
      <c r="I428" t="s">
        <v>663</v>
      </c>
      <c r="J428" t="s">
        <v>705</v>
      </c>
      <c r="K428" t="s">
        <v>709</v>
      </c>
      <c r="L428" t="s">
        <v>718</v>
      </c>
      <c r="M428" t="s">
        <v>731</v>
      </c>
      <c r="N428" t="s">
        <v>1159</v>
      </c>
      <c r="O428">
        <v>1271.0999999999999</v>
      </c>
      <c r="P428">
        <v>1932.42</v>
      </c>
      <c r="Q428">
        <v>0.25</v>
      </c>
      <c r="R428">
        <v>21</v>
      </c>
    </row>
    <row r="429" spans="1:18" x14ac:dyDescent="0.45">
      <c r="A429" t="s">
        <v>441</v>
      </c>
      <c r="B429" s="5">
        <v>45522</v>
      </c>
      <c r="C429" s="5">
        <v>45547</v>
      </c>
      <c r="D429" s="5">
        <f t="shared" si="18"/>
        <v>45522</v>
      </c>
      <c r="E429" s="5">
        <f t="shared" si="19"/>
        <v>45547</v>
      </c>
      <c r="F429" s="7">
        <f t="shared" si="20"/>
        <v>25</v>
      </c>
      <c r="G429" t="s">
        <v>647</v>
      </c>
      <c r="H429" t="s">
        <v>654</v>
      </c>
      <c r="I429" t="s">
        <v>691</v>
      </c>
      <c r="J429" t="s">
        <v>704</v>
      </c>
      <c r="K429" t="s">
        <v>709</v>
      </c>
      <c r="L429" t="s">
        <v>712</v>
      </c>
      <c r="M429" t="s">
        <v>730</v>
      </c>
      <c r="N429" t="s">
        <v>1160</v>
      </c>
      <c r="O429">
        <v>1154.03</v>
      </c>
      <c r="P429">
        <v>1590.36</v>
      </c>
      <c r="Q429">
        <v>0.314</v>
      </c>
      <c r="R429">
        <v>18</v>
      </c>
    </row>
    <row r="430" spans="1:18" x14ac:dyDescent="0.45">
      <c r="A430" t="s">
        <v>442</v>
      </c>
      <c r="B430" s="5">
        <v>45347</v>
      </c>
      <c r="C430" s="5">
        <v>45360</v>
      </c>
      <c r="D430" s="5">
        <f t="shared" si="18"/>
        <v>45347</v>
      </c>
      <c r="E430" s="5">
        <f t="shared" si="19"/>
        <v>45360</v>
      </c>
      <c r="F430" s="7">
        <f t="shared" si="20"/>
        <v>13</v>
      </c>
      <c r="G430" t="s">
        <v>649</v>
      </c>
      <c r="H430" t="s">
        <v>657</v>
      </c>
      <c r="I430" t="s">
        <v>673</v>
      </c>
      <c r="J430" t="s">
        <v>705</v>
      </c>
      <c r="K430" t="s">
        <v>710</v>
      </c>
      <c r="L430" t="s">
        <v>718</v>
      </c>
      <c r="M430" t="s">
        <v>732</v>
      </c>
      <c r="N430" t="s">
        <v>1161</v>
      </c>
      <c r="O430">
        <v>322.44</v>
      </c>
      <c r="P430">
        <v>395.61</v>
      </c>
      <c r="Q430">
        <v>0</v>
      </c>
      <c r="R430">
        <v>34</v>
      </c>
    </row>
    <row r="431" spans="1:18" x14ac:dyDescent="0.45">
      <c r="A431" t="s">
        <v>443</v>
      </c>
      <c r="B431" s="5">
        <v>45784</v>
      </c>
      <c r="C431" s="5">
        <v>45790</v>
      </c>
      <c r="D431" s="5">
        <f t="shared" si="18"/>
        <v>45784</v>
      </c>
      <c r="E431" s="5">
        <f t="shared" si="19"/>
        <v>45790</v>
      </c>
      <c r="F431" s="7">
        <f t="shared" si="20"/>
        <v>6</v>
      </c>
      <c r="G431" t="s">
        <v>647</v>
      </c>
      <c r="H431" t="s">
        <v>654</v>
      </c>
      <c r="I431" t="s">
        <v>668</v>
      </c>
      <c r="J431" t="s">
        <v>706</v>
      </c>
      <c r="K431" t="s">
        <v>711</v>
      </c>
      <c r="L431" t="s">
        <v>713</v>
      </c>
      <c r="M431" t="s">
        <v>730</v>
      </c>
      <c r="N431" t="s">
        <v>1162</v>
      </c>
      <c r="O431">
        <v>935.98</v>
      </c>
      <c r="P431">
        <v>2077.69</v>
      </c>
      <c r="Q431">
        <v>0.17499999999999999</v>
      </c>
      <c r="R431">
        <v>24</v>
      </c>
    </row>
    <row r="432" spans="1:18" x14ac:dyDescent="0.45">
      <c r="A432" t="s">
        <v>444</v>
      </c>
      <c r="B432" s="5">
        <v>45597</v>
      </c>
      <c r="C432" s="5">
        <v>45608</v>
      </c>
      <c r="D432" s="5">
        <f t="shared" si="18"/>
        <v>45597</v>
      </c>
      <c r="E432" s="5">
        <f t="shared" si="19"/>
        <v>45608</v>
      </c>
      <c r="F432" s="7">
        <f t="shared" si="20"/>
        <v>11</v>
      </c>
      <c r="G432" t="s">
        <v>649</v>
      </c>
      <c r="H432" t="s">
        <v>656</v>
      </c>
      <c r="I432" t="s">
        <v>698</v>
      </c>
      <c r="J432" t="s">
        <v>704</v>
      </c>
      <c r="K432" t="s">
        <v>708</v>
      </c>
      <c r="L432" t="s">
        <v>717</v>
      </c>
      <c r="M432" t="s">
        <v>728</v>
      </c>
      <c r="N432" t="s">
        <v>1163</v>
      </c>
      <c r="O432">
        <v>599.84</v>
      </c>
      <c r="P432">
        <v>1330.85</v>
      </c>
      <c r="Q432">
        <v>0.115</v>
      </c>
      <c r="R432">
        <v>11</v>
      </c>
    </row>
    <row r="433" spans="1:18" x14ac:dyDescent="0.45">
      <c r="A433" t="s">
        <v>445</v>
      </c>
      <c r="B433" s="5">
        <v>45654</v>
      </c>
      <c r="C433" s="5">
        <v>45665</v>
      </c>
      <c r="D433" s="5">
        <f t="shared" si="18"/>
        <v>45654</v>
      </c>
      <c r="E433" s="5">
        <f t="shared" si="19"/>
        <v>45665</v>
      </c>
      <c r="F433" s="7">
        <f t="shared" si="20"/>
        <v>11</v>
      </c>
      <c r="G433" t="s">
        <v>647</v>
      </c>
      <c r="H433" t="s">
        <v>659</v>
      </c>
      <c r="I433" t="s">
        <v>676</v>
      </c>
      <c r="J433" t="s">
        <v>706</v>
      </c>
      <c r="K433" t="s">
        <v>708</v>
      </c>
      <c r="L433" t="s">
        <v>723</v>
      </c>
      <c r="M433" t="s">
        <v>731</v>
      </c>
      <c r="N433" t="s">
        <v>1164</v>
      </c>
      <c r="O433">
        <v>1201.31</v>
      </c>
      <c r="P433">
        <v>2764.65</v>
      </c>
      <c r="Q433">
        <v>0</v>
      </c>
      <c r="R433">
        <v>21</v>
      </c>
    </row>
    <row r="434" spans="1:18" x14ac:dyDescent="0.45">
      <c r="A434" t="s">
        <v>446</v>
      </c>
      <c r="B434" s="5">
        <v>45220</v>
      </c>
      <c r="C434" s="5">
        <v>45220</v>
      </c>
      <c r="D434" s="5">
        <f t="shared" si="18"/>
        <v>45220</v>
      </c>
      <c r="E434" s="5">
        <f t="shared" si="19"/>
        <v>45220</v>
      </c>
      <c r="F434" s="7">
        <f t="shared" si="20"/>
        <v>0</v>
      </c>
      <c r="G434" t="s">
        <v>649</v>
      </c>
      <c r="H434" t="s">
        <v>658</v>
      </c>
      <c r="I434" t="s">
        <v>693</v>
      </c>
      <c r="J434" t="s">
        <v>706</v>
      </c>
      <c r="K434" t="s">
        <v>710</v>
      </c>
      <c r="L434" t="s">
        <v>713</v>
      </c>
      <c r="M434" t="s">
        <v>732</v>
      </c>
      <c r="N434" t="s">
        <v>1165</v>
      </c>
      <c r="O434">
        <v>384.19</v>
      </c>
      <c r="P434">
        <v>278.35000000000002</v>
      </c>
      <c r="Q434">
        <v>5.6000000000000001E-2</v>
      </c>
      <c r="R434">
        <v>10</v>
      </c>
    </row>
    <row r="435" spans="1:18" x14ac:dyDescent="0.45">
      <c r="A435" t="s">
        <v>447</v>
      </c>
      <c r="B435" s="5">
        <v>45636</v>
      </c>
      <c r="C435" s="5">
        <v>45645</v>
      </c>
      <c r="D435" s="5">
        <f t="shared" si="18"/>
        <v>45636</v>
      </c>
      <c r="E435" s="5">
        <f t="shared" si="19"/>
        <v>45645</v>
      </c>
      <c r="F435" s="7">
        <f t="shared" si="20"/>
        <v>9</v>
      </c>
      <c r="G435" t="s">
        <v>646</v>
      </c>
      <c r="H435" t="s">
        <v>651</v>
      </c>
      <c r="I435" t="s">
        <v>665</v>
      </c>
      <c r="J435" t="s">
        <v>701</v>
      </c>
      <c r="K435" t="s">
        <v>707</v>
      </c>
      <c r="L435" t="s">
        <v>719</v>
      </c>
      <c r="M435" t="s">
        <v>732</v>
      </c>
      <c r="N435" t="s">
        <v>1166</v>
      </c>
      <c r="O435">
        <v>488.68</v>
      </c>
      <c r="P435">
        <v>984.36</v>
      </c>
      <c r="Q435">
        <v>5.8999999999999997E-2</v>
      </c>
      <c r="R435">
        <v>14</v>
      </c>
    </row>
    <row r="436" spans="1:18" x14ac:dyDescent="0.45">
      <c r="A436" t="s">
        <v>448</v>
      </c>
      <c r="B436" s="5">
        <v>45542</v>
      </c>
      <c r="C436" s="5">
        <v>45553</v>
      </c>
      <c r="D436" s="5">
        <f t="shared" si="18"/>
        <v>45542</v>
      </c>
      <c r="E436" s="5">
        <f t="shared" si="19"/>
        <v>45553</v>
      </c>
      <c r="F436" s="7">
        <f t="shared" si="20"/>
        <v>11</v>
      </c>
      <c r="G436" t="s">
        <v>647</v>
      </c>
      <c r="H436" t="s">
        <v>659</v>
      </c>
      <c r="I436" t="s">
        <v>699</v>
      </c>
      <c r="J436" t="s">
        <v>704</v>
      </c>
      <c r="K436" t="s">
        <v>710</v>
      </c>
      <c r="L436" t="s">
        <v>719</v>
      </c>
      <c r="M436" t="s">
        <v>729</v>
      </c>
      <c r="N436" t="s">
        <v>1167</v>
      </c>
      <c r="O436">
        <v>181.74</v>
      </c>
      <c r="P436">
        <v>190.84</v>
      </c>
      <c r="Q436">
        <v>0.214</v>
      </c>
      <c r="R436">
        <v>13</v>
      </c>
    </row>
    <row r="437" spans="1:18" x14ac:dyDescent="0.45">
      <c r="A437" t="s">
        <v>449</v>
      </c>
      <c r="B437" s="5">
        <v>45217</v>
      </c>
      <c r="C437" s="5">
        <v>45219</v>
      </c>
      <c r="D437" s="5">
        <f t="shared" si="18"/>
        <v>45217</v>
      </c>
      <c r="E437" s="5">
        <f t="shared" si="19"/>
        <v>45219</v>
      </c>
      <c r="F437" s="7">
        <f t="shared" si="20"/>
        <v>2</v>
      </c>
      <c r="G437" t="s">
        <v>646</v>
      </c>
      <c r="H437" t="s">
        <v>650</v>
      </c>
      <c r="I437" t="s">
        <v>662</v>
      </c>
      <c r="J437" t="s">
        <v>704</v>
      </c>
      <c r="K437" t="s">
        <v>707</v>
      </c>
      <c r="L437" t="s">
        <v>713</v>
      </c>
      <c r="M437" t="s">
        <v>730</v>
      </c>
      <c r="N437" t="s">
        <v>1168</v>
      </c>
      <c r="O437">
        <v>774.12</v>
      </c>
      <c r="P437">
        <v>908.3</v>
      </c>
      <c r="Q437">
        <v>0</v>
      </c>
      <c r="R437">
        <v>30</v>
      </c>
    </row>
    <row r="438" spans="1:18" x14ac:dyDescent="0.45">
      <c r="A438" t="s">
        <v>450</v>
      </c>
      <c r="B438" s="5">
        <v>45650</v>
      </c>
      <c r="C438" s="5">
        <v>45670</v>
      </c>
      <c r="D438" s="5">
        <f t="shared" si="18"/>
        <v>45650</v>
      </c>
      <c r="E438" s="5">
        <f t="shared" si="19"/>
        <v>45670</v>
      </c>
      <c r="F438" s="7">
        <f t="shared" si="20"/>
        <v>20</v>
      </c>
      <c r="G438" t="s">
        <v>647</v>
      </c>
      <c r="H438" t="s">
        <v>654</v>
      </c>
      <c r="I438" t="s">
        <v>668</v>
      </c>
      <c r="J438" t="s">
        <v>701</v>
      </c>
      <c r="K438" t="s">
        <v>709</v>
      </c>
      <c r="L438" t="s">
        <v>726</v>
      </c>
      <c r="M438" t="s">
        <v>729</v>
      </c>
      <c r="N438" t="s">
        <v>1169</v>
      </c>
      <c r="O438">
        <v>126.15</v>
      </c>
      <c r="P438">
        <v>284.23</v>
      </c>
      <c r="Q438">
        <v>0.113</v>
      </c>
      <c r="R438">
        <v>22</v>
      </c>
    </row>
    <row r="439" spans="1:18" x14ac:dyDescent="0.45">
      <c r="A439" t="s">
        <v>451</v>
      </c>
      <c r="B439" s="5">
        <v>45037</v>
      </c>
      <c r="C439" s="5">
        <v>45035</v>
      </c>
      <c r="D439" s="5">
        <f t="shared" si="18"/>
        <v>45035</v>
      </c>
      <c r="E439" s="5">
        <f t="shared" si="19"/>
        <v>45037</v>
      </c>
      <c r="F439" s="7">
        <f t="shared" si="20"/>
        <v>2</v>
      </c>
      <c r="G439" t="s">
        <v>647</v>
      </c>
      <c r="H439" t="s">
        <v>652</v>
      </c>
      <c r="I439" t="s">
        <v>694</v>
      </c>
      <c r="J439" t="s">
        <v>705</v>
      </c>
      <c r="K439" t="s">
        <v>711</v>
      </c>
      <c r="L439" t="s">
        <v>724</v>
      </c>
      <c r="M439" t="s">
        <v>727</v>
      </c>
      <c r="N439" t="s">
        <v>1170</v>
      </c>
      <c r="O439">
        <v>607.04</v>
      </c>
      <c r="P439">
        <v>1229.3399999999999</v>
      </c>
      <c r="Q439">
        <v>0.14699999999999999</v>
      </c>
      <c r="R439">
        <v>7</v>
      </c>
    </row>
    <row r="440" spans="1:18" x14ac:dyDescent="0.45">
      <c r="A440" t="s">
        <v>452</v>
      </c>
      <c r="B440" s="5">
        <v>45290</v>
      </c>
      <c r="C440" s="5">
        <v>45299</v>
      </c>
      <c r="D440" s="5">
        <f t="shared" si="18"/>
        <v>45290</v>
      </c>
      <c r="E440" s="5">
        <f t="shared" si="19"/>
        <v>45299</v>
      </c>
      <c r="F440" s="7">
        <f t="shared" si="20"/>
        <v>9</v>
      </c>
      <c r="G440" t="s">
        <v>649</v>
      </c>
      <c r="H440" t="s">
        <v>657</v>
      </c>
      <c r="I440" t="s">
        <v>673</v>
      </c>
      <c r="J440" t="s">
        <v>704</v>
      </c>
      <c r="K440" t="s">
        <v>709</v>
      </c>
      <c r="L440" t="s">
        <v>716</v>
      </c>
      <c r="M440" t="s">
        <v>733</v>
      </c>
      <c r="N440" t="s">
        <v>1171</v>
      </c>
      <c r="O440">
        <v>861.1</v>
      </c>
      <c r="P440">
        <v>1224.72</v>
      </c>
      <c r="Q440">
        <v>0.17399999999999999</v>
      </c>
      <c r="R440">
        <v>24</v>
      </c>
    </row>
    <row r="441" spans="1:18" x14ac:dyDescent="0.45">
      <c r="A441" t="s">
        <v>453</v>
      </c>
      <c r="B441" s="5">
        <v>44978</v>
      </c>
      <c r="C441" s="5">
        <v>44997</v>
      </c>
      <c r="D441" s="5">
        <f t="shared" si="18"/>
        <v>44978</v>
      </c>
      <c r="E441" s="5">
        <f t="shared" si="19"/>
        <v>44997</v>
      </c>
      <c r="F441" s="7">
        <f t="shared" si="20"/>
        <v>19</v>
      </c>
      <c r="G441" t="s">
        <v>646</v>
      </c>
      <c r="H441" t="s">
        <v>650</v>
      </c>
      <c r="I441" t="s">
        <v>678</v>
      </c>
      <c r="J441" t="s">
        <v>701</v>
      </c>
      <c r="K441" t="s">
        <v>708</v>
      </c>
      <c r="L441" t="s">
        <v>721</v>
      </c>
      <c r="M441" t="s">
        <v>729</v>
      </c>
      <c r="N441" t="s">
        <v>1172</v>
      </c>
      <c r="O441">
        <v>352.65</v>
      </c>
      <c r="P441">
        <v>485.86</v>
      </c>
      <c r="Q441">
        <v>4.1000000000000002E-2</v>
      </c>
      <c r="R441">
        <v>6</v>
      </c>
    </row>
    <row r="442" spans="1:18" x14ac:dyDescent="0.45">
      <c r="A442" t="s">
        <v>454</v>
      </c>
      <c r="B442" s="5">
        <v>45063</v>
      </c>
      <c r="C442" s="5">
        <v>45080</v>
      </c>
      <c r="D442" s="5">
        <f t="shared" si="18"/>
        <v>45063</v>
      </c>
      <c r="E442" s="5">
        <f t="shared" si="19"/>
        <v>45080</v>
      </c>
      <c r="F442" s="7">
        <f t="shared" si="20"/>
        <v>17</v>
      </c>
      <c r="G442" t="s">
        <v>647</v>
      </c>
      <c r="H442" t="s">
        <v>659</v>
      </c>
      <c r="I442" t="s">
        <v>699</v>
      </c>
      <c r="J442" t="s">
        <v>703</v>
      </c>
      <c r="K442" t="s">
        <v>710</v>
      </c>
      <c r="L442" t="s">
        <v>724</v>
      </c>
      <c r="M442" t="s">
        <v>728</v>
      </c>
      <c r="N442" t="s">
        <v>1173</v>
      </c>
      <c r="O442">
        <v>979.59</v>
      </c>
      <c r="P442">
        <v>2210.94</v>
      </c>
      <c r="Q442">
        <v>0.15</v>
      </c>
      <c r="R442">
        <v>11</v>
      </c>
    </row>
    <row r="443" spans="1:18" x14ac:dyDescent="0.45">
      <c r="A443" t="s">
        <v>455</v>
      </c>
      <c r="B443" s="5">
        <v>45374</v>
      </c>
      <c r="C443" s="5">
        <v>45377</v>
      </c>
      <c r="D443" s="5">
        <f t="shared" si="18"/>
        <v>45374</v>
      </c>
      <c r="E443" s="5">
        <f t="shared" si="19"/>
        <v>45377</v>
      </c>
      <c r="F443" s="7">
        <f t="shared" si="20"/>
        <v>3</v>
      </c>
      <c r="G443" t="s">
        <v>647</v>
      </c>
      <c r="H443" t="s">
        <v>654</v>
      </c>
      <c r="I443" t="s">
        <v>668</v>
      </c>
      <c r="J443" t="s">
        <v>702</v>
      </c>
      <c r="K443" t="s">
        <v>711</v>
      </c>
      <c r="L443" t="s">
        <v>715</v>
      </c>
      <c r="M443" t="s">
        <v>730</v>
      </c>
      <c r="N443" t="s">
        <v>1174</v>
      </c>
      <c r="O443">
        <v>382.21</v>
      </c>
      <c r="P443">
        <v>571.89</v>
      </c>
      <c r="Q443">
        <v>0.14799999999999999</v>
      </c>
      <c r="R443">
        <v>26</v>
      </c>
    </row>
    <row r="444" spans="1:18" x14ac:dyDescent="0.45">
      <c r="A444" t="s">
        <v>456</v>
      </c>
      <c r="B444" s="5">
        <v>45189</v>
      </c>
      <c r="C444" s="5">
        <v>45197</v>
      </c>
      <c r="D444" s="5">
        <f t="shared" si="18"/>
        <v>45189</v>
      </c>
      <c r="E444" s="5">
        <f t="shared" si="19"/>
        <v>45197</v>
      </c>
      <c r="F444" s="7">
        <f t="shared" si="20"/>
        <v>8</v>
      </c>
      <c r="G444" t="s">
        <v>647</v>
      </c>
      <c r="H444" t="s">
        <v>654</v>
      </c>
      <c r="J444" t="s">
        <v>701</v>
      </c>
      <c r="L444" t="s">
        <v>717</v>
      </c>
      <c r="M444" t="s">
        <v>733</v>
      </c>
      <c r="N444" t="s">
        <v>1175</v>
      </c>
      <c r="O444">
        <v>1362.06</v>
      </c>
      <c r="P444">
        <v>3398.37</v>
      </c>
      <c r="Q444">
        <v>0.157</v>
      </c>
      <c r="R444">
        <v>11</v>
      </c>
    </row>
    <row r="445" spans="1:18" x14ac:dyDescent="0.45">
      <c r="A445" t="s">
        <v>457</v>
      </c>
      <c r="B445" s="5">
        <v>45526</v>
      </c>
      <c r="C445" s="5">
        <v>45539</v>
      </c>
      <c r="D445" s="5">
        <f t="shared" si="18"/>
        <v>45526</v>
      </c>
      <c r="E445" s="5">
        <f t="shared" si="19"/>
        <v>45539</v>
      </c>
      <c r="F445" s="7">
        <f t="shared" si="20"/>
        <v>13</v>
      </c>
      <c r="G445" t="s">
        <v>649</v>
      </c>
      <c r="H445" t="s">
        <v>656</v>
      </c>
      <c r="I445" t="s">
        <v>698</v>
      </c>
      <c r="J445" t="s">
        <v>703</v>
      </c>
      <c r="K445" t="s">
        <v>707</v>
      </c>
      <c r="L445" t="s">
        <v>716</v>
      </c>
      <c r="M445" t="s">
        <v>728</v>
      </c>
      <c r="N445" t="s">
        <v>1176</v>
      </c>
      <c r="O445">
        <v>90.04</v>
      </c>
      <c r="P445">
        <v>194.62</v>
      </c>
      <c r="Q445">
        <v>4.2999999999999997E-2</v>
      </c>
      <c r="R445">
        <v>32</v>
      </c>
    </row>
    <row r="446" spans="1:18" x14ac:dyDescent="0.45">
      <c r="A446" t="s">
        <v>458</v>
      </c>
      <c r="B446" s="5">
        <v>45560</v>
      </c>
      <c r="C446" s="5">
        <v>45568</v>
      </c>
      <c r="D446" s="5">
        <f t="shared" si="18"/>
        <v>45560</v>
      </c>
      <c r="E446" s="5">
        <f t="shared" si="19"/>
        <v>45568</v>
      </c>
      <c r="F446" s="7">
        <f t="shared" si="20"/>
        <v>8</v>
      </c>
      <c r="G446" t="s">
        <v>648</v>
      </c>
      <c r="H446" t="s">
        <v>653</v>
      </c>
      <c r="I446" t="s">
        <v>667</v>
      </c>
      <c r="J446" t="s">
        <v>704</v>
      </c>
      <c r="K446" t="s">
        <v>708</v>
      </c>
      <c r="L446" t="s">
        <v>718</v>
      </c>
      <c r="M446" t="s">
        <v>728</v>
      </c>
      <c r="N446" t="s">
        <v>1177</v>
      </c>
      <c r="O446">
        <v>558.19000000000005</v>
      </c>
      <c r="P446">
        <v>1031.6400000000001</v>
      </c>
      <c r="Q446">
        <v>0</v>
      </c>
      <c r="R446">
        <v>21</v>
      </c>
    </row>
    <row r="447" spans="1:18" x14ac:dyDescent="0.45">
      <c r="A447" t="s">
        <v>459</v>
      </c>
      <c r="B447" s="5">
        <v>45090</v>
      </c>
      <c r="C447" s="5">
        <v>45101</v>
      </c>
      <c r="D447" s="5">
        <f t="shared" si="18"/>
        <v>45090</v>
      </c>
      <c r="E447" s="5">
        <f t="shared" si="19"/>
        <v>45101</v>
      </c>
      <c r="F447" s="7">
        <f t="shared" si="20"/>
        <v>11</v>
      </c>
      <c r="G447" t="s">
        <v>648</v>
      </c>
      <c r="H447" t="s">
        <v>653</v>
      </c>
      <c r="I447" t="s">
        <v>667</v>
      </c>
      <c r="J447" t="s">
        <v>701</v>
      </c>
      <c r="K447" t="s">
        <v>708</v>
      </c>
      <c r="L447" t="s">
        <v>712</v>
      </c>
      <c r="M447" t="s">
        <v>728</v>
      </c>
      <c r="N447" t="s">
        <v>1178</v>
      </c>
      <c r="O447">
        <v>247.07</v>
      </c>
      <c r="P447">
        <v>495.19</v>
      </c>
      <c r="Q447">
        <v>2.8000000000000001E-2</v>
      </c>
      <c r="R447">
        <v>4</v>
      </c>
    </row>
    <row r="448" spans="1:18" x14ac:dyDescent="0.45">
      <c r="A448" t="s">
        <v>460</v>
      </c>
      <c r="B448" s="5">
        <v>45284</v>
      </c>
      <c r="C448" s="5">
        <v>45304</v>
      </c>
      <c r="D448" s="5">
        <f t="shared" si="18"/>
        <v>45284</v>
      </c>
      <c r="E448" s="5">
        <f t="shared" si="19"/>
        <v>45304</v>
      </c>
      <c r="F448" s="7">
        <f t="shared" si="20"/>
        <v>20</v>
      </c>
      <c r="G448" t="s">
        <v>647</v>
      </c>
      <c r="H448" t="s">
        <v>652</v>
      </c>
      <c r="I448" t="s">
        <v>694</v>
      </c>
      <c r="J448" t="s">
        <v>702</v>
      </c>
      <c r="K448" t="s">
        <v>711</v>
      </c>
      <c r="L448" t="s">
        <v>717</v>
      </c>
      <c r="M448" t="s">
        <v>731</v>
      </c>
      <c r="N448" t="s">
        <v>1179</v>
      </c>
      <c r="O448">
        <v>625.37</v>
      </c>
      <c r="P448">
        <v>1319.04</v>
      </c>
      <c r="Q448">
        <v>7.3999999999999996E-2</v>
      </c>
      <c r="R448">
        <v>8</v>
      </c>
    </row>
    <row r="449" spans="1:18" x14ac:dyDescent="0.45">
      <c r="A449" t="s">
        <v>461</v>
      </c>
      <c r="B449" s="5">
        <v>45746</v>
      </c>
      <c r="C449" s="5">
        <v>45776</v>
      </c>
      <c r="D449" s="5">
        <f t="shared" si="18"/>
        <v>45746</v>
      </c>
      <c r="E449" s="5">
        <f t="shared" si="19"/>
        <v>45776</v>
      </c>
      <c r="F449" s="7">
        <f t="shared" si="20"/>
        <v>30</v>
      </c>
      <c r="G449" t="s">
        <v>646</v>
      </c>
      <c r="H449" t="s">
        <v>661</v>
      </c>
      <c r="I449" t="s">
        <v>687</v>
      </c>
      <c r="J449" t="s">
        <v>704</v>
      </c>
      <c r="K449" t="s">
        <v>709</v>
      </c>
      <c r="L449" t="s">
        <v>713</v>
      </c>
      <c r="M449" t="s">
        <v>732</v>
      </c>
      <c r="N449" t="s">
        <v>1180</v>
      </c>
      <c r="O449">
        <v>194.6</v>
      </c>
      <c r="P449">
        <v>314.87</v>
      </c>
      <c r="Q449">
        <v>0.29299999999999998</v>
      </c>
      <c r="R449">
        <v>25</v>
      </c>
    </row>
    <row r="450" spans="1:18" x14ac:dyDescent="0.45">
      <c r="A450" t="s">
        <v>462</v>
      </c>
      <c r="B450" s="5">
        <v>45446</v>
      </c>
      <c r="C450" s="5">
        <v>45467</v>
      </c>
      <c r="D450" s="5">
        <f t="shared" si="18"/>
        <v>45446</v>
      </c>
      <c r="E450" s="5">
        <f t="shared" si="19"/>
        <v>45467</v>
      </c>
      <c r="F450" s="7">
        <f t="shared" si="20"/>
        <v>21</v>
      </c>
      <c r="G450" t="s">
        <v>648</v>
      </c>
      <c r="H450" t="s">
        <v>653</v>
      </c>
      <c r="I450" t="s">
        <v>667</v>
      </c>
      <c r="J450" t="s">
        <v>705</v>
      </c>
      <c r="K450" t="s">
        <v>711</v>
      </c>
      <c r="L450" t="s">
        <v>715</v>
      </c>
      <c r="M450" t="s">
        <v>732</v>
      </c>
      <c r="N450" t="s">
        <v>1181</v>
      </c>
      <c r="O450">
        <v>1205.5</v>
      </c>
      <c r="P450">
        <v>2210.17</v>
      </c>
      <c r="Q450">
        <v>0.104</v>
      </c>
      <c r="R450">
        <v>23</v>
      </c>
    </row>
    <row r="451" spans="1:18" x14ac:dyDescent="0.45">
      <c r="A451" t="s">
        <v>463</v>
      </c>
      <c r="B451" s="5">
        <v>45454</v>
      </c>
      <c r="C451" s="5">
        <v>45482</v>
      </c>
      <c r="D451" s="5">
        <f t="shared" ref="D451:D514" si="21">IF(C451&gt;B451,B451,C451)</f>
        <v>45454</v>
      </c>
      <c r="E451" s="5">
        <f t="shared" ref="E451:E514" si="22">IF(C451&gt;B451,C451,B451)</f>
        <v>45482</v>
      </c>
      <c r="F451" s="7">
        <f t="shared" ref="F451:F514" si="23">DATEDIF(D451,E451,"d")</f>
        <v>28</v>
      </c>
      <c r="G451" t="s">
        <v>646</v>
      </c>
      <c r="H451" t="s">
        <v>651</v>
      </c>
      <c r="I451" t="s">
        <v>663</v>
      </c>
      <c r="J451" t="s">
        <v>701</v>
      </c>
      <c r="K451" t="s">
        <v>709</v>
      </c>
      <c r="L451" t="s">
        <v>714</v>
      </c>
      <c r="M451" t="s">
        <v>730</v>
      </c>
      <c r="N451" t="s">
        <v>1182</v>
      </c>
      <c r="O451">
        <v>895.54</v>
      </c>
      <c r="P451">
        <v>1045</v>
      </c>
      <c r="Q451">
        <v>0.216</v>
      </c>
      <c r="R451">
        <v>15</v>
      </c>
    </row>
    <row r="452" spans="1:18" x14ac:dyDescent="0.45">
      <c r="A452" t="s">
        <v>464</v>
      </c>
      <c r="B452" s="5">
        <v>45129</v>
      </c>
      <c r="C452" s="5">
        <v>45128</v>
      </c>
      <c r="D452" s="5">
        <f t="shared" si="21"/>
        <v>45128</v>
      </c>
      <c r="E452" s="5">
        <f t="shared" si="22"/>
        <v>45129</v>
      </c>
      <c r="F452" s="7">
        <f t="shared" si="23"/>
        <v>1</v>
      </c>
      <c r="G452" t="s">
        <v>647</v>
      </c>
      <c r="H452" t="s">
        <v>654</v>
      </c>
      <c r="I452" t="s">
        <v>680</v>
      </c>
      <c r="J452" t="s">
        <v>705</v>
      </c>
      <c r="K452" t="s">
        <v>710</v>
      </c>
      <c r="L452" t="s">
        <v>718</v>
      </c>
      <c r="M452" t="s">
        <v>728</v>
      </c>
      <c r="N452" t="s">
        <v>1183</v>
      </c>
      <c r="O452">
        <v>946.99</v>
      </c>
      <c r="P452">
        <v>2132.19</v>
      </c>
      <c r="Q452">
        <v>0.16500000000000001</v>
      </c>
      <c r="R452">
        <v>7</v>
      </c>
    </row>
    <row r="453" spans="1:18" x14ac:dyDescent="0.45">
      <c r="A453" t="s">
        <v>465</v>
      </c>
      <c r="B453" s="5">
        <v>44945</v>
      </c>
      <c r="C453" s="5">
        <v>44960</v>
      </c>
      <c r="D453" s="5">
        <f t="shared" si="21"/>
        <v>44945</v>
      </c>
      <c r="E453" s="5">
        <f t="shared" si="22"/>
        <v>44960</v>
      </c>
      <c r="F453" s="7">
        <f t="shared" si="23"/>
        <v>15</v>
      </c>
      <c r="G453" t="s">
        <v>649</v>
      </c>
      <c r="H453" t="s">
        <v>658</v>
      </c>
      <c r="I453" t="s">
        <v>683</v>
      </c>
      <c r="J453" t="s">
        <v>706</v>
      </c>
      <c r="K453" t="s">
        <v>710</v>
      </c>
      <c r="L453" t="s">
        <v>715</v>
      </c>
      <c r="M453" t="s">
        <v>733</v>
      </c>
      <c r="N453" t="s">
        <v>1184</v>
      </c>
      <c r="O453">
        <v>873.06</v>
      </c>
      <c r="P453">
        <v>2101.5500000000002</v>
      </c>
      <c r="Q453">
        <v>6.6000000000000003E-2</v>
      </c>
      <c r="R453">
        <v>10</v>
      </c>
    </row>
    <row r="454" spans="1:18" x14ac:dyDescent="0.45">
      <c r="A454" t="s">
        <v>466</v>
      </c>
      <c r="B454" s="5">
        <v>45413</v>
      </c>
      <c r="C454" s="5">
        <v>45428</v>
      </c>
      <c r="D454" s="5">
        <f t="shared" si="21"/>
        <v>45413</v>
      </c>
      <c r="E454" s="5">
        <f t="shared" si="22"/>
        <v>45428</v>
      </c>
      <c r="F454" s="7">
        <f t="shared" si="23"/>
        <v>15</v>
      </c>
      <c r="G454" t="s">
        <v>647</v>
      </c>
      <c r="H454" t="s">
        <v>654</v>
      </c>
      <c r="I454" t="s">
        <v>668</v>
      </c>
      <c r="J454" t="s">
        <v>705</v>
      </c>
      <c r="K454" t="s">
        <v>707</v>
      </c>
      <c r="L454" t="s">
        <v>716</v>
      </c>
      <c r="M454" t="s">
        <v>727</v>
      </c>
      <c r="N454" t="s">
        <v>1185</v>
      </c>
      <c r="O454">
        <v>901.19</v>
      </c>
      <c r="P454">
        <v>2125.44</v>
      </c>
      <c r="Q454">
        <v>7.0999999999999994E-2</v>
      </c>
      <c r="R454">
        <v>12</v>
      </c>
    </row>
    <row r="455" spans="1:18" x14ac:dyDescent="0.45">
      <c r="A455" t="s">
        <v>467</v>
      </c>
      <c r="B455" s="5">
        <v>45817</v>
      </c>
      <c r="C455" s="5">
        <v>45832</v>
      </c>
      <c r="D455" s="5">
        <f t="shared" si="21"/>
        <v>45817</v>
      </c>
      <c r="E455" s="5">
        <f t="shared" si="22"/>
        <v>45832</v>
      </c>
      <c r="F455" s="7">
        <f t="shared" si="23"/>
        <v>15</v>
      </c>
      <c r="G455" t="s">
        <v>647</v>
      </c>
      <c r="H455" t="s">
        <v>652</v>
      </c>
      <c r="I455" t="s">
        <v>694</v>
      </c>
      <c r="J455" t="s">
        <v>701</v>
      </c>
      <c r="K455" t="s">
        <v>711</v>
      </c>
      <c r="L455" t="s">
        <v>717</v>
      </c>
      <c r="M455" t="s">
        <v>730</v>
      </c>
      <c r="N455" t="s">
        <v>1186</v>
      </c>
      <c r="O455">
        <v>400.39</v>
      </c>
      <c r="P455">
        <v>712.75</v>
      </c>
      <c r="Q455">
        <v>0.115</v>
      </c>
      <c r="R455">
        <v>19</v>
      </c>
    </row>
    <row r="456" spans="1:18" x14ac:dyDescent="0.45">
      <c r="A456" t="s">
        <v>468</v>
      </c>
      <c r="B456" s="5">
        <v>45070</v>
      </c>
      <c r="C456" s="5">
        <v>45098</v>
      </c>
      <c r="D456" s="5">
        <f t="shared" si="21"/>
        <v>45070</v>
      </c>
      <c r="E456" s="5">
        <f t="shared" si="22"/>
        <v>45098</v>
      </c>
      <c r="F456" s="7">
        <f t="shared" si="23"/>
        <v>28</v>
      </c>
      <c r="G456" t="s">
        <v>648</v>
      </c>
      <c r="H456" t="s">
        <v>660</v>
      </c>
      <c r="I456" t="s">
        <v>697</v>
      </c>
      <c r="J456" t="s">
        <v>705</v>
      </c>
      <c r="K456" t="s">
        <v>709</v>
      </c>
      <c r="L456" t="s">
        <v>715</v>
      </c>
      <c r="M456" t="s">
        <v>732</v>
      </c>
      <c r="N456" t="s">
        <v>1187</v>
      </c>
      <c r="O456">
        <v>813.97</v>
      </c>
      <c r="P456">
        <v>1568.83</v>
      </c>
      <c r="Q456">
        <v>1.7000000000000001E-2</v>
      </c>
      <c r="R456">
        <v>15</v>
      </c>
    </row>
    <row r="457" spans="1:18" x14ac:dyDescent="0.45">
      <c r="A457" t="s">
        <v>469</v>
      </c>
      <c r="B457" s="5">
        <v>45653</v>
      </c>
      <c r="C457" s="5">
        <v>45655</v>
      </c>
      <c r="D457" s="5">
        <f t="shared" si="21"/>
        <v>45653</v>
      </c>
      <c r="E457" s="5">
        <f t="shared" si="22"/>
        <v>45655</v>
      </c>
      <c r="F457" s="7">
        <f t="shared" si="23"/>
        <v>2</v>
      </c>
      <c r="G457" t="s">
        <v>648</v>
      </c>
      <c r="H457" t="s">
        <v>653</v>
      </c>
      <c r="I457" t="s">
        <v>688</v>
      </c>
      <c r="J457" t="s">
        <v>706</v>
      </c>
      <c r="K457" t="s">
        <v>709</v>
      </c>
      <c r="L457" t="s">
        <v>712</v>
      </c>
      <c r="M457" t="s">
        <v>733</v>
      </c>
      <c r="N457" t="s">
        <v>1188</v>
      </c>
      <c r="O457">
        <v>1146.72</v>
      </c>
      <c r="P457">
        <v>2074.34</v>
      </c>
      <c r="Q457">
        <v>0.111</v>
      </c>
      <c r="R457">
        <v>8</v>
      </c>
    </row>
    <row r="458" spans="1:18" x14ac:dyDescent="0.45">
      <c r="A458" t="s">
        <v>470</v>
      </c>
      <c r="B458" s="5">
        <v>45265</v>
      </c>
      <c r="C458" s="5">
        <v>45272</v>
      </c>
      <c r="D458" s="5">
        <f t="shared" si="21"/>
        <v>45265</v>
      </c>
      <c r="E458" s="5">
        <f t="shared" si="22"/>
        <v>45272</v>
      </c>
      <c r="F458" s="7">
        <f t="shared" si="23"/>
        <v>7</v>
      </c>
      <c r="G458" t="s">
        <v>648</v>
      </c>
      <c r="H458" t="s">
        <v>655</v>
      </c>
      <c r="I458" t="s">
        <v>672</v>
      </c>
      <c r="J458" t="s">
        <v>701</v>
      </c>
      <c r="K458" t="s">
        <v>711</v>
      </c>
      <c r="L458" t="s">
        <v>721</v>
      </c>
      <c r="M458" t="s">
        <v>730</v>
      </c>
      <c r="N458" t="s">
        <v>1189</v>
      </c>
      <c r="O458">
        <v>307.43</v>
      </c>
      <c r="P458">
        <v>495.19</v>
      </c>
      <c r="Q458">
        <v>0</v>
      </c>
      <c r="R458">
        <v>42</v>
      </c>
    </row>
    <row r="459" spans="1:18" x14ac:dyDescent="0.45">
      <c r="A459" t="s">
        <v>471</v>
      </c>
      <c r="B459" s="5">
        <v>45048</v>
      </c>
      <c r="C459" s="5">
        <v>45065</v>
      </c>
      <c r="D459" s="5">
        <f t="shared" si="21"/>
        <v>45048</v>
      </c>
      <c r="E459" s="5">
        <f t="shared" si="22"/>
        <v>45065</v>
      </c>
      <c r="F459" s="7">
        <f t="shared" si="23"/>
        <v>17</v>
      </c>
      <c r="G459" t="s">
        <v>647</v>
      </c>
      <c r="H459" t="s">
        <v>659</v>
      </c>
      <c r="I459" t="s">
        <v>685</v>
      </c>
      <c r="J459" t="s">
        <v>703</v>
      </c>
      <c r="K459" t="s">
        <v>711</v>
      </c>
      <c r="L459" t="s">
        <v>713</v>
      </c>
      <c r="M459" t="s">
        <v>732</v>
      </c>
      <c r="N459" t="s">
        <v>1190</v>
      </c>
      <c r="O459">
        <v>714.28</v>
      </c>
      <c r="P459">
        <v>757.59</v>
      </c>
      <c r="Q459">
        <v>0.13600000000000001</v>
      </c>
      <c r="R459">
        <v>12</v>
      </c>
    </row>
    <row r="460" spans="1:18" x14ac:dyDescent="0.45">
      <c r="A460" t="s">
        <v>472</v>
      </c>
      <c r="B460" s="5">
        <v>45260</v>
      </c>
      <c r="C460" s="5">
        <v>45270</v>
      </c>
      <c r="D460" s="5">
        <f t="shared" si="21"/>
        <v>45260</v>
      </c>
      <c r="E460" s="5">
        <f t="shared" si="22"/>
        <v>45270</v>
      </c>
      <c r="F460" s="7">
        <f t="shared" si="23"/>
        <v>10</v>
      </c>
      <c r="G460" t="s">
        <v>649</v>
      </c>
      <c r="H460" t="s">
        <v>656</v>
      </c>
      <c r="I460" t="s">
        <v>684</v>
      </c>
      <c r="J460" t="s">
        <v>705</v>
      </c>
      <c r="K460" t="s">
        <v>711</v>
      </c>
      <c r="L460" t="s">
        <v>721</v>
      </c>
      <c r="M460" t="s">
        <v>731</v>
      </c>
      <c r="N460" t="s">
        <v>1191</v>
      </c>
      <c r="O460">
        <v>174.74</v>
      </c>
      <c r="P460">
        <v>415.96</v>
      </c>
      <c r="Q460">
        <v>0.125</v>
      </c>
      <c r="R460">
        <v>21</v>
      </c>
    </row>
    <row r="461" spans="1:18" x14ac:dyDescent="0.45">
      <c r="A461" t="s">
        <v>473</v>
      </c>
      <c r="B461" s="5">
        <v>45417</v>
      </c>
      <c r="C461" s="5">
        <v>45430</v>
      </c>
      <c r="D461" s="5">
        <f t="shared" si="21"/>
        <v>45417</v>
      </c>
      <c r="E461" s="5">
        <f t="shared" si="22"/>
        <v>45430</v>
      </c>
      <c r="F461" s="7">
        <f t="shared" si="23"/>
        <v>13</v>
      </c>
      <c r="G461" t="s">
        <v>649</v>
      </c>
      <c r="H461" t="s">
        <v>657</v>
      </c>
      <c r="I461" t="s">
        <v>673</v>
      </c>
      <c r="J461" t="s">
        <v>701</v>
      </c>
      <c r="K461" t="s">
        <v>709</v>
      </c>
      <c r="L461" t="s">
        <v>720</v>
      </c>
      <c r="M461" t="s">
        <v>727</v>
      </c>
      <c r="N461" t="s">
        <v>1192</v>
      </c>
      <c r="O461">
        <v>1264.04</v>
      </c>
      <c r="P461">
        <v>1870.89</v>
      </c>
      <c r="Q461">
        <v>0</v>
      </c>
      <c r="R461">
        <v>13</v>
      </c>
    </row>
    <row r="462" spans="1:18" x14ac:dyDescent="0.45">
      <c r="A462" t="s">
        <v>474</v>
      </c>
      <c r="B462" s="5">
        <v>45116</v>
      </c>
      <c r="C462" s="5">
        <v>45126</v>
      </c>
      <c r="D462" s="5">
        <f t="shared" si="21"/>
        <v>45116</v>
      </c>
      <c r="E462" s="5">
        <f t="shared" si="22"/>
        <v>45126</v>
      </c>
      <c r="F462" s="7">
        <f t="shared" si="23"/>
        <v>10</v>
      </c>
      <c r="G462" t="s">
        <v>647</v>
      </c>
      <c r="H462" t="s">
        <v>652</v>
      </c>
      <c r="I462" t="s">
        <v>689</v>
      </c>
      <c r="J462" t="s">
        <v>706</v>
      </c>
      <c r="K462" t="s">
        <v>710</v>
      </c>
      <c r="L462" t="s">
        <v>725</v>
      </c>
      <c r="M462" t="s">
        <v>727</v>
      </c>
      <c r="N462" t="s">
        <v>1193</v>
      </c>
      <c r="O462">
        <v>141.26</v>
      </c>
      <c r="P462">
        <v>206.88</v>
      </c>
      <c r="Q462">
        <v>0.107</v>
      </c>
      <c r="R462">
        <v>9</v>
      </c>
    </row>
    <row r="463" spans="1:18" x14ac:dyDescent="0.45">
      <c r="A463" t="s">
        <v>475</v>
      </c>
      <c r="B463" s="5">
        <v>45063</v>
      </c>
      <c r="C463" s="5">
        <v>45092</v>
      </c>
      <c r="D463" s="5">
        <f t="shared" si="21"/>
        <v>45063</v>
      </c>
      <c r="E463" s="5">
        <f t="shared" si="22"/>
        <v>45092</v>
      </c>
      <c r="F463" s="7">
        <f t="shared" si="23"/>
        <v>29</v>
      </c>
      <c r="G463" t="s">
        <v>646</v>
      </c>
      <c r="H463" t="s">
        <v>661</v>
      </c>
      <c r="I463" t="s">
        <v>687</v>
      </c>
      <c r="J463" t="s">
        <v>706</v>
      </c>
      <c r="K463" t="s">
        <v>707</v>
      </c>
      <c r="L463" t="s">
        <v>723</v>
      </c>
      <c r="M463" t="s">
        <v>733</v>
      </c>
      <c r="N463" t="s">
        <v>1194</v>
      </c>
      <c r="O463">
        <v>40.89</v>
      </c>
      <c r="P463">
        <v>62.82</v>
      </c>
      <c r="Q463">
        <v>0.129</v>
      </c>
      <c r="R463">
        <v>17</v>
      </c>
    </row>
    <row r="464" spans="1:18" x14ac:dyDescent="0.45">
      <c r="A464" t="s">
        <v>476</v>
      </c>
      <c r="B464" s="5">
        <v>45358</v>
      </c>
      <c r="C464" s="5">
        <v>45385</v>
      </c>
      <c r="D464" s="5">
        <f t="shared" si="21"/>
        <v>45358</v>
      </c>
      <c r="E464" s="5">
        <f t="shared" si="22"/>
        <v>45385</v>
      </c>
      <c r="F464" s="7">
        <f t="shared" si="23"/>
        <v>27</v>
      </c>
      <c r="G464" t="s">
        <v>649</v>
      </c>
      <c r="H464" t="s">
        <v>656</v>
      </c>
      <c r="I464" t="s">
        <v>698</v>
      </c>
      <c r="J464" t="s">
        <v>701</v>
      </c>
      <c r="K464" t="s">
        <v>711</v>
      </c>
      <c r="L464" t="s">
        <v>724</v>
      </c>
      <c r="M464" t="s">
        <v>728</v>
      </c>
      <c r="N464" t="s">
        <v>1195</v>
      </c>
      <c r="O464">
        <v>738.16</v>
      </c>
      <c r="P464">
        <v>956.49</v>
      </c>
      <c r="Q464">
        <v>0.152</v>
      </c>
      <c r="R464">
        <v>5</v>
      </c>
    </row>
    <row r="465" spans="1:18" x14ac:dyDescent="0.45">
      <c r="A465" t="s">
        <v>477</v>
      </c>
      <c r="B465" s="5">
        <v>45757</v>
      </c>
      <c r="C465" s="5">
        <v>45766</v>
      </c>
      <c r="D465" s="5">
        <f t="shared" si="21"/>
        <v>45757</v>
      </c>
      <c r="E465" s="5">
        <f t="shared" si="22"/>
        <v>45766</v>
      </c>
      <c r="F465" s="7">
        <f t="shared" si="23"/>
        <v>9</v>
      </c>
      <c r="G465" t="s">
        <v>646</v>
      </c>
      <c r="H465" t="s">
        <v>661</v>
      </c>
      <c r="I465" t="s">
        <v>687</v>
      </c>
      <c r="J465" t="s">
        <v>706</v>
      </c>
      <c r="L465" t="s">
        <v>715</v>
      </c>
      <c r="M465" t="s">
        <v>729</v>
      </c>
      <c r="N465" t="s">
        <v>1196</v>
      </c>
      <c r="O465">
        <v>113.74</v>
      </c>
      <c r="P465">
        <v>165.7</v>
      </c>
      <c r="Q465">
        <v>0.124</v>
      </c>
      <c r="R465">
        <v>13</v>
      </c>
    </row>
    <row r="466" spans="1:18" x14ac:dyDescent="0.45">
      <c r="A466" t="s">
        <v>478</v>
      </c>
      <c r="B466" s="5">
        <v>45865</v>
      </c>
      <c r="C466" s="5">
        <v>45884</v>
      </c>
      <c r="D466" s="5">
        <f t="shared" si="21"/>
        <v>45865</v>
      </c>
      <c r="E466" s="5">
        <f t="shared" si="22"/>
        <v>45884</v>
      </c>
      <c r="F466" s="7">
        <f t="shared" si="23"/>
        <v>19</v>
      </c>
      <c r="G466" t="s">
        <v>647</v>
      </c>
      <c r="H466" t="s">
        <v>652</v>
      </c>
      <c r="I466" t="s">
        <v>689</v>
      </c>
      <c r="J466" t="s">
        <v>705</v>
      </c>
      <c r="K466" t="s">
        <v>709</v>
      </c>
      <c r="L466" t="s">
        <v>713</v>
      </c>
      <c r="M466" t="s">
        <v>727</v>
      </c>
      <c r="N466" t="s">
        <v>1197</v>
      </c>
      <c r="O466">
        <v>275.43</v>
      </c>
      <c r="P466">
        <v>608.36</v>
      </c>
      <c r="Q466">
        <v>0.25700000000000001</v>
      </c>
      <c r="R466">
        <v>4</v>
      </c>
    </row>
    <row r="467" spans="1:18" x14ac:dyDescent="0.45">
      <c r="A467" t="s">
        <v>479</v>
      </c>
      <c r="B467" s="5">
        <v>45618</v>
      </c>
      <c r="C467" s="5">
        <v>45641</v>
      </c>
      <c r="D467" s="5">
        <f t="shared" si="21"/>
        <v>45618</v>
      </c>
      <c r="E467" s="5">
        <f t="shared" si="22"/>
        <v>45641</v>
      </c>
      <c r="F467" s="7">
        <f t="shared" si="23"/>
        <v>23</v>
      </c>
      <c r="G467" t="s">
        <v>646</v>
      </c>
      <c r="H467" t="s">
        <v>650</v>
      </c>
      <c r="I467" t="s">
        <v>675</v>
      </c>
      <c r="J467" t="s">
        <v>703</v>
      </c>
      <c r="K467" t="s">
        <v>710</v>
      </c>
      <c r="L467" t="s">
        <v>712</v>
      </c>
      <c r="M467" t="s">
        <v>727</v>
      </c>
      <c r="N467" t="s">
        <v>1198</v>
      </c>
      <c r="O467">
        <v>1335.76</v>
      </c>
      <c r="P467">
        <v>2665.91</v>
      </c>
      <c r="Q467">
        <v>0.21099999999999999</v>
      </c>
      <c r="R467">
        <v>40</v>
      </c>
    </row>
    <row r="468" spans="1:18" x14ac:dyDescent="0.45">
      <c r="A468" t="s">
        <v>480</v>
      </c>
      <c r="B468" s="5">
        <v>45466</v>
      </c>
      <c r="C468" s="5">
        <v>45471</v>
      </c>
      <c r="D468" s="5">
        <f t="shared" si="21"/>
        <v>45466</v>
      </c>
      <c r="E468" s="5">
        <f t="shared" si="22"/>
        <v>45471</v>
      </c>
      <c r="F468" s="7">
        <f t="shared" si="23"/>
        <v>5</v>
      </c>
      <c r="G468" t="s">
        <v>646</v>
      </c>
      <c r="H468" t="s">
        <v>651</v>
      </c>
      <c r="I468" t="s">
        <v>663</v>
      </c>
      <c r="J468" t="s">
        <v>703</v>
      </c>
      <c r="K468" t="s">
        <v>711</v>
      </c>
      <c r="L468" t="s">
        <v>724</v>
      </c>
      <c r="M468" t="s">
        <v>733</v>
      </c>
      <c r="N468" t="s">
        <v>1199</v>
      </c>
      <c r="O468">
        <v>242.31</v>
      </c>
      <c r="P468">
        <v>587.95000000000005</v>
      </c>
      <c r="Q468">
        <v>0.22900000000000001</v>
      </c>
      <c r="R468">
        <v>6</v>
      </c>
    </row>
    <row r="469" spans="1:18" x14ac:dyDescent="0.45">
      <c r="A469" t="s">
        <v>481</v>
      </c>
      <c r="B469" s="5">
        <v>45278</v>
      </c>
      <c r="C469" s="5">
        <v>45305</v>
      </c>
      <c r="D469" s="5">
        <f t="shared" si="21"/>
        <v>45278</v>
      </c>
      <c r="E469" s="5">
        <f t="shared" si="22"/>
        <v>45305</v>
      </c>
      <c r="F469" s="7">
        <f t="shared" si="23"/>
        <v>27</v>
      </c>
      <c r="G469" t="s">
        <v>647</v>
      </c>
      <c r="H469" t="s">
        <v>654</v>
      </c>
      <c r="I469" t="s">
        <v>691</v>
      </c>
      <c r="J469" t="s">
        <v>704</v>
      </c>
      <c r="K469" t="s">
        <v>710</v>
      </c>
      <c r="L469" t="s">
        <v>726</v>
      </c>
      <c r="M469" t="s">
        <v>729</v>
      </c>
      <c r="N469" t="s">
        <v>1200</v>
      </c>
      <c r="O469">
        <v>1408.3</v>
      </c>
      <c r="P469">
        <v>2193.13</v>
      </c>
      <c r="Q469">
        <v>7.0999999999999994E-2</v>
      </c>
      <c r="R469">
        <v>7</v>
      </c>
    </row>
    <row r="470" spans="1:18" x14ac:dyDescent="0.45">
      <c r="A470" t="s">
        <v>482</v>
      </c>
      <c r="B470" s="5">
        <v>45809</v>
      </c>
      <c r="C470" s="5">
        <v>45813</v>
      </c>
      <c r="D470" s="5">
        <f t="shared" si="21"/>
        <v>45809</v>
      </c>
      <c r="E470" s="5">
        <f t="shared" si="22"/>
        <v>45813</v>
      </c>
      <c r="F470" s="7">
        <f t="shared" si="23"/>
        <v>4</v>
      </c>
      <c r="G470" t="s">
        <v>649</v>
      </c>
      <c r="H470" t="s">
        <v>656</v>
      </c>
      <c r="I470" t="s">
        <v>684</v>
      </c>
      <c r="J470" t="s">
        <v>706</v>
      </c>
      <c r="K470" t="s">
        <v>711</v>
      </c>
      <c r="L470" t="s">
        <v>724</v>
      </c>
      <c r="M470" t="s">
        <v>727</v>
      </c>
      <c r="N470" t="s">
        <v>1201</v>
      </c>
      <c r="O470">
        <v>1171.42</v>
      </c>
      <c r="P470">
        <v>2187.8000000000002</v>
      </c>
      <c r="Q470">
        <v>0.23</v>
      </c>
      <c r="R470">
        <v>15</v>
      </c>
    </row>
    <row r="471" spans="1:18" x14ac:dyDescent="0.45">
      <c r="A471" t="s">
        <v>483</v>
      </c>
      <c r="B471" s="5">
        <v>45739</v>
      </c>
      <c r="C471" s="5">
        <v>45749</v>
      </c>
      <c r="D471" s="5">
        <f t="shared" si="21"/>
        <v>45739</v>
      </c>
      <c r="E471" s="5">
        <f t="shared" si="22"/>
        <v>45749</v>
      </c>
      <c r="F471" s="7">
        <f t="shared" si="23"/>
        <v>10</v>
      </c>
      <c r="G471" t="s">
        <v>649</v>
      </c>
      <c r="H471" t="s">
        <v>656</v>
      </c>
      <c r="I471" t="s">
        <v>671</v>
      </c>
      <c r="J471" t="s">
        <v>706</v>
      </c>
      <c r="K471" t="s">
        <v>708</v>
      </c>
      <c r="L471" t="s">
        <v>718</v>
      </c>
      <c r="M471" t="s">
        <v>728</v>
      </c>
      <c r="N471" t="s">
        <v>1202</v>
      </c>
      <c r="O471">
        <v>663.61</v>
      </c>
      <c r="P471">
        <v>1002.11</v>
      </c>
      <c r="Q471">
        <v>4.5999999999999999E-2</v>
      </c>
      <c r="R471">
        <v>17</v>
      </c>
    </row>
    <row r="472" spans="1:18" x14ac:dyDescent="0.45">
      <c r="A472" t="s">
        <v>484</v>
      </c>
      <c r="B472" s="5">
        <v>45060</v>
      </c>
      <c r="C472" s="5">
        <v>45068</v>
      </c>
      <c r="D472" s="5">
        <f t="shared" si="21"/>
        <v>45060</v>
      </c>
      <c r="E472" s="5">
        <f t="shared" si="22"/>
        <v>45068</v>
      </c>
      <c r="F472" s="7">
        <f t="shared" si="23"/>
        <v>8</v>
      </c>
      <c r="G472" t="s">
        <v>646</v>
      </c>
      <c r="H472" t="s">
        <v>650</v>
      </c>
      <c r="I472" t="s">
        <v>675</v>
      </c>
      <c r="J472" t="s">
        <v>705</v>
      </c>
      <c r="K472" t="s">
        <v>710</v>
      </c>
      <c r="L472" t="s">
        <v>721</v>
      </c>
      <c r="M472" t="s">
        <v>728</v>
      </c>
      <c r="N472" t="s">
        <v>1203</v>
      </c>
      <c r="O472">
        <v>432.01</v>
      </c>
      <c r="P472">
        <v>913.78</v>
      </c>
      <c r="Q472">
        <v>4.9000000000000002E-2</v>
      </c>
      <c r="R472">
        <v>12</v>
      </c>
    </row>
    <row r="473" spans="1:18" x14ac:dyDescent="0.45">
      <c r="A473" t="s">
        <v>485</v>
      </c>
      <c r="B473" s="5">
        <v>45167</v>
      </c>
      <c r="C473" s="5">
        <v>45188</v>
      </c>
      <c r="D473" s="5">
        <f t="shared" si="21"/>
        <v>45167</v>
      </c>
      <c r="E473" s="5">
        <f t="shared" si="22"/>
        <v>45188</v>
      </c>
      <c r="F473" s="7">
        <f t="shared" si="23"/>
        <v>21</v>
      </c>
      <c r="G473" t="s">
        <v>649</v>
      </c>
      <c r="H473" t="s">
        <v>657</v>
      </c>
      <c r="I473" t="s">
        <v>679</v>
      </c>
      <c r="J473" t="s">
        <v>705</v>
      </c>
      <c r="K473" t="s">
        <v>711</v>
      </c>
      <c r="L473" t="s">
        <v>717</v>
      </c>
      <c r="M473" t="s">
        <v>728</v>
      </c>
      <c r="N473" t="s">
        <v>1204</v>
      </c>
      <c r="O473">
        <v>784.46</v>
      </c>
      <c r="P473">
        <v>1843.51</v>
      </c>
      <c r="Q473">
        <v>0.13800000000000001</v>
      </c>
      <c r="R473">
        <v>23</v>
      </c>
    </row>
    <row r="474" spans="1:18" x14ac:dyDescent="0.45">
      <c r="A474" t="s">
        <v>486</v>
      </c>
      <c r="B474" s="5">
        <v>45841</v>
      </c>
      <c r="C474" s="5">
        <v>45861</v>
      </c>
      <c r="D474" s="5">
        <f t="shared" si="21"/>
        <v>45841</v>
      </c>
      <c r="E474" s="5">
        <f t="shared" si="22"/>
        <v>45861</v>
      </c>
      <c r="F474" s="7">
        <f t="shared" si="23"/>
        <v>20</v>
      </c>
      <c r="G474" t="s">
        <v>647</v>
      </c>
      <c r="H474" t="s">
        <v>659</v>
      </c>
      <c r="I474" t="s">
        <v>699</v>
      </c>
      <c r="J474" t="s">
        <v>705</v>
      </c>
      <c r="K474" t="s">
        <v>708</v>
      </c>
      <c r="L474" t="s">
        <v>724</v>
      </c>
      <c r="M474" t="s">
        <v>727</v>
      </c>
      <c r="N474" t="s">
        <v>1205</v>
      </c>
      <c r="O474">
        <v>647.36</v>
      </c>
      <c r="P474">
        <v>1383.6</v>
      </c>
      <c r="Q474">
        <v>7.3999999999999996E-2</v>
      </c>
      <c r="R474">
        <v>12</v>
      </c>
    </row>
    <row r="475" spans="1:18" x14ac:dyDescent="0.45">
      <c r="A475" t="s">
        <v>487</v>
      </c>
      <c r="B475" s="5">
        <v>45328</v>
      </c>
      <c r="C475" s="5">
        <v>45350</v>
      </c>
      <c r="D475" s="5">
        <f t="shared" si="21"/>
        <v>45328</v>
      </c>
      <c r="E475" s="5">
        <f t="shared" si="22"/>
        <v>45350</v>
      </c>
      <c r="F475" s="7">
        <f t="shared" si="23"/>
        <v>22</v>
      </c>
      <c r="G475" t="s">
        <v>646</v>
      </c>
      <c r="H475" t="s">
        <v>650</v>
      </c>
      <c r="I475" t="s">
        <v>662</v>
      </c>
      <c r="J475" t="s">
        <v>703</v>
      </c>
      <c r="K475" t="s">
        <v>708</v>
      </c>
      <c r="L475" t="s">
        <v>723</v>
      </c>
      <c r="M475" t="s">
        <v>732</v>
      </c>
      <c r="N475" t="s">
        <v>1206</v>
      </c>
      <c r="O475">
        <v>834.93</v>
      </c>
      <c r="P475">
        <v>1588.53</v>
      </c>
      <c r="Q475">
        <v>0.126</v>
      </c>
      <c r="R475">
        <v>6</v>
      </c>
    </row>
    <row r="476" spans="1:18" x14ac:dyDescent="0.45">
      <c r="A476" t="s">
        <v>488</v>
      </c>
      <c r="B476" s="5">
        <v>45882</v>
      </c>
      <c r="C476" s="5">
        <v>45903</v>
      </c>
      <c r="D476" s="5">
        <f t="shared" si="21"/>
        <v>45882</v>
      </c>
      <c r="E476" s="5">
        <f t="shared" si="22"/>
        <v>45903</v>
      </c>
      <c r="F476" s="7">
        <f t="shared" si="23"/>
        <v>21</v>
      </c>
      <c r="G476" t="s">
        <v>649</v>
      </c>
      <c r="H476" t="s">
        <v>657</v>
      </c>
      <c r="I476" t="s">
        <v>690</v>
      </c>
      <c r="J476" t="s">
        <v>702</v>
      </c>
      <c r="K476" t="s">
        <v>707</v>
      </c>
      <c r="L476" t="s">
        <v>714</v>
      </c>
      <c r="M476" t="s">
        <v>730</v>
      </c>
      <c r="N476" t="s">
        <v>1207</v>
      </c>
      <c r="O476">
        <v>603.47</v>
      </c>
      <c r="P476">
        <v>1344.05</v>
      </c>
      <c r="Q476">
        <v>0.20499999999999999</v>
      </c>
      <c r="R476">
        <v>18</v>
      </c>
    </row>
    <row r="477" spans="1:18" x14ac:dyDescent="0.45">
      <c r="A477" t="s">
        <v>489</v>
      </c>
      <c r="B477" s="5">
        <v>45069</v>
      </c>
      <c r="C477" s="5">
        <v>45071</v>
      </c>
      <c r="D477" s="5">
        <f t="shared" si="21"/>
        <v>45069</v>
      </c>
      <c r="E477" s="5">
        <f t="shared" si="22"/>
        <v>45071</v>
      </c>
      <c r="F477" s="7">
        <f t="shared" si="23"/>
        <v>2</v>
      </c>
      <c r="G477" t="s">
        <v>648</v>
      </c>
      <c r="H477" t="s">
        <v>655</v>
      </c>
      <c r="I477" t="s">
        <v>692</v>
      </c>
      <c r="J477" t="s">
        <v>706</v>
      </c>
      <c r="K477" t="s">
        <v>707</v>
      </c>
      <c r="L477" t="s">
        <v>724</v>
      </c>
      <c r="M477" t="s">
        <v>728</v>
      </c>
      <c r="N477" t="s">
        <v>1208</v>
      </c>
      <c r="O477">
        <v>690.49</v>
      </c>
      <c r="P477">
        <v>1290.29</v>
      </c>
      <c r="Q477">
        <v>4.2000000000000003E-2</v>
      </c>
      <c r="R477">
        <v>22</v>
      </c>
    </row>
    <row r="478" spans="1:18" x14ac:dyDescent="0.45">
      <c r="A478" t="s">
        <v>490</v>
      </c>
      <c r="B478" s="5">
        <v>45422</v>
      </c>
      <c r="C478" s="5">
        <v>45428</v>
      </c>
      <c r="D478" s="5">
        <f t="shared" si="21"/>
        <v>45422</v>
      </c>
      <c r="E478" s="5">
        <f t="shared" si="22"/>
        <v>45428</v>
      </c>
      <c r="F478" s="7">
        <f t="shared" si="23"/>
        <v>6</v>
      </c>
      <c r="G478" t="s">
        <v>649</v>
      </c>
      <c r="H478" t="s">
        <v>658</v>
      </c>
      <c r="I478" t="s">
        <v>674</v>
      </c>
      <c r="J478" t="s">
        <v>703</v>
      </c>
      <c r="K478" t="s">
        <v>711</v>
      </c>
      <c r="L478" t="s">
        <v>715</v>
      </c>
      <c r="M478" t="s">
        <v>731</v>
      </c>
      <c r="N478" t="s">
        <v>1209</v>
      </c>
      <c r="O478">
        <v>210.76</v>
      </c>
      <c r="P478">
        <v>221.58</v>
      </c>
      <c r="Q478">
        <v>8.8999999999999996E-2</v>
      </c>
      <c r="R478">
        <v>5</v>
      </c>
    </row>
    <row r="479" spans="1:18" x14ac:dyDescent="0.45">
      <c r="A479" t="s">
        <v>491</v>
      </c>
      <c r="B479" s="5">
        <v>44999</v>
      </c>
      <c r="C479" s="5">
        <v>45003</v>
      </c>
      <c r="D479" s="5">
        <f t="shared" si="21"/>
        <v>44999</v>
      </c>
      <c r="E479" s="5">
        <f t="shared" si="22"/>
        <v>45003</v>
      </c>
      <c r="F479" s="7">
        <f t="shared" si="23"/>
        <v>4</v>
      </c>
      <c r="G479" t="s">
        <v>649</v>
      </c>
      <c r="H479" t="s">
        <v>656</v>
      </c>
      <c r="I479" t="s">
        <v>698</v>
      </c>
      <c r="J479" t="s">
        <v>706</v>
      </c>
      <c r="K479" t="s">
        <v>711</v>
      </c>
      <c r="L479" t="s">
        <v>720</v>
      </c>
      <c r="M479" t="s">
        <v>727</v>
      </c>
      <c r="N479" t="s">
        <v>1210</v>
      </c>
      <c r="O479">
        <v>472.33</v>
      </c>
      <c r="P479">
        <v>360.34</v>
      </c>
      <c r="Q479">
        <v>0.16500000000000001</v>
      </c>
      <c r="R479">
        <v>14</v>
      </c>
    </row>
    <row r="480" spans="1:18" x14ac:dyDescent="0.45">
      <c r="A480" t="s">
        <v>492</v>
      </c>
      <c r="B480" s="5">
        <v>45123</v>
      </c>
      <c r="C480" s="5">
        <v>45151</v>
      </c>
      <c r="D480" s="5">
        <f t="shared" si="21"/>
        <v>45123</v>
      </c>
      <c r="E480" s="5">
        <f t="shared" si="22"/>
        <v>45151</v>
      </c>
      <c r="F480" s="7">
        <f t="shared" si="23"/>
        <v>28</v>
      </c>
      <c r="G480" t="s">
        <v>649</v>
      </c>
      <c r="H480" t="s">
        <v>658</v>
      </c>
      <c r="I480" t="s">
        <v>693</v>
      </c>
      <c r="J480" t="s">
        <v>703</v>
      </c>
      <c r="K480" t="s">
        <v>708</v>
      </c>
      <c r="L480" t="s">
        <v>713</v>
      </c>
      <c r="M480" t="s">
        <v>731</v>
      </c>
      <c r="N480" t="s">
        <v>1211</v>
      </c>
      <c r="O480">
        <v>1039.03</v>
      </c>
      <c r="P480">
        <v>2545.81</v>
      </c>
      <c r="Q480">
        <v>0.216</v>
      </c>
      <c r="R480">
        <v>21</v>
      </c>
    </row>
    <row r="481" spans="1:18" x14ac:dyDescent="0.45">
      <c r="A481" t="s">
        <v>493</v>
      </c>
      <c r="B481" s="5">
        <v>45032</v>
      </c>
      <c r="C481" s="5">
        <v>45035</v>
      </c>
      <c r="D481" s="5">
        <f t="shared" si="21"/>
        <v>45032</v>
      </c>
      <c r="E481" s="5">
        <f t="shared" si="22"/>
        <v>45035</v>
      </c>
      <c r="F481" s="7">
        <f t="shared" si="23"/>
        <v>3</v>
      </c>
      <c r="G481" t="s">
        <v>649</v>
      </c>
      <c r="H481" t="s">
        <v>656</v>
      </c>
      <c r="I481" t="s">
        <v>684</v>
      </c>
      <c r="J481" t="s">
        <v>701</v>
      </c>
      <c r="K481" t="s">
        <v>711</v>
      </c>
      <c r="L481" t="s">
        <v>717</v>
      </c>
      <c r="M481" t="s">
        <v>733</v>
      </c>
      <c r="N481" t="s">
        <v>1212</v>
      </c>
      <c r="O481">
        <v>553.61</v>
      </c>
      <c r="P481">
        <v>699.47</v>
      </c>
      <c r="Q481">
        <v>0.02</v>
      </c>
      <c r="R481">
        <v>33</v>
      </c>
    </row>
    <row r="482" spans="1:18" x14ac:dyDescent="0.45">
      <c r="A482" t="s">
        <v>494</v>
      </c>
      <c r="B482" s="5">
        <v>45293</v>
      </c>
      <c r="C482" s="5">
        <v>45306</v>
      </c>
      <c r="D482" s="5">
        <f t="shared" si="21"/>
        <v>45293</v>
      </c>
      <c r="E482" s="5">
        <f t="shared" si="22"/>
        <v>45306</v>
      </c>
      <c r="F482" s="7">
        <f t="shared" si="23"/>
        <v>13</v>
      </c>
      <c r="G482" t="s">
        <v>647</v>
      </c>
      <c r="H482" t="s">
        <v>652</v>
      </c>
      <c r="I482" t="s">
        <v>694</v>
      </c>
      <c r="J482" t="s">
        <v>705</v>
      </c>
      <c r="K482" t="s">
        <v>709</v>
      </c>
      <c r="L482" t="s">
        <v>715</v>
      </c>
      <c r="M482" t="s">
        <v>729</v>
      </c>
      <c r="N482" t="s">
        <v>1213</v>
      </c>
      <c r="O482">
        <v>1219.06</v>
      </c>
      <c r="P482">
        <v>2738.69</v>
      </c>
      <c r="Q482">
        <v>7.5999999999999998E-2</v>
      </c>
      <c r="R482">
        <v>16</v>
      </c>
    </row>
    <row r="483" spans="1:18" x14ac:dyDescent="0.45">
      <c r="A483" t="s">
        <v>495</v>
      </c>
      <c r="B483" s="5">
        <v>45538</v>
      </c>
      <c r="C483" s="5">
        <v>45542</v>
      </c>
      <c r="D483" s="5">
        <f t="shared" si="21"/>
        <v>45538</v>
      </c>
      <c r="E483" s="5">
        <f t="shared" si="22"/>
        <v>45542</v>
      </c>
      <c r="F483" s="7">
        <f t="shared" si="23"/>
        <v>4</v>
      </c>
      <c r="G483" t="s">
        <v>647</v>
      </c>
      <c r="H483" t="s">
        <v>652</v>
      </c>
      <c r="I483" t="s">
        <v>689</v>
      </c>
      <c r="J483" t="s">
        <v>705</v>
      </c>
      <c r="K483" t="s">
        <v>710</v>
      </c>
      <c r="L483" t="s">
        <v>725</v>
      </c>
      <c r="M483" t="s">
        <v>728</v>
      </c>
      <c r="N483" t="s">
        <v>1214</v>
      </c>
      <c r="O483">
        <v>43.23</v>
      </c>
      <c r="P483">
        <v>94.78</v>
      </c>
      <c r="Q483">
        <v>9.0999999999999998E-2</v>
      </c>
      <c r="R483">
        <v>55</v>
      </c>
    </row>
    <row r="484" spans="1:18" x14ac:dyDescent="0.45">
      <c r="A484" t="s">
        <v>496</v>
      </c>
      <c r="B484" s="5">
        <v>45899</v>
      </c>
      <c r="C484" s="5">
        <v>45903</v>
      </c>
      <c r="D484" s="5">
        <f t="shared" si="21"/>
        <v>45899</v>
      </c>
      <c r="E484" s="5">
        <f t="shared" si="22"/>
        <v>45903</v>
      </c>
      <c r="F484" s="7">
        <f t="shared" si="23"/>
        <v>4</v>
      </c>
      <c r="G484" t="s">
        <v>649</v>
      </c>
      <c r="H484" t="s">
        <v>657</v>
      </c>
      <c r="I484" t="s">
        <v>673</v>
      </c>
      <c r="J484" t="s">
        <v>705</v>
      </c>
      <c r="K484" t="s">
        <v>709</v>
      </c>
      <c r="L484" t="s">
        <v>713</v>
      </c>
      <c r="M484" t="s">
        <v>731</v>
      </c>
      <c r="N484" t="s">
        <v>1215</v>
      </c>
      <c r="O484">
        <v>1286.56</v>
      </c>
      <c r="P484">
        <v>2777.35</v>
      </c>
      <c r="Q484">
        <v>0.13200000000000001</v>
      </c>
      <c r="R484">
        <v>15</v>
      </c>
    </row>
    <row r="485" spans="1:18" x14ac:dyDescent="0.45">
      <c r="A485" t="s">
        <v>497</v>
      </c>
      <c r="B485" s="5">
        <v>45775</v>
      </c>
      <c r="C485" s="5">
        <v>45796</v>
      </c>
      <c r="D485" s="5">
        <f t="shared" si="21"/>
        <v>45775</v>
      </c>
      <c r="E485" s="5">
        <f t="shared" si="22"/>
        <v>45796</v>
      </c>
      <c r="F485" s="7">
        <f t="shared" si="23"/>
        <v>21</v>
      </c>
      <c r="G485" t="s">
        <v>649</v>
      </c>
      <c r="H485" t="s">
        <v>656</v>
      </c>
      <c r="I485" t="s">
        <v>671</v>
      </c>
      <c r="J485" t="s">
        <v>701</v>
      </c>
      <c r="K485" t="s">
        <v>710</v>
      </c>
      <c r="L485" t="s">
        <v>717</v>
      </c>
      <c r="M485" t="s">
        <v>730</v>
      </c>
      <c r="N485" t="s">
        <v>1216</v>
      </c>
      <c r="O485">
        <v>350.76</v>
      </c>
      <c r="P485">
        <v>492.18</v>
      </c>
      <c r="Q485">
        <v>5.2999999999999999E-2</v>
      </c>
      <c r="R485">
        <v>11</v>
      </c>
    </row>
    <row r="486" spans="1:18" x14ac:dyDescent="0.45">
      <c r="A486" t="s">
        <v>498</v>
      </c>
      <c r="B486" s="5">
        <v>45148</v>
      </c>
      <c r="C486" s="5">
        <v>45153</v>
      </c>
      <c r="D486" s="5">
        <f t="shared" si="21"/>
        <v>45148</v>
      </c>
      <c r="E486" s="5">
        <f t="shared" si="22"/>
        <v>45153</v>
      </c>
      <c r="F486" s="7">
        <f t="shared" si="23"/>
        <v>5</v>
      </c>
      <c r="G486" t="s">
        <v>648</v>
      </c>
      <c r="H486" t="s">
        <v>655</v>
      </c>
      <c r="I486" t="s">
        <v>670</v>
      </c>
      <c r="J486" t="s">
        <v>702</v>
      </c>
      <c r="K486" t="s">
        <v>711</v>
      </c>
      <c r="L486" t="s">
        <v>715</v>
      </c>
      <c r="M486" t="s">
        <v>729</v>
      </c>
      <c r="N486" t="s">
        <v>1217</v>
      </c>
      <c r="O486">
        <v>1307.52</v>
      </c>
      <c r="P486">
        <v>1921.65</v>
      </c>
      <c r="Q486">
        <v>0.123</v>
      </c>
      <c r="R486">
        <v>13</v>
      </c>
    </row>
    <row r="487" spans="1:18" x14ac:dyDescent="0.45">
      <c r="A487" t="s">
        <v>499</v>
      </c>
      <c r="B487" s="5">
        <v>45634</v>
      </c>
      <c r="C487" s="5">
        <v>45634</v>
      </c>
      <c r="D487" s="5">
        <f t="shared" si="21"/>
        <v>45634</v>
      </c>
      <c r="E487" s="5">
        <f t="shared" si="22"/>
        <v>45634</v>
      </c>
      <c r="F487" s="7">
        <f t="shared" si="23"/>
        <v>0</v>
      </c>
      <c r="G487" t="s">
        <v>649</v>
      </c>
      <c r="H487" t="s">
        <v>657</v>
      </c>
      <c r="I487" t="s">
        <v>679</v>
      </c>
      <c r="J487" t="s">
        <v>706</v>
      </c>
      <c r="K487" t="s">
        <v>707</v>
      </c>
      <c r="L487" t="s">
        <v>722</v>
      </c>
      <c r="M487" t="s">
        <v>727</v>
      </c>
      <c r="N487" t="s">
        <v>1218</v>
      </c>
      <c r="O487">
        <v>257.44</v>
      </c>
      <c r="P487">
        <v>290.33</v>
      </c>
      <c r="Q487">
        <v>9.1999999999999998E-2</v>
      </c>
      <c r="R487">
        <v>23</v>
      </c>
    </row>
    <row r="488" spans="1:18" x14ac:dyDescent="0.45">
      <c r="A488" t="s">
        <v>500</v>
      </c>
      <c r="B488" s="5">
        <v>45224</v>
      </c>
      <c r="C488" s="5">
        <v>45254</v>
      </c>
      <c r="D488" s="5">
        <f t="shared" si="21"/>
        <v>45224</v>
      </c>
      <c r="E488" s="5">
        <f t="shared" si="22"/>
        <v>45254</v>
      </c>
      <c r="F488" s="7">
        <f t="shared" si="23"/>
        <v>30</v>
      </c>
      <c r="G488" t="s">
        <v>649</v>
      </c>
      <c r="H488" t="s">
        <v>657</v>
      </c>
      <c r="I488" t="s">
        <v>690</v>
      </c>
      <c r="J488" t="s">
        <v>706</v>
      </c>
      <c r="K488" t="s">
        <v>710</v>
      </c>
      <c r="L488" t="s">
        <v>712</v>
      </c>
      <c r="M488" t="s">
        <v>730</v>
      </c>
      <c r="N488" t="s">
        <v>1219</v>
      </c>
      <c r="O488">
        <v>287.85000000000002</v>
      </c>
      <c r="P488">
        <v>602.91999999999996</v>
      </c>
      <c r="Q488">
        <v>0.222</v>
      </c>
      <c r="R488">
        <v>11</v>
      </c>
    </row>
    <row r="489" spans="1:18" x14ac:dyDescent="0.45">
      <c r="A489" t="s">
        <v>501</v>
      </c>
      <c r="B489" s="5">
        <v>45613</v>
      </c>
      <c r="C489" s="5">
        <v>45624</v>
      </c>
      <c r="D489" s="5">
        <f t="shared" si="21"/>
        <v>45613</v>
      </c>
      <c r="E489" s="5">
        <f t="shared" si="22"/>
        <v>45624</v>
      </c>
      <c r="F489" s="7">
        <f t="shared" si="23"/>
        <v>11</v>
      </c>
      <c r="G489" t="s">
        <v>648</v>
      </c>
      <c r="H489" t="s">
        <v>653</v>
      </c>
      <c r="J489" t="s">
        <v>704</v>
      </c>
      <c r="K489" t="s">
        <v>710</v>
      </c>
      <c r="L489" t="s">
        <v>720</v>
      </c>
      <c r="M489" t="s">
        <v>728</v>
      </c>
      <c r="N489" t="s">
        <v>1220</v>
      </c>
      <c r="O489">
        <v>1008.16</v>
      </c>
      <c r="P489">
        <v>2077.5</v>
      </c>
      <c r="Q489">
        <v>7.3999999999999996E-2</v>
      </c>
      <c r="R489">
        <v>15</v>
      </c>
    </row>
    <row r="490" spans="1:18" x14ac:dyDescent="0.45">
      <c r="A490" t="s">
        <v>502</v>
      </c>
      <c r="B490" s="5">
        <v>45424</v>
      </c>
      <c r="C490" s="5">
        <v>45436</v>
      </c>
      <c r="D490" s="5">
        <f t="shared" si="21"/>
        <v>45424</v>
      </c>
      <c r="E490" s="5">
        <f t="shared" si="22"/>
        <v>45436</v>
      </c>
      <c r="F490" s="7">
        <f t="shared" si="23"/>
        <v>12</v>
      </c>
      <c r="G490" t="s">
        <v>649</v>
      </c>
      <c r="H490" t="s">
        <v>658</v>
      </c>
      <c r="I490" t="s">
        <v>693</v>
      </c>
      <c r="J490" t="s">
        <v>702</v>
      </c>
      <c r="K490" t="s">
        <v>709</v>
      </c>
      <c r="L490" t="s">
        <v>723</v>
      </c>
      <c r="M490" t="s">
        <v>728</v>
      </c>
      <c r="N490" t="s">
        <v>1221</v>
      </c>
      <c r="O490">
        <v>111.02</v>
      </c>
      <c r="P490">
        <v>172.88</v>
      </c>
      <c r="Q490">
        <v>0.19700000000000001</v>
      </c>
      <c r="R490">
        <v>29</v>
      </c>
    </row>
    <row r="491" spans="1:18" x14ac:dyDescent="0.45">
      <c r="A491" t="s">
        <v>503</v>
      </c>
      <c r="B491" s="5">
        <v>45792</v>
      </c>
      <c r="C491" s="5">
        <v>45813</v>
      </c>
      <c r="D491" s="5">
        <f t="shared" si="21"/>
        <v>45792</v>
      </c>
      <c r="E491" s="5">
        <f t="shared" si="22"/>
        <v>45813</v>
      </c>
      <c r="F491" s="7">
        <f t="shared" si="23"/>
        <v>21</v>
      </c>
      <c r="G491" t="s">
        <v>647</v>
      </c>
      <c r="H491" t="s">
        <v>652</v>
      </c>
      <c r="I491" t="s">
        <v>666</v>
      </c>
      <c r="J491" t="s">
        <v>706</v>
      </c>
      <c r="K491" t="s">
        <v>711</v>
      </c>
      <c r="L491" t="s">
        <v>722</v>
      </c>
      <c r="M491" t="s">
        <v>730</v>
      </c>
      <c r="N491" t="s">
        <v>1222</v>
      </c>
      <c r="O491">
        <v>1466.5</v>
      </c>
      <c r="P491">
        <v>2778.74</v>
      </c>
      <c r="Q491">
        <v>0.13500000000000001</v>
      </c>
      <c r="R491">
        <v>4</v>
      </c>
    </row>
    <row r="492" spans="1:18" x14ac:dyDescent="0.45">
      <c r="A492" t="s">
        <v>504</v>
      </c>
      <c r="B492" s="5">
        <v>45403</v>
      </c>
      <c r="C492" s="5">
        <v>45431</v>
      </c>
      <c r="D492" s="5">
        <f t="shared" si="21"/>
        <v>45403</v>
      </c>
      <c r="E492" s="5">
        <f t="shared" si="22"/>
        <v>45431</v>
      </c>
      <c r="F492" s="7">
        <f t="shared" si="23"/>
        <v>28</v>
      </c>
      <c r="G492" t="s">
        <v>646</v>
      </c>
      <c r="H492" t="s">
        <v>651</v>
      </c>
      <c r="I492" t="s">
        <v>665</v>
      </c>
      <c r="J492" t="s">
        <v>701</v>
      </c>
      <c r="K492" t="s">
        <v>710</v>
      </c>
      <c r="L492" t="s">
        <v>720</v>
      </c>
      <c r="M492" t="s">
        <v>733</v>
      </c>
      <c r="N492" t="s">
        <v>1223</v>
      </c>
      <c r="O492">
        <v>187.22</v>
      </c>
      <c r="P492">
        <v>309.47000000000003</v>
      </c>
      <c r="Q492">
        <v>0</v>
      </c>
      <c r="R492">
        <v>5</v>
      </c>
    </row>
    <row r="493" spans="1:18" x14ac:dyDescent="0.45">
      <c r="A493" t="s">
        <v>505</v>
      </c>
      <c r="B493" s="5">
        <v>45523</v>
      </c>
      <c r="C493" s="5">
        <v>45542</v>
      </c>
      <c r="D493" s="5">
        <f t="shared" si="21"/>
        <v>45523</v>
      </c>
      <c r="E493" s="5">
        <f t="shared" si="22"/>
        <v>45542</v>
      </c>
      <c r="F493" s="7">
        <f t="shared" si="23"/>
        <v>19</v>
      </c>
      <c r="G493" t="s">
        <v>649</v>
      </c>
      <c r="H493" t="s">
        <v>657</v>
      </c>
      <c r="I493" t="s">
        <v>679</v>
      </c>
      <c r="J493" t="s">
        <v>701</v>
      </c>
      <c r="K493" t="s">
        <v>711</v>
      </c>
      <c r="L493" t="s">
        <v>713</v>
      </c>
      <c r="M493" t="s">
        <v>727</v>
      </c>
      <c r="N493" t="s">
        <v>1224</v>
      </c>
      <c r="O493">
        <v>297.58999999999997</v>
      </c>
      <c r="P493">
        <v>666.41</v>
      </c>
      <c r="Q493">
        <v>0</v>
      </c>
      <c r="R493">
        <v>10</v>
      </c>
    </row>
    <row r="494" spans="1:18" x14ac:dyDescent="0.45">
      <c r="A494" t="s">
        <v>506</v>
      </c>
      <c r="B494" s="5">
        <v>45861</v>
      </c>
      <c r="C494" s="5">
        <v>45888</v>
      </c>
      <c r="D494" s="5">
        <f t="shared" si="21"/>
        <v>45861</v>
      </c>
      <c r="E494" s="5">
        <f t="shared" si="22"/>
        <v>45888</v>
      </c>
      <c r="F494" s="7">
        <f t="shared" si="23"/>
        <v>27</v>
      </c>
      <c r="G494" t="s">
        <v>647</v>
      </c>
      <c r="H494" t="s">
        <v>652</v>
      </c>
      <c r="I494" t="s">
        <v>694</v>
      </c>
      <c r="J494" t="s">
        <v>704</v>
      </c>
      <c r="K494" t="s">
        <v>709</v>
      </c>
      <c r="L494" t="s">
        <v>717</v>
      </c>
      <c r="M494" t="s">
        <v>733</v>
      </c>
      <c r="N494" t="s">
        <v>1225</v>
      </c>
      <c r="O494">
        <v>896.09</v>
      </c>
      <c r="P494">
        <v>744.27</v>
      </c>
      <c r="Q494">
        <v>8.3000000000000004E-2</v>
      </c>
      <c r="R494">
        <v>11</v>
      </c>
    </row>
    <row r="495" spans="1:18" x14ac:dyDescent="0.45">
      <c r="A495" t="s">
        <v>507</v>
      </c>
      <c r="B495" s="5">
        <v>45352</v>
      </c>
      <c r="C495" s="5">
        <v>45351</v>
      </c>
      <c r="D495" s="5">
        <f t="shared" si="21"/>
        <v>45351</v>
      </c>
      <c r="E495" s="5">
        <f t="shared" si="22"/>
        <v>45352</v>
      </c>
      <c r="F495" s="7">
        <f t="shared" si="23"/>
        <v>1</v>
      </c>
      <c r="G495" t="s">
        <v>648</v>
      </c>
      <c r="H495" t="s">
        <v>655</v>
      </c>
      <c r="I495" t="s">
        <v>670</v>
      </c>
      <c r="J495" t="s">
        <v>703</v>
      </c>
      <c r="K495" t="s">
        <v>711</v>
      </c>
      <c r="L495" t="s">
        <v>714</v>
      </c>
      <c r="M495" t="s">
        <v>730</v>
      </c>
      <c r="N495" t="s">
        <v>1226</v>
      </c>
      <c r="O495">
        <v>5.34</v>
      </c>
      <c r="P495">
        <v>12.69</v>
      </c>
      <c r="Q495">
        <v>0.13200000000000001</v>
      </c>
      <c r="R495">
        <v>10</v>
      </c>
    </row>
    <row r="496" spans="1:18" x14ac:dyDescent="0.45">
      <c r="A496" t="s">
        <v>508</v>
      </c>
      <c r="B496" s="5">
        <v>45439</v>
      </c>
      <c r="C496" s="5">
        <v>45460</v>
      </c>
      <c r="D496" s="5">
        <f t="shared" si="21"/>
        <v>45439</v>
      </c>
      <c r="E496" s="5">
        <f t="shared" si="22"/>
        <v>45460</v>
      </c>
      <c r="F496" s="7">
        <f t="shared" si="23"/>
        <v>21</v>
      </c>
      <c r="G496" t="s">
        <v>647</v>
      </c>
      <c r="H496" t="s">
        <v>654</v>
      </c>
      <c r="I496" t="s">
        <v>680</v>
      </c>
      <c r="J496" t="s">
        <v>705</v>
      </c>
      <c r="K496" t="s">
        <v>708</v>
      </c>
      <c r="L496" t="s">
        <v>722</v>
      </c>
      <c r="M496" t="s">
        <v>733</v>
      </c>
      <c r="N496" t="s">
        <v>1227</v>
      </c>
      <c r="O496">
        <v>465.02</v>
      </c>
      <c r="P496">
        <v>651.55999999999995</v>
      </c>
      <c r="Q496">
        <v>4.2000000000000003E-2</v>
      </c>
      <c r="R496">
        <v>19</v>
      </c>
    </row>
    <row r="497" spans="1:18" x14ac:dyDescent="0.45">
      <c r="A497" t="s">
        <v>509</v>
      </c>
      <c r="B497" s="5">
        <v>45508</v>
      </c>
      <c r="C497" s="5">
        <v>45521</v>
      </c>
      <c r="D497" s="5">
        <f t="shared" si="21"/>
        <v>45508</v>
      </c>
      <c r="E497" s="5">
        <f t="shared" si="22"/>
        <v>45521</v>
      </c>
      <c r="F497" s="7">
        <f t="shared" si="23"/>
        <v>13</v>
      </c>
      <c r="G497" t="s">
        <v>648</v>
      </c>
      <c r="H497" t="s">
        <v>660</v>
      </c>
      <c r="I497" t="s">
        <v>697</v>
      </c>
      <c r="J497" t="s">
        <v>704</v>
      </c>
      <c r="K497" t="s">
        <v>707</v>
      </c>
      <c r="L497" t="s">
        <v>726</v>
      </c>
      <c r="M497" t="s">
        <v>732</v>
      </c>
      <c r="N497" t="s">
        <v>1228</v>
      </c>
      <c r="O497">
        <v>352.79</v>
      </c>
      <c r="P497">
        <v>754.22</v>
      </c>
      <c r="Q497">
        <v>0.113</v>
      </c>
      <c r="R497">
        <v>7</v>
      </c>
    </row>
    <row r="498" spans="1:18" x14ac:dyDescent="0.45">
      <c r="A498" t="s">
        <v>510</v>
      </c>
      <c r="B498" s="5">
        <v>45097</v>
      </c>
      <c r="C498" s="5">
        <v>45111</v>
      </c>
      <c r="D498" s="5">
        <f t="shared" si="21"/>
        <v>45097</v>
      </c>
      <c r="E498" s="5">
        <f t="shared" si="22"/>
        <v>45111</v>
      </c>
      <c r="F498" s="7">
        <f t="shared" si="23"/>
        <v>14</v>
      </c>
      <c r="G498" t="s">
        <v>648</v>
      </c>
      <c r="H498" t="s">
        <v>655</v>
      </c>
      <c r="I498" t="s">
        <v>672</v>
      </c>
      <c r="J498" t="s">
        <v>703</v>
      </c>
      <c r="K498" t="s">
        <v>711</v>
      </c>
      <c r="L498" t="s">
        <v>712</v>
      </c>
      <c r="M498" t="s">
        <v>729</v>
      </c>
      <c r="N498" t="s">
        <v>1229</v>
      </c>
      <c r="O498">
        <v>1292.8599999999999</v>
      </c>
      <c r="P498">
        <v>2981.01</v>
      </c>
      <c r="Q498">
        <v>0.14199999999999999</v>
      </c>
      <c r="R498">
        <v>12</v>
      </c>
    </row>
    <row r="499" spans="1:18" x14ac:dyDescent="0.45">
      <c r="A499" t="s">
        <v>511</v>
      </c>
      <c r="B499" s="5">
        <v>45544</v>
      </c>
      <c r="C499" s="5">
        <v>45548</v>
      </c>
      <c r="D499" s="5">
        <f t="shared" si="21"/>
        <v>45544</v>
      </c>
      <c r="E499" s="5">
        <f t="shared" si="22"/>
        <v>45548</v>
      </c>
      <c r="F499" s="7">
        <f t="shared" si="23"/>
        <v>4</v>
      </c>
      <c r="G499" t="s">
        <v>649</v>
      </c>
      <c r="H499" t="s">
        <v>658</v>
      </c>
      <c r="I499" t="s">
        <v>683</v>
      </c>
      <c r="J499" t="s">
        <v>704</v>
      </c>
      <c r="K499" t="s">
        <v>709</v>
      </c>
      <c r="L499" t="s">
        <v>721</v>
      </c>
      <c r="M499" t="s">
        <v>729</v>
      </c>
      <c r="N499" t="s">
        <v>1230</v>
      </c>
      <c r="O499">
        <v>1133.08</v>
      </c>
      <c r="P499">
        <v>976.17</v>
      </c>
      <c r="Q499">
        <v>4.2000000000000003E-2</v>
      </c>
      <c r="R499">
        <v>27</v>
      </c>
    </row>
    <row r="500" spans="1:18" x14ac:dyDescent="0.45">
      <c r="A500" t="s">
        <v>512</v>
      </c>
      <c r="B500" s="5">
        <v>45224</v>
      </c>
      <c r="C500" s="5">
        <v>45227</v>
      </c>
      <c r="D500" s="5">
        <f t="shared" si="21"/>
        <v>45224</v>
      </c>
      <c r="E500" s="5">
        <f t="shared" si="22"/>
        <v>45227</v>
      </c>
      <c r="F500" s="7">
        <f t="shared" si="23"/>
        <v>3</v>
      </c>
      <c r="G500" t="s">
        <v>648</v>
      </c>
      <c r="H500" t="s">
        <v>655</v>
      </c>
      <c r="I500" t="s">
        <v>672</v>
      </c>
      <c r="J500" t="s">
        <v>701</v>
      </c>
      <c r="K500" t="s">
        <v>710</v>
      </c>
      <c r="L500" t="s">
        <v>716</v>
      </c>
      <c r="M500" t="s">
        <v>733</v>
      </c>
      <c r="N500" t="s">
        <v>1231</v>
      </c>
      <c r="O500">
        <v>509.31</v>
      </c>
      <c r="P500">
        <v>1145.9000000000001</v>
      </c>
      <c r="Q500">
        <v>5.7000000000000002E-2</v>
      </c>
      <c r="R500">
        <v>8</v>
      </c>
    </row>
    <row r="501" spans="1:18" x14ac:dyDescent="0.45">
      <c r="A501" t="s">
        <v>513</v>
      </c>
      <c r="B501" s="5">
        <v>45908</v>
      </c>
      <c r="C501" s="5">
        <v>45935</v>
      </c>
      <c r="D501" s="5">
        <f t="shared" si="21"/>
        <v>45908</v>
      </c>
      <c r="E501" s="5">
        <f t="shared" si="22"/>
        <v>45935</v>
      </c>
      <c r="F501" s="7">
        <f t="shared" si="23"/>
        <v>27</v>
      </c>
      <c r="G501" t="s">
        <v>648</v>
      </c>
      <c r="H501" t="s">
        <v>655</v>
      </c>
      <c r="I501" t="s">
        <v>692</v>
      </c>
      <c r="J501" t="s">
        <v>702</v>
      </c>
      <c r="K501" t="s">
        <v>708</v>
      </c>
      <c r="L501" t="s">
        <v>712</v>
      </c>
      <c r="M501" t="s">
        <v>732</v>
      </c>
      <c r="N501" t="s">
        <v>1232</v>
      </c>
      <c r="O501">
        <v>660.78</v>
      </c>
      <c r="P501">
        <v>1630.39</v>
      </c>
      <c r="Q501">
        <v>0.218</v>
      </c>
      <c r="R501">
        <v>13</v>
      </c>
    </row>
    <row r="502" spans="1:18" x14ac:dyDescent="0.45">
      <c r="A502" t="s">
        <v>514</v>
      </c>
      <c r="B502" s="5">
        <v>45048</v>
      </c>
      <c r="C502" s="5">
        <v>45062</v>
      </c>
      <c r="D502" s="5">
        <f t="shared" si="21"/>
        <v>45048</v>
      </c>
      <c r="E502" s="5">
        <f t="shared" si="22"/>
        <v>45062</v>
      </c>
      <c r="F502" s="7">
        <f t="shared" si="23"/>
        <v>14</v>
      </c>
      <c r="G502" t="s">
        <v>647</v>
      </c>
      <c r="H502" t="s">
        <v>654</v>
      </c>
      <c r="I502" t="s">
        <v>668</v>
      </c>
      <c r="J502" t="s">
        <v>703</v>
      </c>
      <c r="K502" t="s">
        <v>707</v>
      </c>
      <c r="L502" t="s">
        <v>716</v>
      </c>
      <c r="M502" t="s">
        <v>732</v>
      </c>
      <c r="N502" t="s">
        <v>1233</v>
      </c>
      <c r="O502">
        <v>475.37</v>
      </c>
      <c r="P502">
        <v>963.73</v>
      </c>
      <c r="Q502">
        <v>4.1000000000000002E-2</v>
      </c>
      <c r="R502">
        <v>22</v>
      </c>
    </row>
    <row r="503" spans="1:18" x14ac:dyDescent="0.45">
      <c r="A503" t="s">
        <v>515</v>
      </c>
      <c r="B503" s="5">
        <v>45408</v>
      </c>
      <c r="C503" s="5">
        <v>45406</v>
      </c>
      <c r="D503" s="5">
        <f t="shared" si="21"/>
        <v>45406</v>
      </c>
      <c r="E503" s="5">
        <f t="shared" si="22"/>
        <v>45408</v>
      </c>
      <c r="F503" s="7">
        <f t="shared" si="23"/>
        <v>2</v>
      </c>
      <c r="G503" t="s">
        <v>649</v>
      </c>
      <c r="H503" t="s">
        <v>658</v>
      </c>
      <c r="I503" t="s">
        <v>683</v>
      </c>
      <c r="J503" t="s">
        <v>703</v>
      </c>
      <c r="K503" t="s">
        <v>710</v>
      </c>
      <c r="L503" t="s">
        <v>725</v>
      </c>
      <c r="M503" t="s">
        <v>730</v>
      </c>
      <c r="N503" t="s">
        <v>1234</v>
      </c>
      <c r="O503">
        <v>1232.77</v>
      </c>
      <c r="P503">
        <v>891.73</v>
      </c>
      <c r="Q503">
        <v>0.16700000000000001</v>
      </c>
      <c r="R503">
        <v>10</v>
      </c>
    </row>
    <row r="504" spans="1:18" x14ac:dyDescent="0.45">
      <c r="A504" t="s">
        <v>516</v>
      </c>
      <c r="B504" s="5">
        <v>44980</v>
      </c>
      <c r="C504" s="5">
        <v>45003</v>
      </c>
      <c r="D504" s="5">
        <f t="shared" si="21"/>
        <v>44980</v>
      </c>
      <c r="E504" s="5">
        <f t="shared" si="22"/>
        <v>45003</v>
      </c>
      <c r="F504" s="7">
        <f t="shared" si="23"/>
        <v>23</v>
      </c>
      <c r="G504" t="s">
        <v>647</v>
      </c>
      <c r="H504" t="s">
        <v>659</v>
      </c>
      <c r="I504" t="s">
        <v>699</v>
      </c>
      <c r="J504" t="s">
        <v>702</v>
      </c>
      <c r="K504" t="s">
        <v>710</v>
      </c>
      <c r="L504" t="s">
        <v>723</v>
      </c>
      <c r="M504" t="s">
        <v>728</v>
      </c>
      <c r="N504" t="s">
        <v>1235</v>
      </c>
      <c r="O504">
        <v>770.11</v>
      </c>
      <c r="P504">
        <v>1667.82</v>
      </c>
      <c r="Q504">
        <v>6.9000000000000006E-2</v>
      </c>
      <c r="R504">
        <v>7</v>
      </c>
    </row>
    <row r="505" spans="1:18" x14ac:dyDescent="0.45">
      <c r="A505" t="s">
        <v>517</v>
      </c>
      <c r="B505" s="5">
        <v>45740</v>
      </c>
      <c r="C505" s="5">
        <v>45741</v>
      </c>
      <c r="D505" s="5">
        <f t="shared" si="21"/>
        <v>45740</v>
      </c>
      <c r="E505" s="5">
        <f t="shared" si="22"/>
        <v>45741</v>
      </c>
      <c r="F505" s="7">
        <f t="shared" si="23"/>
        <v>1</v>
      </c>
      <c r="G505" t="s">
        <v>647</v>
      </c>
      <c r="H505" t="s">
        <v>659</v>
      </c>
      <c r="I505" t="s">
        <v>699</v>
      </c>
      <c r="J505" t="s">
        <v>703</v>
      </c>
      <c r="K505" t="s">
        <v>708</v>
      </c>
      <c r="L505" t="s">
        <v>715</v>
      </c>
      <c r="M505" t="s">
        <v>729</v>
      </c>
      <c r="N505" t="s">
        <v>1236</v>
      </c>
      <c r="O505">
        <v>1133.03</v>
      </c>
      <c r="P505">
        <v>1921.51</v>
      </c>
      <c r="Q505">
        <v>0.10100000000000001</v>
      </c>
      <c r="R505">
        <v>5</v>
      </c>
    </row>
    <row r="506" spans="1:18" x14ac:dyDescent="0.45">
      <c r="A506" t="s">
        <v>518</v>
      </c>
      <c r="B506" s="5">
        <v>45726</v>
      </c>
      <c r="C506" s="5">
        <v>45743</v>
      </c>
      <c r="D506" s="5">
        <f t="shared" si="21"/>
        <v>45726</v>
      </c>
      <c r="E506" s="5">
        <f t="shared" si="22"/>
        <v>45743</v>
      </c>
      <c r="F506" s="7">
        <f t="shared" si="23"/>
        <v>17</v>
      </c>
      <c r="G506" t="s">
        <v>648</v>
      </c>
      <c r="H506" t="s">
        <v>655</v>
      </c>
      <c r="I506" t="s">
        <v>692</v>
      </c>
      <c r="J506" t="s">
        <v>706</v>
      </c>
      <c r="K506" t="s">
        <v>711</v>
      </c>
      <c r="L506" t="s">
        <v>721</v>
      </c>
      <c r="M506" t="s">
        <v>729</v>
      </c>
      <c r="N506" t="s">
        <v>1237</v>
      </c>
      <c r="O506">
        <v>996.73</v>
      </c>
      <c r="P506">
        <v>1217.43</v>
      </c>
      <c r="Q506">
        <v>7.0000000000000007E-2</v>
      </c>
      <c r="R506">
        <v>9</v>
      </c>
    </row>
    <row r="507" spans="1:18" x14ac:dyDescent="0.45">
      <c r="A507" t="s">
        <v>519</v>
      </c>
      <c r="B507" s="5">
        <v>45387</v>
      </c>
      <c r="C507" s="5">
        <v>45391</v>
      </c>
      <c r="D507" s="5">
        <f t="shared" si="21"/>
        <v>45387</v>
      </c>
      <c r="E507" s="5">
        <f t="shared" si="22"/>
        <v>45391</v>
      </c>
      <c r="F507" s="7">
        <f t="shared" si="23"/>
        <v>4</v>
      </c>
      <c r="G507" t="s">
        <v>646</v>
      </c>
      <c r="H507" t="s">
        <v>651</v>
      </c>
      <c r="I507" t="s">
        <v>665</v>
      </c>
      <c r="J507" t="s">
        <v>703</v>
      </c>
      <c r="K507" t="s">
        <v>711</v>
      </c>
      <c r="L507" t="s">
        <v>723</v>
      </c>
      <c r="M507" t="s">
        <v>727</v>
      </c>
      <c r="N507" t="s">
        <v>1238</v>
      </c>
      <c r="O507">
        <v>395.07</v>
      </c>
      <c r="P507">
        <v>970.27</v>
      </c>
      <c r="Q507">
        <v>0.123</v>
      </c>
      <c r="R507">
        <v>38</v>
      </c>
    </row>
    <row r="508" spans="1:18" x14ac:dyDescent="0.45">
      <c r="A508" t="s">
        <v>520</v>
      </c>
      <c r="B508" s="5">
        <v>45774</v>
      </c>
      <c r="C508" s="5">
        <v>45794</v>
      </c>
      <c r="D508" s="5">
        <f t="shared" si="21"/>
        <v>45774</v>
      </c>
      <c r="E508" s="5">
        <f t="shared" si="22"/>
        <v>45794</v>
      </c>
      <c r="F508" s="7">
        <f t="shared" si="23"/>
        <v>20</v>
      </c>
      <c r="G508" t="s">
        <v>648</v>
      </c>
      <c r="H508" t="s">
        <v>660</v>
      </c>
      <c r="I508" t="s">
        <v>697</v>
      </c>
      <c r="J508" t="s">
        <v>701</v>
      </c>
      <c r="K508" t="s">
        <v>711</v>
      </c>
      <c r="L508" t="s">
        <v>725</v>
      </c>
      <c r="M508" t="s">
        <v>730</v>
      </c>
      <c r="N508" t="s">
        <v>1239</v>
      </c>
      <c r="O508">
        <v>932.26</v>
      </c>
      <c r="P508">
        <v>1624.67</v>
      </c>
      <c r="Q508">
        <v>0.23499999999999999</v>
      </c>
      <c r="R508">
        <v>28</v>
      </c>
    </row>
    <row r="509" spans="1:18" x14ac:dyDescent="0.45">
      <c r="A509" t="s">
        <v>521</v>
      </c>
      <c r="B509" s="5">
        <v>45589</v>
      </c>
      <c r="C509" s="5">
        <v>45593</v>
      </c>
      <c r="D509" s="5">
        <f t="shared" si="21"/>
        <v>45589</v>
      </c>
      <c r="E509" s="5">
        <f t="shared" si="22"/>
        <v>45593</v>
      </c>
      <c r="F509" s="7">
        <f t="shared" si="23"/>
        <v>4</v>
      </c>
      <c r="G509" t="s">
        <v>647</v>
      </c>
      <c r="H509" t="s">
        <v>659</v>
      </c>
      <c r="I509" t="s">
        <v>685</v>
      </c>
      <c r="J509" t="s">
        <v>705</v>
      </c>
      <c r="K509" t="s">
        <v>710</v>
      </c>
      <c r="L509" t="s">
        <v>714</v>
      </c>
      <c r="M509" t="s">
        <v>729</v>
      </c>
      <c r="N509" t="s">
        <v>1240</v>
      </c>
      <c r="O509">
        <v>1331.77</v>
      </c>
      <c r="P509">
        <v>2606.11</v>
      </c>
      <c r="Q509">
        <v>0.02</v>
      </c>
      <c r="R509">
        <v>6</v>
      </c>
    </row>
    <row r="510" spans="1:18" x14ac:dyDescent="0.45">
      <c r="A510" t="s">
        <v>522</v>
      </c>
      <c r="B510" s="5">
        <v>45029</v>
      </c>
      <c r="C510" s="5">
        <v>45036</v>
      </c>
      <c r="D510" s="5">
        <f t="shared" si="21"/>
        <v>45029</v>
      </c>
      <c r="E510" s="5">
        <f t="shared" si="22"/>
        <v>45036</v>
      </c>
      <c r="F510" s="7">
        <f t="shared" si="23"/>
        <v>7</v>
      </c>
      <c r="G510" t="s">
        <v>649</v>
      </c>
      <c r="H510" t="s">
        <v>657</v>
      </c>
      <c r="I510" t="s">
        <v>679</v>
      </c>
      <c r="J510" t="s">
        <v>705</v>
      </c>
      <c r="K510" t="s">
        <v>708</v>
      </c>
      <c r="L510" t="s">
        <v>720</v>
      </c>
      <c r="M510" t="s">
        <v>731</v>
      </c>
      <c r="N510" t="s">
        <v>1241</v>
      </c>
      <c r="O510">
        <v>227.02</v>
      </c>
      <c r="P510">
        <v>434.72</v>
      </c>
      <c r="Q510">
        <v>9.8000000000000004E-2</v>
      </c>
      <c r="R510">
        <v>10</v>
      </c>
    </row>
    <row r="511" spans="1:18" x14ac:dyDescent="0.45">
      <c r="A511" t="s">
        <v>523</v>
      </c>
      <c r="B511" s="5">
        <v>45608</v>
      </c>
      <c r="C511" s="5">
        <v>45617</v>
      </c>
      <c r="D511" s="5">
        <f t="shared" si="21"/>
        <v>45608</v>
      </c>
      <c r="E511" s="5">
        <f t="shared" si="22"/>
        <v>45617</v>
      </c>
      <c r="F511" s="7">
        <f t="shared" si="23"/>
        <v>9</v>
      </c>
      <c r="G511" t="s">
        <v>647</v>
      </c>
      <c r="H511" t="s">
        <v>654</v>
      </c>
      <c r="I511" t="s">
        <v>691</v>
      </c>
      <c r="J511" t="s">
        <v>701</v>
      </c>
      <c r="K511" t="s">
        <v>711</v>
      </c>
      <c r="L511" t="s">
        <v>722</v>
      </c>
      <c r="M511" t="s">
        <v>731</v>
      </c>
      <c r="N511" t="s">
        <v>1242</v>
      </c>
      <c r="O511">
        <v>903.41</v>
      </c>
      <c r="P511">
        <v>1860.41</v>
      </c>
      <c r="Q511">
        <v>0.108</v>
      </c>
      <c r="R511">
        <v>5</v>
      </c>
    </row>
    <row r="512" spans="1:18" x14ac:dyDescent="0.45">
      <c r="A512" t="s">
        <v>524</v>
      </c>
      <c r="B512" s="5">
        <v>45056</v>
      </c>
      <c r="C512" s="5">
        <v>45060</v>
      </c>
      <c r="D512" s="5">
        <f t="shared" si="21"/>
        <v>45056</v>
      </c>
      <c r="E512" s="5">
        <f t="shared" si="22"/>
        <v>45060</v>
      </c>
      <c r="F512" s="7">
        <f t="shared" si="23"/>
        <v>4</v>
      </c>
      <c r="G512" t="s">
        <v>647</v>
      </c>
      <c r="H512" t="s">
        <v>654</v>
      </c>
      <c r="I512" t="s">
        <v>680</v>
      </c>
      <c r="J512" t="s">
        <v>703</v>
      </c>
      <c r="K512" t="s">
        <v>710</v>
      </c>
      <c r="L512" t="s">
        <v>712</v>
      </c>
      <c r="M512" t="s">
        <v>732</v>
      </c>
      <c r="N512" t="s">
        <v>1243</v>
      </c>
      <c r="O512">
        <v>622.6</v>
      </c>
      <c r="P512">
        <v>833.69</v>
      </c>
      <c r="Q512">
        <v>0.20899999999999999</v>
      </c>
      <c r="R512">
        <v>14</v>
      </c>
    </row>
    <row r="513" spans="1:18" x14ac:dyDescent="0.45">
      <c r="A513" t="s">
        <v>525</v>
      </c>
      <c r="B513" s="5">
        <v>45353</v>
      </c>
      <c r="C513" s="5">
        <v>45374</v>
      </c>
      <c r="D513" s="5">
        <f t="shared" si="21"/>
        <v>45353</v>
      </c>
      <c r="E513" s="5">
        <f t="shared" si="22"/>
        <v>45374</v>
      </c>
      <c r="F513" s="7">
        <f t="shared" si="23"/>
        <v>21</v>
      </c>
      <c r="G513" t="s">
        <v>648</v>
      </c>
      <c r="H513" t="s">
        <v>660</v>
      </c>
      <c r="I513" t="s">
        <v>677</v>
      </c>
      <c r="J513" t="s">
        <v>705</v>
      </c>
      <c r="K513" t="s">
        <v>708</v>
      </c>
      <c r="L513" t="s">
        <v>721</v>
      </c>
      <c r="M513" t="s">
        <v>727</v>
      </c>
      <c r="N513" t="s">
        <v>1244</v>
      </c>
      <c r="O513">
        <v>225.01</v>
      </c>
      <c r="P513">
        <v>333.48</v>
      </c>
      <c r="Q513">
        <v>0.11899999999999999</v>
      </c>
      <c r="R513">
        <v>12</v>
      </c>
    </row>
    <row r="514" spans="1:18" x14ac:dyDescent="0.45">
      <c r="A514" t="s">
        <v>526</v>
      </c>
      <c r="B514" s="5">
        <v>45575</v>
      </c>
      <c r="C514" s="5">
        <v>45576</v>
      </c>
      <c r="D514" s="5">
        <f t="shared" si="21"/>
        <v>45575</v>
      </c>
      <c r="E514" s="5">
        <f t="shared" si="22"/>
        <v>45576</v>
      </c>
      <c r="F514" s="7">
        <f t="shared" si="23"/>
        <v>1</v>
      </c>
      <c r="G514" t="s">
        <v>649</v>
      </c>
      <c r="H514" t="s">
        <v>658</v>
      </c>
      <c r="I514" t="s">
        <v>693</v>
      </c>
      <c r="J514" t="s">
        <v>703</v>
      </c>
      <c r="K514" t="s">
        <v>710</v>
      </c>
      <c r="L514" t="s">
        <v>716</v>
      </c>
      <c r="M514" t="s">
        <v>727</v>
      </c>
      <c r="N514" t="s">
        <v>1245</v>
      </c>
      <c r="O514">
        <v>1389.46</v>
      </c>
      <c r="P514">
        <v>1784.7</v>
      </c>
      <c r="Q514">
        <v>0.14599999999999999</v>
      </c>
      <c r="R514">
        <v>33</v>
      </c>
    </row>
    <row r="515" spans="1:18" x14ac:dyDescent="0.45">
      <c r="A515" t="s">
        <v>527</v>
      </c>
      <c r="B515" s="5">
        <v>45078</v>
      </c>
      <c r="C515" s="5">
        <v>45085</v>
      </c>
      <c r="D515" s="5">
        <f t="shared" ref="D515:D578" si="24">IF(C515&gt;B515,B515,C515)</f>
        <v>45078</v>
      </c>
      <c r="E515" s="5">
        <f t="shared" ref="E515:E578" si="25">IF(C515&gt;B515,C515,B515)</f>
        <v>45085</v>
      </c>
      <c r="F515" s="7">
        <f t="shared" ref="F515:F578" si="26">DATEDIF(D515,E515,"d")</f>
        <v>7</v>
      </c>
      <c r="G515" t="s">
        <v>649</v>
      </c>
      <c r="H515" t="s">
        <v>656</v>
      </c>
      <c r="I515" t="s">
        <v>698</v>
      </c>
      <c r="J515" t="s">
        <v>704</v>
      </c>
      <c r="K515" t="s">
        <v>708</v>
      </c>
      <c r="L515" t="s">
        <v>720</v>
      </c>
      <c r="M515" t="s">
        <v>730</v>
      </c>
      <c r="N515" t="s">
        <v>1246</v>
      </c>
      <c r="O515">
        <v>804.17</v>
      </c>
      <c r="P515">
        <v>1072.29</v>
      </c>
      <c r="Q515">
        <v>3.2000000000000001E-2</v>
      </c>
      <c r="R515">
        <v>5</v>
      </c>
    </row>
    <row r="516" spans="1:18" x14ac:dyDescent="0.45">
      <c r="A516" t="s">
        <v>528</v>
      </c>
      <c r="B516" s="5">
        <v>45661</v>
      </c>
      <c r="C516" s="5">
        <v>45662</v>
      </c>
      <c r="D516" s="5">
        <f t="shared" si="24"/>
        <v>45661</v>
      </c>
      <c r="E516" s="5">
        <f t="shared" si="25"/>
        <v>45662</v>
      </c>
      <c r="F516" s="7">
        <f t="shared" si="26"/>
        <v>1</v>
      </c>
      <c r="G516" t="s">
        <v>647</v>
      </c>
      <c r="H516" t="s">
        <v>654</v>
      </c>
      <c r="I516" t="s">
        <v>680</v>
      </c>
      <c r="J516" t="s">
        <v>702</v>
      </c>
      <c r="K516" t="s">
        <v>707</v>
      </c>
      <c r="L516" t="s">
        <v>714</v>
      </c>
      <c r="M516" t="s">
        <v>727</v>
      </c>
      <c r="N516" t="s">
        <v>1247</v>
      </c>
      <c r="O516">
        <v>1428.33</v>
      </c>
      <c r="P516">
        <v>3028.05</v>
      </c>
      <c r="Q516">
        <v>0</v>
      </c>
      <c r="R516">
        <v>11</v>
      </c>
    </row>
    <row r="517" spans="1:18" x14ac:dyDescent="0.45">
      <c r="A517" t="s">
        <v>529</v>
      </c>
      <c r="B517" s="5">
        <v>45874</v>
      </c>
      <c r="C517" s="5">
        <v>45897</v>
      </c>
      <c r="D517" s="5">
        <f t="shared" si="24"/>
        <v>45874</v>
      </c>
      <c r="E517" s="5">
        <f t="shared" si="25"/>
        <v>45897</v>
      </c>
      <c r="F517" s="7">
        <f t="shared" si="26"/>
        <v>23</v>
      </c>
      <c r="G517" t="s">
        <v>647</v>
      </c>
      <c r="H517" t="s">
        <v>654</v>
      </c>
      <c r="I517" t="s">
        <v>691</v>
      </c>
      <c r="J517" t="s">
        <v>703</v>
      </c>
      <c r="K517" t="s">
        <v>710</v>
      </c>
      <c r="L517" t="s">
        <v>725</v>
      </c>
      <c r="M517" t="s">
        <v>731</v>
      </c>
      <c r="N517" t="s">
        <v>1248</v>
      </c>
      <c r="O517">
        <v>638.54</v>
      </c>
      <c r="P517">
        <v>987.24</v>
      </c>
      <c r="Q517">
        <v>0</v>
      </c>
      <c r="R517">
        <v>11</v>
      </c>
    </row>
    <row r="518" spans="1:18" x14ac:dyDescent="0.45">
      <c r="A518" t="s">
        <v>530</v>
      </c>
      <c r="B518" s="5">
        <v>45199</v>
      </c>
      <c r="C518" s="5">
        <v>45229</v>
      </c>
      <c r="D518" s="5">
        <f t="shared" si="24"/>
        <v>45199</v>
      </c>
      <c r="E518" s="5">
        <f t="shared" si="25"/>
        <v>45229</v>
      </c>
      <c r="F518" s="7">
        <f t="shared" si="26"/>
        <v>30</v>
      </c>
      <c r="G518" t="s">
        <v>647</v>
      </c>
      <c r="H518" t="s">
        <v>652</v>
      </c>
      <c r="I518" t="s">
        <v>689</v>
      </c>
      <c r="J518" t="s">
        <v>706</v>
      </c>
      <c r="K518" t="s">
        <v>708</v>
      </c>
      <c r="L518" t="s">
        <v>726</v>
      </c>
      <c r="M518" t="s">
        <v>728</v>
      </c>
      <c r="N518" t="s">
        <v>1249</v>
      </c>
      <c r="O518">
        <v>649.13</v>
      </c>
      <c r="P518">
        <v>975.43</v>
      </c>
      <c r="Q518">
        <v>0.157</v>
      </c>
      <c r="R518">
        <v>27</v>
      </c>
    </row>
    <row r="519" spans="1:18" x14ac:dyDescent="0.45">
      <c r="A519" t="s">
        <v>531</v>
      </c>
      <c r="B519" s="5">
        <v>45794</v>
      </c>
      <c r="C519" s="5">
        <v>45807</v>
      </c>
      <c r="D519" s="5">
        <f t="shared" si="24"/>
        <v>45794</v>
      </c>
      <c r="E519" s="5">
        <f t="shared" si="25"/>
        <v>45807</v>
      </c>
      <c r="F519" s="7">
        <f t="shared" si="26"/>
        <v>13</v>
      </c>
      <c r="G519" t="s">
        <v>646</v>
      </c>
      <c r="H519" t="s">
        <v>651</v>
      </c>
      <c r="I519" t="s">
        <v>665</v>
      </c>
      <c r="J519" t="s">
        <v>704</v>
      </c>
      <c r="K519" t="s">
        <v>710</v>
      </c>
      <c r="L519" t="s">
        <v>721</v>
      </c>
      <c r="M519" t="s">
        <v>733</v>
      </c>
      <c r="N519" t="s">
        <v>1250</v>
      </c>
      <c r="O519">
        <v>66.400000000000006</v>
      </c>
      <c r="P519">
        <v>141.43</v>
      </c>
      <c r="Q519">
        <v>0.107</v>
      </c>
      <c r="R519">
        <v>8</v>
      </c>
    </row>
    <row r="520" spans="1:18" x14ac:dyDescent="0.45">
      <c r="A520" t="s">
        <v>532</v>
      </c>
      <c r="B520" s="5">
        <v>45413</v>
      </c>
      <c r="C520" s="5">
        <v>45438</v>
      </c>
      <c r="D520" s="5">
        <f t="shared" si="24"/>
        <v>45413</v>
      </c>
      <c r="E520" s="5">
        <f t="shared" si="25"/>
        <v>45438</v>
      </c>
      <c r="F520" s="7">
        <f t="shared" si="26"/>
        <v>25</v>
      </c>
      <c r="G520" t="s">
        <v>649</v>
      </c>
      <c r="H520" t="s">
        <v>656</v>
      </c>
      <c r="I520" t="s">
        <v>671</v>
      </c>
      <c r="J520" t="s">
        <v>703</v>
      </c>
      <c r="K520" t="s">
        <v>707</v>
      </c>
      <c r="L520" t="s">
        <v>717</v>
      </c>
      <c r="M520" t="s">
        <v>729</v>
      </c>
      <c r="N520" t="s">
        <v>1251</v>
      </c>
      <c r="O520">
        <v>930.71</v>
      </c>
      <c r="P520">
        <v>1625.42</v>
      </c>
      <c r="Q520">
        <v>0.13800000000000001</v>
      </c>
      <c r="R520">
        <v>7</v>
      </c>
    </row>
    <row r="521" spans="1:18" x14ac:dyDescent="0.45">
      <c r="A521" t="s">
        <v>533</v>
      </c>
      <c r="B521" s="5">
        <v>45047</v>
      </c>
      <c r="C521" s="5">
        <v>45064</v>
      </c>
      <c r="D521" s="5">
        <f t="shared" si="24"/>
        <v>45047</v>
      </c>
      <c r="E521" s="5">
        <f t="shared" si="25"/>
        <v>45064</v>
      </c>
      <c r="F521" s="7">
        <f t="shared" si="26"/>
        <v>17</v>
      </c>
      <c r="G521" t="s">
        <v>646</v>
      </c>
      <c r="H521" t="s">
        <v>651</v>
      </c>
      <c r="I521" t="s">
        <v>663</v>
      </c>
      <c r="J521" t="s">
        <v>701</v>
      </c>
      <c r="K521" t="s">
        <v>711</v>
      </c>
      <c r="L521" t="s">
        <v>721</v>
      </c>
      <c r="M521" t="s">
        <v>727</v>
      </c>
      <c r="N521" t="s">
        <v>1252</v>
      </c>
      <c r="O521">
        <v>327.97</v>
      </c>
      <c r="P521">
        <v>299.94</v>
      </c>
      <c r="Q521">
        <v>4.9000000000000002E-2</v>
      </c>
      <c r="R521">
        <v>3</v>
      </c>
    </row>
    <row r="522" spans="1:18" x14ac:dyDescent="0.45">
      <c r="A522" t="s">
        <v>534</v>
      </c>
      <c r="B522" s="5">
        <v>45482</v>
      </c>
      <c r="C522" s="5">
        <v>45512</v>
      </c>
      <c r="D522" s="5">
        <f t="shared" si="24"/>
        <v>45482</v>
      </c>
      <c r="E522" s="5">
        <f t="shared" si="25"/>
        <v>45512</v>
      </c>
      <c r="F522" s="7">
        <f t="shared" si="26"/>
        <v>30</v>
      </c>
      <c r="G522" t="s">
        <v>649</v>
      </c>
      <c r="H522" t="s">
        <v>657</v>
      </c>
      <c r="I522" t="s">
        <v>673</v>
      </c>
      <c r="J522" t="s">
        <v>701</v>
      </c>
      <c r="K522" t="s">
        <v>711</v>
      </c>
      <c r="L522" t="s">
        <v>713</v>
      </c>
      <c r="M522" t="s">
        <v>727</v>
      </c>
      <c r="N522" t="s">
        <v>1253</v>
      </c>
      <c r="O522">
        <v>1062.3800000000001</v>
      </c>
      <c r="P522">
        <v>1503.96</v>
      </c>
      <c r="Q522">
        <v>0.18</v>
      </c>
      <c r="R522">
        <v>6</v>
      </c>
    </row>
    <row r="523" spans="1:18" x14ac:dyDescent="0.45">
      <c r="A523" t="s">
        <v>535</v>
      </c>
      <c r="B523" s="5">
        <v>45056</v>
      </c>
      <c r="C523" s="5">
        <v>45073</v>
      </c>
      <c r="D523" s="5">
        <f t="shared" si="24"/>
        <v>45056</v>
      </c>
      <c r="E523" s="5">
        <f t="shared" si="25"/>
        <v>45073</v>
      </c>
      <c r="F523" s="7">
        <f t="shared" si="26"/>
        <v>17</v>
      </c>
      <c r="G523" t="s">
        <v>647</v>
      </c>
      <c r="H523" t="s">
        <v>654</v>
      </c>
      <c r="I523" t="s">
        <v>691</v>
      </c>
      <c r="J523" t="s">
        <v>704</v>
      </c>
      <c r="K523" t="s">
        <v>707</v>
      </c>
      <c r="L523" t="s">
        <v>724</v>
      </c>
      <c r="M523" t="s">
        <v>731</v>
      </c>
      <c r="N523" t="s">
        <v>1254</v>
      </c>
      <c r="O523">
        <v>1286.1600000000001</v>
      </c>
      <c r="P523">
        <v>3101.11</v>
      </c>
      <c r="Q523">
        <v>0.1</v>
      </c>
      <c r="R523">
        <v>23</v>
      </c>
    </row>
    <row r="524" spans="1:18" x14ac:dyDescent="0.45">
      <c r="A524" t="s">
        <v>536</v>
      </c>
      <c r="B524" s="5">
        <v>45482</v>
      </c>
      <c r="C524" s="5">
        <v>45485</v>
      </c>
      <c r="D524" s="5">
        <f t="shared" si="24"/>
        <v>45482</v>
      </c>
      <c r="E524" s="5">
        <f t="shared" si="25"/>
        <v>45485</v>
      </c>
      <c r="F524" s="7">
        <f t="shared" si="26"/>
        <v>3</v>
      </c>
      <c r="G524" t="s">
        <v>647</v>
      </c>
      <c r="H524" t="s">
        <v>659</v>
      </c>
      <c r="I524" t="s">
        <v>685</v>
      </c>
      <c r="J524" t="s">
        <v>705</v>
      </c>
      <c r="K524" t="s">
        <v>707</v>
      </c>
      <c r="L524" t="s">
        <v>726</v>
      </c>
      <c r="M524" t="s">
        <v>733</v>
      </c>
      <c r="N524" t="s">
        <v>1255</v>
      </c>
      <c r="O524">
        <v>748.39</v>
      </c>
      <c r="P524">
        <v>979.42</v>
      </c>
      <c r="Q524">
        <v>0</v>
      </c>
      <c r="R524">
        <v>23</v>
      </c>
    </row>
    <row r="525" spans="1:18" x14ac:dyDescent="0.45">
      <c r="A525" t="s">
        <v>537</v>
      </c>
      <c r="B525" s="5">
        <v>45406</v>
      </c>
      <c r="C525" s="5">
        <v>45422</v>
      </c>
      <c r="D525" s="5">
        <f t="shared" si="24"/>
        <v>45406</v>
      </c>
      <c r="E525" s="5">
        <f t="shared" si="25"/>
        <v>45422</v>
      </c>
      <c r="F525" s="7">
        <f t="shared" si="26"/>
        <v>16</v>
      </c>
      <c r="G525" t="s">
        <v>646</v>
      </c>
      <c r="H525" t="s">
        <v>650</v>
      </c>
      <c r="I525" t="s">
        <v>662</v>
      </c>
      <c r="J525" t="s">
        <v>703</v>
      </c>
      <c r="K525" t="s">
        <v>708</v>
      </c>
      <c r="L525" t="s">
        <v>725</v>
      </c>
      <c r="M525" t="s">
        <v>732</v>
      </c>
      <c r="N525" t="s">
        <v>1256</v>
      </c>
      <c r="O525">
        <v>513.30999999999995</v>
      </c>
      <c r="P525">
        <v>1186.26</v>
      </c>
      <c r="Q525">
        <v>9.4E-2</v>
      </c>
      <c r="R525">
        <v>15</v>
      </c>
    </row>
    <row r="526" spans="1:18" x14ac:dyDescent="0.45">
      <c r="A526" t="s">
        <v>538</v>
      </c>
      <c r="B526" s="5">
        <v>45304</v>
      </c>
      <c r="C526" s="5">
        <v>45306</v>
      </c>
      <c r="D526" s="5">
        <f t="shared" si="24"/>
        <v>45304</v>
      </c>
      <c r="E526" s="5">
        <f t="shared" si="25"/>
        <v>45306</v>
      </c>
      <c r="F526" s="7">
        <f t="shared" si="26"/>
        <v>2</v>
      </c>
      <c r="G526" t="s">
        <v>648</v>
      </c>
      <c r="H526" t="s">
        <v>660</v>
      </c>
      <c r="I526" t="s">
        <v>686</v>
      </c>
      <c r="J526" t="s">
        <v>703</v>
      </c>
      <c r="K526" t="s">
        <v>711</v>
      </c>
      <c r="L526" t="s">
        <v>718</v>
      </c>
      <c r="M526" t="s">
        <v>727</v>
      </c>
      <c r="N526" t="s">
        <v>1257</v>
      </c>
      <c r="O526">
        <v>1061.3699999999999</v>
      </c>
      <c r="P526">
        <v>1938.33</v>
      </c>
      <c r="Q526">
        <v>0.17</v>
      </c>
      <c r="R526">
        <v>4</v>
      </c>
    </row>
    <row r="527" spans="1:18" x14ac:dyDescent="0.45">
      <c r="A527" t="s">
        <v>539</v>
      </c>
      <c r="B527" s="5">
        <v>45398</v>
      </c>
      <c r="C527" s="5">
        <v>45409</v>
      </c>
      <c r="D527" s="5">
        <f t="shared" si="24"/>
        <v>45398</v>
      </c>
      <c r="E527" s="5">
        <f t="shared" si="25"/>
        <v>45409</v>
      </c>
      <c r="F527" s="7">
        <f t="shared" si="26"/>
        <v>11</v>
      </c>
      <c r="G527" t="s">
        <v>646</v>
      </c>
      <c r="H527" t="s">
        <v>650</v>
      </c>
      <c r="I527" t="s">
        <v>678</v>
      </c>
      <c r="J527" t="s">
        <v>706</v>
      </c>
      <c r="K527" t="s">
        <v>708</v>
      </c>
      <c r="L527" t="s">
        <v>726</v>
      </c>
      <c r="M527" t="s">
        <v>728</v>
      </c>
      <c r="N527" t="s">
        <v>1258</v>
      </c>
      <c r="O527">
        <v>401.3</v>
      </c>
      <c r="P527">
        <v>826.47</v>
      </c>
      <c r="Q527">
        <v>0.22500000000000001</v>
      </c>
      <c r="R527">
        <v>13</v>
      </c>
    </row>
    <row r="528" spans="1:18" x14ac:dyDescent="0.45">
      <c r="A528" t="s">
        <v>540</v>
      </c>
      <c r="B528" s="5">
        <v>45695</v>
      </c>
      <c r="C528" s="5">
        <v>45704</v>
      </c>
      <c r="D528" s="5">
        <f t="shared" si="24"/>
        <v>45695</v>
      </c>
      <c r="E528" s="5">
        <f t="shared" si="25"/>
        <v>45704</v>
      </c>
      <c r="F528" s="7">
        <f t="shared" si="26"/>
        <v>9</v>
      </c>
      <c r="G528" t="s">
        <v>646</v>
      </c>
      <c r="H528" t="s">
        <v>651</v>
      </c>
      <c r="I528" t="s">
        <v>665</v>
      </c>
      <c r="J528" t="s">
        <v>705</v>
      </c>
      <c r="K528" t="s">
        <v>710</v>
      </c>
      <c r="L528" t="s">
        <v>712</v>
      </c>
      <c r="M528" t="s">
        <v>728</v>
      </c>
      <c r="N528" t="s">
        <v>1259</v>
      </c>
      <c r="O528">
        <v>90.68</v>
      </c>
      <c r="P528">
        <v>118.17</v>
      </c>
      <c r="Q528">
        <v>0.13500000000000001</v>
      </c>
      <c r="R528">
        <v>21</v>
      </c>
    </row>
    <row r="529" spans="1:18" x14ac:dyDescent="0.45">
      <c r="A529" t="s">
        <v>541</v>
      </c>
      <c r="B529" s="5">
        <v>44938</v>
      </c>
      <c r="C529" s="5">
        <v>44952</v>
      </c>
      <c r="D529" s="5">
        <f t="shared" si="24"/>
        <v>44938</v>
      </c>
      <c r="E529" s="5">
        <f t="shared" si="25"/>
        <v>44952</v>
      </c>
      <c r="F529" s="7">
        <f t="shared" si="26"/>
        <v>14</v>
      </c>
      <c r="G529" t="s">
        <v>647</v>
      </c>
      <c r="H529" t="s">
        <v>659</v>
      </c>
      <c r="I529" t="s">
        <v>676</v>
      </c>
      <c r="J529" t="s">
        <v>703</v>
      </c>
      <c r="K529" t="s">
        <v>707</v>
      </c>
      <c r="L529" t="s">
        <v>724</v>
      </c>
      <c r="M529" t="s">
        <v>728</v>
      </c>
      <c r="N529" t="s">
        <v>1260</v>
      </c>
      <c r="O529">
        <v>1083.0899999999999</v>
      </c>
      <c r="P529">
        <v>1425.87</v>
      </c>
      <c r="Q529">
        <v>0</v>
      </c>
      <c r="R529">
        <v>8</v>
      </c>
    </row>
    <row r="530" spans="1:18" x14ac:dyDescent="0.45">
      <c r="A530" t="s">
        <v>542</v>
      </c>
      <c r="B530" s="5">
        <v>45448</v>
      </c>
      <c r="C530" s="5">
        <v>45466</v>
      </c>
      <c r="D530" s="5">
        <f t="shared" si="24"/>
        <v>45448</v>
      </c>
      <c r="E530" s="5">
        <f t="shared" si="25"/>
        <v>45466</v>
      </c>
      <c r="F530" s="7">
        <f t="shared" si="26"/>
        <v>18</v>
      </c>
      <c r="G530" t="s">
        <v>646</v>
      </c>
      <c r="H530" t="s">
        <v>650</v>
      </c>
      <c r="I530" t="s">
        <v>664</v>
      </c>
      <c r="J530" t="s">
        <v>704</v>
      </c>
      <c r="K530" t="s">
        <v>710</v>
      </c>
      <c r="L530" t="s">
        <v>726</v>
      </c>
      <c r="M530" t="s">
        <v>731</v>
      </c>
      <c r="N530" t="s">
        <v>1261</v>
      </c>
      <c r="O530">
        <v>1208.74</v>
      </c>
      <c r="P530">
        <v>1594.78</v>
      </c>
      <c r="Q530">
        <v>5.8999999999999997E-2</v>
      </c>
      <c r="R530">
        <v>39</v>
      </c>
    </row>
    <row r="531" spans="1:18" x14ac:dyDescent="0.45">
      <c r="A531" t="s">
        <v>543</v>
      </c>
      <c r="B531" s="5">
        <v>45162</v>
      </c>
      <c r="C531" s="5">
        <v>45189</v>
      </c>
      <c r="D531" s="5">
        <f t="shared" si="24"/>
        <v>45162</v>
      </c>
      <c r="E531" s="5">
        <f t="shared" si="25"/>
        <v>45189</v>
      </c>
      <c r="F531" s="7">
        <f t="shared" si="26"/>
        <v>27</v>
      </c>
      <c r="G531" t="s">
        <v>646</v>
      </c>
      <c r="H531" t="s">
        <v>661</v>
      </c>
      <c r="I531" t="s">
        <v>687</v>
      </c>
      <c r="J531" t="s">
        <v>705</v>
      </c>
      <c r="K531" t="s">
        <v>709</v>
      </c>
      <c r="L531" t="s">
        <v>724</v>
      </c>
      <c r="M531" t="s">
        <v>728</v>
      </c>
      <c r="N531" t="s">
        <v>1262</v>
      </c>
      <c r="O531">
        <v>1399.64</v>
      </c>
      <c r="P531">
        <v>3342.11</v>
      </c>
      <c r="Q531">
        <v>0</v>
      </c>
      <c r="R531">
        <v>10</v>
      </c>
    </row>
    <row r="532" spans="1:18" x14ac:dyDescent="0.45">
      <c r="A532" t="s">
        <v>544</v>
      </c>
      <c r="B532" s="5">
        <v>45316</v>
      </c>
      <c r="C532" s="5">
        <v>45330</v>
      </c>
      <c r="D532" s="5">
        <f t="shared" si="24"/>
        <v>45316</v>
      </c>
      <c r="E532" s="5">
        <f t="shared" si="25"/>
        <v>45330</v>
      </c>
      <c r="F532" s="7">
        <f t="shared" si="26"/>
        <v>14</v>
      </c>
      <c r="G532" t="s">
        <v>647</v>
      </c>
      <c r="H532" t="s">
        <v>652</v>
      </c>
      <c r="I532" t="s">
        <v>666</v>
      </c>
      <c r="J532" t="s">
        <v>704</v>
      </c>
      <c r="K532" t="s">
        <v>709</v>
      </c>
      <c r="L532" t="s">
        <v>714</v>
      </c>
      <c r="M532" t="s">
        <v>729</v>
      </c>
      <c r="N532" t="s">
        <v>1263</v>
      </c>
      <c r="O532">
        <v>937.16</v>
      </c>
      <c r="P532">
        <v>1069.77</v>
      </c>
      <c r="Q532">
        <v>3.7999999999999999E-2</v>
      </c>
      <c r="R532">
        <v>9</v>
      </c>
    </row>
    <row r="533" spans="1:18" x14ac:dyDescent="0.45">
      <c r="A533" t="s">
        <v>545</v>
      </c>
      <c r="B533" s="5">
        <v>45727</v>
      </c>
      <c r="C533" s="5">
        <v>45742</v>
      </c>
      <c r="D533" s="5">
        <f t="shared" si="24"/>
        <v>45727</v>
      </c>
      <c r="E533" s="5">
        <f t="shared" si="25"/>
        <v>45742</v>
      </c>
      <c r="F533" s="7">
        <f t="shared" si="26"/>
        <v>15</v>
      </c>
      <c r="G533" t="s">
        <v>649</v>
      </c>
      <c r="H533" t="s">
        <v>656</v>
      </c>
      <c r="I533" t="s">
        <v>671</v>
      </c>
      <c r="J533" t="s">
        <v>705</v>
      </c>
      <c r="K533" t="s">
        <v>708</v>
      </c>
      <c r="L533" t="s">
        <v>714</v>
      </c>
      <c r="M533" t="s">
        <v>730</v>
      </c>
      <c r="N533" t="s">
        <v>1264</v>
      </c>
      <c r="O533">
        <v>116.97</v>
      </c>
      <c r="P533">
        <v>140.82</v>
      </c>
      <c r="Q533">
        <v>0.122</v>
      </c>
      <c r="R533">
        <v>5</v>
      </c>
    </row>
    <row r="534" spans="1:18" x14ac:dyDescent="0.45">
      <c r="A534" t="s">
        <v>546</v>
      </c>
      <c r="B534" s="5">
        <v>45769</v>
      </c>
      <c r="C534" s="5">
        <v>45789</v>
      </c>
      <c r="D534" s="5">
        <f t="shared" si="24"/>
        <v>45769</v>
      </c>
      <c r="E534" s="5">
        <f t="shared" si="25"/>
        <v>45789</v>
      </c>
      <c r="F534" s="7">
        <f t="shared" si="26"/>
        <v>20</v>
      </c>
      <c r="G534" t="s">
        <v>649</v>
      </c>
      <c r="H534" t="s">
        <v>657</v>
      </c>
      <c r="I534" t="s">
        <v>679</v>
      </c>
      <c r="J534" t="s">
        <v>706</v>
      </c>
      <c r="K534" t="s">
        <v>709</v>
      </c>
      <c r="L534" t="s">
        <v>723</v>
      </c>
      <c r="M534" t="s">
        <v>732</v>
      </c>
      <c r="N534" t="s">
        <v>1265</v>
      </c>
      <c r="O534">
        <v>59.51</v>
      </c>
      <c r="P534">
        <v>67.040000000000006</v>
      </c>
      <c r="Q534">
        <v>0.114</v>
      </c>
      <c r="R534">
        <v>9</v>
      </c>
    </row>
    <row r="535" spans="1:18" x14ac:dyDescent="0.45">
      <c r="A535" t="s">
        <v>547</v>
      </c>
      <c r="B535" s="5">
        <v>45155</v>
      </c>
      <c r="C535" s="5">
        <v>45172</v>
      </c>
      <c r="D535" s="5">
        <f t="shared" si="24"/>
        <v>45155</v>
      </c>
      <c r="E535" s="5">
        <f t="shared" si="25"/>
        <v>45172</v>
      </c>
      <c r="F535" s="7">
        <f t="shared" si="26"/>
        <v>17</v>
      </c>
      <c r="G535" t="s">
        <v>646</v>
      </c>
      <c r="H535" t="s">
        <v>661</v>
      </c>
      <c r="I535" t="s">
        <v>687</v>
      </c>
      <c r="J535" t="s">
        <v>706</v>
      </c>
      <c r="K535" t="s">
        <v>707</v>
      </c>
      <c r="L535" t="s">
        <v>720</v>
      </c>
      <c r="M535" t="s">
        <v>730</v>
      </c>
      <c r="N535" t="s">
        <v>1266</v>
      </c>
      <c r="O535">
        <v>676.37</v>
      </c>
      <c r="P535">
        <v>1276.67</v>
      </c>
      <c r="Q535">
        <v>6.6000000000000003E-2</v>
      </c>
      <c r="R535">
        <v>10</v>
      </c>
    </row>
    <row r="536" spans="1:18" x14ac:dyDescent="0.45">
      <c r="A536" t="s">
        <v>548</v>
      </c>
      <c r="B536" s="5">
        <v>45832</v>
      </c>
      <c r="C536" s="5">
        <v>45852</v>
      </c>
      <c r="D536" s="5">
        <f t="shared" si="24"/>
        <v>45832</v>
      </c>
      <c r="E536" s="5">
        <f t="shared" si="25"/>
        <v>45852</v>
      </c>
      <c r="F536" s="7">
        <f t="shared" si="26"/>
        <v>20</v>
      </c>
      <c r="G536" t="s">
        <v>646</v>
      </c>
      <c r="H536" t="s">
        <v>661</v>
      </c>
      <c r="I536" t="s">
        <v>682</v>
      </c>
      <c r="J536" t="s">
        <v>706</v>
      </c>
      <c r="K536" t="s">
        <v>709</v>
      </c>
      <c r="L536" t="s">
        <v>713</v>
      </c>
      <c r="M536" t="s">
        <v>731</v>
      </c>
      <c r="N536" t="s">
        <v>1267</v>
      </c>
      <c r="O536">
        <v>1151.06</v>
      </c>
      <c r="P536">
        <v>2821.36</v>
      </c>
      <c r="Q536">
        <v>0.248</v>
      </c>
      <c r="R536">
        <v>20</v>
      </c>
    </row>
    <row r="537" spans="1:18" x14ac:dyDescent="0.45">
      <c r="A537" t="s">
        <v>549</v>
      </c>
      <c r="B537" s="5">
        <v>45667</v>
      </c>
      <c r="C537" s="5">
        <v>45694</v>
      </c>
      <c r="D537" s="5">
        <f t="shared" si="24"/>
        <v>45667</v>
      </c>
      <c r="E537" s="5">
        <f t="shared" si="25"/>
        <v>45694</v>
      </c>
      <c r="F537" s="7">
        <f t="shared" si="26"/>
        <v>27</v>
      </c>
      <c r="G537" t="s">
        <v>648</v>
      </c>
      <c r="H537" t="s">
        <v>655</v>
      </c>
      <c r="I537" t="s">
        <v>672</v>
      </c>
      <c r="J537" t="s">
        <v>703</v>
      </c>
      <c r="K537" t="s">
        <v>707</v>
      </c>
      <c r="L537" t="s">
        <v>717</v>
      </c>
      <c r="M537" t="s">
        <v>731</v>
      </c>
      <c r="N537" t="s">
        <v>1268</v>
      </c>
      <c r="O537">
        <v>725.62</v>
      </c>
      <c r="P537">
        <v>1559.19</v>
      </c>
      <c r="Q537">
        <v>0.19</v>
      </c>
      <c r="R537">
        <v>12</v>
      </c>
    </row>
    <row r="538" spans="1:18" x14ac:dyDescent="0.45">
      <c r="A538" t="s">
        <v>550</v>
      </c>
      <c r="B538" s="5">
        <v>45108</v>
      </c>
      <c r="C538" s="5">
        <v>45118</v>
      </c>
      <c r="D538" s="5">
        <f t="shared" si="24"/>
        <v>45108</v>
      </c>
      <c r="E538" s="5">
        <f t="shared" si="25"/>
        <v>45118</v>
      </c>
      <c r="F538" s="7">
        <f t="shared" si="26"/>
        <v>10</v>
      </c>
      <c r="G538" t="s">
        <v>649</v>
      </c>
      <c r="H538" t="s">
        <v>657</v>
      </c>
      <c r="I538" t="s">
        <v>690</v>
      </c>
      <c r="J538" t="s">
        <v>701</v>
      </c>
      <c r="K538" t="s">
        <v>711</v>
      </c>
      <c r="L538" t="s">
        <v>721</v>
      </c>
      <c r="M538" t="s">
        <v>729</v>
      </c>
      <c r="N538" t="s">
        <v>1269</v>
      </c>
      <c r="O538">
        <v>479.5</v>
      </c>
      <c r="P538">
        <v>656.66</v>
      </c>
      <c r="Q538">
        <v>0.14899999999999999</v>
      </c>
      <c r="R538">
        <v>14</v>
      </c>
    </row>
    <row r="539" spans="1:18" x14ac:dyDescent="0.45">
      <c r="A539" t="s">
        <v>551</v>
      </c>
      <c r="B539" s="5">
        <v>45520</v>
      </c>
      <c r="C539" s="5">
        <v>45530</v>
      </c>
      <c r="D539" s="5">
        <f t="shared" si="24"/>
        <v>45520</v>
      </c>
      <c r="E539" s="5">
        <f t="shared" si="25"/>
        <v>45530</v>
      </c>
      <c r="F539" s="7">
        <f t="shared" si="26"/>
        <v>10</v>
      </c>
      <c r="G539" t="s">
        <v>648</v>
      </c>
      <c r="H539" t="s">
        <v>660</v>
      </c>
      <c r="I539" t="s">
        <v>677</v>
      </c>
      <c r="J539" t="s">
        <v>701</v>
      </c>
      <c r="K539" t="s">
        <v>710</v>
      </c>
      <c r="L539" t="s">
        <v>716</v>
      </c>
      <c r="M539" t="s">
        <v>731</v>
      </c>
      <c r="N539" t="s">
        <v>1121</v>
      </c>
      <c r="O539">
        <v>1291.7</v>
      </c>
      <c r="P539">
        <v>2657.84</v>
      </c>
      <c r="Q539">
        <v>8.6999999999999994E-2</v>
      </c>
      <c r="R539">
        <v>21</v>
      </c>
    </row>
    <row r="540" spans="1:18" x14ac:dyDescent="0.45">
      <c r="A540" t="s">
        <v>552</v>
      </c>
      <c r="B540" s="5">
        <v>45114</v>
      </c>
      <c r="C540" s="5">
        <v>45120</v>
      </c>
      <c r="D540" s="5">
        <f t="shared" si="24"/>
        <v>45114</v>
      </c>
      <c r="E540" s="5">
        <f t="shared" si="25"/>
        <v>45120</v>
      </c>
      <c r="F540" s="7">
        <f t="shared" si="26"/>
        <v>6</v>
      </c>
      <c r="G540" t="s">
        <v>646</v>
      </c>
      <c r="H540" t="s">
        <v>661</v>
      </c>
      <c r="I540" t="s">
        <v>695</v>
      </c>
      <c r="J540" t="s">
        <v>705</v>
      </c>
      <c r="K540" t="s">
        <v>709</v>
      </c>
      <c r="L540" t="s">
        <v>717</v>
      </c>
      <c r="M540" t="s">
        <v>733</v>
      </c>
      <c r="N540" t="s">
        <v>1270</v>
      </c>
      <c r="O540">
        <v>612.59</v>
      </c>
      <c r="P540">
        <v>1424.74</v>
      </c>
      <c r="Q540">
        <v>4.3999999999999997E-2</v>
      </c>
      <c r="R540">
        <v>15</v>
      </c>
    </row>
    <row r="541" spans="1:18" x14ac:dyDescent="0.45">
      <c r="A541" t="s">
        <v>553</v>
      </c>
      <c r="B541" s="5">
        <v>45288</v>
      </c>
      <c r="C541" s="5">
        <v>45292</v>
      </c>
      <c r="D541" s="5">
        <f t="shared" si="24"/>
        <v>45288</v>
      </c>
      <c r="E541" s="5">
        <f t="shared" si="25"/>
        <v>45292</v>
      </c>
      <c r="F541" s="7">
        <f t="shared" si="26"/>
        <v>4</v>
      </c>
      <c r="G541" t="s">
        <v>646</v>
      </c>
      <c r="H541" t="s">
        <v>661</v>
      </c>
      <c r="I541" t="s">
        <v>695</v>
      </c>
      <c r="J541" t="s">
        <v>702</v>
      </c>
      <c r="K541" t="s">
        <v>710</v>
      </c>
      <c r="L541" t="s">
        <v>720</v>
      </c>
      <c r="M541" t="s">
        <v>728</v>
      </c>
      <c r="N541" t="s">
        <v>1271</v>
      </c>
      <c r="O541">
        <v>1141.8</v>
      </c>
      <c r="P541">
        <v>2318.7399999999998</v>
      </c>
      <c r="Q541">
        <v>0.107</v>
      </c>
      <c r="R541">
        <v>32</v>
      </c>
    </row>
    <row r="542" spans="1:18" x14ac:dyDescent="0.45">
      <c r="A542" t="s">
        <v>554</v>
      </c>
      <c r="B542" s="5">
        <v>44952</v>
      </c>
      <c r="C542" s="5">
        <v>44972</v>
      </c>
      <c r="D542" s="5">
        <f t="shared" si="24"/>
        <v>44952</v>
      </c>
      <c r="E542" s="5">
        <f t="shared" si="25"/>
        <v>44972</v>
      </c>
      <c r="F542" s="7">
        <f t="shared" si="26"/>
        <v>20</v>
      </c>
      <c r="G542" t="s">
        <v>649</v>
      </c>
      <c r="H542" t="s">
        <v>656</v>
      </c>
      <c r="I542" t="s">
        <v>671</v>
      </c>
      <c r="J542" t="s">
        <v>705</v>
      </c>
      <c r="K542" t="s">
        <v>708</v>
      </c>
      <c r="L542" t="s">
        <v>719</v>
      </c>
      <c r="M542" t="s">
        <v>729</v>
      </c>
      <c r="N542" t="s">
        <v>1272</v>
      </c>
      <c r="O542">
        <v>492.62</v>
      </c>
      <c r="P542">
        <v>366.7</v>
      </c>
      <c r="Q542">
        <v>8.8999999999999996E-2</v>
      </c>
      <c r="R542">
        <v>10</v>
      </c>
    </row>
    <row r="543" spans="1:18" x14ac:dyDescent="0.45">
      <c r="A543" t="s">
        <v>555</v>
      </c>
      <c r="B543" s="5">
        <v>45115</v>
      </c>
      <c r="C543" s="5">
        <v>45116</v>
      </c>
      <c r="D543" s="5">
        <f t="shared" si="24"/>
        <v>45115</v>
      </c>
      <c r="E543" s="5">
        <f t="shared" si="25"/>
        <v>45116</v>
      </c>
      <c r="F543" s="7">
        <f t="shared" si="26"/>
        <v>1</v>
      </c>
      <c r="G543" t="s">
        <v>646</v>
      </c>
      <c r="H543" t="s">
        <v>650</v>
      </c>
      <c r="I543" t="s">
        <v>664</v>
      </c>
      <c r="J543" t="s">
        <v>704</v>
      </c>
      <c r="K543" t="s">
        <v>708</v>
      </c>
      <c r="L543" t="s">
        <v>726</v>
      </c>
      <c r="M543" t="s">
        <v>731</v>
      </c>
      <c r="N543" t="s">
        <v>1273</v>
      </c>
      <c r="O543">
        <v>1258.72</v>
      </c>
      <c r="P543">
        <v>2797.41</v>
      </c>
      <c r="Q543">
        <v>0</v>
      </c>
      <c r="R543">
        <v>7</v>
      </c>
    </row>
    <row r="544" spans="1:18" x14ac:dyDescent="0.45">
      <c r="A544" t="s">
        <v>556</v>
      </c>
      <c r="B544" s="5">
        <v>45450</v>
      </c>
      <c r="C544" s="5">
        <v>45452</v>
      </c>
      <c r="D544" s="5">
        <f t="shared" si="24"/>
        <v>45450</v>
      </c>
      <c r="E544" s="5">
        <f t="shared" si="25"/>
        <v>45452</v>
      </c>
      <c r="F544" s="7">
        <f t="shared" si="26"/>
        <v>2</v>
      </c>
      <c r="G544" t="s">
        <v>647</v>
      </c>
      <c r="H544" t="s">
        <v>659</v>
      </c>
      <c r="I544" t="s">
        <v>685</v>
      </c>
      <c r="J544" t="s">
        <v>701</v>
      </c>
      <c r="K544" t="s">
        <v>707</v>
      </c>
      <c r="L544" t="s">
        <v>719</v>
      </c>
      <c r="M544" t="s">
        <v>732</v>
      </c>
      <c r="N544" t="s">
        <v>1274</v>
      </c>
      <c r="O544">
        <v>1370.28</v>
      </c>
      <c r="P544">
        <v>2209.66</v>
      </c>
      <c r="Q544">
        <v>0.13300000000000001</v>
      </c>
      <c r="R544">
        <v>16</v>
      </c>
    </row>
    <row r="545" spans="1:18" x14ac:dyDescent="0.45">
      <c r="A545" t="s">
        <v>557</v>
      </c>
      <c r="B545" s="5">
        <v>44968</v>
      </c>
      <c r="C545" s="5">
        <v>44969</v>
      </c>
      <c r="D545" s="5">
        <f t="shared" si="24"/>
        <v>44968</v>
      </c>
      <c r="E545" s="5">
        <f t="shared" si="25"/>
        <v>44969</v>
      </c>
      <c r="F545" s="7">
        <f t="shared" si="26"/>
        <v>1</v>
      </c>
      <c r="G545" t="s">
        <v>646</v>
      </c>
      <c r="H545" t="s">
        <v>651</v>
      </c>
      <c r="I545" t="s">
        <v>663</v>
      </c>
      <c r="J545" t="s">
        <v>703</v>
      </c>
      <c r="K545" t="s">
        <v>711</v>
      </c>
      <c r="L545" t="s">
        <v>726</v>
      </c>
      <c r="M545" t="s">
        <v>733</v>
      </c>
      <c r="N545" t="s">
        <v>1275</v>
      </c>
      <c r="O545">
        <v>944.61</v>
      </c>
      <c r="P545">
        <v>839.04</v>
      </c>
      <c r="Q545">
        <v>5.8999999999999997E-2</v>
      </c>
      <c r="R545">
        <v>6</v>
      </c>
    </row>
    <row r="546" spans="1:18" x14ac:dyDescent="0.45">
      <c r="A546" t="s">
        <v>558</v>
      </c>
      <c r="B546" s="5">
        <v>45108</v>
      </c>
      <c r="C546" s="5">
        <v>45115</v>
      </c>
      <c r="D546" s="5">
        <f t="shared" si="24"/>
        <v>45108</v>
      </c>
      <c r="E546" s="5">
        <f t="shared" si="25"/>
        <v>45115</v>
      </c>
      <c r="F546" s="7">
        <f t="shared" si="26"/>
        <v>7</v>
      </c>
      <c r="G546" t="s">
        <v>649</v>
      </c>
      <c r="H546" t="s">
        <v>656</v>
      </c>
      <c r="I546" t="s">
        <v>698</v>
      </c>
      <c r="J546" t="s">
        <v>705</v>
      </c>
      <c r="K546" t="s">
        <v>710</v>
      </c>
      <c r="L546" t="s">
        <v>725</v>
      </c>
      <c r="M546" t="s">
        <v>731</v>
      </c>
      <c r="N546" t="s">
        <v>1276</v>
      </c>
      <c r="O546">
        <v>460.21</v>
      </c>
      <c r="P546">
        <v>1139.1500000000001</v>
      </c>
      <c r="Q546">
        <v>0.115</v>
      </c>
      <c r="R546">
        <v>14</v>
      </c>
    </row>
    <row r="547" spans="1:18" x14ac:dyDescent="0.45">
      <c r="A547" t="s">
        <v>559</v>
      </c>
      <c r="B547" s="5">
        <v>45889</v>
      </c>
      <c r="C547" s="5">
        <v>45895</v>
      </c>
      <c r="D547" s="5">
        <f t="shared" si="24"/>
        <v>45889</v>
      </c>
      <c r="E547" s="5">
        <f t="shared" si="25"/>
        <v>45895</v>
      </c>
      <c r="F547" s="7">
        <f t="shared" si="26"/>
        <v>6</v>
      </c>
      <c r="G547" t="s">
        <v>648</v>
      </c>
      <c r="H547" t="s">
        <v>660</v>
      </c>
      <c r="I547" t="s">
        <v>700</v>
      </c>
      <c r="J547" t="s">
        <v>701</v>
      </c>
      <c r="K547" t="s">
        <v>707</v>
      </c>
      <c r="L547" t="s">
        <v>724</v>
      </c>
      <c r="M547" t="s">
        <v>729</v>
      </c>
      <c r="N547" t="s">
        <v>1277</v>
      </c>
      <c r="O547">
        <v>1304.95</v>
      </c>
      <c r="P547">
        <v>1712.03</v>
      </c>
      <c r="Q547">
        <v>0.21199999999999999</v>
      </c>
      <c r="R547">
        <v>8</v>
      </c>
    </row>
    <row r="548" spans="1:18" x14ac:dyDescent="0.45">
      <c r="A548" t="s">
        <v>560</v>
      </c>
      <c r="B548" s="5">
        <v>45355</v>
      </c>
      <c r="C548" s="5">
        <v>45367</v>
      </c>
      <c r="D548" s="5">
        <f t="shared" si="24"/>
        <v>45355</v>
      </c>
      <c r="E548" s="5">
        <f t="shared" si="25"/>
        <v>45367</v>
      </c>
      <c r="F548" s="7">
        <f t="shared" si="26"/>
        <v>12</v>
      </c>
      <c r="G548" t="s">
        <v>646</v>
      </c>
      <c r="H548" t="s">
        <v>661</v>
      </c>
      <c r="I548" t="s">
        <v>682</v>
      </c>
      <c r="J548" t="s">
        <v>706</v>
      </c>
      <c r="K548" t="s">
        <v>710</v>
      </c>
      <c r="L548" t="s">
        <v>724</v>
      </c>
      <c r="M548" t="s">
        <v>732</v>
      </c>
      <c r="N548" t="s">
        <v>1278</v>
      </c>
      <c r="O548">
        <v>441.08</v>
      </c>
      <c r="P548">
        <v>1054.29</v>
      </c>
      <c r="Q548">
        <v>0.23699999999999999</v>
      </c>
      <c r="R548">
        <v>6</v>
      </c>
    </row>
    <row r="549" spans="1:18" x14ac:dyDescent="0.45">
      <c r="A549" t="s">
        <v>561</v>
      </c>
      <c r="B549" s="5">
        <v>45177</v>
      </c>
      <c r="C549" s="5">
        <v>45201</v>
      </c>
      <c r="D549" s="5">
        <f t="shared" si="24"/>
        <v>45177</v>
      </c>
      <c r="E549" s="5">
        <f t="shared" si="25"/>
        <v>45201</v>
      </c>
      <c r="F549" s="7">
        <f t="shared" si="26"/>
        <v>24</v>
      </c>
      <c r="G549" t="s">
        <v>648</v>
      </c>
      <c r="H549" t="s">
        <v>653</v>
      </c>
      <c r="I549" t="s">
        <v>667</v>
      </c>
      <c r="J549" t="s">
        <v>702</v>
      </c>
      <c r="K549" t="s">
        <v>711</v>
      </c>
      <c r="L549" t="s">
        <v>720</v>
      </c>
      <c r="M549" t="s">
        <v>733</v>
      </c>
      <c r="N549" t="s">
        <v>1279</v>
      </c>
      <c r="O549">
        <v>1299.03</v>
      </c>
      <c r="P549">
        <v>2451.2199999999998</v>
      </c>
      <c r="Q549">
        <v>0.20799999999999999</v>
      </c>
      <c r="R549">
        <v>8</v>
      </c>
    </row>
    <row r="550" spans="1:18" x14ac:dyDescent="0.45">
      <c r="A550" t="s">
        <v>562</v>
      </c>
      <c r="B550" s="5">
        <v>44985</v>
      </c>
      <c r="C550" s="5">
        <v>44991</v>
      </c>
      <c r="D550" s="5">
        <f t="shared" si="24"/>
        <v>44985</v>
      </c>
      <c r="E550" s="5">
        <f t="shared" si="25"/>
        <v>44991</v>
      </c>
      <c r="F550" s="7">
        <f t="shared" si="26"/>
        <v>6</v>
      </c>
      <c r="G550" t="s">
        <v>649</v>
      </c>
      <c r="H550" t="s">
        <v>656</v>
      </c>
      <c r="I550" t="s">
        <v>698</v>
      </c>
      <c r="J550" t="s">
        <v>705</v>
      </c>
      <c r="K550" t="s">
        <v>709</v>
      </c>
      <c r="L550" t="s">
        <v>726</v>
      </c>
      <c r="M550" t="s">
        <v>728</v>
      </c>
      <c r="N550" t="s">
        <v>1280</v>
      </c>
      <c r="O550">
        <v>880.02</v>
      </c>
      <c r="P550">
        <v>1251.21</v>
      </c>
      <c r="Q550">
        <v>0.123</v>
      </c>
      <c r="R550">
        <v>29</v>
      </c>
    </row>
    <row r="551" spans="1:18" x14ac:dyDescent="0.45">
      <c r="A551" t="s">
        <v>563</v>
      </c>
      <c r="B551" s="5">
        <v>45486</v>
      </c>
      <c r="C551" s="5">
        <v>45507</v>
      </c>
      <c r="D551" s="5">
        <f t="shared" si="24"/>
        <v>45486</v>
      </c>
      <c r="E551" s="5">
        <f t="shared" si="25"/>
        <v>45507</v>
      </c>
      <c r="F551" s="7">
        <f t="shared" si="26"/>
        <v>21</v>
      </c>
      <c r="G551" t="s">
        <v>648</v>
      </c>
      <c r="H551" t="s">
        <v>655</v>
      </c>
      <c r="I551" t="s">
        <v>692</v>
      </c>
      <c r="J551" t="s">
        <v>701</v>
      </c>
      <c r="K551" t="s">
        <v>709</v>
      </c>
      <c r="L551" t="s">
        <v>724</v>
      </c>
      <c r="M551" t="s">
        <v>732</v>
      </c>
      <c r="N551" t="s">
        <v>1281</v>
      </c>
      <c r="O551">
        <v>702.98</v>
      </c>
      <c r="P551">
        <v>1104.8</v>
      </c>
      <c r="Q551">
        <v>0.17499999999999999</v>
      </c>
      <c r="R551">
        <v>12</v>
      </c>
    </row>
    <row r="552" spans="1:18" x14ac:dyDescent="0.45">
      <c r="A552" t="s">
        <v>564</v>
      </c>
      <c r="B552" s="5">
        <v>45633</v>
      </c>
      <c r="C552" s="5">
        <v>45652</v>
      </c>
      <c r="D552" s="5">
        <f t="shared" si="24"/>
        <v>45633</v>
      </c>
      <c r="E552" s="5">
        <f t="shared" si="25"/>
        <v>45652</v>
      </c>
      <c r="F552" s="7">
        <f t="shared" si="26"/>
        <v>19</v>
      </c>
      <c r="G552" t="s">
        <v>649</v>
      </c>
      <c r="H552" t="s">
        <v>658</v>
      </c>
      <c r="I552" t="s">
        <v>683</v>
      </c>
      <c r="J552" t="s">
        <v>706</v>
      </c>
      <c r="K552" t="s">
        <v>708</v>
      </c>
      <c r="L552" t="s">
        <v>726</v>
      </c>
      <c r="M552" t="s">
        <v>729</v>
      </c>
      <c r="N552" t="s">
        <v>1282</v>
      </c>
      <c r="O552">
        <v>1035.24</v>
      </c>
      <c r="P552">
        <v>2383.41</v>
      </c>
      <c r="Q552">
        <v>0.17</v>
      </c>
      <c r="R552">
        <v>15</v>
      </c>
    </row>
    <row r="553" spans="1:18" x14ac:dyDescent="0.45">
      <c r="A553" t="s">
        <v>565</v>
      </c>
      <c r="B553" s="5">
        <v>45875</v>
      </c>
      <c r="C553" s="5">
        <v>45892</v>
      </c>
      <c r="D553" s="5">
        <f t="shared" si="24"/>
        <v>45875</v>
      </c>
      <c r="E553" s="5">
        <f t="shared" si="25"/>
        <v>45892</v>
      </c>
      <c r="F553" s="7">
        <f t="shared" si="26"/>
        <v>17</v>
      </c>
      <c r="G553" t="s">
        <v>648</v>
      </c>
      <c r="H553" t="s">
        <v>655</v>
      </c>
      <c r="I553" t="s">
        <v>672</v>
      </c>
      <c r="J553" t="s">
        <v>704</v>
      </c>
      <c r="K553" t="s">
        <v>710</v>
      </c>
      <c r="L553" t="s">
        <v>720</v>
      </c>
      <c r="M553" t="s">
        <v>732</v>
      </c>
      <c r="N553" t="s">
        <v>1283</v>
      </c>
      <c r="O553">
        <v>86.64</v>
      </c>
      <c r="P553">
        <v>213.06</v>
      </c>
      <c r="Q553">
        <v>0.21199999999999999</v>
      </c>
      <c r="R553">
        <v>11</v>
      </c>
    </row>
    <row r="554" spans="1:18" x14ac:dyDescent="0.45">
      <c r="A554" t="s">
        <v>566</v>
      </c>
      <c r="B554" s="5">
        <v>44988</v>
      </c>
      <c r="C554" s="5">
        <v>45005</v>
      </c>
      <c r="D554" s="5">
        <f t="shared" si="24"/>
        <v>44988</v>
      </c>
      <c r="E554" s="5">
        <f t="shared" si="25"/>
        <v>45005</v>
      </c>
      <c r="F554" s="7">
        <f t="shared" si="26"/>
        <v>17</v>
      </c>
      <c r="G554" t="s">
        <v>647</v>
      </c>
      <c r="H554" t="s">
        <v>652</v>
      </c>
      <c r="I554" t="s">
        <v>694</v>
      </c>
      <c r="J554" t="s">
        <v>705</v>
      </c>
      <c r="K554" t="s">
        <v>708</v>
      </c>
      <c r="L554" t="s">
        <v>726</v>
      </c>
      <c r="M554" t="s">
        <v>729</v>
      </c>
      <c r="N554" t="s">
        <v>1284</v>
      </c>
      <c r="O554">
        <v>1171.17</v>
      </c>
      <c r="P554">
        <v>2030.64</v>
      </c>
      <c r="Q554">
        <v>0.157</v>
      </c>
      <c r="R554">
        <v>11</v>
      </c>
    </row>
    <row r="555" spans="1:18" x14ac:dyDescent="0.45">
      <c r="A555" t="s">
        <v>567</v>
      </c>
      <c r="B555" s="5">
        <v>45704</v>
      </c>
      <c r="C555" s="5">
        <v>45733</v>
      </c>
      <c r="D555" s="5">
        <f t="shared" si="24"/>
        <v>45704</v>
      </c>
      <c r="E555" s="5">
        <f t="shared" si="25"/>
        <v>45733</v>
      </c>
      <c r="F555" s="7">
        <f t="shared" si="26"/>
        <v>29</v>
      </c>
      <c r="G555" t="s">
        <v>649</v>
      </c>
      <c r="H555" t="s">
        <v>656</v>
      </c>
      <c r="I555" t="s">
        <v>684</v>
      </c>
      <c r="J555" t="s">
        <v>704</v>
      </c>
      <c r="K555" t="s">
        <v>707</v>
      </c>
      <c r="L555" t="s">
        <v>716</v>
      </c>
      <c r="M555" t="s">
        <v>733</v>
      </c>
      <c r="N555" t="s">
        <v>1285</v>
      </c>
      <c r="O555">
        <v>730.42</v>
      </c>
      <c r="P555">
        <v>956.7</v>
      </c>
      <c r="Q555">
        <v>4.2000000000000003E-2</v>
      </c>
      <c r="R555">
        <v>22</v>
      </c>
    </row>
    <row r="556" spans="1:18" x14ac:dyDescent="0.45">
      <c r="A556" t="s">
        <v>568</v>
      </c>
      <c r="B556" s="5">
        <v>45703</v>
      </c>
      <c r="C556" s="5">
        <v>45717</v>
      </c>
      <c r="D556" s="5">
        <f t="shared" si="24"/>
        <v>45703</v>
      </c>
      <c r="E556" s="5">
        <f t="shared" si="25"/>
        <v>45717</v>
      </c>
      <c r="F556" s="7">
        <f t="shared" si="26"/>
        <v>14</v>
      </c>
      <c r="G556" t="s">
        <v>646</v>
      </c>
      <c r="H556" t="s">
        <v>650</v>
      </c>
      <c r="I556" t="s">
        <v>675</v>
      </c>
      <c r="J556" t="s">
        <v>702</v>
      </c>
      <c r="K556" t="s">
        <v>711</v>
      </c>
      <c r="L556" t="s">
        <v>716</v>
      </c>
      <c r="M556" t="s">
        <v>733</v>
      </c>
      <c r="N556" t="s">
        <v>1286</v>
      </c>
      <c r="O556">
        <v>1162.8599999999999</v>
      </c>
      <c r="P556">
        <v>1447.68</v>
      </c>
      <c r="Q556">
        <v>8.6999999999999994E-2</v>
      </c>
      <c r="R556">
        <v>12</v>
      </c>
    </row>
    <row r="557" spans="1:18" x14ac:dyDescent="0.45">
      <c r="A557" t="s">
        <v>569</v>
      </c>
      <c r="B557" s="5">
        <v>45535</v>
      </c>
      <c r="C557" s="5">
        <v>45561</v>
      </c>
      <c r="D557" s="5">
        <f t="shared" si="24"/>
        <v>45535</v>
      </c>
      <c r="E557" s="5">
        <f t="shared" si="25"/>
        <v>45561</v>
      </c>
      <c r="F557" s="7">
        <f t="shared" si="26"/>
        <v>26</v>
      </c>
      <c r="G557" t="s">
        <v>647</v>
      </c>
      <c r="H557" t="s">
        <v>652</v>
      </c>
      <c r="I557" t="s">
        <v>689</v>
      </c>
      <c r="J557" t="s">
        <v>702</v>
      </c>
      <c r="K557" t="s">
        <v>708</v>
      </c>
      <c r="L557" t="s">
        <v>714</v>
      </c>
      <c r="M557" t="s">
        <v>730</v>
      </c>
      <c r="N557" t="s">
        <v>1287</v>
      </c>
      <c r="O557">
        <v>1189.03</v>
      </c>
      <c r="P557">
        <v>2949.62</v>
      </c>
      <c r="Q557">
        <v>0.125</v>
      </c>
      <c r="R557">
        <v>13</v>
      </c>
    </row>
    <row r="558" spans="1:18" x14ac:dyDescent="0.45">
      <c r="A558" t="s">
        <v>570</v>
      </c>
      <c r="B558" s="5">
        <v>45053</v>
      </c>
      <c r="C558" s="5">
        <v>45066</v>
      </c>
      <c r="D558" s="5">
        <f t="shared" si="24"/>
        <v>45053</v>
      </c>
      <c r="E558" s="5">
        <f t="shared" si="25"/>
        <v>45066</v>
      </c>
      <c r="F558" s="7">
        <f t="shared" si="26"/>
        <v>13</v>
      </c>
      <c r="G558" t="s">
        <v>647</v>
      </c>
      <c r="H558" t="s">
        <v>654</v>
      </c>
      <c r="I558" t="s">
        <v>691</v>
      </c>
      <c r="J558" t="s">
        <v>706</v>
      </c>
      <c r="K558" t="s">
        <v>707</v>
      </c>
      <c r="L558" t="s">
        <v>726</v>
      </c>
      <c r="M558" t="s">
        <v>733</v>
      </c>
      <c r="N558" t="s">
        <v>1288</v>
      </c>
      <c r="O558">
        <v>1443.28</v>
      </c>
      <c r="P558">
        <v>2580.5700000000002</v>
      </c>
      <c r="Q558">
        <v>0</v>
      </c>
      <c r="R558">
        <v>18</v>
      </c>
    </row>
    <row r="559" spans="1:18" x14ac:dyDescent="0.45">
      <c r="A559" t="s">
        <v>571</v>
      </c>
      <c r="B559" s="5">
        <v>45791</v>
      </c>
      <c r="C559" s="5">
        <v>45789</v>
      </c>
      <c r="D559" s="5">
        <f t="shared" si="24"/>
        <v>45789</v>
      </c>
      <c r="E559" s="5">
        <f t="shared" si="25"/>
        <v>45791</v>
      </c>
      <c r="F559" s="7">
        <f t="shared" si="26"/>
        <v>2</v>
      </c>
      <c r="G559" t="s">
        <v>648</v>
      </c>
      <c r="H559" t="s">
        <v>653</v>
      </c>
      <c r="I559" t="s">
        <v>688</v>
      </c>
      <c r="J559" t="s">
        <v>703</v>
      </c>
      <c r="K559" t="s">
        <v>710</v>
      </c>
      <c r="L559" t="s">
        <v>721</v>
      </c>
      <c r="M559" t="s">
        <v>728</v>
      </c>
      <c r="N559" t="s">
        <v>1289</v>
      </c>
      <c r="O559">
        <v>883.5</v>
      </c>
      <c r="P559">
        <v>1978.91</v>
      </c>
      <c r="Q559">
        <v>5.3999999999999999E-2</v>
      </c>
      <c r="R559">
        <v>27</v>
      </c>
    </row>
    <row r="560" spans="1:18" x14ac:dyDescent="0.45">
      <c r="A560" t="s">
        <v>572</v>
      </c>
      <c r="B560" s="5">
        <v>45362</v>
      </c>
      <c r="C560" s="5">
        <v>45380</v>
      </c>
      <c r="D560" s="5">
        <f t="shared" si="24"/>
        <v>45362</v>
      </c>
      <c r="E560" s="5">
        <f t="shared" si="25"/>
        <v>45380</v>
      </c>
      <c r="F560" s="7">
        <f t="shared" si="26"/>
        <v>18</v>
      </c>
      <c r="G560" t="s">
        <v>648</v>
      </c>
      <c r="H560" t="s">
        <v>660</v>
      </c>
      <c r="I560" t="s">
        <v>700</v>
      </c>
      <c r="J560" t="s">
        <v>701</v>
      </c>
      <c r="K560" t="s">
        <v>707</v>
      </c>
      <c r="L560" t="s">
        <v>724</v>
      </c>
      <c r="M560" t="s">
        <v>732</v>
      </c>
      <c r="N560" t="s">
        <v>1290</v>
      </c>
      <c r="O560">
        <v>710.98</v>
      </c>
      <c r="P560">
        <v>1481.45</v>
      </c>
      <c r="Q560">
        <v>0.21099999999999999</v>
      </c>
      <c r="R560">
        <v>9</v>
      </c>
    </row>
    <row r="561" spans="1:18" x14ac:dyDescent="0.45">
      <c r="A561" t="s">
        <v>573</v>
      </c>
      <c r="B561" s="5">
        <v>45430</v>
      </c>
      <c r="C561" s="5">
        <v>45434</v>
      </c>
      <c r="D561" s="5">
        <f t="shared" si="24"/>
        <v>45430</v>
      </c>
      <c r="E561" s="5">
        <f t="shared" si="25"/>
        <v>45434</v>
      </c>
      <c r="F561" s="7">
        <f t="shared" si="26"/>
        <v>4</v>
      </c>
      <c r="G561" t="s">
        <v>646</v>
      </c>
      <c r="H561" t="s">
        <v>650</v>
      </c>
      <c r="I561" t="s">
        <v>664</v>
      </c>
      <c r="J561" t="s">
        <v>701</v>
      </c>
      <c r="K561" t="s">
        <v>711</v>
      </c>
      <c r="L561" t="s">
        <v>722</v>
      </c>
      <c r="M561" t="s">
        <v>733</v>
      </c>
      <c r="N561" t="s">
        <v>1291</v>
      </c>
      <c r="O561">
        <v>857.42</v>
      </c>
      <c r="P561">
        <v>1658.92</v>
      </c>
      <c r="Q561">
        <v>0.122</v>
      </c>
      <c r="R561">
        <v>9</v>
      </c>
    </row>
    <row r="562" spans="1:18" x14ac:dyDescent="0.45">
      <c r="A562" t="s">
        <v>574</v>
      </c>
      <c r="B562" s="5">
        <v>45299</v>
      </c>
      <c r="C562" s="5">
        <v>45303</v>
      </c>
      <c r="D562" s="5">
        <f t="shared" si="24"/>
        <v>45299</v>
      </c>
      <c r="E562" s="5">
        <f t="shared" si="25"/>
        <v>45303</v>
      </c>
      <c r="F562" s="7">
        <f t="shared" si="26"/>
        <v>4</v>
      </c>
      <c r="G562" t="s">
        <v>647</v>
      </c>
      <c r="H562" t="s">
        <v>654</v>
      </c>
      <c r="I562" t="s">
        <v>668</v>
      </c>
      <c r="J562" t="s">
        <v>701</v>
      </c>
      <c r="K562" t="s">
        <v>711</v>
      </c>
      <c r="L562" t="s">
        <v>718</v>
      </c>
      <c r="M562" t="s">
        <v>728</v>
      </c>
      <c r="N562" t="s">
        <v>1292</v>
      </c>
      <c r="O562">
        <v>802.32</v>
      </c>
      <c r="P562">
        <v>602.34</v>
      </c>
      <c r="Q562">
        <v>0.12</v>
      </c>
      <c r="R562">
        <v>25</v>
      </c>
    </row>
    <row r="563" spans="1:18" x14ac:dyDescent="0.45">
      <c r="A563" t="s">
        <v>575</v>
      </c>
      <c r="B563" s="5">
        <v>45590</v>
      </c>
      <c r="C563" s="5">
        <v>45601</v>
      </c>
      <c r="D563" s="5">
        <f t="shared" si="24"/>
        <v>45590</v>
      </c>
      <c r="E563" s="5">
        <f t="shared" si="25"/>
        <v>45601</v>
      </c>
      <c r="F563" s="7">
        <f t="shared" si="26"/>
        <v>11</v>
      </c>
      <c r="G563" t="s">
        <v>648</v>
      </c>
      <c r="H563" t="s">
        <v>660</v>
      </c>
      <c r="I563" t="s">
        <v>700</v>
      </c>
      <c r="J563" t="s">
        <v>701</v>
      </c>
      <c r="K563" t="s">
        <v>710</v>
      </c>
      <c r="L563" t="s">
        <v>725</v>
      </c>
      <c r="M563" t="s">
        <v>727</v>
      </c>
      <c r="N563" t="s">
        <v>1293</v>
      </c>
      <c r="O563">
        <v>446.66</v>
      </c>
      <c r="P563">
        <v>527.64</v>
      </c>
      <c r="Q563">
        <v>0.14499999999999999</v>
      </c>
      <c r="R563">
        <v>15</v>
      </c>
    </row>
    <row r="564" spans="1:18" x14ac:dyDescent="0.45">
      <c r="A564" t="s">
        <v>576</v>
      </c>
      <c r="B564" s="5">
        <v>45626</v>
      </c>
      <c r="C564" s="5">
        <v>45645</v>
      </c>
      <c r="D564" s="5">
        <f t="shared" si="24"/>
        <v>45626</v>
      </c>
      <c r="E564" s="5">
        <f t="shared" si="25"/>
        <v>45645</v>
      </c>
      <c r="F564" s="7">
        <f t="shared" si="26"/>
        <v>19</v>
      </c>
      <c r="G564" t="s">
        <v>646</v>
      </c>
      <c r="H564" t="s">
        <v>650</v>
      </c>
      <c r="I564" t="s">
        <v>662</v>
      </c>
      <c r="J564" t="s">
        <v>701</v>
      </c>
      <c r="K564" t="s">
        <v>708</v>
      </c>
      <c r="L564" t="s">
        <v>716</v>
      </c>
      <c r="M564" t="s">
        <v>730</v>
      </c>
      <c r="N564" t="s">
        <v>1294</v>
      </c>
      <c r="O564">
        <v>1195.98</v>
      </c>
      <c r="P564">
        <v>1841.9</v>
      </c>
      <c r="Q564">
        <v>5.5E-2</v>
      </c>
      <c r="R564">
        <v>19</v>
      </c>
    </row>
    <row r="565" spans="1:18" x14ac:dyDescent="0.45">
      <c r="A565" t="s">
        <v>577</v>
      </c>
      <c r="B565" s="5">
        <v>45029</v>
      </c>
      <c r="C565" s="5">
        <v>45048</v>
      </c>
      <c r="D565" s="5">
        <f t="shared" si="24"/>
        <v>45029</v>
      </c>
      <c r="E565" s="5">
        <f t="shared" si="25"/>
        <v>45048</v>
      </c>
      <c r="F565" s="7">
        <f t="shared" si="26"/>
        <v>19</v>
      </c>
      <c r="G565" t="s">
        <v>648</v>
      </c>
      <c r="H565" t="s">
        <v>653</v>
      </c>
      <c r="I565" t="s">
        <v>681</v>
      </c>
      <c r="J565" t="s">
        <v>704</v>
      </c>
      <c r="K565" t="s">
        <v>710</v>
      </c>
      <c r="L565" t="s">
        <v>718</v>
      </c>
      <c r="M565" t="s">
        <v>732</v>
      </c>
      <c r="N565" t="s">
        <v>1295</v>
      </c>
      <c r="O565">
        <v>671.05</v>
      </c>
      <c r="P565">
        <v>1645.48</v>
      </c>
      <c r="Q565">
        <v>0.13700000000000001</v>
      </c>
      <c r="R565">
        <v>6</v>
      </c>
    </row>
    <row r="566" spans="1:18" x14ac:dyDescent="0.45">
      <c r="A566" t="s">
        <v>578</v>
      </c>
      <c r="B566" s="5">
        <v>45692</v>
      </c>
      <c r="C566" s="5">
        <v>45696</v>
      </c>
      <c r="D566" s="5">
        <f t="shared" si="24"/>
        <v>45692</v>
      </c>
      <c r="E566" s="5">
        <f t="shared" si="25"/>
        <v>45696</v>
      </c>
      <c r="F566" s="7">
        <f t="shared" si="26"/>
        <v>4</v>
      </c>
      <c r="G566" t="s">
        <v>649</v>
      </c>
      <c r="H566" t="s">
        <v>658</v>
      </c>
      <c r="I566" t="s">
        <v>693</v>
      </c>
      <c r="J566" t="s">
        <v>706</v>
      </c>
      <c r="K566" t="s">
        <v>709</v>
      </c>
      <c r="L566" t="s">
        <v>716</v>
      </c>
      <c r="M566" t="s">
        <v>729</v>
      </c>
      <c r="N566" t="s">
        <v>1296</v>
      </c>
      <c r="O566">
        <v>586.21</v>
      </c>
      <c r="P566">
        <v>727.22</v>
      </c>
      <c r="Q566">
        <v>6.8000000000000005E-2</v>
      </c>
      <c r="R566">
        <v>15</v>
      </c>
    </row>
    <row r="567" spans="1:18" x14ac:dyDescent="0.45">
      <c r="A567" t="s">
        <v>579</v>
      </c>
      <c r="B567" s="5">
        <v>45315</v>
      </c>
      <c r="C567" s="5">
        <v>45326</v>
      </c>
      <c r="D567" s="5">
        <f t="shared" si="24"/>
        <v>45315</v>
      </c>
      <c r="E567" s="5">
        <f t="shared" si="25"/>
        <v>45326</v>
      </c>
      <c r="F567" s="7">
        <f t="shared" si="26"/>
        <v>11</v>
      </c>
      <c r="G567" t="s">
        <v>649</v>
      </c>
      <c r="H567" t="s">
        <v>658</v>
      </c>
      <c r="I567" t="s">
        <v>693</v>
      </c>
      <c r="J567" t="s">
        <v>704</v>
      </c>
      <c r="K567" t="s">
        <v>707</v>
      </c>
      <c r="L567" t="s">
        <v>717</v>
      </c>
      <c r="M567" t="s">
        <v>731</v>
      </c>
      <c r="N567" t="s">
        <v>1297</v>
      </c>
      <c r="O567">
        <v>525.34</v>
      </c>
      <c r="P567">
        <v>1233.79</v>
      </c>
      <c r="Q567">
        <v>0.14299999999999999</v>
      </c>
      <c r="R567">
        <v>4</v>
      </c>
    </row>
    <row r="568" spans="1:18" x14ac:dyDescent="0.45">
      <c r="A568" t="s">
        <v>580</v>
      </c>
      <c r="B568" s="5">
        <v>45330</v>
      </c>
      <c r="C568" s="5">
        <v>45331</v>
      </c>
      <c r="D568" s="5">
        <f t="shared" si="24"/>
        <v>45330</v>
      </c>
      <c r="E568" s="5">
        <f t="shared" si="25"/>
        <v>45331</v>
      </c>
      <c r="F568" s="7">
        <f t="shared" si="26"/>
        <v>1</v>
      </c>
      <c r="G568" t="s">
        <v>646</v>
      </c>
      <c r="H568" t="s">
        <v>650</v>
      </c>
      <c r="I568" t="s">
        <v>675</v>
      </c>
      <c r="J568" t="s">
        <v>701</v>
      </c>
      <c r="K568" t="s">
        <v>711</v>
      </c>
      <c r="L568" t="s">
        <v>721</v>
      </c>
      <c r="M568" t="s">
        <v>727</v>
      </c>
      <c r="N568" t="s">
        <v>1298</v>
      </c>
      <c r="O568">
        <v>1233.52</v>
      </c>
      <c r="P568">
        <v>1543.76</v>
      </c>
      <c r="Q568">
        <v>0.126</v>
      </c>
      <c r="R568">
        <v>13</v>
      </c>
    </row>
    <row r="569" spans="1:18" x14ac:dyDescent="0.45">
      <c r="A569" t="s">
        <v>581</v>
      </c>
      <c r="B569" s="5">
        <v>45834</v>
      </c>
      <c r="C569" s="5">
        <v>45849</v>
      </c>
      <c r="D569" s="5">
        <f t="shared" si="24"/>
        <v>45834</v>
      </c>
      <c r="E569" s="5">
        <f t="shared" si="25"/>
        <v>45849</v>
      </c>
      <c r="F569" s="7">
        <f t="shared" si="26"/>
        <v>15</v>
      </c>
      <c r="G569" t="s">
        <v>646</v>
      </c>
      <c r="H569" t="s">
        <v>651</v>
      </c>
      <c r="I569" t="s">
        <v>663</v>
      </c>
      <c r="J569" t="s">
        <v>705</v>
      </c>
      <c r="K569" t="s">
        <v>708</v>
      </c>
      <c r="L569" t="s">
        <v>720</v>
      </c>
      <c r="M569" t="s">
        <v>731</v>
      </c>
      <c r="N569" t="s">
        <v>1299</v>
      </c>
      <c r="O569">
        <v>1170.1500000000001</v>
      </c>
      <c r="P569">
        <v>2115.19</v>
      </c>
      <c r="Q569">
        <v>9.1999999999999998E-2</v>
      </c>
      <c r="R569">
        <v>23</v>
      </c>
    </row>
    <row r="570" spans="1:18" x14ac:dyDescent="0.45">
      <c r="A570" t="s">
        <v>582</v>
      </c>
      <c r="B570" s="5">
        <v>45600</v>
      </c>
      <c r="C570" s="5">
        <v>45603</v>
      </c>
      <c r="D570" s="5">
        <f t="shared" si="24"/>
        <v>45600</v>
      </c>
      <c r="E570" s="5">
        <f t="shared" si="25"/>
        <v>45603</v>
      </c>
      <c r="F570" s="7">
        <f t="shared" si="26"/>
        <v>3</v>
      </c>
      <c r="G570" t="s">
        <v>649</v>
      </c>
      <c r="H570" t="s">
        <v>657</v>
      </c>
      <c r="I570" t="s">
        <v>679</v>
      </c>
      <c r="J570" t="s">
        <v>701</v>
      </c>
      <c r="K570" t="s">
        <v>708</v>
      </c>
      <c r="L570" t="s">
        <v>719</v>
      </c>
      <c r="M570" t="s">
        <v>732</v>
      </c>
      <c r="N570" t="s">
        <v>1300</v>
      </c>
      <c r="O570">
        <v>740.68</v>
      </c>
      <c r="P570">
        <v>1837.19</v>
      </c>
      <c r="Q570">
        <v>0.19700000000000001</v>
      </c>
      <c r="R570">
        <v>17</v>
      </c>
    </row>
    <row r="571" spans="1:18" x14ac:dyDescent="0.45">
      <c r="A571" t="s">
        <v>583</v>
      </c>
      <c r="B571" s="5">
        <v>45342</v>
      </c>
      <c r="C571" s="5">
        <v>45342</v>
      </c>
      <c r="D571" s="5">
        <f t="shared" si="24"/>
        <v>45342</v>
      </c>
      <c r="E571" s="5">
        <f t="shared" si="25"/>
        <v>45342</v>
      </c>
      <c r="F571" s="7">
        <f t="shared" si="26"/>
        <v>0</v>
      </c>
      <c r="G571" t="s">
        <v>648</v>
      </c>
      <c r="H571" t="s">
        <v>660</v>
      </c>
      <c r="I571" t="s">
        <v>700</v>
      </c>
      <c r="J571" t="s">
        <v>706</v>
      </c>
      <c r="K571" t="s">
        <v>708</v>
      </c>
      <c r="L571" t="s">
        <v>712</v>
      </c>
      <c r="M571" t="s">
        <v>729</v>
      </c>
      <c r="N571" t="s">
        <v>1301</v>
      </c>
      <c r="O571">
        <v>1407.05</v>
      </c>
      <c r="P571">
        <v>2858.93</v>
      </c>
      <c r="Q571">
        <v>0</v>
      </c>
      <c r="R571">
        <v>12</v>
      </c>
    </row>
    <row r="572" spans="1:18" x14ac:dyDescent="0.45">
      <c r="A572" t="s">
        <v>584</v>
      </c>
      <c r="B572" s="5">
        <v>45760</v>
      </c>
      <c r="C572" s="5">
        <v>45761</v>
      </c>
      <c r="D572" s="5">
        <f t="shared" si="24"/>
        <v>45760</v>
      </c>
      <c r="E572" s="5">
        <f t="shared" si="25"/>
        <v>45761</v>
      </c>
      <c r="F572" s="7">
        <f t="shared" si="26"/>
        <v>1</v>
      </c>
      <c r="G572" t="s">
        <v>647</v>
      </c>
      <c r="H572" t="s">
        <v>652</v>
      </c>
      <c r="I572" t="s">
        <v>666</v>
      </c>
      <c r="J572" t="s">
        <v>706</v>
      </c>
      <c r="K572" t="s">
        <v>708</v>
      </c>
      <c r="L572" t="s">
        <v>715</v>
      </c>
      <c r="M572" t="s">
        <v>727</v>
      </c>
      <c r="N572" t="s">
        <v>1302</v>
      </c>
      <c r="O572">
        <v>138.9</v>
      </c>
      <c r="P572">
        <v>289.92</v>
      </c>
      <c r="Q572">
        <v>2.9000000000000001E-2</v>
      </c>
      <c r="R572">
        <v>12</v>
      </c>
    </row>
    <row r="573" spans="1:18" x14ac:dyDescent="0.45">
      <c r="A573" t="s">
        <v>585</v>
      </c>
      <c r="B573" s="5">
        <v>45078</v>
      </c>
      <c r="C573" s="5">
        <v>45078</v>
      </c>
      <c r="D573" s="5">
        <f t="shared" si="24"/>
        <v>45078</v>
      </c>
      <c r="E573" s="5">
        <f t="shared" si="25"/>
        <v>45078</v>
      </c>
      <c r="F573" s="7">
        <f t="shared" si="26"/>
        <v>0</v>
      </c>
      <c r="G573" t="s">
        <v>647</v>
      </c>
      <c r="H573" t="s">
        <v>654</v>
      </c>
      <c r="I573" t="s">
        <v>668</v>
      </c>
      <c r="J573" t="s">
        <v>701</v>
      </c>
      <c r="K573" t="s">
        <v>707</v>
      </c>
      <c r="L573" t="s">
        <v>718</v>
      </c>
      <c r="M573" t="s">
        <v>733</v>
      </c>
      <c r="N573" t="s">
        <v>1303</v>
      </c>
      <c r="O573">
        <v>669.37</v>
      </c>
      <c r="P573">
        <v>997.2</v>
      </c>
      <c r="Q573">
        <v>8.2000000000000003E-2</v>
      </c>
      <c r="R573">
        <v>5</v>
      </c>
    </row>
    <row r="574" spans="1:18" x14ac:dyDescent="0.45">
      <c r="A574" t="s">
        <v>586</v>
      </c>
      <c r="B574" s="5">
        <v>45740</v>
      </c>
      <c r="C574" s="5">
        <v>45751</v>
      </c>
      <c r="D574" s="5">
        <f t="shared" si="24"/>
        <v>45740</v>
      </c>
      <c r="E574" s="5">
        <f t="shared" si="25"/>
        <v>45751</v>
      </c>
      <c r="F574" s="7">
        <f t="shared" si="26"/>
        <v>11</v>
      </c>
      <c r="G574" t="s">
        <v>647</v>
      </c>
      <c r="H574" t="s">
        <v>654</v>
      </c>
      <c r="I574" t="s">
        <v>691</v>
      </c>
      <c r="J574" t="s">
        <v>702</v>
      </c>
      <c r="K574" t="s">
        <v>709</v>
      </c>
      <c r="L574" t="s">
        <v>713</v>
      </c>
      <c r="M574" t="s">
        <v>730</v>
      </c>
      <c r="N574" t="s">
        <v>1304</v>
      </c>
      <c r="O574">
        <v>23.83</v>
      </c>
      <c r="P574">
        <v>47.29</v>
      </c>
      <c r="Q574">
        <v>6.4000000000000001E-2</v>
      </c>
      <c r="R574">
        <v>19</v>
      </c>
    </row>
    <row r="575" spans="1:18" x14ac:dyDescent="0.45">
      <c r="A575" t="s">
        <v>587</v>
      </c>
      <c r="B575" s="5">
        <v>45293</v>
      </c>
      <c r="C575" s="5">
        <v>45293</v>
      </c>
      <c r="D575" s="5">
        <f t="shared" si="24"/>
        <v>45293</v>
      </c>
      <c r="E575" s="5">
        <f t="shared" si="25"/>
        <v>45293</v>
      </c>
      <c r="F575" s="7">
        <f t="shared" si="26"/>
        <v>0</v>
      </c>
      <c r="G575" t="s">
        <v>648</v>
      </c>
      <c r="H575" t="s">
        <v>653</v>
      </c>
      <c r="I575" t="s">
        <v>688</v>
      </c>
      <c r="J575" t="s">
        <v>702</v>
      </c>
      <c r="K575" t="s">
        <v>711</v>
      </c>
      <c r="L575" t="s">
        <v>720</v>
      </c>
      <c r="M575" t="s">
        <v>731</v>
      </c>
      <c r="N575" t="s">
        <v>1305</v>
      </c>
      <c r="O575">
        <v>444.41</v>
      </c>
      <c r="P575">
        <v>754.24</v>
      </c>
      <c r="Q575">
        <v>0.20699999999999999</v>
      </c>
      <c r="R575">
        <v>32</v>
      </c>
    </row>
    <row r="576" spans="1:18" x14ac:dyDescent="0.45">
      <c r="A576" t="s">
        <v>588</v>
      </c>
      <c r="B576" s="5">
        <v>45279</v>
      </c>
      <c r="C576" s="5">
        <v>45292</v>
      </c>
      <c r="D576" s="5">
        <f t="shared" si="24"/>
        <v>45279</v>
      </c>
      <c r="E576" s="5">
        <f t="shared" si="25"/>
        <v>45292</v>
      </c>
      <c r="F576" s="7">
        <f t="shared" si="26"/>
        <v>13</v>
      </c>
      <c r="G576" t="s">
        <v>648</v>
      </c>
      <c r="H576" t="s">
        <v>653</v>
      </c>
      <c r="I576" t="s">
        <v>667</v>
      </c>
      <c r="J576" t="s">
        <v>706</v>
      </c>
      <c r="K576" t="s">
        <v>707</v>
      </c>
      <c r="L576" t="s">
        <v>723</v>
      </c>
      <c r="M576" t="s">
        <v>732</v>
      </c>
      <c r="N576" t="s">
        <v>1306</v>
      </c>
      <c r="O576">
        <v>856.1</v>
      </c>
      <c r="P576">
        <v>901.48</v>
      </c>
      <c r="Q576">
        <v>5.6000000000000001E-2</v>
      </c>
      <c r="R576">
        <v>17</v>
      </c>
    </row>
    <row r="577" spans="1:18" x14ac:dyDescent="0.45">
      <c r="A577" t="s">
        <v>589</v>
      </c>
      <c r="B577" s="5">
        <v>45042</v>
      </c>
      <c r="C577" s="5">
        <v>45042</v>
      </c>
      <c r="D577" s="5">
        <f t="shared" si="24"/>
        <v>45042</v>
      </c>
      <c r="E577" s="5">
        <f t="shared" si="25"/>
        <v>45042</v>
      </c>
      <c r="F577" s="7">
        <f t="shared" si="26"/>
        <v>0</v>
      </c>
      <c r="G577" t="s">
        <v>649</v>
      </c>
      <c r="H577" t="s">
        <v>657</v>
      </c>
      <c r="I577" t="s">
        <v>673</v>
      </c>
      <c r="J577" t="s">
        <v>704</v>
      </c>
      <c r="K577" t="s">
        <v>711</v>
      </c>
      <c r="L577" t="s">
        <v>724</v>
      </c>
      <c r="M577" t="s">
        <v>727</v>
      </c>
      <c r="N577" t="s">
        <v>1307</v>
      </c>
      <c r="O577">
        <v>81.489999999999995</v>
      </c>
      <c r="P577">
        <v>113.08</v>
      </c>
      <c r="Q577">
        <v>0.121</v>
      </c>
      <c r="R577">
        <v>5</v>
      </c>
    </row>
    <row r="578" spans="1:18" x14ac:dyDescent="0.45">
      <c r="A578" t="s">
        <v>590</v>
      </c>
      <c r="B578" s="5">
        <v>45872</v>
      </c>
      <c r="C578" s="5">
        <v>45885</v>
      </c>
      <c r="D578" s="5">
        <f t="shared" si="24"/>
        <v>45872</v>
      </c>
      <c r="E578" s="5">
        <f t="shared" si="25"/>
        <v>45885</v>
      </c>
      <c r="F578" s="7">
        <f t="shared" si="26"/>
        <v>13</v>
      </c>
      <c r="G578" t="s">
        <v>648</v>
      </c>
      <c r="H578" t="s">
        <v>653</v>
      </c>
      <c r="I578" t="s">
        <v>681</v>
      </c>
      <c r="J578" t="s">
        <v>706</v>
      </c>
      <c r="K578" t="s">
        <v>710</v>
      </c>
      <c r="L578" t="s">
        <v>719</v>
      </c>
      <c r="M578" t="s">
        <v>729</v>
      </c>
      <c r="N578" t="s">
        <v>1308</v>
      </c>
      <c r="O578">
        <v>698.66</v>
      </c>
      <c r="P578">
        <v>868.62</v>
      </c>
      <c r="Q578">
        <v>7.1999999999999995E-2</v>
      </c>
      <c r="R578">
        <v>15</v>
      </c>
    </row>
    <row r="579" spans="1:18" x14ac:dyDescent="0.45">
      <c r="A579" t="s">
        <v>591</v>
      </c>
      <c r="B579" s="5">
        <v>45140</v>
      </c>
      <c r="C579" s="5">
        <v>45157</v>
      </c>
      <c r="D579" s="5">
        <f t="shared" ref="D579:D633" si="27">IF(C579&gt;B579,B579,C579)</f>
        <v>45140</v>
      </c>
      <c r="E579" s="5">
        <f t="shared" ref="E579:E633" si="28">IF(C579&gt;B579,C579,B579)</f>
        <v>45157</v>
      </c>
      <c r="F579" s="7">
        <f t="shared" ref="F579:F633" si="29">DATEDIF(D579,E579,"d")</f>
        <v>17</v>
      </c>
      <c r="G579" t="s">
        <v>648</v>
      </c>
      <c r="H579" t="s">
        <v>653</v>
      </c>
      <c r="I579" t="s">
        <v>688</v>
      </c>
      <c r="J579" t="s">
        <v>701</v>
      </c>
      <c r="K579" t="s">
        <v>708</v>
      </c>
      <c r="L579" t="s">
        <v>721</v>
      </c>
      <c r="M579" t="s">
        <v>729</v>
      </c>
      <c r="N579" t="s">
        <v>1309</v>
      </c>
      <c r="O579">
        <v>175.38</v>
      </c>
      <c r="P579">
        <v>347.9</v>
      </c>
      <c r="Q579">
        <v>7.1999999999999995E-2</v>
      </c>
      <c r="R579">
        <v>43</v>
      </c>
    </row>
    <row r="580" spans="1:18" x14ac:dyDescent="0.45">
      <c r="A580" t="s">
        <v>592</v>
      </c>
      <c r="B580" s="5">
        <v>45092</v>
      </c>
      <c r="C580" s="5">
        <v>45119</v>
      </c>
      <c r="D580" s="5">
        <f t="shared" si="27"/>
        <v>45092</v>
      </c>
      <c r="E580" s="5">
        <f t="shared" si="28"/>
        <v>45119</v>
      </c>
      <c r="F580" s="7">
        <f t="shared" si="29"/>
        <v>27</v>
      </c>
      <c r="G580" t="s">
        <v>649</v>
      </c>
      <c r="H580" t="s">
        <v>658</v>
      </c>
      <c r="I580" t="s">
        <v>693</v>
      </c>
      <c r="J580" t="s">
        <v>704</v>
      </c>
      <c r="K580" t="s">
        <v>711</v>
      </c>
      <c r="L580" t="s">
        <v>714</v>
      </c>
      <c r="M580" t="s">
        <v>733</v>
      </c>
      <c r="N580" t="s">
        <v>1310</v>
      </c>
      <c r="O580">
        <v>751.28</v>
      </c>
      <c r="P580">
        <v>1111.8800000000001</v>
      </c>
      <c r="Q580">
        <v>0.13500000000000001</v>
      </c>
      <c r="R580">
        <v>7</v>
      </c>
    </row>
    <row r="581" spans="1:18" x14ac:dyDescent="0.45">
      <c r="A581" t="s">
        <v>593</v>
      </c>
      <c r="B581" s="5">
        <v>45607</v>
      </c>
      <c r="C581" s="5">
        <v>45620</v>
      </c>
      <c r="D581" s="5">
        <f t="shared" si="27"/>
        <v>45607</v>
      </c>
      <c r="E581" s="5">
        <f t="shared" si="28"/>
        <v>45620</v>
      </c>
      <c r="F581" s="7">
        <f t="shared" si="29"/>
        <v>13</v>
      </c>
      <c r="G581" t="s">
        <v>649</v>
      </c>
      <c r="H581" t="s">
        <v>658</v>
      </c>
      <c r="I581" t="s">
        <v>683</v>
      </c>
      <c r="J581" t="s">
        <v>701</v>
      </c>
      <c r="K581" t="s">
        <v>707</v>
      </c>
      <c r="L581" t="s">
        <v>718</v>
      </c>
      <c r="M581" t="s">
        <v>729</v>
      </c>
      <c r="N581" t="s">
        <v>1311</v>
      </c>
      <c r="O581">
        <v>164.53</v>
      </c>
      <c r="P581">
        <v>327.72</v>
      </c>
      <c r="Q581">
        <v>6.7000000000000004E-2</v>
      </c>
      <c r="R581">
        <v>14</v>
      </c>
    </row>
    <row r="582" spans="1:18" x14ac:dyDescent="0.45">
      <c r="A582" t="s">
        <v>594</v>
      </c>
      <c r="B582" s="5">
        <v>45849</v>
      </c>
      <c r="C582" s="5">
        <v>45872</v>
      </c>
      <c r="D582" s="5">
        <f t="shared" si="27"/>
        <v>45849</v>
      </c>
      <c r="E582" s="5">
        <f t="shared" si="28"/>
        <v>45872</v>
      </c>
      <c r="F582" s="7">
        <f t="shared" si="29"/>
        <v>23</v>
      </c>
      <c r="G582" t="s">
        <v>646</v>
      </c>
      <c r="H582" t="s">
        <v>650</v>
      </c>
      <c r="I582" t="s">
        <v>678</v>
      </c>
      <c r="J582" t="s">
        <v>705</v>
      </c>
      <c r="K582" t="s">
        <v>707</v>
      </c>
      <c r="L582" t="s">
        <v>712</v>
      </c>
      <c r="M582" t="s">
        <v>730</v>
      </c>
      <c r="N582" t="s">
        <v>1312</v>
      </c>
      <c r="O582">
        <v>389.93</v>
      </c>
      <c r="P582">
        <v>486.13</v>
      </c>
      <c r="Q582">
        <v>0.13200000000000001</v>
      </c>
      <c r="R582">
        <v>17</v>
      </c>
    </row>
    <row r="583" spans="1:18" x14ac:dyDescent="0.45">
      <c r="A583" t="s">
        <v>595</v>
      </c>
      <c r="B583" s="5">
        <v>45080</v>
      </c>
      <c r="C583" s="5">
        <v>45108</v>
      </c>
      <c r="D583" s="5">
        <f t="shared" si="27"/>
        <v>45080</v>
      </c>
      <c r="E583" s="5">
        <f t="shared" si="28"/>
        <v>45108</v>
      </c>
      <c r="F583" s="7">
        <f t="shared" si="29"/>
        <v>28</v>
      </c>
      <c r="G583" t="s">
        <v>648</v>
      </c>
      <c r="H583" t="s">
        <v>655</v>
      </c>
      <c r="I583" t="s">
        <v>672</v>
      </c>
      <c r="J583" t="s">
        <v>705</v>
      </c>
      <c r="K583" t="s">
        <v>709</v>
      </c>
      <c r="L583" t="s">
        <v>720</v>
      </c>
      <c r="M583" t="s">
        <v>727</v>
      </c>
      <c r="N583" t="s">
        <v>1313</v>
      </c>
      <c r="O583">
        <v>860.4</v>
      </c>
      <c r="P583">
        <v>2066.6</v>
      </c>
      <c r="Q583">
        <v>0.01</v>
      </c>
      <c r="R583">
        <v>3</v>
      </c>
    </row>
    <row r="584" spans="1:18" x14ac:dyDescent="0.45">
      <c r="A584" t="s">
        <v>596</v>
      </c>
      <c r="B584" s="5">
        <v>44955</v>
      </c>
      <c r="C584" s="5">
        <v>44963</v>
      </c>
      <c r="D584" s="5">
        <f t="shared" si="27"/>
        <v>44955</v>
      </c>
      <c r="E584" s="5">
        <f t="shared" si="28"/>
        <v>44963</v>
      </c>
      <c r="F584" s="7">
        <f t="shared" si="29"/>
        <v>8</v>
      </c>
      <c r="G584" t="s">
        <v>648</v>
      </c>
      <c r="H584" t="s">
        <v>655</v>
      </c>
      <c r="I584" t="s">
        <v>672</v>
      </c>
      <c r="J584" t="s">
        <v>701</v>
      </c>
      <c r="K584" t="s">
        <v>709</v>
      </c>
      <c r="L584" t="s">
        <v>726</v>
      </c>
      <c r="M584" t="s">
        <v>732</v>
      </c>
      <c r="N584" t="s">
        <v>1314</v>
      </c>
      <c r="O584">
        <v>41.84</v>
      </c>
      <c r="P584">
        <v>86.2</v>
      </c>
      <c r="Q584">
        <v>0.22600000000000001</v>
      </c>
      <c r="R584">
        <v>27</v>
      </c>
    </row>
    <row r="585" spans="1:18" x14ac:dyDescent="0.45">
      <c r="A585" t="s">
        <v>597</v>
      </c>
      <c r="B585" s="5">
        <v>45541</v>
      </c>
      <c r="C585" s="5">
        <v>45539</v>
      </c>
      <c r="D585" s="5">
        <f t="shared" si="27"/>
        <v>45539</v>
      </c>
      <c r="E585" s="5">
        <f t="shared" si="28"/>
        <v>45541</v>
      </c>
      <c r="F585" s="7">
        <f t="shared" si="29"/>
        <v>2</v>
      </c>
      <c r="G585" t="s">
        <v>647</v>
      </c>
      <c r="H585" t="s">
        <v>652</v>
      </c>
      <c r="I585" t="s">
        <v>666</v>
      </c>
      <c r="J585" t="s">
        <v>701</v>
      </c>
      <c r="K585" t="s">
        <v>711</v>
      </c>
      <c r="L585" t="s">
        <v>720</v>
      </c>
      <c r="M585" t="s">
        <v>731</v>
      </c>
      <c r="N585" t="s">
        <v>1315</v>
      </c>
      <c r="O585">
        <v>1368.17</v>
      </c>
      <c r="P585">
        <v>2307.75</v>
      </c>
      <c r="Q585">
        <v>0.16300000000000001</v>
      </c>
      <c r="R585">
        <v>21</v>
      </c>
    </row>
    <row r="586" spans="1:18" x14ac:dyDescent="0.45">
      <c r="A586" t="s">
        <v>598</v>
      </c>
      <c r="B586" s="5">
        <v>45507</v>
      </c>
      <c r="C586" s="5">
        <v>45513</v>
      </c>
      <c r="D586" s="5">
        <f t="shared" si="27"/>
        <v>45507</v>
      </c>
      <c r="E586" s="5">
        <f t="shared" si="28"/>
        <v>45513</v>
      </c>
      <c r="F586" s="7">
        <f t="shared" si="29"/>
        <v>6</v>
      </c>
      <c r="G586" t="s">
        <v>646</v>
      </c>
      <c r="H586" t="s">
        <v>650</v>
      </c>
      <c r="I586" t="s">
        <v>675</v>
      </c>
      <c r="J586" t="s">
        <v>704</v>
      </c>
      <c r="K586" t="s">
        <v>709</v>
      </c>
      <c r="L586" t="s">
        <v>722</v>
      </c>
      <c r="M586" t="s">
        <v>731</v>
      </c>
      <c r="N586" t="s">
        <v>1316</v>
      </c>
      <c r="O586">
        <v>643.21</v>
      </c>
      <c r="P586">
        <v>1112.81</v>
      </c>
      <c r="Q586">
        <v>0.14099999999999999</v>
      </c>
      <c r="R586">
        <v>4</v>
      </c>
    </row>
    <row r="587" spans="1:18" x14ac:dyDescent="0.45">
      <c r="A587" t="s">
        <v>599</v>
      </c>
      <c r="B587" s="5">
        <v>45764</v>
      </c>
      <c r="C587" s="5">
        <v>45764</v>
      </c>
      <c r="D587" s="5">
        <f t="shared" si="27"/>
        <v>45764</v>
      </c>
      <c r="E587" s="5">
        <f t="shared" si="28"/>
        <v>45764</v>
      </c>
      <c r="F587" s="7">
        <f t="shared" si="29"/>
        <v>0</v>
      </c>
      <c r="G587" t="s">
        <v>648</v>
      </c>
      <c r="H587" t="s">
        <v>655</v>
      </c>
      <c r="I587" t="s">
        <v>670</v>
      </c>
      <c r="J587" t="s">
        <v>701</v>
      </c>
      <c r="K587" t="s">
        <v>710</v>
      </c>
      <c r="L587" t="s">
        <v>716</v>
      </c>
      <c r="M587" t="s">
        <v>730</v>
      </c>
      <c r="N587" t="s">
        <v>1317</v>
      </c>
      <c r="O587">
        <v>719.41</v>
      </c>
      <c r="P587">
        <v>1125.99</v>
      </c>
      <c r="Q587">
        <v>4.1000000000000002E-2</v>
      </c>
      <c r="R587">
        <v>21</v>
      </c>
    </row>
    <row r="588" spans="1:18" x14ac:dyDescent="0.45">
      <c r="A588" t="s">
        <v>600</v>
      </c>
      <c r="B588" s="5">
        <v>45049</v>
      </c>
      <c r="C588" s="5">
        <v>45062</v>
      </c>
      <c r="D588" s="5">
        <f t="shared" si="27"/>
        <v>45049</v>
      </c>
      <c r="E588" s="5">
        <f t="shared" si="28"/>
        <v>45062</v>
      </c>
      <c r="F588" s="7">
        <f t="shared" si="29"/>
        <v>13</v>
      </c>
      <c r="G588" t="s">
        <v>648</v>
      </c>
      <c r="H588" t="s">
        <v>660</v>
      </c>
      <c r="I588" t="s">
        <v>700</v>
      </c>
      <c r="J588" t="s">
        <v>701</v>
      </c>
      <c r="K588" t="s">
        <v>709</v>
      </c>
      <c r="L588" t="s">
        <v>716</v>
      </c>
      <c r="M588" t="s">
        <v>730</v>
      </c>
      <c r="N588" t="s">
        <v>1318</v>
      </c>
      <c r="O588">
        <v>64.5</v>
      </c>
      <c r="P588">
        <v>123.62</v>
      </c>
      <c r="Q588">
        <v>0</v>
      </c>
      <c r="R588">
        <v>3</v>
      </c>
    </row>
    <row r="589" spans="1:18" x14ac:dyDescent="0.45">
      <c r="A589" t="s">
        <v>601</v>
      </c>
      <c r="B589" s="5">
        <v>45364</v>
      </c>
      <c r="C589" s="5">
        <v>45388</v>
      </c>
      <c r="D589" s="5">
        <f t="shared" si="27"/>
        <v>45364</v>
      </c>
      <c r="E589" s="5">
        <f t="shared" si="28"/>
        <v>45388</v>
      </c>
      <c r="F589" s="7">
        <f t="shared" si="29"/>
        <v>24</v>
      </c>
      <c r="G589" t="s">
        <v>646</v>
      </c>
      <c r="H589" t="s">
        <v>651</v>
      </c>
      <c r="I589" t="s">
        <v>669</v>
      </c>
      <c r="J589" t="s">
        <v>704</v>
      </c>
      <c r="K589" t="s">
        <v>710</v>
      </c>
      <c r="L589" t="s">
        <v>716</v>
      </c>
      <c r="M589" t="s">
        <v>727</v>
      </c>
      <c r="N589" t="s">
        <v>1319</v>
      </c>
      <c r="O589">
        <v>1232.78</v>
      </c>
      <c r="P589">
        <v>1731.75</v>
      </c>
      <c r="Q589">
        <v>9.2999999999999999E-2</v>
      </c>
      <c r="R589">
        <v>16</v>
      </c>
    </row>
    <row r="590" spans="1:18" x14ac:dyDescent="0.45">
      <c r="A590" t="s">
        <v>602</v>
      </c>
      <c r="B590" s="5">
        <v>45459</v>
      </c>
      <c r="C590" s="5">
        <v>45464</v>
      </c>
      <c r="D590" s="5">
        <f t="shared" si="27"/>
        <v>45459</v>
      </c>
      <c r="E590" s="5">
        <f t="shared" si="28"/>
        <v>45464</v>
      </c>
      <c r="F590" s="7">
        <f t="shared" si="29"/>
        <v>5</v>
      </c>
      <c r="G590" t="s">
        <v>647</v>
      </c>
      <c r="H590" t="s">
        <v>652</v>
      </c>
      <c r="I590" t="s">
        <v>689</v>
      </c>
      <c r="J590" t="s">
        <v>705</v>
      </c>
      <c r="K590" t="s">
        <v>710</v>
      </c>
      <c r="L590" t="s">
        <v>721</v>
      </c>
      <c r="M590" t="s">
        <v>730</v>
      </c>
      <c r="N590" t="s">
        <v>1320</v>
      </c>
      <c r="O590">
        <v>1367.13</v>
      </c>
      <c r="P590">
        <v>3062.01</v>
      </c>
      <c r="Q590">
        <v>0.10299999999999999</v>
      </c>
      <c r="R590">
        <v>25</v>
      </c>
    </row>
    <row r="591" spans="1:18" x14ac:dyDescent="0.45">
      <c r="A591" t="s">
        <v>603</v>
      </c>
      <c r="B591" s="5">
        <v>45703</v>
      </c>
      <c r="C591" s="5">
        <v>45715</v>
      </c>
      <c r="D591" s="5">
        <f t="shared" si="27"/>
        <v>45703</v>
      </c>
      <c r="E591" s="5">
        <f t="shared" si="28"/>
        <v>45715</v>
      </c>
      <c r="F591" s="7">
        <f t="shared" si="29"/>
        <v>12</v>
      </c>
      <c r="G591" t="s">
        <v>649</v>
      </c>
      <c r="H591" t="s">
        <v>657</v>
      </c>
      <c r="I591" t="s">
        <v>679</v>
      </c>
      <c r="J591" t="s">
        <v>703</v>
      </c>
      <c r="K591" t="s">
        <v>711</v>
      </c>
      <c r="L591" t="s">
        <v>723</v>
      </c>
      <c r="M591" t="s">
        <v>733</v>
      </c>
      <c r="N591" t="s">
        <v>1321</v>
      </c>
      <c r="O591">
        <v>1027.26</v>
      </c>
      <c r="P591">
        <v>2200.41</v>
      </c>
      <c r="Q591">
        <v>8.7999999999999995E-2</v>
      </c>
      <c r="R591">
        <v>6</v>
      </c>
    </row>
    <row r="592" spans="1:18" x14ac:dyDescent="0.45">
      <c r="A592" t="s">
        <v>604</v>
      </c>
      <c r="B592" s="5">
        <v>45019</v>
      </c>
      <c r="C592" s="5">
        <v>45032</v>
      </c>
      <c r="D592" s="5">
        <f t="shared" si="27"/>
        <v>45019</v>
      </c>
      <c r="E592" s="5">
        <f t="shared" si="28"/>
        <v>45032</v>
      </c>
      <c r="F592" s="7">
        <f t="shared" si="29"/>
        <v>13</v>
      </c>
      <c r="G592" t="s">
        <v>649</v>
      </c>
      <c r="H592" t="s">
        <v>657</v>
      </c>
      <c r="I592" t="s">
        <v>673</v>
      </c>
      <c r="J592" t="s">
        <v>703</v>
      </c>
      <c r="K592" t="s">
        <v>709</v>
      </c>
      <c r="L592" t="s">
        <v>724</v>
      </c>
      <c r="M592" t="s">
        <v>733</v>
      </c>
      <c r="N592" t="s">
        <v>1322</v>
      </c>
      <c r="O592">
        <v>790.54</v>
      </c>
      <c r="P592">
        <v>601.49</v>
      </c>
      <c r="Q592">
        <v>0</v>
      </c>
      <c r="R592">
        <v>15</v>
      </c>
    </row>
    <row r="593" spans="1:18" x14ac:dyDescent="0.45">
      <c r="A593" t="s">
        <v>605</v>
      </c>
      <c r="B593" s="5">
        <v>45899</v>
      </c>
      <c r="C593" s="5">
        <v>45922</v>
      </c>
      <c r="D593" s="5">
        <f t="shared" si="27"/>
        <v>45899</v>
      </c>
      <c r="E593" s="5">
        <f t="shared" si="28"/>
        <v>45922</v>
      </c>
      <c r="F593" s="7">
        <f t="shared" si="29"/>
        <v>23</v>
      </c>
      <c r="G593" t="s">
        <v>649</v>
      </c>
      <c r="H593" t="s">
        <v>657</v>
      </c>
      <c r="I593" t="s">
        <v>673</v>
      </c>
      <c r="J593" t="s">
        <v>701</v>
      </c>
      <c r="K593" t="s">
        <v>711</v>
      </c>
      <c r="L593" t="s">
        <v>718</v>
      </c>
      <c r="M593" t="s">
        <v>727</v>
      </c>
      <c r="N593" t="s">
        <v>1323</v>
      </c>
      <c r="O593">
        <v>663.9</v>
      </c>
      <c r="P593">
        <v>947.77</v>
      </c>
      <c r="Q593">
        <v>0.17399999999999999</v>
      </c>
      <c r="R593">
        <v>15</v>
      </c>
    </row>
    <row r="594" spans="1:18" x14ac:dyDescent="0.45">
      <c r="A594" t="s">
        <v>606</v>
      </c>
      <c r="B594" s="5">
        <v>44984</v>
      </c>
      <c r="C594" s="5">
        <v>44983</v>
      </c>
      <c r="D594" s="5">
        <f t="shared" si="27"/>
        <v>44983</v>
      </c>
      <c r="E594" s="5">
        <f t="shared" si="28"/>
        <v>44984</v>
      </c>
      <c r="F594" s="7">
        <f t="shared" si="29"/>
        <v>1</v>
      </c>
      <c r="G594" t="s">
        <v>648</v>
      </c>
      <c r="H594" t="s">
        <v>660</v>
      </c>
      <c r="I594" t="s">
        <v>686</v>
      </c>
      <c r="J594" t="s">
        <v>703</v>
      </c>
      <c r="K594" t="s">
        <v>708</v>
      </c>
      <c r="L594" t="s">
        <v>716</v>
      </c>
      <c r="M594" t="s">
        <v>729</v>
      </c>
      <c r="N594" t="s">
        <v>1324</v>
      </c>
      <c r="O594">
        <v>1015.91</v>
      </c>
      <c r="P594">
        <v>2331.48</v>
      </c>
      <c r="Q594">
        <v>0.14599999999999999</v>
      </c>
      <c r="R594">
        <v>26</v>
      </c>
    </row>
    <row r="595" spans="1:18" x14ac:dyDescent="0.45">
      <c r="A595" t="s">
        <v>607</v>
      </c>
      <c r="B595" s="5">
        <v>45504</v>
      </c>
      <c r="C595" s="5">
        <v>45519</v>
      </c>
      <c r="D595" s="5">
        <f t="shared" si="27"/>
        <v>45504</v>
      </c>
      <c r="E595" s="5">
        <f t="shared" si="28"/>
        <v>45519</v>
      </c>
      <c r="F595" s="7">
        <f t="shared" si="29"/>
        <v>15</v>
      </c>
      <c r="G595" t="s">
        <v>647</v>
      </c>
      <c r="H595" t="s">
        <v>652</v>
      </c>
      <c r="I595" t="s">
        <v>689</v>
      </c>
      <c r="J595" t="s">
        <v>701</v>
      </c>
      <c r="K595" t="s">
        <v>709</v>
      </c>
      <c r="L595" t="s">
        <v>721</v>
      </c>
      <c r="M595" t="s">
        <v>732</v>
      </c>
      <c r="N595" t="s">
        <v>1325</v>
      </c>
      <c r="O595">
        <v>1252.52</v>
      </c>
      <c r="P595">
        <v>1417.24</v>
      </c>
      <c r="Q595">
        <v>0.192</v>
      </c>
      <c r="R595">
        <v>5</v>
      </c>
    </row>
    <row r="596" spans="1:18" x14ac:dyDescent="0.45">
      <c r="A596" t="s">
        <v>608</v>
      </c>
      <c r="B596" s="5">
        <v>45823</v>
      </c>
      <c r="C596" s="5">
        <v>45850</v>
      </c>
      <c r="D596" s="5">
        <f t="shared" si="27"/>
        <v>45823</v>
      </c>
      <c r="E596" s="5">
        <f t="shared" si="28"/>
        <v>45850</v>
      </c>
      <c r="F596" s="7">
        <f t="shared" si="29"/>
        <v>27</v>
      </c>
      <c r="G596" t="s">
        <v>649</v>
      </c>
      <c r="H596" t="s">
        <v>657</v>
      </c>
      <c r="I596" t="s">
        <v>673</v>
      </c>
      <c r="J596" t="s">
        <v>704</v>
      </c>
      <c r="K596" t="s">
        <v>711</v>
      </c>
      <c r="L596" t="s">
        <v>712</v>
      </c>
      <c r="M596" t="s">
        <v>733</v>
      </c>
      <c r="N596" t="s">
        <v>1326</v>
      </c>
      <c r="O596">
        <v>318.83</v>
      </c>
      <c r="P596">
        <v>699.5</v>
      </c>
      <c r="Q596">
        <v>0.08</v>
      </c>
      <c r="R596">
        <v>13</v>
      </c>
    </row>
    <row r="597" spans="1:18" x14ac:dyDescent="0.45">
      <c r="A597" t="s">
        <v>609</v>
      </c>
      <c r="B597" s="5">
        <v>45473</v>
      </c>
      <c r="C597" s="5">
        <v>45494</v>
      </c>
      <c r="D597" s="5">
        <f t="shared" si="27"/>
        <v>45473</v>
      </c>
      <c r="E597" s="5">
        <f t="shared" si="28"/>
        <v>45494</v>
      </c>
      <c r="F597" s="7">
        <f t="shared" si="29"/>
        <v>21</v>
      </c>
      <c r="G597" t="s">
        <v>646</v>
      </c>
      <c r="H597" t="s">
        <v>650</v>
      </c>
      <c r="I597" t="s">
        <v>662</v>
      </c>
      <c r="J597" t="s">
        <v>705</v>
      </c>
      <c r="K597" t="s">
        <v>707</v>
      </c>
      <c r="L597" t="s">
        <v>723</v>
      </c>
      <c r="M597" t="s">
        <v>731</v>
      </c>
      <c r="N597" t="s">
        <v>1327</v>
      </c>
      <c r="O597">
        <v>753.43</v>
      </c>
      <c r="P597">
        <v>1787.2</v>
      </c>
      <c r="Q597">
        <v>7.2999999999999995E-2</v>
      </c>
      <c r="R597">
        <v>9</v>
      </c>
    </row>
    <row r="598" spans="1:18" x14ac:dyDescent="0.45">
      <c r="A598" t="s">
        <v>610</v>
      </c>
      <c r="B598" s="5">
        <v>45705</v>
      </c>
      <c r="C598" s="5">
        <v>45703</v>
      </c>
      <c r="D598" s="5">
        <f t="shared" si="27"/>
        <v>45703</v>
      </c>
      <c r="E598" s="5">
        <f t="shared" si="28"/>
        <v>45705</v>
      </c>
      <c r="F598" s="7">
        <f t="shared" si="29"/>
        <v>2</v>
      </c>
      <c r="G598" t="s">
        <v>648</v>
      </c>
      <c r="H598" t="s">
        <v>653</v>
      </c>
      <c r="I598" t="s">
        <v>667</v>
      </c>
      <c r="J598" t="s">
        <v>705</v>
      </c>
      <c r="K598" t="s">
        <v>707</v>
      </c>
      <c r="L598" t="s">
        <v>726</v>
      </c>
      <c r="M598" t="s">
        <v>727</v>
      </c>
      <c r="N598" t="s">
        <v>1328</v>
      </c>
      <c r="O598">
        <v>1133.47</v>
      </c>
      <c r="P598">
        <v>1698.75</v>
      </c>
      <c r="Q598">
        <v>4.2999999999999997E-2</v>
      </c>
      <c r="R598">
        <v>5</v>
      </c>
    </row>
    <row r="599" spans="1:18" x14ac:dyDescent="0.45">
      <c r="A599" t="s">
        <v>611</v>
      </c>
      <c r="B599" s="5">
        <v>44933</v>
      </c>
      <c r="C599" s="5">
        <v>44956</v>
      </c>
      <c r="D599" s="5">
        <f t="shared" si="27"/>
        <v>44933</v>
      </c>
      <c r="E599" s="5">
        <f t="shared" si="28"/>
        <v>44956</v>
      </c>
      <c r="F599" s="7">
        <f t="shared" si="29"/>
        <v>23</v>
      </c>
      <c r="G599" t="s">
        <v>646</v>
      </c>
      <c r="H599" t="s">
        <v>661</v>
      </c>
      <c r="I599" t="s">
        <v>695</v>
      </c>
      <c r="J599" t="s">
        <v>704</v>
      </c>
      <c r="K599" t="s">
        <v>708</v>
      </c>
      <c r="L599" t="s">
        <v>720</v>
      </c>
      <c r="M599" t="s">
        <v>728</v>
      </c>
      <c r="N599" t="s">
        <v>1329</v>
      </c>
      <c r="O599">
        <v>299.02</v>
      </c>
      <c r="P599">
        <v>724.7</v>
      </c>
      <c r="Q599">
        <v>0.14000000000000001</v>
      </c>
      <c r="R599">
        <v>5</v>
      </c>
    </row>
    <row r="600" spans="1:18" x14ac:dyDescent="0.45">
      <c r="A600" t="s">
        <v>612</v>
      </c>
      <c r="B600" s="5">
        <v>45726</v>
      </c>
      <c r="C600" s="5">
        <v>45751</v>
      </c>
      <c r="D600" s="5">
        <f t="shared" si="27"/>
        <v>45726</v>
      </c>
      <c r="E600" s="5">
        <f t="shared" si="28"/>
        <v>45751</v>
      </c>
      <c r="F600" s="7">
        <f t="shared" si="29"/>
        <v>25</v>
      </c>
      <c r="G600" t="s">
        <v>647</v>
      </c>
      <c r="H600" t="s">
        <v>652</v>
      </c>
      <c r="I600" t="s">
        <v>666</v>
      </c>
      <c r="J600" t="s">
        <v>701</v>
      </c>
      <c r="K600" t="s">
        <v>711</v>
      </c>
      <c r="L600" t="s">
        <v>722</v>
      </c>
      <c r="M600" t="s">
        <v>728</v>
      </c>
      <c r="N600" t="s">
        <v>1330</v>
      </c>
      <c r="O600">
        <v>783.72</v>
      </c>
      <c r="P600">
        <v>1355.94</v>
      </c>
      <c r="Q600">
        <v>0.187</v>
      </c>
      <c r="R600">
        <v>4</v>
      </c>
    </row>
    <row r="601" spans="1:18" x14ac:dyDescent="0.45">
      <c r="A601" t="s">
        <v>613</v>
      </c>
      <c r="B601" s="5">
        <v>45521</v>
      </c>
      <c r="C601" s="5">
        <v>45519</v>
      </c>
      <c r="D601" s="5">
        <f t="shared" si="27"/>
        <v>45519</v>
      </c>
      <c r="E601" s="5">
        <f t="shared" si="28"/>
        <v>45521</v>
      </c>
      <c r="F601" s="7">
        <f t="shared" si="29"/>
        <v>2</v>
      </c>
      <c r="G601" t="s">
        <v>648</v>
      </c>
      <c r="H601" t="s">
        <v>655</v>
      </c>
      <c r="I601" t="s">
        <v>692</v>
      </c>
      <c r="J601" t="s">
        <v>704</v>
      </c>
      <c r="K601" t="s">
        <v>711</v>
      </c>
      <c r="L601" t="s">
        <v>724</v>
      </c>
      <c r="M601" t="s">
        <v>732</v>
      </c>
      <c r="N601" t="s">
        <v>1331</v>
      </c>
      <c r="O601">
        <v>165.3</v>
      </c>
      <c r="P601">
        <v>275.07</v>
      </c>
      <c r="Q601">
        <v>0.13300000000000001</v>
      </c>
      <c r="R601">
        <v>25</v>
      </c>
    </row>
    <row r="602" spans="1:18" x14ac:dyDescent="0.45">
      <c r="A602" t="s">
        <v>614</v>
      </c>
      <c r="B602" s="5">
        <v>45360</v>
      </c>
      <c r="C602" s="5">
        <v>45373</v>
      </c>
      <c r="D602" s="5">
        <f t="shared" si="27"/>
        <v>45360</v>
      </c>
      <c r="E602" s="5">
        <f t="shared" si="28"/>
        <v>45373</v>
      </c>
      <c r="F602" s="7">
        <f t="shared" si="29"/>
        <v>13</v>
      </c>
      <c r="G602" t="s">
        <v>649</v>
      </c>
      <c r="H602" t="s">
        <v>658</v>
      </c>
      <c r="I602" t="s">
        <v>693</v>
      </c>
      <c r="J602" t="s">
        <v>704</v>
      </c>
      <c r="K602" t="s">
        <v>708</v>
      </c>
      <c r="L602" t="s">
        <v>718</v>
      </c>
      <c r="M602" t="s">
        <v>731</v>
      </c>
      <c r="N602" t="s">
        <v>1332</v>
      </c>
      <c r="O602">
        <v>985.45</v>
      </c>
      <c r="P602">
        <v>1802.44</v>
      </c>
      <c r="Q602">
        <v>8.9999999999999993E-3</v>
      </c>
      <c r="R602">
        <v>19</v>
      </c>
    </row>
    <row r="603" spans="1:18" x14ac:dyDescent="0.45">
      <c r="A603" t="s">
        <v>615</v>
      </c>
      <c r="B603" s="5">
        <v>45523</v>
      </c>
      <c r="C603" s="5">
        <v>45537</v>
      </c>
      <c r="D603" s="5">
        <f t="shared" si="27"/>
        <v>45523</v>
      </c>
      <c r="E603" s="5">
        <f t="shared" si="28"/>
        <v>45537</v>
      </c>
      <c r="F603" s="7">
        <f t="shared" si="29"/>
        <v>14</v>
      </c>
      <c r="G603" t="s">
        <v>648</v>
      </c>
      <c r="H603" t="s">
        <v>653</v>
      </c>
      <c r="I603" t="s">
        <v>667</v>
      </c>
      <c r="J603" t="s">
        <v>704</v>
      </c>
      <c r="K603" t="s">
        <v>710</v>
      </c>
      <c r="L603" t="s">
        <v>712</v>
      </c>
      <c r="M603" t="s">
        <v>728</v>
      </c>
      <c r="N603" t="s">
        <v>1333</v>
      </c>
      <c r="O603">
        <v>1337.01</v>
      </c>
      <c r="P603">
        <v>1269.78</v>
      </c>
      <c r="Q603">
        <v>0.16</v>
      </c>
      <c r="R603">
        <v>7</v>
      </c>
    </row>
    <row r="604" spans="1:18" x14ac:dyDescent="0.45">
      <c r="A604" t="s">
        <v>616</v>
      </c>
      <c r="B604" s="5">
        <v>45880</v>
      </c>
      <c r="C604" s="5">
        <v>45897</v>
      </c>
      <c r="D604" s="5">
        <f t="shared" si="27"/>
        <v>45880</v>
      </c>
      <c r="E604" s="5">
        <f t="shared" si="28"/>
        <v>45897</v>
      </c>
      <c r="F604" s="7">
        <f t="shared" si="29"/>
        <v>17</v>
      </c>
      <c r="G604" t="s">
        <v>649</v>
      </c>
      <c r="H604" t="s">
        <v>657</v>
      </c>
      <c r="I604" t="s">
        <v>690</v>
      </c>
      <c r="J604" t="s">
        <v>702</v>
      </c>
      <c r="K604" t="s">
        <v>708</v>
      </c>
      <c r="L604" t="s">
        <v>721</v>
      </c>
      <c r="M604" t="s">
        <v>729</v>
      </c>
      <c r="N604" t="s">
        <v>1334</v>
      </c>
      <c r="O604">
        <v>416.16</v>
      </c>
      <c r="P604">
        <v>571.9</v>
      </c>
      <c r="Q604">
        <v>7.0999999999999994E-2</v>
      </c>
      <c r="R604">
        <v>2</v>
      </c>
    </row>
    <row r="605" spans="1:18" x14ac:dyDescent="0.45">
      <c r="A605" t="s">
        <v>617</v>
      </c>
      <c r="B605" s="5">
        <v>45793</v>
      </c>
      <c r="C605" s="5">
        <v>45795</v>
      </c>
      <c r="D605" s="5">
        <f t="shared" si="27"/>
        <v>45793</v>
      </c>
      <c r="E605" s="5">
        <f t="shared" si="28"/>
        <v>45795</v>
      </c>
      <c r="F605" s="7">
        <f t="shared" si="29"/>
        <v>2</v>
      </c>
      <c r="G605" t="s">
        <v>647</v>
      </c>
      <c r="H605" t="s">
        <v>652</v>
      </c>
      <c r="I605" t="s">
        <v>689</v>
      </c>
      <c r="J605" t="s">
        <v>706</v>
      </c>
      <c r="K605" t="s">
        <v>707</v>
      </c>
      <c r="L605" t="s">
        <v>713</v>
      </c>
      <c r="M605" t="s">
        <v>728</v>
      </c>
      <c r="N605" t="s">
        <v>1335</v>
      </c>
      <c r="O605">
        <v>1144.3800000000001</v>
      </c>
      <c r="P605">
        <v>2755.04</v>
      </c>
      <c r="Q605">
        <v>0.15</v>
      </c>
      <c r="R605">
        <v>17</v>
      </c>
    </row>
    <row r="606" spans="1:18" x14ac:dyDescent="0.45">
      <c r="A606" t="s">
        <v>618</v>
      </c>
      <c r="B606" s="5">
        <v>45026</v>
      </c>
      <c r="C606" s="5">
        <v>45041</v>
      </c>
      <c r="D606" s="5">
        <f t="shared" si="27"/>
        <v>45026</v>
      </c>
      <c r="E606" s="5">
        <f t="shared" si="28"/>
        <v>45041</v>
      </c>
      <c r="F606" s="7">
        <f t="shared" si="29"/>
        <v>15</v>
      </c>
      <c r="G606" t="s">
        <v>649</v>
      </c>
      <c r="H606" t="s">
        <v>658</v>
      </c>
      <c r="I606" t="s">
        <v>683</v>
      </c>
      <c r="J606" t="s">
        <v>705</v>
      </c>
      <c r="K606" t="s">
        <v>707</v>
      </c>
      <c r="L606" t="s">
        <v>726</v>
      </c>
      <c r="M606" t="s">
        <v>728</v>
      </c>
      <c r="N606" t="s">
        <v>1336</v>
      </c>
      <c r="O606">
        <v>405.66</v>
      </c>
      <c r="P606">
        <v>962.51</v>
      </c>
      <c r="Q606">
        <v>0.19</v>
      </c>
      <c r="R606">
        <v>7</v>
      </c>
    </row>
    <row r="607" spans="1:18" x14ac:dyDescent="0.45">
      <c r="A607" t="s">
        <v>619</v>
      </c>
      <c r="B607" s="5">
        <v>45186</v>
      </c>
      <c r="C607" s="5">
        <v>45201</v>
      </c>
      <c r="D607" s="5">
        <f t="shared" si="27"/>
        <v>45186</v>
      </c>
      <c r="E607" s="5">
        <f t="shared" si="28"/>
        <v>45201</v>
      </c>
      <c r="F607" s="7">
        <f t="shared" si="29"/>
        <v>15</v>
      </c>
      <c r="G607" t="s">
        <v>648</v>
      </c>
      <c r="H607" t="s">
        <v>655</v>
      </c>
      <c r="I607" t="s">
        <v>692</v>
      </c>
      <c r="J607" t="s">
        <v>705</v>
      </c>
      <c r="K607" t="s">
        <v>707</v>
      </c>
      <c r="L607" t="s">
        <v>717</v>
      </c>
      <c r="M607" t="s">
        <v>731</v>
      </c>
      <c r="N607" t="s">
        <v>1337</v>
      </c>
      <c r="O607">
        <v>689.33</v>
      </c>
      <c r="P607">
        <v>668.27</v>
      </c>
      <c r="Q607">
        <v>0.186</v>
      </c>
      <c r="R607">
        <v>13</v>
      </c>
    </row>
    <row r="608" spans="1:18" x14ac:dyDescent="0.45">
      <c r="A608" t="s">
        <v>620</v>
      </c>
      <c r="B608" s="5">
        <v>45038</v>
      </c>
      <c r="C608" s="5">
        <v>45060</v>
      </c>
      <c r="D608" s="5">
        <f t="shared" si="27"/>
        <v>45038</v>
      </c>
      <c r="E608" s="5">
        <f t="shared" si="28"/>
        <v>45060</v>
      </c>
      <c r="F608" s="7">
        <f t="shared" si="29"/>
        <v>22</v>
      </c>
      <c r="G608" t="s">
        <v>647</v>
      </c>
      <c r="H608" t="s">
        <v>652</v>
      </c>
      <c r="I608" t="s">
        <v>694</v>
      </c>
      <c r="J608" t="s">
        <v>706</v>
      </c>
      <c r="K608" t="s">
        <v>707</v>
      </c>
      <c r="L608" t="s">
        <v>720</v>
      </c>
      <c r="M608" t="s">
        <v>733</v>
      </c>
      <c r="N608" t="s">
        <v>1338</v>
      </c>
      <c r="O608">
        <v>1209.22</v>
      </c>
      <c r="P608">
        <v>1404.33</v>
      </c>
      <c r="Q608">
        <v>0.10299999999999999</v>
      </c>
      <c r="R608">
        <v>11</v>
      </c>
    </row>
    <row r="609" spans="1:18" x14ac:dyDescent="0.45">
      <c r="A609" t="s">
        <v>621</v>
      </c>
      <c r="B609" s="5">
        <v>45827</v>
      </c>
      <c r="C609" s="5">
        <v>45829</v>
      </c>
      <c r="D609" s="5">
        <f t="shared" si="27"/>
        <v>45827</v>
      </c>
      <c r="E609" s="5">
        <f t="shared" si="28"/>
        <v>45829</v>
      </c>
      <c r="F609" s="7">
        <f t="shared" si="29"/>
        <v>2</v>
      </c>
      <c r="G609" t="s">
        <v>646</v>
      </c>
      <c r="H609" t="s">
        <v>661</v>
      </c>
      <c r="I609" t="s">
        <v>682</v>
      </c>
      <c r="J609" t="s">
        <v>705</v>
      </c>
      <c r="L609" t="s">
        <v>722</v>
      </c>
      <c r="M609" t="s">
        <v>730</v>
      </c>
      <c r="N609" t="s">
        <v>1339</v>
      </c>
      <c r="O609">
        <v>1466.27</v>
      </c>
      <c r="P609">
        <v>3589.89</v>
      </c>
      <c r="Q609">
        <v>9.7000000000000003E-2</v>
      </c>
      <c r="R609">
        <v>9</v>
      </c>
    </row>
    <row r="610" spans="1:18" x14ac:dyDescent="0.45">
      <c r="A610" t="s">
        <v>622</v>
      </c>
      <c r="B610" s="5">
        <v>45623</v>
      </c>
      <c r="C610" s="5">
        <v>45650</v>
      </c>
      <c r="D610" s="5">
        <f t="shared" si="27"/>
        <v>45623</v>
      </c>
      <c r="E610" s="5">
        <f t="shared" si="28"/>
        <v>45650</v>
      </c>
      <c r="F610" s="7">
        <f t="shared" si="29"/>
        <v>27</v>
      </c>
      <c r="G610" t="s">
        <v>646</v>
      </c>
      <c r="H610" t="s">
        <v>650</v>
      </c>
      <c r="I610" t="s">
        <v>675</v>
      </c>
      <c r="J610" t="s">
        <v>701</v>
      </c>
      <c r="K610" t="s">
        <v>710</v>
      </c>
      <c r="L610" t="s">
        <v>717</v>
      </c>
      <c r="M610" t="s">
        <v>728</v>
      </c>
      <c r="N610" t="s">
        <v>1340</v>
      </c>
      <c r="O610">
        <v>143.33000000000001</v>
      </c>
      <c r="P610">
        <v>233.51</v>
      </c>
      <c r="Q610">
        <v>0.16300000000000001</v>
      </c>
      <c r="R610">
        <v>14</v>
      </c>
    </row>
    <row r="611" spans="1:18" x14ac:dyDescent="0.45">
      <c r="A611" t="s">
        <v>623</v>
      </c>
      <c r="B611" s="5">
        <v>45319</v>
      </c>
      <c r="C611" s="5">
        <v>45318</v>
      </c>
      <c r="D611" s="5">
        <f t="shared" si="27"/>
        <v>45318</v>
      </c>
      <c r="E611" s="5">
        <f t="shared" si="28"/>
        <v>45319</v>
      </c>
      <c r="F611" s="7">
        <f t="shared" si="29"/>
        <v>1</v>
      </c>
      <c r="G611" t="s">
        <v>646</v>
      </c>
      <c r="H611" t="s">
        <v>661</v>
      </c>
      <c r="I611" t="s">
        <v>695</v>
      </c>
      <c r="J611" t="s">
        <v>706</v>
      </c>
      <c r="K611" t="s">
        <v>711</v>
      </c>
      <c r="L611" t="s">
        <v>719</v>
      </c>
      <c r="M611" t="s">
        <v>727</v>
      </c>
      <c r="N611" t="s">
        <v>1341</v>
      </c>
      <c r="O611">
        <v>109.75</v>
      </c>
      <c r="P611">
        <v>124.25</v>
      </c>
      <c r="Q611">
        <v>0.12</v>
      </c>
      <c r="R611">
        <v>19</v>
      </c>
    </row>
    <row r="612" spans="1:18" x14ac:dyDescent="0.45">
      <c r="A612" t="s">
        <v>624</v>
      </c>
      <c r="B612" s="5">
        <v>45032</v>
      </c>
      <c r="C612" s="5">
        <v>45039</v>
      </c>
      <c r="D612" s="5">
        <f t="shared" si="27"/>
        <v>45032</v>
      </c>
      <c r="E612" s="5">
        <f t="shared" si="28"/>
        <v>45039</v>
      </c>
      <c r="F612" s="7">
        <f t="shared" si="29"/>
        <v>7</v>
      </c>
      <c r="G612" t="s">
        <v>648</v>
      </c>
      <c r="H612" t="s">
        <v>660</v>
      </c>
      <c r="I612" t="s">
        <v>697</v>
      </c>
      <c r="J612" t="s">
        <v>701</v>
      </c>
      <c r="K612" t="s">
        <v>710</v>
      </c>
      <c r="L612" t="s">
        <v>719</v>
      </c>
      <c r="M612" t="s">
        <v>728</v>
      </c>
      <c r="N612" t="s">
        <v>1342</v>
      </c>
      <c r="O612">
        <v>1099.1500000000001</v>
      </c>
      <c r="P612">
        <v>1431.37</v>
      </c>
      <c r="Q612">
        <v>0.104</v>
      </c>
      <c r="R612">
        <v>8</v>
      </c>
    </row>
    <row r="613" spans="1:18" x14ac:dyDescent="0.45">
      <c r="A613" t="s">
        <v>625</v>
      </c>
      <c r="B613" s="5">
        <v>45323</v>
      </c>
      <c r="C613" s="5">
        <v>45323</v>
      </c>
      <c r="D613" s="5">
        <f t="shared" si="27"/>
        <v>45323</v>
      </c>
      <c r="E613" s="5">
        <f t="shared" si="28"/>
        <v>45323</v>
      </c>
      <c r="F613" s="7">
        <f t="shared" si="29"/>
        <v>0</v>
      </c>
      <c r="G613" t="s">
        <v>648</v>
      </c>
      <c r="H613" t="s">
        <v>660</v>
      </c>
      <c r="I613" t="s">
        <v>697</v>
      </c>
      <c r="J613" t="s">
        <v>704</v>
      </c>
      <c r="K613" t="s">
        <v>710</v>
      </c>
      <c r="L613" t="s">
        <v>722</v>
      </c>
      <c r="M613" t="s">
        <v>728</v>
      </c>
      <c r="N613" t="s">
        <v>1343</v>
      </c>
      <c r="O613">
        <v>714.43</v>
      </c>
      <c r="P613">
        <v>1595.52</v>
      </c>
      <c r="Q613">
        <v>0.19400000000000001</v>
      </c>
      <c r="R613">
        <v>14</v>
      </c>
    </row>
    <row r="614" spans="1:18" x14ac:dyDescent="0.45">
      <c r="A614" t="s">
        <v>626</v>
      </c>
      <c r="B614" s="5">
        <v>45584</v>
      </c>
      <c r="C614" s="5">
        <v>45602</v>
      </c>
      <c r="D614" s="5">
        <f t="shared" si="27"/>
        <v>45584</v>
      </c>
      <c r="E614" s="5">
        <f t="shared" si="28"/>
        <v>45602</v>
      </c>
      <c r="F614" s="7">
        <f t="shared" si="29"/>
        <v>18</v>
      </c>
      <c r="G614" t="s">
        <v>648</v>
      </c>
      <c r="H614" t="s">
        <v>660</v>
      </c>
      <c r="I614" t="s">
        <v>677</v>
      </c>
      <c r="J614" t="s">
        <v>702</v>
      </c>
      <c r="L614" t="s">
        <v>712</v>
      </c>
      <c r="M614" t="s">
        <v>732</v>
      </c>
      <c r="N614" t="s">
        <v>1344</v>
      </c>
      <c r="O614">
        <v>942.02</v>
      </c>
      <c r="P614">
        <v>1028.46</v>
      </c>
      <c r="Q614">
        <v>0</v>
      </c>
      <c r="R614">
        <v>9</v>
      </c>
    </row>
    <row r="615" spans="1:18" x14ac:dyDescent="0.45">
      <c r="A615" t="s">
        <v>627</v>
      </c>
      <c r="B615" s="5">
        <v>45468</v>
      </c>
      <c r="C615" s="5">
        <v>45473</v>
      </c>
      <c r="D615" s="5">
        <f t="shared" si="27"/>
        <v>45468</v>
      </c>
      <c r="E615" s="5">
        <f t="shared" si="28"/>
        <v>45473</v>
      </c>
      <c r="F615" s="7">
        <f t="shared" si="29"/>
        <v>5</v>
      </c>
      <c r="G615" t="s">
        <v>646</v>
      </c>
      <c r="H615" t="s">
        <v>650</v>
      </c>
      <c r="I615" t="s">
        <v>662</v>
      </c>
      <c r="J615" t="s">
        <v>702</v>
      </c>
      <c r="K615" t="s">
        <v>711</v>
      </c>
      <c r="L615" t="s">
        <v>724</v>
      </c>
      <c r="M615" t="s">
        <v>729</v>
      </c>
      <c r="N615" t="s">
        <v>1345</v>
      </c>
      <c r="O615">
        <v>1323.55</v>
      </c>
      <c r="P615">
        <v>3230.35</v>
      </c>
      <c r="Q615">
        <v>2.1999999999999999E-2</v>
      </c>
      <c r="R615">
        <v>26</v>
      </c>
    </row>
    <row r="616" spans="1:18" x14ac:dyDescent="0.45">
      <c r="A616" t="s">
        <v>628</v>
      </c>
      <c r="B616" s="5">
        <v>45137</v>
      </c>
      <c r="C616" s="5">
        <v>45157</v>
      </c>
      <c r="D616" s="5">
        <f t="shared" si="27"/>
        <v>45137</v>
      </c>
      <c r="E616" s="5">
        <f t="shared" si="28"/>
        <v>45157</v>
      </c>
      <c r="F616" s="7">
        <f t="shared" si="29"/>
        <v>20</v>
      </c>
      <c r="G616" t="s">
        <v>649</v>
      </c>
      <c r="H616" t="s">
        <v>657</v>
      </c>
      <c r="I616" t="s">
        <v>690</v>
      </c>
      <c r="J616" t="s">
        <v>706</v>
      </c>
      <c r="K616" t="s">
        <v>709</v>
      </c>
      <c r="L616" t="s">
        <v>715</v>
      </c>
      <c r="M616" t="s">
        <v>729</v>
      </c>
      <c r="N616" t="s">
        <v>1346</v>
      </c>
      <c r="O616">
        <v>1418.51</v>
      </c>
      <c r="P616">
        <v>2789.61</v>
      </c>
      <c r="Q616">
        <v>0.17100000000000001</v>
      </c>
      <c r="R616">
        <v>8</v>
      </c>
    </row>
    <row r="617" spans="1:18" x14ac:dyDescent="0.45">
      <c r="A617" t="s">
        <v>629</v>
      </c>
      <c r="B617" s="5">
        <v>45727</v>
      </c>
      <c r="C617" s="5">
        <v>45743</v>
      </c>
      <c r="D617" s="5">
        <f t="shared" si="27"/>
        <v>45727</v>
      </c>
      <c r="E617" s="5">
        <f t="shared" si="28"/>
        <v>45743</v>
      </c>
      <c r="F617" s="7">
        <f t="shared" si="29"/>
        <v>16</v>
      </c>
      <c r="G617" t="s">
        <v>647</v>
      </c>
      <c r="H617" t="s">
        <v>652</v>
      </c>
      <c r="I617" t="s">
        <v>689</v>
      </c>
      <c r="J617" t="s">
        <v>706</v>
      </c>
      <c r="K617" t="s">
        <v>710</v>
      </c>
      <c r="L617" t="s">
        <v>717</v>
      </c>
      <c r="M617" t="s">
        <v>728</v>
      </c>
      <c r="N617" t="s">
        <v>1347</v>
      </c>
      <c r="O617">
        <v>1317.58</v>
      </c>
      <c r="P617">
        <v>1897.74</v>
      </c>
      <c r="Q617">
        <v>8.1000000000000003E-2</v>
      </c>
      <c r="R617">
        <v>6</v>
      </c>
    </row>
    <row r="618" spans="1:18" x14ac:dyDescent="0.45">
      <c r="A618" t="s">
        <v>630</v>
      </c>
      <c r="B618" s="5">
        <v>45208</v>
      </c>
      <c r="C618" s="5">
        <v>45210</v>
      </c>
      <c r="D618" s="5">
        <f t="shared" si="27"/>
        <v>45208</v>
      </c>
      <c r="E618" s="5">
        <f t="shared" si="28"/>
        <v>45210</v>
      </c>
      <c r="F618" s="7">
        <f t="shared" si="29"/>
        <v>2</v>
      </c>
      <c r="G618" t="s">
        <v>646</v>
      </c>
      <c r="H618" t="s">
        <v>651</v>
      </c>
      <c r="I618" t="s">
        <v>663</v>
      </c>
      <c r="J618" t="s">
        <v>702</v>
      </c>
      <c r="K618" t="s">
        <v>709</v>
      </c>
      <c r="L618" t="s">
        <v>723</v>
      </c>
      <c r="M618" t="s">
        <v>729</v>
      </c>
      <c r="N618" t="s">
        <v>1348</v>
      </c>
      <c r="O618">
        <v>391.16</v>
      </c>
      <c r="P618">
        <v>902.47</v>
      </c>
      <c r="Q618">
        <v>4.0000000000000001E-3</v>
      </c>
      <c r="R618">
        <v>12</v>
      </c>
    </row>
    <row r="619" spans="1:18" x14ac:dyDescent="0.45">
      <c r="A619" t="s">
        <v>631</v>
      </c>
      <c r="B619" s="5">
        <v>45643</v>
      </c>
      <c r="C619" s="5">
        <v>45673</v>
      </c>
      <c r="D619" s="5">
        <f t="shared" si="27"/>
        <v>45643</v>
      </c>
      <c r="E619" s="5">
        <f t="shared" si="28"/>
        <v>45673</v>
      </c>
      <c r="F619" s="7">
        <f t="shared" si="29"/>
        <v>30</v>
      </c>
      <c r="G619" t="s">
        <v>649</v>
      </c>
      <c r="H619" t="s">
        <v>658</v>
      </c>
      <c r="I619" t="s">
        <v>693</v>
      </c>
      <c r="J619" t="s">
        <v>701</v>
      </c>
      <c r="K619" t="s">
        <v>707</v>
      </c>
      <c r="L619" t="s">
        <v>726</v>
      </c>
      <c r="M619" t="s">
        <v>732</v>
      </c>
      <c r="N619" t="s">
        <v>1349</v>
      </c>
      <c r="O619">
        <v>722.87</v>
      </c>
      <c r="P619">
        <v>-33.659999999999997</v>
      </c>
      <c r="Q619">
        <v>0.10199999999999999</v>
      </c>
      <c r="R619">
        <v>28</v>
      </c>
    </row>
    <row r="620" spans="1:18" x14ac:dyDescent="0.45">
      <c r="A620" t="s">
        <v>632</v>
      </c>
      <c r="B620" s="5">
        <v>45849</v>
      </c>
      <c r="C620" s="5">
        <v>45854</v>
      </c>
      <c r="D620" s="5">
        <f t="shared" si="27"/>
        <v>45849</v>
      </c>
      <c r="E620" s="5">
        <f t="shared" si="28"/>
        <v>45854</v>
      </c>
      <c r="F620" s="7">
        <f t="shared" si="29"/>
        <v>5</v>
      </c>
      <c r="G620" t="s">
        <v>649</v>
      </c>
      <c r="H620" t="s">
        <v>658</v>
      </c>
      <c r="I620" t="s">
        <v>683</v>
      </c>
      <c r="J620" t="s">
        <v>706</v>
      </c>
      <c r="K620" t="s">
        <v>708</v>
      </c>
      <c r="L620" t="s">
        <v>723</v>
      </c>
      <c r="M620" t="s">
        <v>728</v>
      </c>
      <c r="N620" t="s">
        <v>1350</v>
      </c>
      <c r="O620">
        <v>930.03</v>
      </c>
      <c r="P620">
        <v>1086.68</v>
      </c>
      <c r="Q620">
        <v>0.109</v>
      </c>
      <c r="R620">
        <v>26</v>
      </c>
    </row>
    <row r="621" spans="1:18" x14ac:dyDescent="0.45">
      <c r="A621" t="s">
        <v>633</v>
      </c>
      <c r="B621" s="5">
        <v>45578</v>
      </c>
      <c r="C621" s="5">
        <v>45589</v>
      </c>
      <c r="D621" s="5">
        <f t="shared" si="27"/>
        <v>45578</v>
      </c>
      <c r="E621" s="5">
        <f t="shared" si="28"/>
        <v>45589</v>
      </c>
      <c r="F621" s="7">
        <f t="shared" si="29"/>
        <v>11</v>
      </c>
      <c r="G621" t="s">
        <v>649</v>
      </c>
      <c r="H621" t="s">
        <v>657</v>
      </c>
      <c r="I621" t="s">
        <v>690</v>
      </c>
      <c r="J621" t="s">
        <v>702</v>
      </c>
      <c r="K621" t="s">
        <v>710</v>
      </c>
      <c r="L621" t="s">
        <v>721</v>
      </c>
      <c r="M621" t="s">
        <v>727</v>
      </c>
      <c r="N621" t="s">
        <v>1351</v>
      </c>
      <c r="O621">
        <v>816.7</v>
      </c>
      <c r="P621">
        <v>1010.75</v>
      </c>
      <c r="Q621">
        <v>4.7E-2</v>
      </c>
      <c r="R621">
        <v>43</v>
      </c>
    </row>
    <row r="622" spans="1:18" x14ac:dyDescent="0.45">
      <c r="A622" t="s">
        <v>634</v>
      </c>
      <c r="B622" s="5">
        <v>45177</v>
      </c>
      <c r="C622" s="5">
        <v>45183</v>
      </c>
      <c r="D622" s="5">
        <f t="shared" si="27"/>
        <v>45177</v>
      </c>
      <c r="E622" s="5">
        <f t="shared" si="28"/>
        <v>45183</v>
      </c>
      <c r="F622" s="7">
        <f t="shared" si="29"/>
        <v>6</v>
      </c>
      <c r="G622" t="s">
        <v>646</v>
      </c>
      <c r="H622" t="s">
        <v>650</v>
      </c>
      <c r="I622" t="s">
        <v>678</v>
      </c>
      <c r="J622" t="s">
        <v>702</v>
      </c>
      <c r="K622" t="s">
        <v>711</v>
      </c>
      <c r="L622" t="s">
        <v>714</v>
      </c>
      <c r="M622" t="s">
        <v>733</v>
      </c>
      <c r="N622" t="s">
        <v>1352</v>
      </c>
      <c r="O622">
        <v>251.03</v>
      </c>
      <c r="P622">
        <v>411.48</v>
      </c>
      <c r="Q622">
        <v>0.16500000000000001</v>
      </c>
      <c r="R622">
        <v>3</v>
      </c>
    </row>
    <row r="623" spans="1:18" x14ac:dyDescent="0.45">
      <c r="A623" t="s">
        <v>635</v>
      </c>
      <c r="B623" s="5">
        <v>45764</v>
      </c>
      <c r="C623" s="5">
        <v>45780</v>
      </c>
      <c r="D623" s="5">
        <f t="shared" si="27"/>
        <v>45764</v>
      </c>
      <c r="E623" s="5">
        <f t="shared" si="28"/>
        <v>45780</v>
      </c>
      <c r="F623" s="7">
        <f t="shared" si="29"/>
        <v>16</v>
      </c>
      <c r="G623" t="s">
        <v>648</v>
      </c>
      <c r="H623" t="s">
        <v>655</v>
      </c>
      <c r="I623" t="s">
        <v>692</v>
      </c>
      <c r="J623" t="s">
        <v>704</v>
      </c>
      <c r="K623" t="s">
        <v>709</v>
      </c>
      <c r="L623" t="s">
        <v>713</v>
      </c>
      <c r="M623" t="s">
        <v>729</v>
      </c>
      <c r="N623" t="s">
        <v>1353</v>
      </c>
      <c r="O623">
        <v>168.68</v>
      </c>
      <c r="P623">
        <v>413.34</v>
      </c>
      <c r="Q623">
        <v>0.186</v>
      </c>
      <c r="R623">
        <v>7</v>
      </c>
    </row>
    <row r="624" spans="1:18" x14ac:dyDescent="0.45">
      <c r="A624" t="s">
        <v>636</v>
      </c>
      <c r="B624" s="5">
        <v>45501</v>
      </c>
      <c r="C624" s="5">
        <v>45527</v>
      </c>
      <c r="D624" s="5">
        <f t="shared" si="27"/>
        <v>45501</v>
      </c>
      <c r="E624" s="5">
        <f t="shared" si="28"/>
        <v>45527</v>
      </c>
      <c r="F624" s="7">
        <f t="shared" si="29"/>
        <v>26</v>
      </c>
      <c r="G624" t="s">
        <v>647</v>
      </c>
      <c r="H624" t="s">
        <v>654</v>
      </c>
      <c r="I624" t="s">
        <v>696</v>
      </c>
      <c r="J624" t="s">
        <v>701</v>
      </c>
      <c r="K624" t="s">
        <v>707</v>
      </c>
      <c r="L624" t="s">
        <v>713</v>
      </c>
      <c r="M624" t="s">
        <v>729</v>
      </c>
      <c r="N624" t="s">
        <v>1354</v>
      </c>
      <c r="O624">
        <v>1339.24</v>
      </c>
      <c r="P624">
        <v>1558.89</v>
      </c>
      <c r="Q624">
        <v>0.192</v>
      </c>
      <c r="R624">
        <v>24</v>
      </c>
    </row>
    <row r="625" spans="1:18" x14ac:dyDescent="0.45">
      <c r="A625" t="s">
        <v>637</v>
      </c>
      <c r="B625" s="5">
        <v>45857</v>
      </c>
      <c r="C625" s="5">
        <v>45869</v>
      </c>
      <c r="D625" s="5">
        <f t="shared" si="27"/>
        <v>45857</v>
      </c>
      <c r="E625" s="5">
        <f t="shared" si="28"/>
        <v>45869</v>
      </c>
      <c r="F625" s="7">
        <f t="shared" si="29"/>
        <v>12</v>
      </c>
      <c r="G625" t="s">
        <v>646</v>
      </c>
      <c r="H625" t="s">
        <v>650</v>
      </c>
      <c r="I625" t="s">
        <v>664</v>
      </c>
      <c r="J625" t="s">
        <v>705</v>
      </c>
      <c r="K625" t="s">
        <v>709</v>
      </c>
      <c r="L625" t="s">
        <v>719</v>
      </c>
      <c r="M625" t="s">
        <v>733</v>
      </c>
      <c r="N625" t="s">
        <v>1355</v>
      </c>
      <c r="O625">
        <v>619.64</v>
      </c>
      <c r="P625">
        <v>861.16</v>
      </c>
      <c r="Q625">
        <v>0.113</v>
      </c>
      <c r="R625">
        <v>14</v>
      </c>
    </row>
    <row r="626" spans="1:18" x14ac:dyDescent="0.45">
      <c r="A626" t="s">
        <v>638</v>
      </c>
      <c r="B626" s="5">
        <v>45141</v>
      </c>
      <c r="C626" s="5">
        <v>45140</v>
      </c>
      <c r="D626" s="5">
        <f t="shared" si="27"/>
        <v>45140</v>
      </c>
      <c r="E626" s="5">
        <f t="shared" si="28"/>
        <v>45141</v>
      </c>
      <c r="F626" s="7">
        <f t="shared" si="29"/>
        <v>1</v>
      </c>
      <c r="G626" t="s">
        <v>647</v>
      </c>
      <c r="H626" t="s">
        <v>659</v>
      </c>
      <c r="I626" t="s">
        <v>685</v>
      </c>
      <c r="J626" t="s">
        <v>703</v>
      </c>
      <c r="K626" t="s">
        <v>711</v>
      </c>
      <c r="L626" t="s">
        <v>713</v>
      </c>
      <c r="M626" t="s">
        <v>729</v>
      </c>
      <c r="N626" t="s">
        <v>1356</v>
      </c>
      <c r="O626">
        <v>1021.97</v>
      </c>
      <c r="P626">
        <v>2296.25</v>
      </c>
      <c r="Q626">
        <v>0.161</v>
      </c>
      <c r="R626">
        <v>26</v>
      </c>
    </row>
    <row r="627" spans="1:18" x14ac:dyDescent="0.45">
      <c r="A627" t="s">
        <v>639</v>
      </c>
      <c r="B627" s="5">
        <v>45249</v>
      </c>
      <c r="C627" s="5">
        <v>45272</v>
      </c>
      <c r="D627" s="5">
        <f t="shared" si="27"/>
        <v>45249</v>
      </c>
      <c r="E627" s="5">
        <f t="shared" si="28"/>
        <v>45272</v>
      </c>
      <c r="F627" s="7">
        <f t="shared" si="29"/>
        <v>23</v>
      </c>
      <c r="G627" t="s">
        <v>647</v>
      </c>
      <c r="H627" t="s">
        <v>654</v>
      </c>
      <c r="I627" t="s">
        <v>680</v>
      </c>
      <c r="J627" t="s">
        <v>705</v>
      </c>
      <c r="K627" t="s">
        <v>711</v>
      </c>
      <c r="L627" t="s">
        <v>712</v>
      </c>
      <c r="M627" t="s">
        <v>729</v>
      </c>
      <c r="N627" t="s">
        <v>1357</v>
      </c>
      <c r="O627">
        <v>1349.04</v>
      </c>
      <c r="P627">
        <v>2636.6</v>
      </c>
      <c r="Q627">
        <v>0.114</v>
      </c>
      <c r="R627">
        <v>14</v>
      </c>
    </row>
    <row r="628" spans="1:18" x14ac:dyDescent="0.45">
      <c r="A628" t="s">
        <v>640</v>
      </c>
      <c r="B628" s="5">
        <v>45282</v>
      </c>
      <c r="C628" s="5">
        <v>45307</v>
      </c>
      <c r="D628" s="5">
        <f t="shared" si="27"/>
        <v>45282</v>
      </c>
      <c r="E628" s="5">
        <f t="shared" si="28"/>
        <v>45307</v>
      </c>
      <c r="F628" s="7">
        <f t="shared" si="29"/>
        <v>25</v>
      </c>
      <c r="G628" t="s">
        <v>647</v>
      </c>
      <c r="H628" t="s">
        <v>654</v>
      </c>
      <c r="I628" t="s">
        <v>696</v>
      </c>
      <c r="J628" t="s">
        <v>705</v>
      </c>
      <c r="K628" t="s">
        <v>707</v>
      </c>
      <c r="L628" t="s">
        <v>720</v>
      </c>
      <c r="M628" t="s">
        <v>727</v>
      </c>
      <c r="N628" t="s">
        <v>1358</v>
      </c>
      <c r="O628">
        <v>1346.81</v>
      </c>
      <c r="P628">
        <v>978.09</v>
      </c>
      <c r="Q628">
        <v>0.159</v>
      </c>
      <c r="R628">
        <v>17</v>
      </c>
    </row>
    <row r="629" spans="1:18" x14ac:dyDescent="0.45">
      <c r="A629" t="s">
        <v>641</v>
      </c>
      <c r="B629" s="5">
        <v>45141</v>
      </c>
      <c r="C629" s="5">
        <v>45168</v>
      </c>
      <c r="D629" s="5">
        <f t="shared" si="27"/>
        <v>45141</v>
      </c>
      <c r="E629" s="5">
        <f t="shared" si="28"/>
        <v>45168</v>
      </c>
      <c r="F629" s="7">
        <f t="shared" si="29"/>
        <v>27</v>
      </c>
      <c r="G629" t="s">
        <v>647</v>
      </c>
      <c r="H629" t="s">
        <v>659</v>
      </c>
      <c r="I629" t="s">
        <v>685</v>
      </c>
      <c r="J629" t="s">
        <v>704</v>
      </c>
      <c r="K629" t="s">
        <v>710</v>
      </c>
      <c r="L629" t="s">
        <v>725</v>
      </c>
      <c r="M629" t="s">
        <v>732</v>
      </c>
      <c r="N629" t="s">
        <v>1359</v>
      </c>
      <c r="O629">
        <v>226.04</v>
      </c>
      <c r="P629">
        <v>545.72</v>
      </c>
      <c r="Q629">
        <v>0.151</v>
      </c>
      <c r="R629">
        <v>11</v>
      </c>
    </row>
    <row r="630" spans="1:18" x14ac:dyDescent="0.45">
      <c r="A630" t="s">
        <v>642</v>
      </c>
      <c r="B630" s="5">
        <v>45100</v>
      </c>
      <c r="C630" s="5">
        <v>45125</v>
      </c>
      <c r="D630" s="5">
        <f t="shared" si="27"/>
        <v>45100</v>
      </c>
      <c r="E630" s="5">
        <f t="shared" si="28"/>
        <v>45125</v>
      </c>
      <c r="F630" s="7">
        <f t="shared" si="29"/>
        <v>25</v>
      </c>
      <c r="G630" t="s">
        <v>648</v>
      </c>
      <c r="H630" t="s">
        <v>653</v>
      </c>
      <c r="I630" t="s">
        <v>688</v>
      </c>
      <c r="J630" t="s">
        <v>706</v>
      </c>
      <c r="K630" t="s">
        <v>708</v>
      </c>
      <c r="L630" t="s">
        <v>725</v>
      </c>
      <c r="M630" t="s">
        <v>730</v>
      </c>
      <c r="N630" t="s">
        <v>1360</v>
      </c>
      <c r="O630">
        <v>807.02</v>
      </c>
      <c r="P630">
        <v>1435.54</v>
      </c>
      <c r="Q630">
        <v>0</v>
      </c>
      <c r="R630">
        <v>23</v>
      </c>
    </row>
    <row r="631" spans="1:18" x14ac:dyDescent="0.45">
      <c r="A631" t="s">
        <v>643</v>
      </c>
      <c r="B631" s="5">
        <v>45267</v>
      </c>
      <c r="C631" s="5">
        <v>45293</v>
      </c>
      <c r="D631" s="5">
        <f t="shared" si="27"/>
        <v>45267</v>
      </c>
      <c r="E631" s="5">
        <f t="shared" si="28"/>
        <v>45293</v>
      </c>
      <c r="F631" s="7">
        <f t="shared" si="29"/>
        <v>26</v>
      </c>
      <c r="G631" t="s">
        <v>649</v>
      </c>
      <c r="H631" t="s">
        <v>656</v>
      </c>
      <c r="I631" t="s">
        <v>698</v>
      </c>
      <c r="J631" t="s">
        <v>706</v>
      </c>
      <c r="K631" t="s">
        <v>710</v>
      </c>
      <c r="L631" t="s">
        <v>718</v>
      </c>
      <c r="M631" t="s">
        <v>727</v>
      </c>
      <c r="N631" t="s">
        <v>1361</v>
      </c>
      <c r="O631">
        <v>1071.99</v>
      </c>
      <c r="P631">
        <v>2397.3000000000002</v>
      </c>
      <c r="Q631">
        <v>6.2E-2</v>
      </c>
      <c r="R631">
        <v>18</v>
      </c>
    </row>
    <row r="632" spans="1:18" x14ac:dyDescent="0.45">
      <c r="A632" t="s">
        <v>644</v>
      </c>
      <c r="B632" s="5">
        <v>45249</v>
      </c>
      <c r="C632" s="5">
        <v>45279</v>
      </c>
      <c r="D632" s="5">
        <f t="shared" si="27"/>
        <v>45249</v>
      </c>
      <c r="E632" s="5">
        <f t="shared" si="28"/>
        <v>45279</v>
      </c>
      <c r="F632" s="7">
        <f t="shared" si="29"/>
        <v>30</v>
      </c>
      <c r="G632" t="s">
        <v>647</v>
      </c>
      <c r="H632" t="s">
        <v>652</v>
      </c>
      <c r="I632" t="s">
        <v>694</v>
      </c>
      <c r="J632" t="s">
        <v>704</v>
      </c>
      <c r="K632" t="s">
        <v>707</v>
      </c>
      <c r="M632" t="s">
        <v>730</v>
      </c>
      <c r="N632" t="s">
        <v>1362</v>
      </c>
      <c r="O632">
        <v>807.11</v>
      </c>
      <c r="P632">
        <v>1853.86</v>
      </c>
      <c r="Q632">
        <v>0.13900000000000001</v>
      </c>
      <c r="R632">
        <v>8</v>
      </c>
    </row>
    <row r="633" spans="1:18" x14ac:dyDescent="0.45">
      <c r="A633" t="s">
        <v>645</v>
      </c>
      <c r="B633" s="5">
        <v>45716</v>
      </c>
      <c r="C633" s="5">
        <v>45726</v>
      </c>
      <c r="D633" s="5">
        <f t="shared" si="27"/>
        <v>45716</v>
      </c>
      <c r="E633" s="5">
        <f t="shared" si="28"/>
        <v>45726</v>
      </c>
      <c r="F633" s="7">
        <f t="shared" si="29"/>
        <v>10</v>
      </c>
      <c r="G633" t="s">
        <v>647</v>
      </c>
      <c r="H633" t="s">
        <v>652</v>
      </c>
      <c r="I633" t="s">
        <v>666</v>
      </c>
      <c r="J633" t="s">
        <v>702</v>
      </c>
      <c r="K633" t="s">
        <v>710</v>
      </c>
      <c r="L633" t="s">
        <v>725</v>
      </c>
      <c r="M633" t="s">
        <v>731</v>
      </c>
      <c r="N633" t="s">
        <v>1363</v>
      </c>
      <c r="O633">
        <v>51.86</v>
      </c>
      <c r="P633">
        <v>45.98</v>
      </c>
      <c r="Q633">
        <v>0.17299999999999999</v>
      </c>
      <c r="R633">
        <v>7</v>
      </c>
    </row>
  </sheetData>
  <autoFilter ref="A1:R63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E6"/>
  <sheetViews>
    <sheetView topLeftCell="B2" workbookViewId="0">
      <selection activeCell="D5" sqref="D5"/>
    </sheetView>
  </sheetViews>
  <sheetFormatPr defaultRowHeight="14.25" x14ac:dyDescent="0.45"/>
  <cols>
    <col min="1" max="1" width="18.73046875" customWidth="1"/>
    <col min="2" max="2" width="14.73046875" customWidth="1"/>
    <col min="3" max="3" width="11.73046875" bestFit="1" customWidth="1"/>
    <col min="4" max="4" width="10.73046875" customWidth="1"/>
    <col min="5" max="6" width="9.73046875" customWidth="1"/>
    <col min="7" max="7" width="10.73046875" customWidth="1"/>
    <col min="8" max="9" width="11.73046875" customWidth="1"/>
    <col min="10" max="10" width="10.73046875" customWidth="1"/>
    <col min="11" max="13" width="11.73046875" customWidth="1"/>
    <col min="14" max="14" width="9.73046875" customWidth="1"/>
    <col min="15" max="17" width="11.73046875" customWidth="1"/>
    <col min="18" max="18" width="9.73046875" customWidth="1"/>
    <col min="19" max="20" width="10.73046875" customWidth="1"/>
    <col min="21" max="21" width="11.73046875" customWidth="1"/>
    <col min="22" max="22" width="10.73046875" customWidth="1"/>
    <col min="23" max="23" width="8.73046875" customWidth="1"/>
    <col min="24" max="27" width="11.73046875" customWidth="1"/>
    <col min="28" max="28" width="10.73046875" customWidth="1"/>
    <col min="29" max="36" width="11.73046875" customWidth="1"/>
    <col min="37" max="37" width="12.19921875" customWidth="1"/>
    <col min="38" max="40" width="11.73046875" customWidth="1"/>
    <col min="41" max="41" width="12.19921875" customWidth="1"/>
    <col min="42" max="44" width="11.73046875" customWidth="1"/>
    <col min="45" max="45" width="12.19921875" customWidth="1"/>
    <col min="46" max="68" width="11.73046875" customWidth="1"/>
    <col min="69" max="69" width="14.9296875" customWidth="1"/>
    <col min="70" max="70" width="12.1328125" customWidth="1"/>
    <col min="71" max="71" width="14.9296875" customWidth="1"/>
    <col min="72" max="72" width="12.1328125" customWidth="1"/>
    <col min="73" max="73" width="14.9296875" customWidth="1"/>
    <col min="74" max="74" width="12.1328125" customWidth="1"/>
    <col min="75" max="75" width="14.9296875" customWidth="1"/>
    <col min="76" max="76" width="12.1328125" customWidth="1"/>
    <col min="77" max="77" width="14.9296875" customWidth="1"/>
    <col min="78" max="78" width="12.1328125" customWidth="1"/>
    <col min="79" max="79" width="14.9296875" customWidth="1"/>
    <col min="80" max="80" width="12.1328125" customWidth="1"/>
    <col min="81" max="81" width="14.9296875" customWidth="1"/>
    <col min="82" max="82" width="12.1328125" customWidth="1"/>
    <col min="83" max="83" width="14.9296875" customWidth="1"/>
    <col min="84" max="84" width="12.1328125" customWidth="1"/>
    <col min="85" max="85" width="14.9296875" customWidth="1"/>
    <col min="86" max="86" width="12.1328125" customWidth="1"/>
    <col min="87" max="87" width="14.9296875" customWidth="1"/>
    <col min="88" max="88" width="12.1328125" customWidth="1"/>
    <col min="89" max="89" width="14.9296875" customWidth="1"/>
    <col min="90" max="90" width="12.1328125" customWidth="1"/>
    <col min="91" max="91" width="14.9296875" customWidth="1"/>
    <col min="92" max="92" width="12.1328125" customWidth="1"/>
    <col min="93" max="93" width="14.9296875" customWidth="1"/>
    <col min="94" max="94" width="12.1328125" customWidth="1"/>
    <col min="95" max="95" width="14.9296875" customWidth="1"/>
    <col min="96" max="96" width="12.1328125" customWidth="1"/>
    <col min="97" max="97" width="14.9296875" customWidth="1"/>
    <col min="98" max="98" width="12.1328125" customWidth="1"/>
    <col min="99" max="99" width="14.9296875" customWidth="1"/>
    <col min="100" max="100" width="12.1328125" customWidth="1"/>
    <col min="101" max="101" width="14.9296875" customWidth="1"/>
    <col min="102" max="102" width="12.1328125" customWidth="1"/>
    <col min="103" max="103" width="14.9296875" customWidth="1"/>
    <col min="104" max="104" width="12.1328125" customWidth="1"/>
    <col min="105" max="105" width="14.9296875" customWidth="1"/>
    <col min="106" max="106" width="12.1328125" customWidth="1"/>
    <col min="107" max="107" width="14.9296875" customWidth="1"/>
    <col min="108" max="108" width="12.1328125" customWidth="1"/>
    <col min="109" max="109" width="14.9296875" customWidth="1"/>
    <col min="110" max="110" width="12.1328125" customWidth="1"/>
    <col min="111" max="111" width="14.9296875" customWidth="1"/>
    <col min="112" max="112" width="12.1328125" customWidth="1"/>
    <col min="113" max="113" width="14.9296875" customWidth="1"/>
    <col min="114" max="114" width="12.1328125" customWidth="1"/>
    <col min="115" max="115" width="14.9296875" customWidth="1"/>
    <col min="116" max="116" width="12.1328125" customWidth="1"/>
    <col min="117" max="117" width="14.9296875" customWidth="1"/>
    <col min="118" max="118" width="12.1328125" customWidth="1"/>
    <col min="119" max="119" width="14.9296875" customWidth="1"/>
    <col min="120" max="120" width="12.1328125" customWidth="1"/>
    <col min="121" max="121" width="14.9296875" customWidth="1"/>
    <col min="122" max="122" width="12.1328125" customWidth="1"/>
    <col min="123" max="123" width="14.9296875" customWidth="1"/>
    <col min="124" max="124" width="12.1328125" customWidth="1"/>
    <col min="125" max="125" width="14.9296875" customWidth="1"/>
    <col min="126" max="126" width="12.1328125" customWidth="1"/>
    <col min="127" max="127" width="14.9296875" customWidth="1"/>
    <col min="128" max="128" width="12.1328125" customWidth="1"/>
    <col min="129" max="129" width="14.9296875" customWidth="1"/>
    <col min="130" max="130" width="12.1328125" customWidth="1"/>
    <col min="131" max="131" width="14.9296875" customWidth="1"/>
    <col min="132" max="132" width="12.1328125" customWidth="1"/>
    <col min="133" max="133" width="14.9296875" customWidth="1"/>
    <col min="134" max="134" width="12.1328125" customWidth="1"/>
    <col min="135" max="135" width="14.9296875" customWidth="1"/>
    <col min="136" max="136" width="12.1328125" customWidth="1"/>
    <col min="137" max="137" width="14.9296875" customWidth="1"/>
    <col min="138" max="138" width="12.1328125" customWidth="1"/>
    <col min="139" max="139" width="14.9296875" customWidth="1"/>
    <col min="140" max="140" width="12.1328125" customWidth="1"/>
    <col min="141" max="141" width="14.9296875" customWidth="1"/>
    <col min="142" max="142" width="12.1328125" customWidth="1"/>
    <col min="143" max="143" width="14.9296875" customWidth="1"/>
    <col min="144" max="144" width="12.1328125" customWidth="1"/>
    <col min="145" max="145" width="14.9296875" customWidth="1"/>
    <col min="146" max="146" width="12.1328125" customWidth="1"/>
    <col min="147" max="147" width="14.9296875" customWidth="1"/>
    <col min="148" max="148" width="12.1328125" customWidth="1"/>
    <col min="149" max="149" width="14.9296875" customWidth="1"/>
    <col min="150" max="150" width="12.1328125" customWidth="1"/>
    <col min="151" max="151" width="14.9296875" customWidth="1"/>
    <col min="152" max="152" width="12.1328125" customWidth="1"/>
    <col min="153" max="153" width="14.9296875" customWidth="1"/>
    <col min="154" max="154" width="12.1328125" customWidth="1"/>
    <col min="155" max="155" width="14.9296875" customWidth="1"/>
    <col min="156" max="156" width="12.1328125" customWidth="1"/>
    <col min="157" max="157" width="14.9296875" customWidth="1"/>
    <col min="158" max="158" width="12.1328125" customWidth="1"/>
    <col min="159" max="159" width="14.9296875" customWidth="1"/>
    <col min="160" max="160" width="12.1328125" customWidth="1"/>
    <col min="161" max="161" width="14.9296875" customWidth="1"/>
    <col min="162" max="162" width="12.1328125" customWidth="1"/>
    <col min="163" max="163" width="14.9296875" customWidth="1"/>
    <col min="164" max="164" width="12.1328125" customWidth="1"/>
    <col min="165" max="165" width="14.9296875" customWidth="1"/>
    <col min="166" max="166" width="12.1328125" customWidth="1"/>
    <col min="167" max="167" width="14.9296875" customWidth="1"/>
    <col min="168" max="168" width="12.1328125" customWidth="1"/>
    <col min="169" max="169" width="14.9296875" customWidth="1"/>
    <col min="170" max="170" width="12.1328125" customWidth="1"/>
    <col min="171" max="171" width="14.9296875" customWidth="1"/>
    <col min="172" max="172" width="12.1328125" customWidth="1"/>
    <col min="173" max="173" width="14.9296875" customWidth="1"/>
    <col min="174" max="174" width="12.1328125" customWidth="1"/>
    <col min="175" max="175" width="14.9296875" customWidth="1"/>
    <col min="176" max="176" width="12.1328125" customWidth="1"/>
    <col min="177" max="177" width="14.9296875" customWidth="1"/>
    <col min="178" max="178" width="12.1328125" customWidth="1"/>
    <col min="179" max="179" width="14.9296875" customWidth="1"/>
    <col min="180" max="180" width="12.1328125" customWidth="1"/>
    <col min="181" max="181" width="14.9296875" customWidth="1"/>
    <col min="182" max="182" width="12.1328125" customWidth="1"/>
    <col min="183" max="183" width="14.9296875" customWidth="1"/>
    <col min="184" max="184" width="12.1328125" customWidth="1"/>
    <col min="185" max="185" width="14.9296875" customWidth="1"/>
    <col min="186" max="186" width="12.1328125" customWidth="1"/>
    <col min="187" max="187" width="14.9296875" customWidth="1"/>
    <col min="188" max="188" width="12.1328125" customWidth="1"/>
    <col min="189" max="189" width="14.9296875" customWidth="1"/>
    <col min="190" max="190" width="12.1328125" customWidth="1"/>
    <col min="191" max="191" width="14.9296875" customWidth="1"/>
    <col min="192" max="192" width="12.1328125" customWidth="1"/>
    <col min="193" max="193" width="14.9296875" customWidth="1"/>
    <col min="194" max="194" width="12.1328125" customWidth="1"/>
    <col min="195" max="195" width="14.9296875" customWidth="1"/>
    <col min="196" max="196" width="12.1328125" customWidth="1"/>
    <col min="197" max="197" width="14.9296875" customWidth="1"/>
    <col min="198" max="198" width="12.1328125" customWidth="1"/>
    <col min="199" max="199" width="14.9296875" customWidth="1"/>
    <col min="200" max="200" width="12.1328125" customWidth="1"/>
    <col min="201" max="201" width="14.9296875" customWidth="1"/>
    <col min="202" max="202" width="12.1328125" customWidth="1"/>
    <col min="203" max="203" width="14.9296875" customWidth="1"/>
    <col min="204" max="204" width="12.1328125" customWidth="1"/>
    <col min="205" max="205" width="14.9296875" customWidth="1"/>
    <col min="206" max="206" width="12.1328125" customWidth="1"/>
    <col min="207" max="207" width="14.9296875" customWidth="1"/>
    <col min="208" max="208" width="12.1328125" customWidth="1"/>
    <col min="209" max="209" width="14.9296875" customWidth="1"/>
    <col min="210" max="210" width="12.1328125" customWidth="1"/>
    <col min="211" max="211" width="14.9296875" customWidth="1"/>
    <col min="212" max="212" width="12.1328125" customWidth="1"/>
    <col min="213" max="213" width="14.9296875" customWidth="1"/>
    <col min="214" max="214" width="12.1328125" customWidth="1"/>
    <col min="215" max="215" width="14.9296875" customWidth="1"/>
    <col min="216" max="216" width="12.1328125" customWidth="1"/>
    <col min="217" max="217" width="14.9296875" customWidth="1"/>
    <col min="218" max="218" width="12.1328125" customWidth="1"/>
    <col min="219" max="219" width="14.9296875" customWidth="1"/>
    <col min="220" max="220" width="12.1328125" customWidth="1"/>
    <col min="221" max="221" width="14.9296875" customWidth="1"/>
    <col min="222" max="222" width="12.1328125" customWidth="1"/>
    <col min="223" max="223" width="14.9296875" customWidth="1"/>
    <col min="224" max="224" width="12.1328125" customWidth="1"/>
    <col min="225" max="225" width="14.9296875" customWidth="1"/>
    <col min="226" max="226" width="12.1328125" customWidth="1"/>
    <col min="227" max="227" width="14.9296875" customWidth="1"/>
    <col min="228" max="228" width="12.1328125" customWidth="1"/>
    <col min="229" max="229" width="14.9296875" customWidth="1"/>
    <col min="230" max="230" width="12.1328125" customWidth="1"/>
    <col min="231" max="231" width="14.9296875" customWidth="1"/>
    <col min="232" max="232" width="12.1328125" customWidth="1"/>
    <col min="233" max="233" width="14.9296875" customWidth="1"/>
    <col min="234" max="234" width="12.1328125" customWidth="1"/>
    <col min="235" max="235" width="14.9296875" customWidth="1"/>
    <col min="236" max="236" width="12.1328125" customWidth="1"/>
    <col min="237" max="237" width="14.9296875" customWidth="1"/>
    <col min="238" max="238" width="12.1328125" customWidth="1"/>
    <col min="239" max="239" width="14.9296875" customWidth="1"/>
    <col min="240" max="240" width="12.1328125" customWidth="1"/>
    <col min="241" max="241" width="14.9296875" customWidth="1"/>
    <col min="242" max="242" width="12.1328125" customWidth="1"/>
    <col min="243" max="243" width="14.9296875" customWidth="1"/>
    <col min="244" max="244" width="12.1328125" customWidth="1"/>
    <col min="245" max="245" width="14.9296875" customWidth="1"/>
    <col min="246" max="246" width="12.1328125" customWidth="1"/>
    <col min="247" max="247" width="14.9296875" customWidth="1"/>
    <col min="248" max="248" width="12.1328125" customWidth="1"/>
    <col min="249" max="249" width="14.9296875" customWidth="1"/>
    <col min="250" max="250" width="12.1328125" customWidth="1"/>
    <col min="251" max="251" width="14.9296875" customWidth="1"/>
    <col min="252" max="252" width="12.1328125" customWidth="1"/>
    <col min="253" max="253" width="14.9296875" customWidth="1"/>
    <col min="254" max="254" width="12.1328125" customWidth="1"/>
    <col min="255" max="255" width="14.9296875" customWidth="1"/>
    <col min="256" max="256" width="12.1328125" customWidth="1"/>
    <col min="257" max="257" width="14.9296875" customWidth="1"/>
    <col min="258" max="258" width="12.1328125" customWidth="1"/>
    <col min="259" max="259" width="14.9296875" customWidth="1"/>
    <col min="260" max="260" width="12.1328125" customWidth="1"/>
    <col min="261" max="261" width="14.9296875" customWidth="1"/>
    <col min="262" max="262" width="12.1328125" customWidth="1"/>
    <col min="263" max="263" width="14.9296875" customWidth="1"/>
    <col min="264" max="264" width="12.1328125" customWidth="1"/>
    <col min="265" max="265" width="14.9296875" customWidth="1"/>
    <col min="266" max="266" width="12.1328125" customWidth="1"/>
    <col min="267" max="267" width="14.9296875" customWidth="1"/>
    <col min="268" max="268" width="12.1328125" customWidth="1"/>
    <col min="269" max="269" width="14.9296875" customWidth="1"/>
    <col min="270" max="270" width="12.1328125" customWidth="1"/>
    <col min="271" max="271" width="14.9296875" customWidth="1"/>
    <col min="272" max="272" width="12.1328125" customWidth="1"/>
    <col min="273" max="273" width="14.9296875" customWidth="1"/>
    <col min="274" max="274" width="12.1328125" customWidth="1"/>
    <col min="275" max="275" width="14.9296875" customWidth="1"/>
    <col min="276" max="276" width="12.1328125" customWidth="1"/>
    <col min="277" max="277" width="14.9296875" customWidth="1"/>
    <col min="278" max="278" width="12.1328125" customWidth="1"/>
    <col min="279" max="279" width="14.9296875" customWidth="1"/>
    <col min="280" max="280" width="12.1328125" customWidth="1"/>
    <col min="281" max="281" width="14.9296875" customWidth="1"/>
    <col min="282" max="282" width="12.1328125" customWidth="1"/>
    <col min="283" max="283" width="14.9296875" customWidth="1"/>
    <col min="284" max="284" width="12.1328125" customWidth="1"/>
    <col min="285" max="285" width="14.9296875" customWidth="1"/>
    <col min="286" max="286" width="12.1328125" customWidth="1"/>
    <col min="287" max="287" width="14.9296875" customWidth="1"/>
    <col min="288" max="288" width="12.1328125" customWidth="1"/>
    <col min="289" max="289" width="14.9296875" customWidth="1"/>
    <col min="290" max="290" width="12.1328125" customWidth="1"/>
    <col min="291" max="291" width="14.9296875" customWidth="1"/>
    <col min="292" max="292" width="12.1328125" customWidth="1"/>
    <col min="293" max="293" width="14.9296875" customWidth="1"/>
    <col min="294" max="294" width="12.1328125" customWidth="1"/>
    <col min="295" max="295" width="14.9296875" customWidth="1"/>
    <col min="296" max="296" width="12.1328125" customWidth="1"/>
    <col min="297" max="297" width="14.9296875" customWidth="1"/>
    <col min="298" max="298" width="12.1328125" customWidth="1"/>
    <col min="299" max="299" width="14.9296875" customWidth="1"/>
    <col min="300" max="300" width="12.1328125" customWidth="1"/>
    <col min="301" max="301" width="14.9296875" customWidth="1"/>
    <col min="302" max="302" width="12.1328125" customWidth="1"/>
    <col min="303" max="303" width="14.9296875" customWidth="1"/>
    <col min="304" max="304" width="12.1328125" customWidth="1"/>
    <col min="305" max="305" width="14.9296875" customWidth="1"/>
    <col min="306" max="306" width="12.1328125" customWidth="1"/>
    <col min="307" max="307" width="14.9296875" customWidth="1"/>
    <col min="308" max="308" width="12.1328125" customWidth="1"/>
    <col min="309" max="309" width="14.9296875" customWidth="1"/>
    <col min="310" max="310" width="12.1328125" customWidth="1"/>
    <col min="311" max="311" width="14.9296875" customWidth="1"/>
    <col min="312" max="312" width="12.1328125" customWidth="1"/>
    <col min="313" max="313" width="14.9296875" customWidth="1"/>
    <col min="314" max="314" width="12.1328125" customWidth="1"/>
    <col min="315" max="315" width="14.9296875" customWidth="1"/>
    <col min="316" max="316" width="12.1328125" customWidth="1"/>
    <col min="317" max="317" width="14.9296875" customWidth="1"/>
    <col min="318" max="318" width="12.1328125" customWidth="1"/>
    <col min="319" max="319" width="14.9296875" customWidth="1"/>
    <col min="320" max="320" width="12.1328125" customWidth="1"/>
    <col min="321" max="321" width="14.9296875" customWidth="1"/>
    <col min="322" max="322" width="12.1328125" customWidth="1"/>
    <col min="323" max="323" width="14.9296875" customWidth="1"/>
    <col min="324" max="324" width="12.1328125" customWidth="1"/>
    <col min="325" max="325" width="14.9296875" customWidth="1"/>
    <col min="326" max="326" width="12.1328125" customWidth="1"/>
    <col min="327" max="327" width="14.9296875" customWidth="1"/>
    <col min="328" max="328" width="12.1328125" customWidth="1"/>
    <col min="329" max="329" width="14.9296875" customWidth="1"/>
    <col min="330" max="330" width="12.1328125" customWidth="1"/>
    <col min="331" max="331" width="14.9296875" customWidth="1"/>
    <col min="332" max="332" width="12.1328125" customWidth="1"/>
    <col min="333" max="333" width="14.9296875" customWidth="1"/>
    <col min="334" max="334" width="12.1328125" customWidth="1"/>
    <col min="335" max="335" width="14.9296875" customWidth="1"/>
    <col min="336" max="336" width="12.1328125" customWidth="1"/>
    <col min="337" max="337" width="14.9296875" customWidth="1"/>
    <col min="338" max="338" width="12.1328125" customWidth="1"/>
    <col min="339" max="339" width="14.9296875" customWidth="1"/>
    <col min="340" max="340" width="12.1328125" customWidth="1"/>
    <col min="341" max="341" width="14.9296875" customWidth="1"/>
    <col min="342" max="342" width="12.1328125" customWidth="1"/>
    <col min="343" max="343" width="14.9296875" customWidth="1"/>
    <col min="344" max="344" width="12.1328125" customWidth="1"/>
    <col min="345" max="345" width="14.9296875" customWidth="1"/>
    <col min="346" max="346" width="12.1328125" customWidth="1"/>
    <col min="347" max="347" width="14.9296875" customWidth="1"/>
    <col min="348" max="348" width="12.1328125" customWidth="1"/>
    <col min="349" max="349" width="14.9296875" customWidth="1"/>
    <col min="350" max="350" width="12.1328125" customWidth="1"/>
    <col min="351" max="351" width="14.9296875" customWidth="1"/>
    <col min="352" max="352" width="12.1328125" customWidth="1"/>
    <col min="353" max="353" width="14.9296875" customWidth="1"/>
    <col min="354" max="354" width="12.1328125" customWidth="1"/>
    <col min="355" max="355" width="14.9296875" customWidth="1"/>
    <col min="356" max="356" width="12.1328125" customWidth="1"/>
    <col min="357" max="357" width="14.9296875" customWidth="1"/>
    <col min="358" max="358" width="12.1328125" customWidth="1"/>
    <col min="359" max="359" width="14.9296875" customWidth="1"/>
    <col min="360" max="360" width="12.1328125" customWidth="1"/>
    <col min="361" max="361" width="14.9296875" customWidth="1"/>
    <col min="362" max="362" width="12.1328125" customWidth="1"/>
    <col min="363" max="363" width="14.9296875" customWidth="1"/>
    <col min="364" max="364" width="12.1328125" customWidth="1"/>
    <col min="365" max="365" width="14.9296875" customWidth="1"/>
    <col min="366" max="366" width="12.1328125" customWidth="1"/>
    <col min="367" max="367" width="14.9296875" customWidth="1"/>
    <col min="368" max="368" width="12.1328125" customWidth="1"/>
    <col min="369" max="369" width="14.9296875" customWidth="1"/>
    <col min="370" max="370" width="12.1328125" customWidth="1"/>
    <col min="371" max="371" width="14.9296875" customWidth="1"/>
    <col min="372" max="372" width="12.1328125" customWidth="1"/>
    <col min="373" max="373" width="14.9296875" customWidth="1"/>
    <col min="374" max="374" width="12.1328125" customWidth="1"/>
    <col min="375" max="375" width="14.9296875" customWidth="1"/>
    <col min="376" max="376" width="12.1328125" customWidth="1"/>
    <col min="377" max="377" width="14.9296875" customWidth="1"/>
    <col min="378" max="378" width="12.1328125" customWidth="1"/>
    <col min="379" max="379" width="14.9296875" customWidth="1"/>
    <col min="380" max="380" width="12.1328125" customWidth="1"/>
    <col min="381" max="381" width="14.9296875" customWidth="1"/>
    <col min="382" max="382" width="12.1328125" customWidth="1"/>
    <col min="383" max="383" width="14.9296875" customWidth="1"/>
    <col min="384" max="384" width="12.1328125" customWidth="1"/>
    <col min="385" max="385" width="14.9296875" customWidth="1"/>
    <col min="386" max="386" width="12.1328125" customWidth="1"/>
    <col min="387" max="387" width="14.9296875" customWidth="1"/>
    <col min="388" max="388" width="12.1328125" customWidth="1"/>
    <col min="389" max="389" width="14.9296875" customWidth="1"/>
    <col min="390" max="390" width="12.1328125" customWidth="1"/>
    <col min="391" max="391" width="14.9296875" customWidth="1"/>
    <col min="392" max="392" width="12.1328125" customWidth="1"/>
    <col min="393" max="393" width="14.9296875" customWidth="1"/>
    <col min="394" max="394" width="12.1328125" customWidth="1"/>
    <col min="395" max="395" width="14.9296875" customWidth="1"/>
    <col min="396" max="396" width="12.1328125" customWidth="1"/>
    <col min="397" max="397" width="14.9296875" customWidth="1"/>
    <col min="398" max="398" width="12.1328125" customWidth="1"/>
    <col min="399" max="399" width="14.9296875" customWidth="1"/>
    <col min="400" max="400" width="12.1328125" customWidth="1"/>
    <col min="401" max="401" width="14.9296875" customWidth="1"/>
    <col min="402" max="402" width="12.1328125" customWidth="1"/>
    <col min="403" max="403" width="14.9296875" customWidth="1"/>
    <col min="404" max="404" width="12.1328125" customWidth="1"/>
    <col min="405" max="405" width="14.9296875" customWidth="1"/>
    <col min="406" max="406" width="12.1328125" customWidth="1"/>
    <col min="407" max="407" width="14.9296875" customWidth="1"/>
    <col min="408" max="408" width="12.1328125" customWidth="1"/>
    <col min="409" max="409" width="14.9296875" customWidth="1"/>
    <col min="410" max="410" width="12.1328125" customWidth="1"/>
    <col min="411" max="411" width="14.9296875" customWidth="1"/>
    <col min="412" max="412" width="12.1328125" customWidth="1"/>
    <col min="413" max="413" width="14.9296875" customWidth="1"/>
    <col min="414" max="414" width="12.1328125" customWidth="1"/>
    <col min="415" max="415" width="14.9296875" customWidth="1"/>
    <col min="416" max="416" width="12.1328125" customWidth="1"/>
    <col min="417" max="417" width="14.9296875" customWidth="1"/>
    <col min="418" max="418" width="12.1328125" customWidth="1"/>
    <col min="419" max="419" width="14.9296875" customWidth="1"/>
    <col min="420" max="420" width="12.1328125" customWidth="1"/>
    <col min="421" max="421" width="14.9296875" customWidth="1"/>
    <col min="422" max="422" width="12.1328125" customWidth="1"/>
    <col min="423" max="423" width="14.9296875" customWidth="1"/>
    <col min="424" max="424" width="12.1328125" customWidth="1"/>
    <col min="425" max="425" width="14.9296875" customWidth="1"/>
    <col min="426" max="426" width="12.1328125" customWidth="1"/>
    <col min="427" max="427" width="14.9296875" customWidth="1"/>
    <col min="428" max="428" width="12.1328125" customWidth="1"/>
    <col min="429" max="429" width="14.9296875" customWidth="1"/>
    <col min="430" max="430" width="12.1328125" customWidth="1"/>
    <col min="431" max="431" width="14.9296875" customWidth="1"/>
    <col min="432" max="432" width="12.1328125" customWidth="1"/>
    <col min="433" max="433" width="14.9296875" customWidth="1"/>
    <col min="434" max="434" width="12.1328125" customWidth="1"/>
    <col min="435" max="435" width="14.9296875" customWidth="1"/>
    <col min="436" max="436" width="12.1328125" customWidth="1"/>
    <col min="437" max="437" width="14.9296875" customWidth="1"/>
    <col min="438" max="438" width="12.1328125" customWidth="1"/>
    <col min="439" max="439" width="14.9296875" customWidth="1"/>
    <col min="440" max="440" width="12.1328125" customWidth="1"/>
    <col min="441" max="441" width="14.9296875" customWidth="1"/>
    <col min="442" max="442" width="12.1328125" customWidth="1"/>
    <col min="443" max="443" width="14.9296875" customWidth="1"/>
    <col min="444" max="444" width="12.1328125" customWidth="1"/>
    <col min="445" max="445" width="14.9296875" customWidth="1"/>
    <col min="446" max="446" width="12.1328125" customWidth="1"/>
    <col min="447" max="447" width="14.9296875" customWidth="1"/>
    <col min="448" max="448" width="12.1328125" customWidth="1"/>
    <col min="449" max="449" width="14.9296875" customWidth="1"/>
    <col min="450" max="450" width="12.1328125" customWidth="1"/>
    <col min="451" max="451" width="14.9296875" customWidth="1"/>
    <col min="452" max="452" width="12.1328125" customWidth="1"/>
    <col min="453" max="453" width="14.9296875" customWidth="1"/>
    <col min="454" max="454" width="12.1328125" customWidth="1"/>
    <col min="455" max="455" width="14.9296875" customWidth="1"/>
    <col min="456" max="456" width="12.1328125" customWidth="1"/>
    <col min="457" max="457" width="14.9296875" customWidth="1"/>
    <col min="458" max="458" width="12.1328125" customWidth="1"/>
    <col min="459" max="459" width="14.9296875" customWidth="1"/>
    <col min="460" max="460" width="12.1328125" customWidth="1"/>
    <col min="461" max="461" width="14.9296875" customWidth="1"/>
    <col min="462" max="462" width="12.1328125" customWidth="1"/>
    <col min="463" max="463" width="14.9296875" customWidth="1"/>
    <col min="464" max="464" width="12.1328125" customWidth="1"/>
    <col min="465" max="465" width="14.9296875" customWidth="1"/>
    <col min="466" max="466" width="12.1328125" customWidth="1"/>
    <col min="467" max="467" width="14.9296875" customWidth="1"/>
    <col min="468" max="468" width="12.1328125" customWidth="1"/>
    <col min="469" max="469" width="14.9296875" customWidth="1"/>
    <col min="470" max="470" width="12.1328125" customWidth="1"/>
    <col min="471" max="471" width="14.9296875" customWidth="1"/>
    <col min="472" max="472" width="12.1328125" customWidth="1"/>
    <col min="473" max="473" width="14.9296875" customWidth="1"/>
    <col min="474" max="474" width="12.1328125" customWidth="1"/>
    <col min="475" max="475" width="14.9296875" customWidth="1"/>
    <col min="476" max="476" width="12.1328125" customWidth="1"/>
    <col min="477" max="477" width="14.9296875" bestFit="1" customWidth="1"/>
    <col min="478" max="478" width="12.1328125" bestFit="1" customWidth="1"/>
    <col min="479" max="479" width="14.9296875" bestFit="1" customWidth="1"/>
    <col min="480" max="480" width="12.1328125" bestFit="1" customWidth="1"/>
    <col min="481" max="481" width="14.9296875" bestFit="1" customWidth="1"/>
    <col min="482" max="482" width="12.1328125" bestFit="1" customWidth="1"/>
    <col min="483" max="483" width="14.9296875" bestFit="1" customWidth="1"/>
    <col min="484" max="484" width="12.1328125" bestFit="1" customWidth="1"/>
    <col min="485" max="485" width="14.9296875" bestFit="1" customWidth="1"/>
    <col min="486" max="486" width="12.1328125" bestFit="1" customWidth="1"/>
    <col min="487" max="487" width="14.9296875" bestFit="1" customWidth="1"/>
    <col min="488" max="488" width="12.1328125" bestFit="1" customWidth="1"/>
    <col min="489" max="489" width="14.9296875" bestFit="1" customWidth="1"/>
    <col min="490" max="490" width="12.1328125" bestFit="1" customWidth="1"/>
    <col min="491" max="491" width="14.9296875" bestFit="1" customWidth="1"/>
    <col min="492" max="492" width="12.1328125" bestFit="1" customWidth="1"/>
    <col min="493" max="493" width="14.9296875" bestFit="1" customWidth="1"/>
    <col min="494" max="494" width="12.1328125" bestFit="1" customWidth="1"/>
    <col min="495" max="495" width="14.9296875" bestFit="1" customWidth="1"/>
    <col min="496" max="496" width="12.1328125" bestFit="1" customWidth="1"/>
    <col min="497" max="497" width="14.9296875" bestFit="1" customWidth="1"/>
    <col min="498" max="498" width="12.1328125" bestFit="1" customWidth="1"/>
    <col min="499" max="499" width="14.9296875" bestFit="1" customWidth="1"/>
    <col min="500" max="500" width="12.1328125" bestFit="1" customWidth="1"/>
    <col min="501" max="501" width="14.9296875" bestFit="1" customWidth="1"/>
    <col min="502" max="502" width="12.1328125" bestFit="1" customWidth="1"/>
    <col min="503" max="503" width="14.9296875" bestFit="1" customWidth="1"/>
    <col min="504" max="504" width="12.1328125" bestFit="1" customWidth="1"/>
    <col min="505" max="505" width="14.9296875" bestFit="1" customWidth="1"/>
    <col min="506" max="506" width="12.1328125" bestFit="1" customWidth="1"/>
    <col min="507" max="507" width="14.9296875" bestFit="1" customWidth="1"/>
    <col min="508" max="508" width="12.1328125" bestFit="1" customWidth="1"/>
    <col min="509" max="509" width="14.9296875" bestFit="1" customWidth="1"/>
    <col min="510" max="510" width="12.1328125" bestFit="1" customWidth="1"/>
    <col min="511" max="511" width="14.9296875" bestFit="1" customWidth="1"/>
    <col min="512" max="512" width="12.1328125" bestFit="1" customWidth="1"/>
    <col min="513" max="513" width="14.9296875" bestFit="1" customWidth="1"/>
    <col min="514" max="514" width="12.1328125" bestFit="1" customWidth="1"/>
    <col min="515" max="515" width="14.9296875" bestFit="1" customWidth="1"/>
    <col min="516" max="516" width="12.1328125" bestFit="1" customWidth="1"/>
    <col min="517" max="517" width="14.9296875" bestFit="1" customWidth="1"/>
    <col min="518" max="518" width="12.1328125" bestFit="1" customWidth="1"/>
    <col min="519" max="519" width="14.9296875" bestFit="1" customWidth="1"/>
    <col min="520" max="520" width="12.1328125" bestFit="1" customWidth="1"/>
    <col min="521" max="521" width="14.9296875" bestFit="1" customWidth="1"/>
    <col min="522" max="522" width="12.1328125" bestFit="1" customWidth="1"/>
    <col min="523" max="523" width="14.9296875" bestFit="1" customWidth="1"/>
    <col min="524" max="524" width="12.1328125" bestFit="1" customWidth="1"/>
    <col min="525" max="525" width="14.9296875" bestFit="1" customWidth="1"/>
    <col min="526" max="526" width="12.1328125" bestFit="1" customWidth="1"/>
    <col min="527" max="527" width="14.9296875" bestFit="1" customWidth="1"/>
    <col min="528" max="528" width="12.1328125" bestFit="1" customWidth="1"/>
    <col min="529" max="529" width="14.9296875" bestFit="1" customWidth="1"/>
    <col min="530" max="530" width="12.1328125" bestFit="1" customWidth="1"/>
    <col min="531" max="531" width="14.9296875" bestFit="1" customWidth="1"/>
    <col min="532" max="532" width="12.1328125" bestFit="1" customWidth="1"/>
    <col min="533" max="533" width="14.9296875" bestFit="1" customWidth="1"/>
    <col min="534" max="534" width="12.1328125" bestFit="1" customWidth="1"/>
    <col min="535" max="535" width="14.9296875" bestFit="1" customWidth="1"/>
    <col min="536" max="536" width="12.1328125" bestFit="1" customWidth="1"/>
    <col min="537" max="537" width="14.9296875" bestFit="1" customWidth="1"/>
    <col min="538" max="538" width="12.1328125" bestFit="1" customWidth="1"/>
    <col min="539" max="539" width="14.9296875" bestFit="1" customWidth="1"/>
    <col min="540" max="540" width="12.1328125" bestFit="1" customWidth="1"/>
    <col min="541" max="541" width="14.9296875" bestFit="1" customWidth="1"/>
    <col min="542" max="542" width="12.1328125" bestFit="1" customWidth="1"/>
    <col min="543" max="543" width="14.9296875" bestFit="1" customWidth="1"/>
    <col min="544" max="544" width="12.1328125" bestFit="1" customWidth="1"/>
    <col min="545" max="545" width="14.9296875" bestFit="1" customWidth="1"/>
    <col min="546" max="546" width="12.1328125" bestFit="1" customWidth="1"/>
    <col min="547" max="547" width="14.9296875" bestFit="1" customWidth="1"/>
    <col min="548" max="548" width="12.1328125" bestFit="1" customWidth="1"/>
    <col min="549" max="549" width="14.9296875" bestFit="1" customWidth="1"/>
    <col min="550" max="550" width="12.1328125" bestFit="1" customWidth="1"/>
    <col min="551" max="551" width="14.9296875" bestFit="1" customWidth="1"/>
    <col min="552" max="552" width="12.1328125" bestFit="1" customWidth="1"/>
    <col min="553" max="553" width="14.9296875" bestFit="1" customWidth="1"/>
    <col min="554" max="554" width="12.1328125" bestFit="1" customWidth="1"/>
    <col min="555" max="555" width="14.9296875" bestFit="1" customWidth="1"/>
    <col min="556" max="556" width="12.1328125" bestFit="1" customWidth="1"/>
    <col min="557" max="557" width="14.9296875" bestFit="1" customWidth="1"/>
    <col min="558" max="558" width="12.1328125" bestFit="1" customWidth="1"/>
    <col min="559" max="559" width="14.9296875" bestFit="1" customWidth="1"/>
    <col min="560" max="560" width="12.1328125" bestFit="1" customWidth="1"/>
    <col min="561" max="561" width="14.9296875" bestFit="1" customWidth="1"/>
    <col min="562" max="562" width="12.1328125" bestFit="1" customWidth="1"/>
    <col min="563" max="563" width="14.9296875" bestFit="1" customWidth="1"/>
    <col min="564" max="564" width="12.1328125" bestFit="1" customWidth="1"/>
    <col min="565" max="565" width="14.9296875" bestFit="1" customWidth="1"/>
    <col min="566" max="566" width="12.1328125" bestFit="1" customWidth="1"/>
    <col min="567" max="567" width="14.9296875" bestFit="1" customWidth="1"/>
    <col min="568" max="568" width="12.1328125" bestFit="1" customWidth="1"/>
    <col min="569" max="569" width="14.9296875" bestFit="1" customWidth="1"/>
    <col min="570" max="570" width="12.1328125" bestFit="1" customWidth="1"/>
    <col min="571" max="571" width="14.9296875" bestFit="1" customWidth="1"/>
    <col min="572" max="572" width="12.1328125" bestFit="1" customWidth="1"/>
    <col min="573" max="573" width="14.9296875" bestFit="1" customWidth="1"/>
    <col min="574" max="574" width="12.1328125" bestFit="1" customWidth="1"/>
    <col min="575" max="575" width="14.9296875" bestFit="1" customWidth="1"/>
    <col min="576" max="576" width="12.1328125" bestFit="1" customWidth="1"/>
    <col min="577" max="577" width="14.9296875" bestFit="1" customWidth="1"/>
    <col min="578" max="578" width="12.1328125" bestFit="1" customWidth="1"/>
    <col min="579" max="579" width="14.9296875" bestFit="1" customWidth="1"/>
    <col min="580" max="580" width="12.1328125" bestFit="1" customWidth="1"/>
    <col min="581" max="581" width="14.9296875" bestFit="1" customWidth="1"/>
    <col min="582" max="582" width="12.1328125" bestFit="1" customWidth="1"/>
    <col min="583" max="583" width="14.9296875" bestFit="1" customWidth="1"/>
    <col min="584" max="584" width="12.1328125" bestFit="1" customWidth="1"/>
    <col min="585" max="585" width="14.9296875" bestFit="1" customWidth="1"/>
    <col min="586" max="586" width="12.1328125" bestFit="1" customWidth="1"/>
    <col min="587" max="587" width="14.9296875" bestFit="1" customWidth="1"/>
    <col min="588" max="588" width="12.1328125" bestFit="1" customWidth="1"/>
    <col min="589" max="589" width="14.9296875" bestFit="1" customWidth="1"/>
    <col min="590" max="590" width="12.1328125" bestFit="1" customWidth="1"/>
    <col min="591" max="591" width="14.9296875" bestFit="1" customWidth="1"/>
    <col min="592" max="592" width="12.1328125" bestFit="1" customWidth="1"/>
    <col min="593" max="593" width="14.9296875" bestFit="1" customWidth="1"/>
    <col min="594" max="594" width="12.1328125" bestFit="1" customWidth="1"/>
    <col min="595" max="595" width="14.9296875" bestFit="1" customWidth="1"/>
    <col min="596" max="596" width="12.1328125" bestFit="1" customWidth="1"/>
    <col min="597" max="597" width="14.9296875" bestFit="1" customWidth="1"/>
    <col min="598" max="598" width="12.1328125" bestFit="1" customWidth="1"/>
    <col min="599" max="599" width="14.9296875" bestFit="1" customWidth="1"/>
    <col min="600" max="600" width="12.1328125" bestFit="1" customWidth="1"/>
    <col min="601" max="601" width="14.9296875" bestFit="1" customWidth="1"/>
    <col min="602" max="602" width="12.1328125" bestFit="1" customWidth="1"/>
    <col min="603" max="603" width="14.9296875" bestFit="1" customWidth="1"/>
    <col min="604" max="604" width="12.1328125" bestFit="1" customWidth="1"/>
    <col min="605" max="605" width="14.9296875" bestFit="1" customWidth="1"/>
    <col min="606" max="606" width="12.1328125" bestFit="1" customWidth="1"/>
    <col min="607" max="607" width="14.9296875" bestFit="1" customWidth="1"/>
    <col min="608" max="608" width="12.1328125" bestFit="1" customWidth="1"/>
    <col min="609" max="609" width="14.9296875" bestFit="1" customWidth="1"/>
    <col min="610" max="610" width="12.1328125" bestFit="1" customWidth="1"/>
    <col min="611" max="611" width="14.9296875" bestFit="1" customWidth="1"/>
    <col min="612" max="612" width="12.1328125" bestFit="1" customWidth="1"/>
    <col min="613" max="613" width="14.9296875" bestFit="1" customWidth="1"/>
    <col min="614" max="614" width="12.1328125" bestFit="1" customWidth="1"/>
    <col min="615" max="615" width="14.9296875" bestFit="1" customWidth="1"/>
    <col min="616" max="616" width="12.1328125" bestFit="1" customWidth="1"/>
    <col min="617" max="617" width="14.9296875" bestFit="1" customWidth="1"/>
    <col min="618" max="618" width="12.1328125" bestFit="1" customWidth="1"/>
    <col min="619" max="619" width="14.9296875" bestFit="1" customWidth="1"/>
    <col min="620" max="620" width="12.1328125" bestFit="1" customWidth="1"/>
    <col min="621" max="621" width="14.9296875" bestFit="1" customWidth="1"/>
    <col min="622" max="622" width="12.1328125" bestFit="1" customWidth="1"/>
    <col min="623" max="623" width="14.9296875" bestFit="1" customWidth="1"/>
    <col min="624" max="624" width="12.1328125" bestFit="1" customWidth="1"/>
    <col min="625" max="625" width="14.9296875" bestFit="1" customWidth="1"/>
    <col min="626" max="626" width="12.1328125" bestFit="1" customWidth="1"/>
    <col min="627" max="627" width="14.9296875" bestFit="1" customWidth="1"/>
    <col min="628" max="628" width="12.1328125" bestFit="1" customWidth="1"/>
    <col min="629" max="629" width="14.9296875" bestFit="1" customWidth="1"/>
    <col min="630" max="630" width="12.1328125" bestFit="1" customWidth="1"/>
    <col min="631" max="631" width="14.9296875" bestFit="1" customWidth="1"/>
    <col min="632" max="632" width="12.1328125" bestFit="1" customWidth="1"/>
    <col min="633" max="633" width="14.9296875" bestFit="1" customWidth="1"/>
    <col min="634" max="634" width="12.1328125" bestFit="1" customWidth="1"/>
    <col min="635" max="635" width="14.9296875" bestFit="1" customWidth="1"/>
    <col min="636" max="636" width="12.1328125" bestFit="1" customWidth="1"/>
    <col min="637" max="637" width="14.9296875" bestFit="1" customWidth="1"/>
    <col min="638" max="638" width="12.1328125" bestFit="1" customWidth="1"/>
    <col min="639" max="639" width="14.9296875" bestFit="1" customWidth="1"/>
    <col min="640" max="640" width="12.1328125" bestFit="1" customWidth="1"/>
    <col min="641" max="641" width="14.9296875" bestFit="1" customWidth="1"/>
    <col min="642" max="642" width="12.1328125" bestFit="1" customWidth="1"/>
    <col min="643" max="643" width="14.9296875" bestFit="1" customWidth="1"/>
    <col min="644" max="644" width="12.1328125" bestFit="1" customWidth="1"/>
    <col min="645" max="645" width="14.9296875" bestFit="1" customWidth="1"/>
    <col min="646" max="646" width="12.1328125" bestFit="1" customWidth="1"/>
    <col min="647" max="647" width="14.9296875" bestFit="1" customWidth="1"/>
    <col min="648" max="648" width="12.1328125" bestFit="1" customWidth="1"/>
    <col min="649" max="649" width="14.9296875" bestFit="1" customWidth="1"/>
    <col min="650" max="650" width="12.1328125" bestFit="1" customWidth="1"/>
    <col min="651" max="651" width="14.9296875" bestFit="1" customWidth="1"/>
    <col min="652" max="652" width="12.1328125" bestFit="1" customWidth="1"/>
    <col min="653" max="653" width="14.9296875" bestFit="1" customWidth="1"/>
    <col min="654" max="654" width="12.1328125" bestFit="1" customWidth="1"/>
    <col min="655" max="655" width="14.9296875" bestFit="1" customWidth="1"/>
    <col min="656" max="656" width="12.1328125" bestFit="1" customWidth="1"/>
    <col min="657" max="657" width="14.9296875" bestFit="1" customWidth="1"/>
    <col min="658" max="658" width="12.1328125" bestFit="1" customWidth="1"/>
    <col min="659" max="659" width="14.9296875" bestFit="1" customWidth="1"/>
    <col min="660" max="660" width="12.1328125" bestFit="1" customWidth="1"/>
    <col min="661" max="661" width="14.9296875" bestFit="1" customWidth="1"/>
    <col min="662" max="662" width="12.1328125" bestFit="1" customWidth="1"/>
    <col min="663" max="663" width="14.9296875" bestFit="1" customWidth="1"/>
    <col min="664" max="664" width="12.1328125" bestFit="1" customWidth="1"/>
    <col min="665" max="665" width="14.9296875" bestFit="1" customWidth="1"/>
    <col min="666" max="666" width="12.1328125" bestFit="1" customWidth="1"/>
    <col min="667" max="667" width="14.9296875" bestFit="1" customWidth="1"/>
    <col min="668" max="668" width="12.1328125" bestFit="1" customWidth="1"/>
    <col min="669" max="669" width="14.9296875" bestFit="1" customWidth="1"/>
    <col min="670" max="670" width="12.1328125" bestFit="1" customWidth="1"/>
    <col min="671" max="671" width="14.9296875" bestFit="1" customWidth="1"/>
    <col min="672" max="672" width="12.1328125" bestFit="1" customWidth="1"/>
    <col min="673" max="673" width="14.9296875" bestFit="1" customWidth="1"/>
    <col min="674" max="674" width="12.1328125" bestFit="1" customWidth="1"/>
    <col min="675" max="675" width="14.9296875" bestFit="1" customWidth="1"/>
    <col min="676" max="676" width="12.1328125" bestFit="1" customWidth="1"/>
    <col min="677" max="677" width="14.9296875" bestFit="1" customWidth="1"/>
    <col min="678" max="678" width="12.1328125" bestFit="1" customWidth="1"/>
    <col min="679" max="679" width="14.9296875" bestFit="1" customWidth="1"/>
    <col min="680" max="680" width="12.1328125" bestFit="1" customWidth="1"/>
    <col min="681" max="681" width="14.9296875" bestFit="1" customWidth="1"/>
    <col min="682" max="682" width="12.1328125" bestFit="1" customWidth="1"/>
    <col min="683" max="683" width="14.9296875" bestFit="1" customWidth="1"/>
    <col min="684" max="684" width="12.1328125" bestFit="1" customWidth="1"/>
    <col min="685" max="685" width="14.9296875" bestFit="1" customWidth="1"/>
    <col min="686" max="686" width="12.1328125" bestFit="1" customWidth="1"/>
    <col min="687" max="687" width="14.9296875" bestFit="1" customWidth="1"/>
    <col min="688" max="688" width="12.1328125" bestFit="1" customWidth="1"/>
    <col min="689" max="689" width="14.9296875" bestFit="1" customWidth="1"/>
    <col min="690" max="690" width="12.1328125" bestFit="1" customWidth="1"/>
    <col min="691" max="691" width="14.9296875" bestFit="1" customWidth="1"/>
    <col min="692" max="692" width="12.1328125" bestFit="1" customWidth="1"/>
    <col min="693" max="693" width="14.9296875" bestFit="1" customWidth="1"/>
    <col min="694" max="694" width="12.1328125" bestFit="1" customWidth="1"/>
    <col min="695" max="695" width="14.9296875" bestFit="1" customWidth="1"/>
    <col min="696" max="696" width="12.1328125" bestFit="1" customWidth="1"/>
    <col min="697" max="697" width="14.9296875" bestFit="1" customWidth="1"/>
    <col min="698" max="698" width="12.1328125" bestFit="1" customWidth="1"/>
    <col min="699" max="699" width="14.9296875" bestFit="1" customWidth="1"/>
    <col min="700" max="700" width="12.1328125" bestFit="1" customWidth="1"/>
    <col min="701" max="701" width="14.9296875" bestFit="1" customWidth="1"/>
    <col min="702" max="702" width="12.1328125" bestFit="1" customWidth="1"/>
    <col min="703" max="703" width="14.9296875" bestFit="1" customWidth="1"/>
    <col min="704" max="704" width="12.1328125" bestFit="1" customWidth="1"/>
    <col min="705" max="705" width="14.9296875" bestFit="1" customWidth="1"/>
    <col min="706" max="706" width="12.1328125" bestFit="1" customWidth="1"/>
    <col min="707" max="707" width="14.9296875" bestFit="1" customWidth="1"/>
    <col min="708" max="708" width="12.1328125" bestFit="1" customWidth="1"/>
    <col min="709" max="709" width="14.9296875" bestFit="1" customWidth="1"/>
    <col min="710" max="710" width="12.1328125" bestFit="1" customWidth="1"/>
    <col min="711" max="711" width="14.9296875" bestFit="1" customWidth="1"/>
    <col min="712" max="712" width="12.1328125" bestFit="1" customWidth="1"/>
    <col min="713" max="713" width="14.9296875" bestFit="1" customWidth="1"/>
    <col min="714" max="714" width="12.1328125" bestFit="1" customWidth="1"/>
    <col min="715" max="715" width="14.9296875" bestFit="1" customWidth="1"/>
    <col min="716" max="716" width="12.1328125" bestFit="1" customWidth="1"/>
    <col min="717" max="717" width="14.9296875" bestFit="1" customWidth="1"/>
    <col min="718" max="718" width="12.1328125" bestFit="1" customWidth="1"/>
    <col min="719" max="719" width="14.9296875" bestFit="1" customWidth="1"/>
    <col min="720" max="720" width="12.1328125" bestFit="1" customWidth="1"/>
    <col min="721" max="721" width="14.9296875" bestFit="1" customWidth="1"/>
    <col min="722" max="722" width="12.1328125" bestFit="1" customWidth="1"/>
    <col min="723" max="723" width="14.9296875" bestFit="1" customWidth="1"/>
    <col min="724" max="724" width="12.1328125" bestFit="1" customWidth="1"/>
    <col min="725" max="725" width="14.9296875" bestFit="1" customWidth="1"/>
    <col min="726" max="726" width="12.1328125" bestFit="1" customWidth="1"/>
    <col min="727" max="727" width="14.9296875" bestFit="1" customWidth="1"/>
    <col min="728" max="728" width="12.1328125" bestFit="1" customWidth="1"/>
    <col min="729" max="729" width="14.9296875" bestFit="1" customWidth="1"/>
    <col min="730" max="730" width="12.1328125" bestFit="1" customWidth="1"/>
    <col min="731" max="731" width="14.9296875" bestFit="1" customWidth="1"/>
    <col min="732" max="732" width="12.1328125" bestFit="1" customWidth="1"/>
    <col min="733" max="733" width="14.9296875" bestFit="1" customWidth="1"/>
    <col min="734" max="734" width="12.1328125" bestFit="1" customWidth="1"/>
    <col min="735" max="735" width="14.9296875" bestFit="1" customWidth="1"/>
    <col min="736" max="736" width="12.1328125" bestFit="1" customWidth="1"/>
    <col min="737" max="737" width="14.9296875" bestFit="1" customWidth="1"/>
    <col min="738" max="738" width="12.1328125" bestFit="1" customWidth="1"/>
    <col min="739" max="739" width="14.9296875" bestFit="1" customWidth="1"/>
    <col min="740" max="740" width="12.1328125" bestFit="1" customWidth="1"/>
    <col min="741" max="741" width="14.9296875" bestFit="1" customWidth="1"/>
    <col min="742" max="742" width="12.1328125" bestFit="1" customWidth="1"/>
    <col min="743" max="743" width="14.9296875" bestFit="1" customWidth="1"/>
    <col min="744" max="744" width="12.1328125" bestFit="1" customWidth="1"/>
    <col min="745" max="745" width="14.9296875" bestFit="1" customWidth="1"/>
    <col min="746" max="746" width="12.1328125" bestFit="1" customWidth="1"/>
    <col min="747" max="747" width="14.9296875" bestFit="1" customWidth="1"/>
    <col min="748" max="748" width="12.1328125" bestFit="1" customWidth="1"/>
    <col min="749" max="749" width="14.9296875" bestFit="1" customWidth="1"/>
    <col min="750" max="750" width="12.1328125" bestFit="1" customWidth="1"/>
    <col min="751" max="751" width="14.9296875" bestFit="1" customWidth="1"/>
    <col min="752" max="752" width="12.1328125" bestFit="1" customWidth="1"/>
    <col min="753" max="753" width="14.9296875" bestFit="1" customWidth="1"/>
    <col min="754" max="754" width="12.1328125" bestFit="1" customWidth="1"/>
    <col min="755" max="755" width="14.9296875" bestFit="1" customWidth="1"/>
    <col min="756" max="756" width="12.1328125" bestFit="1" customWidth="1"/>
    <col min="757" max="757" width="14.9296875" bestFit="1" customWidth="1"/>
    <col min="758" max="758" width="12.1328125" bestFit="1" customWidth="1"/>
    <col min="759" max="759" width="14.9296875" bestFit="1" customWidth="1"/>
    <col min="760" max="760" width="12.1328125" bestFit="1" customWidth="1"/>
    <col min="761" max="761" width="14.9296875" bestFit="1" customWidth="1"/>
    <col min="762" max="762" width="12.1328125" bestFit="1" customWidth="1"/>
    <col min="763" max="763" width="14.9296875" bestFit="1" customWidth="1"/>
    <col min="764" max="764" width="12.1328125" bestFit="1" customWidth="1"/>
    <col min="765" max="765" width="14.9296875" bestFit="1" customWidth="1"/>
    <col min="766" max="766" width="12.1328125" bestFit="1" customWidth="1"/>
    <col min="767" max="767" width="14.9296875" bestFit="1" customWidth="1"/>
    <col min="768" max="768" width="12.1328125" bestFit="1" customWidth="1"/>
    <col min="769" max="769" width="14.9296875" bestFit="1" customWidth="1"/>
    <col min="770" max="770" width="12.1328125" bestFit="1" customWidth="1"/>
    <col min="771" max="771" width="14.9296875" bestFit="1" customWidth="1"/>
    <col min="772" max="772" width="12.1328125" bestFit="1" customWidth="1"/>
    <col min="773" max="773" width="14.9296875" bestFit="1" customWidth="1"/>
    <col min="774" max="774" width="12.1328125" bestFit="1" customWidth="1"/>
    <col min="775" max="775" width="14.9296875" bestFit="1" customWidth="1"/>
    <col min="776" max="776" width="12.1328125" bestFit="1" customWidth="1"/>
    <col min="777" max="777" width="14.9296875" bestFit="1" customWidth="1"/>
    <col min="778" max="778" width="12.1328125" bestFit="1" customWidth="1"/>
    <col min="779" max="779" width="14.9296875" bestFit="1" customWidth="1"/>
    <col min="780" max="780" width="12.1328125" bestFit="1" customWidth="1"/>
    <col min="781" max="781" width="14.9296875" bestFit="1" customWidth="1"/>
    <col min="782" max="782" width="12.1328125" bestFit="1" customWidth="1"/>
    <col min="783" max="783" width="14.9296875" bestFit="1" customWidth="1"/>
    <col min="784" max="784" width="12.1328125" bestFit="1" customWidth="1"/>
    <col min="785" max="785" width="14.9296875" bestFit="1" customWidth="1"/>
    <col min="786" max="786" width="12.1328125" bestFit="1" customWidth="1"/>
    <col min="787" max="787" width="14.9296875" bestFit="1" customWidth="1"/>
    <col min="788" max="788" width="12.1328125" bestFit="1" customWidth="1"/>
    <col min="789" max="789" width="14.9296875" bestFit="1" customWidth="1"/>
    <col min="790" max="790" width="12.1328125" bestFit="1" customWidth="1"/>
    <col min="791" max="791" width="14.9296875" bestFit="1" customWidth="1"/>
    <col min="792" max="792" width="12.1328125" bestFit="1" customWidth="1"/>
    <col min="793" max="793" width="14.9296875" bestFit="1" customWidth="1"/>
    <col min="794" max="794" width="12.1328125" bestFit="1" customWidth="1"/>
    <col min="795" max="795" width="14.9296875" bestFit="1" customWidth="1"/>
    <col min="796" max="796" width="12.1328125" bestFit="1" customWidth="1"/>
    <col min="797" max="797" width="14.9296875" bestFit="1" customWidth="1"/>
    <col min="798" max="798" width="12.1328125" bestFit="1" customWidth="1"/>
    <col min="799" max="799" width="14.9296875" bestFit="1" customWidth="1"/>
    <col min="800" max="800" width="12.1328125" bestFit="1" customWidth="1"/>
    <col min="801" max="801" width="14.9296875" bestFit="1" customWidth="1"/>
    <col min="802" max="802" width="12.1328125" bestFit="1" customWidth="1"/>
    <col min="803" max="803" width="14.9296875" bestFit="1" customWidth="1"/>
    <col min="804" max="804" width="12.1328125" bestFit="1" customWidth="1"/>
    <col min="805" max="805" width="14.9296875" bestFit="1" customWidth="1"/>
    <col min="806" max="806" width="12.1328125" bestFit="1" customWidth="1"/>
    <col min="807" max="807" width="14.9296875" bestFit="1" customWidth="1"/>
    <col min="808" max="808" width="12.1328125" bestFit="1" customWidth="1"/>
    <col min="809" max="809" width="14.9296875" bestFit="1" customWidth="1"/>
    <col min="810" max="810" width="12.1328125" bestFit="1" customWidth="1"/>
    <col min="811" max="811" width="14.9296875" bestFit="1" customWidth="1"/>
    <col min="812" max="812" width="12.1328125" bestFit="1" customWidth="1"/>
    <col min="813" max="813" width="14.9296875" bestFit="1" customWidth="1"/>
    <col min="814" max="814" width="12.1328125" bestFit="1" customWidth="1"/>
    <col min="815" max="815" width="14.9296875" bestFit="1" customWidth="1"/>
    <col min="816" max="816" width="12.1328125" bestFit="1" customWidth="1"/>
    <col min="817" max="817" width="14.9296875" bestFit="1" customWidth="1"/>
    <col min="818" max="818" width="12.1328125" bestFit="1" customWidth="1"/>
    <col min="819" max="819" width="14.9296875" bestFit="1" customWidth="1"/>
    <col min="820" max="820" width="12.1328125" bestFit="1" customWidth="1"/>
    <col min="821" max="821" width="14.9296875" bestFit="1" customWidth="1"/>
    <col min="822" max="822" width="12.1328125" bestFit="1" customWidth="1"/>
    <col min="823" max="823" width="14.9296875" bestFit="1" customWidth="1"/>
    <col min="824" max="824" width="12.1328125" bestFit="1" customWidth="1"/>
    <col min="825" max="825" width="14.9296875" bestFit="1" customWidth="1"/>
    <col min="826" max="826" width="12.1328125" bestFit="1" customWidth="1"/>
    <col min="827" max="827" width="14.9296875" bestFit="1" customWidth="1"/>
    <col min="828" max="828" width="12.1328125" bestFit="1" customWidth="1"/>
    <col min="829" max="829" width="14.9296875" bestFit="1" customWidth="1"/>
    <col min="830" max="830" width="12.1328125" bestFit="1" customWidth="1"/>
    <col min="831" max="831" width="14.9296875" bestFit="1" customWidth="1"/>
    <col min="832" max="832" width="12.1328125" bestFit="1" customWidth="1"/>
    <col min="833" max="833" width="14.9296875" bestFit="1" customWidth="1"/>
    <col min="834" max="834" width="12.1328125" bestFit="1" customWidth="1"/>
    <col min="835" max="835" width="14.9296875" bestFit="1" customWidth="1"/>
    <col min="836" max="836" width="12.1328125" bestFit="1" customWidth="1"/>
    <col min="837" max="837" width="14.9296875" bestFit="1" customWidth="1"/>
    <col min="838" max="838" width="12.1328125" bestFit="1" customWidth="1"/>
    <col min="839" max="839" width="14.9296875" bestFit="1" customWidth="1"/>
    <col min="840" max="840" width="12.1328125" bestFit="1" customWidth="1"/>
    <col min="841" max="841" width="14.9296875" bestFit="1" customWidth="1"/>
    <col min="842" max="842" width="12.1328125" bestFit="1" customWidth="1"/>
    <col min="843" max="843" width="14.9296875" bestFit="1" customWidth="1"/>
    <col min="844" max="844" width="12.1328125" bestFit="1" customWidth="1"/>
    <col min="845" max="845" width="14.9296875" bestFit="1" customWidth="1"/>
    <col min="846" max="846" width="12.1328125" bestFit="1" customWidth="1"/>
    <col min="847" max="847" width="14.9296875" bestFit="1" customWidth="1"/>
    <col min="848" max="848" width="12.1328125" bestFit="1" customWidth="1"/>
    <col min="849" max="849" width="14.9296875" bestFit="1" customWidth="1"/>
    <col min="850" max="850" width="12.1328125" bestFit="1" customWidth="1"/>
    <col min="851" max="851" width="14.9296875" bestFit="1" customWidth="1"/>
    <col min="852" max="852" width="12.1328125" bestFit="1" customWidth="1"/>
    <col min="853" max="853" width="14.9296875" bestFit="1" customWidth="1"/>
    <col min="854" max="854" width="12.1328125" bestFit="1" customWidth="1"/>
    <col min="855" max="855" width="14.9296875" bestFit="1" customWidth="1"/>
    <col min="856" max="856" width="12.1328125" bestFit="1" customWidth="1"/>
    <col min="857" max="857" width="14.9296875" bestFit="1" customWidth="1"/>
    <col min="858" max="858" width="12.1328125" bestFit="1" customWidth="1"/>
    <col min="859" max="859" width="14.9296875" bestFit="1" customWidth="1"/>
    <col min="860" max="860" width="12.1328125" bestFit="1" customWidth="1"/>
    <col min="861" max="861" width="14.9296875" bestFit="1" customWidth="1"/>
    <col min="862" max="862" width="12.1328125" bestFit="1" customWidth="1"/>
    <col min="863" max="863" width="14.9296875" bestFit="1" customWidth="1"/>
    <col min="864" max="864" width="12.1328125" bestFit="1" customWidth="1"/>
    <col min="865" max="865" width="14.9296875" bestFit="1" customWidth="1"/>
    <col min="866" max="866" width="12.1328125" bestFit="1" customWidth="1"/>
    <col min="867" max="867" width="14.9296875" bestFit="1" customWidth="1"/>
    <col min="868" max="868" width="12.1328125" bestFit="1" customWidth="1"/>
    <col min="869" max="869" width="14.9296875" bestFit="1" customWidth="1"/>
    <col min="870" max="870" width="12.1328125" bestFit="1" customWidth="1"/>
    <col min="871" max="871" width="14.9296875" bestFit="1" customWidth="1"/>
    <col min="872" max="872" width="12.1328125" bestFit="1" customWidth="1"/>
    <col min="873" max="873" width="14.9296875" bestFit="1" customWidth="1"/>
    <col min="874" max="874" width="12.1328125" bestFit="1" customWidth="1"/>
    <col min="875" max="875" width="14.9296875" bestFit="1" customWidth="1"/>
    <col min="876" max="876" width="12.1328125" bestFit="1" customWidth="1"/>
    <col min="877" max="877" width="14.9296875" bestFit="1" customWidth="1"/>
    <col min="878" max="878" width="12.1328125" bestFit="1" customWidth="1"/>
    <col min="879" max="879" width="14.9296875" bestFit="1" customWidth="1"/>
    <col min="880" max="880" width="12.1328125" bestFit="1" customWidth="1"/>
    <col min="881" max="881" width="14.9296875" bestFit="1" customWidth="1"/>
    <col min="882" max="882" width="12.1328125" bestFit="1" customWidth="1"/>
    <col min="883" max="883" width="14.9296875" bestFit="1" customWidth="1"/>
    <col min="884" max="884" width="12.1328125" bestFit="1" customWidth="1"/>
    <col min="885" max="885" width="14.9296875" bestFit="1" customWidth="1"/>
    <col min="886" max="886" width="12.1328125" bestFit="1" customWidth="1"/>
    <col min="887" max="887" width="14.9296875" bestFit="1" customWidth="1"/>
    <col min="888" max="888" width="12.1328125" bestFit="1" customWidth="1"/>
    <col min="889" max="889" width="14.9296875" bestFit="1" customWidth="1"/>
    <col min="890" max="890" width="12.1328125" bestFit="1" customWidth="1"/>
    <col min="891" max="891" width="14.9296875" bestFit="1" customWidth="1"/>
    <col min="892" max="892" width="12.1328125" bestFit="1" customWidth="1"/>
    <col min="893" max="893" width="14.9296875" bestFit="1" customWidth="1"/>
    <col min="894" max="894" width="12.1328125" bestFit="1" customWidth="1"/>
    <col min="895" max="895" width="14.9296875" bestFit="1" customWidth="1"/>
    <col min="896" max="896" width="12.1328125" bestFit="1" customWidth="1"/>
    <col min="897" max="897" width="14.9296875" bestFit="1" customWidth="1"/>
    <col min="898" max="898" width="12.1328125" bestFit="1" customWidth="1"/>
    <col min="899" max="899" width="14.9296875" bestFit="1" customWidth="1"/>
    <col min="900" max="900" width="12.1328125" bestFit="1" customWidth="1"/>
    <col min="901" max="901" width="14.9296875" bestFit="1" customWidth="1"/>
    <col min="902" max="902" width="12.1328125" bestFit="1" customWidth="1"/>
    <col min="903" max="903" width="14.9296875" bestFit="1" customWidth="1"/>
    <col min="904" max="904" width="12.1328125" bestFit="1" customWidth="1"/>
    <col min="905" max="905" width="14.9296875" bestFit="1" customWidth="1"/>
    <col min="906" max="906" width="12.1328125" bestFit="1" customWidth="1"/>
    <col min="907" max="907" width="14.9296875" bestFit="1" customWidth="1"/>
    <col min="908" max="908" width="12.1328125" bestFit="1" customWidth="1"/>
    <col min="909" max="909" width="14.9296875" bestFit="1" customWidth="1"/>
    <col min="910" max="910" width="12.1328125" bestFit="1" customWidth="1"/>
    <col min="911" max="911" width="14.9296875" bestFit="1" customWidth="1"/>
    <col min="912" max="912" width="12.1328125" bestFit="1" customWidth="1"/>
    <col min="913" max="913" width="14.9296875" bestFit="1" customWidth="1"/>
    <col min="914" max="914" width="12.1328125" bestFit="1" customWidth="1"/>
    <col min="915" max="915" width="14.9296875" bestFit="1" customWidth="1"/>
    <col min="916" max="916" width="12.1328125" bestFit="1" customWidth="1"/>
    <col min="917" max="917" width="14.9296875" bestFit="1" customWidth="1"/>
    <col min="918" max="918" width="12.1328125" bestFit="1" customWidth="1"/>
    <col min="919" max="919" width="14.9296875" bestFit="1" customWidth="1"/>
    <col min="920" max="920" width="12.1328125" bestFit="1" customWidth="1"/>
    <col min="921" max="921" width="14.9296875" bestFit="1" customWidth="1"/>
    <col min="922" max="922" width="12.1328125" bestFit="1" customWidth="1"/>
    <col min="923" max="923" width="14.9296875" bestFit="1" customWidth="1"/>
    <col min="924" max="924" width="12.1328125" bestFit="1" customWidth="1"/>
    <col min="925" max="925" width="14.9296875" bestFit="1" customWidth="1"/>
    <col min="926" max="926" width="12.1328125" bestFit="1" customWidth="1"/>
    <col min="927" max="927" width="14.9296875" bestFit="1" customWidth="1"/>
    <col min="928" max="928" width="12.1328125" bestFit="1" customWidth="1"/>
    <col min="929" max="929" width="14.9296875" bestFit="1" customWidth="1"/>
    <col min="930" max="930" width="12.1328125" bestFit="1" customWidth="1"/>
    <col min="931" max="931" width="14.9296875" bestFit="1" customWidth="1"/>
    <col min="932" max="932" width="12.1328125" bestFit="1" customWidth="1"/>
    <col min="933" max="933" width="14.9296875" bestFit="1" customWidth="1"/>
    <col min="934" max="934" width="12.1328125" bestFit="1" customWidth="1"/>
    <col min="935" max="935" width="14.9296875" bestFit="1" customWidth="1"/>
    <col min="936" max="936" width="12.1328125" bestFit="1" customWidth="1"/>
    <col min="937" max="937" width="14.9296875" bestFit="1" customWidth="1"/>
    <col min="938" max="938" width="12.1328125" bestFit="1" customWidth="1"/>
    <col min="939" max="939" width="14.9296875" bestFit="1" customWidth="1"/>
    <col min="940" max="940" width="12.1328125" bestFit="1" customWidth="1"/>
    <col min="941" max="941" width="14.9296875" bestFit="1" customWidth="1"/>
    <col min="942" max="942" width="12.1328125" bestFit="1" customWidth="1"/>
    <col min="943" max="943" width="14.9296875" bestFit="1" customWidth="1"/>
    <col min="944" max="944" width="12.1328125" bestFit="1" customWidth="1"/>
    <col min="945" max="945" width="14.9296875" bestFit="1" customWidth="1"/>
    <col min="946" max="946" width="12.1328125" bestFit="1" customWidth="1"/>
    <col min="947" max="947" width="14.9296875" bestFit="1" customWidth="1"/>
    <col min="948" max="948" width="12.1328125" bestFit="1" customWidth="1"/>
    <col min="949" max="949" width="14.9296875" bestFit="1" customWidth="1"/>
    <col min="950" max="950" width="11.73046875" bestFit="1" customWidth="1"/>
  </cols>
  <sheetData>
    <row r="3" spans="1:31" x14ac:dyDescent="0.45">
      <c r="A3" s="24" t="s">
        <v>1448</v>
      </c>
      <c r="B3" s="24" t="s">
        <v>1449</v>
      </c>
    </row>
    <row r="4" spans="1:31" x14ac:dyDescent="0.45">
      <c r="A4" s="24" t="s">
        <v>1446</v>
      </c>
      <c r="B4" t="s">
        <v>1486</v>
      </c>
      <c r="C4" t="s">
        <v>1487</v>
      </c>
      <c r="D4" t="s">
        <v>1488</v>
      </c>
      <c r="E4" t="s">
        <v>1489</v>
      </c>
      <c r="F4" t="s">
        <v>1490</v>
      </c>
      <c r="G4" t="s">
        <v>1491</v>
      </c>
      <c r="H4" t="s">
        <v>1492</v>
      </c>
      <c r="I4" t="s">
        <v>1493</v>
      </c>
      <c r="J4" t="s">
        <v>1494</v>
      </c>
      <c r="K4" t="s">
        <v>1495</v>
      </c>
      <c r="L4" t="s">
        <v>1496</v>
      </c>
      <c r="M4" t="s">
        <v>1497</v>
      </c>
      <c r="N4" t="s">
        <v>1498</v>
      </c>
      <c r="O4" t="s">
        <v>1499</v>
      </c>
      <c r="P4" t="s">
        <v>1500</v>
      </c>
      <c r="Q4" t="s">
        <v>1501</v>
      </c>
      <c r="R4" t="s">
        <v>1502</v>
      </c>
      <c r="S4" t="s">
        <v>1503</v>
      </c>
      <c r="T4" t="s">
        <v>1450</v>
      </c>
      <c r="U4" t="s">
        <v>1504</v>
      </c>
      <c r="V4" t="s">
        <v>1505</v>
      </c>
      <c r="W4" t="s">
        <v>1506</v>
      </c>
      <c r="X4" t="s">
        <v>1507</v>
      </c>
      <c r="Y4" t="s">
        <v>1508</v>
      </c>
      <c r="Z4" t="s">
        <v>1509</v>
      </c>
      <c r="AA4" t="s">
        <v>1510</v>
      </c>
      <c r="AB4" t="s">
        <v>1511</v>
      </c>
      <c r="AC4" t="s">
        <v>1512</v>
      </c>
      <c r="AD4" t="s">
        <v>1513</v>
      </c>
      <c r="AE4" t="s">
        <v>1447</v>
      </c>
    </row>
    <row r="5" spans="1:31" x14ac:dyDescent="0.45">
      <c r="A5" s="25" t="s">
        <v>655</v>
      </c>
      <c r="B5" s="17">
        <v>16213.632800000001</v>
      </c>
      <c r="C5" s="17">
        <v>24161.26311</v>
      </c>
      <c r="D5" s="17">
        <v>11939.431199999999</v>
      </c>
      <c r="E5" s="17">
        <v>1801.4076000000002</v>
      </c>
      <c r="F5" s="17">
        <v>8567.3924999999999</v>
      </c>
      <c r="G5" s="17">
        <v>22987.3279</v>
      </c>
      <c r="H5" s="17">
        <v>61471.696859999996</v>
      </c>
      <c r="I5" s="17">
        <v>24894.430559999997</v>
      </c>
      <c r="J5" s="17">
        <v>39349.347099999999</v>
      </c>
      <c r="K5" s="17">
        <v>70563.592109999998</v>
      </c>
      <c r="L5" s="17">
        <v>24523.006720000001</v>
      </c>
      <c r="M5" s="17">
        <v>16257.340179999999</v>
      </c>
      <c r="N5" s="17">
        <v>12248.675999999999</v>
      </c>
      <c r="O5" s="17">
        <v>57491.062559999998</v>
      </c>
      <c r="P5" s="17">
        <v>68920.107260000004</v>
      </c>
      <c r="Q5" s="17">
        <v>27194.152039999997</v>
      </c>
      <c r="R5" s="17">
        <v>9469.7678000000014</v>
      </c>
      <c r="S5" s="17">
        <v>69324.366199999989</v>
      </c>
      <c r="T5" s="17">
        <v>46991.747199999998</v>
      </c>
      <c r="U5" s="17">
        <v>41658.527040000008</v>
      </c>
      <c r="V5" s="17">
        <v>93430.735400000005</v>
      </c>
      <c r="W5" s="17">
        <v>10937.519999999999</v>
      </c>
      <c r="X5" s="17">
        <v>38096.18406</v>
      </c>
      <c r="Y5" s="17">
        <v>37330.00275</v>
      </c>
      <c r="Z5" s="17">
        <v>41358.420049999993</v>
      </c>
      <c r="AA5" s="17">
        <v>45754.744080000004</v>
      </c>
      <c r="AB5" s="17">
        <v>7071.6331400000008</v>
      </c>
      <c r="AC5" s="17">
        <v>85419.017859999993</v>
      </c>
      <c r="AD5" s="17">
        <v>24172.044580000002</v>
      </c>
      <c r="AE5" s="17">
        <v>1039598.57666</v>
      </c>
    </row>
    <row r="6" spans="1:31" x14ac:dyDescent="0.45">
      <c r="A6" s="25" t="s">
        <v>1447</v>
      </c>
      <c r="B6" s="17">
        <v>16213.632800000001</v>
      </c>
      <c r="C6" s="17">
        <v>24161.26311</v>
      </c>
      <c r="D6" s="17">
        <v>11939.431199999999</v>
      </c>
      <c r="E6" s="17">
        <v>1801.4076000000002</v>
      </c>
      <c r="F6" s="17">
        <v>8567.3924999999999</v>
      </c>
      <c r="G6" s="17">
        <v>22987.3279</v>
      </c>
      <c r="H6" s="17">
        <v>61471.696859999996</v>
      </c>
      <c r="I6" s="17">
        <v>24894.430559999997</v>
      </c>
      <c r="J6" s="17">
        <v>39349.347099999999</v>
      </c>
      <c r="K6" s="17">
        <v>70563.592109999998</v>
      </c>
      <c r="L6" s="17">
        <v>24523.006720000001</v>
      </c>
      <c r="M6" s="17">
        <v>16257.340179999999</v>
      </c>
      <c r="N6" s="17">
        <v>12248.675999999999</v>
      </c>
      <c r="O6" s="17">
        <v>57491.062559999998</v>
      </c>
      <c r="P6" s="17">
        <v>68920.107260000004</v>
      </c>
      <c r="Q6" s="17">
        <v>27194.152039999997</v>
      </c>
      <c r="R6" s="17">
        <v>9469.7678000000014</v>
      </c>
      <c r="S6" s="17">
        <v>69324.366199999989</v>
      </c>
      <c r="T6" s="17">
        <v>46991.747199999998</v>
      </c>
      <c r="U6" s="17">
        <v>41658.527040000008</v>
      </c>
      <c r="V6" s="17">
        <v>93430.735400000005</v>
      </c>
      <c r="W6" s="17">
        <v>10937.519999999999</v>
      </c>
      <c r="X6" s="17">
        <v>38096.18406</v>
      </c>
      <c r="Y6" s="17">
        <v>37330.00275</v>
      </c>
      <c r="Z6" s="17">
        <v>41358.420049999993</v>
      </c>
      <c r="AA6" s="17">
        <v>45754.744080000004</v>
      </c>
      <c r="AB6" s="17">
        <v>7071.6331400000008</v>
      </c>
      <c r="AC6" s="17">
        <v>85419.017859999993</v>
      </c>
      <c r="AD6" s="17">
        <v>24172.044580000002</v>
      </c>
      <c r="AE6" s="17">
        <v>1039598.57666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41"/>
  <sheetViews>
    <sheetView workbookViewId="0">
      <selection activeCell="D20" sqref="D20"/>
    </sheetView>
  </sheetViews>
  <sheetFormatPr defaultRowHeight="14.25" x14ac:dyDescent="0.45"/>
  <cols>
    <col min="1" max="1" width="13.33203125" bestFit="1" customWidth="1"/>
    <col min="2" max="2" width="18.73046875" customWidth="1"/>
    <col min="3" max="3" width="11.73046875" customWidth="1"/>
    <col min="4" max="4" width="9.73046875" bestFit="1" customWidth="1"/>
    <col min="5" max="5" width="10.73046875" customWidth="1"/>
    <col min="6" max="6" width="10.73046875" bestFit="1" customWidth="1"/>
    <col min="7" max="8" width="11.73046875" customWidth="1"/>
    <col min="9" max="9" width="8.73046875" customWidth="1"/>
    <col min="10" max="10" width="10.73046875" customWidth="1"/>
    <col min="11" max="11" width="11.73046875" customWidth="1"/>
    <col min="12" max="12" width="11.73046875" bestFit="1" customWidth="1"/>
    <col min="13" max="13" width="8.53125" customWidth="1"/>
    <col min="14" max="14" width="10.73046875" bestFit="1" customWidth="1"/>
    <col min="15" max="15" width="8.53125" customWidth="1"/>
    <col min="16" max="16" width="10.73046875" bestFit="1" customWidth="1"/>
    <col min="17" max="17" width="9.73046875" customWidth="1"/>
    <col min="18" max="18" width="10.73046875" bestFit="1" customWidth="1"/>
    <col min="19" max="19" width="8.73046875" customWidth="1"/>
    <col min="20" max="20" width="11.73046875" bestFit="1" customWidth="1"/>
    <col min="21" max="21" width="10.73046875" customWidth="1"/>
    <col min="22" max="23" width="9.73046875" customWidth="1"/>
    <col min="24" max="24" width="10.73046875" bestFit="1" customWidth="1"/>
    <col min="25" max="25" width="11.73046875" customWidth="1"/>
    <col min="26" max="26" width="8.53125" customWidth="1"/>
    <col min="27" max="27" width="9.73046875" customWidth="1"/>
    <col min="28" max="28" width="11.73046875" bestFit="1" customWidth="1"/>
    <col min="29" max="29" width="10.73046875" customWidth="1"/>
    <col min="30" max="30" width="8.73046875" customWidth="1"/>
    <col min="31" max="31" width="11.73046875" customWidth="1"/>
    <col min="32" max="32" width="8.53125" customWidth="1"/>
    <col min="33" max="34" width="9.73046875" customWidth="1"/>
    <col min="35" max="35" width="8.73046875" customWidth="1"/>
    <col min="36" max="38" width="9.73046875" customWidth="1"/>
    <col min="39" max="39" width="11.73046875" customWidth="1"/>
    <col min="40" max="41" width="10.73046875" customWidth="1"/>
    <col min="42" max="42" width="11.73046875" customWidth="1"/>
    <col min="43" max="43" width="10.73046875" customWidth="1"/>
    <col min="44" max="44" width="9.73046875" customWidth="1"/>
    <col min="45" max="45" width="8.73046875" customWidth="1"/>
    <col min="46" max="46" width="11.73046875" customWidth="1"/>
    <col min="47" max="47" width="9.73046875" customWidth="1"/>
    <col min="48" max="48" width="8.53125" customWidth="1"/>
    <col min="49" max="49" width="8.73046875" customWidth="1"/>
    <col min="50" max="50" width="11.73046875" customWidth="1"/>
    <col min="51" max="51" width="10.73046875" customWidth="1"/>
    <col min="52" max="52" width="8.73046875" customWidth="1"/>
    <col min="53" max="53" width="9.73046875" customWidth="1"/>
    <col min="54" max="54" width="10.73046875" customWidth="1"/>
    <col min="55" max="55" width="11.73046875" customWidth="1"/>
    <col min="56" max="56" width="8.73046875" customWidth="1"/>
    <col min="57" max="57" width="9.73046875" customWidth="1"/>
    <col min="58" max="58" width="11.73046875" customWidth="1"/>
    <col min="59" max="59" width="9.73046875" customWidth="1"/>
    <col min="60" max="60" width="8.73046875" customWidth="1"/>
    <col min="61" max="62" width="11.73046875" customWidth="1"/>
    <col min="63" max="63" width="8.73046875" customWidth="1"/>
    <col min="64" max="64" width="8.53125" customWidth="1"/>
    <col min="65" max="67" width="11.73046875" customWidth="1"/>
    <col min="68" max="68" width="9.73046875" customWidth="1"/>
    <col min="69" max="69" width="11.73046875" customWidth="1"/>
    <col min="70" max="70" width="10.73046875" customWidth="1"/>
    <col min="71" max="71" width="8.53125" customWidth="1"/>
    <col min="72" max="72" width="11.73046875" customWidth="1"/>
    <col min="73" max="73" width="10.73046875" customWidth="1"/>
    <col min="74" max="74" width="11.73046875" customWidth="1"/>
    <col min="75" max="75" width="9.73046875" customWidth="1"/>
    <col min="76" max="76" width="10.73046875" customWidth="1"/>
    <col min="77" max="77" width="11.73046875" customWidth="1"/>
    <col min="78" max="78" width="11.73046875" bestFit="1" customWidth="1"/>
    <col min="79" max="80" width="10.73046875" customWidth="1"/>
    <col min="81" max="81" width="11.73046875" customWidth="1"/>
    <col min="82" max="82" width="10.73046875" customWidth="1"/>
    <col min="83" max="83" width="11.73046875" customWidth="1"/>
    <col min="84" max="84" width="8.73046875" customWidth="1"/>
    <col min="85" max="85" width="10.73046875" customWidth="1"/>
    <col min="86" max="86" width="9.73046875" customWidth="1"/>
    <col min="87" max="89" width="8.73046875" customWidth="1"/>
    <col min="90" max="90" width="11.73046875" bestFit="1" customWidth="1"/>
    <col min="91" max="91" width="16.265625" bestFit="1" customWidth="1"/>
    <col min="92" max="92" width="11.6640625" bestFit="1" customWidth="1"/>
    <col min="93" max="93" width="16.265625" bestFit="1" customWidth="1"/>
    <col min="94" max="94" width="11.6640625" bestFit="1" customWidth="1"/>
    <col min="95" max="95" width="16.265625" bestFit="1" customWidth="1"/>
    <col min="96" max="96" width="11.6640625" bestFit="1" customWidth="1"/>
    <col min="97" max="97" width="16.265625" bestFit="1" customWidth="1"/>
    <col min="98" max="98" width="11.6640625" bestFit="1" customWidth="1"/>
    <col min="99" max="99" width="16.265625" bestFit="1" customWidth="1"/>
    <col min="100" max="100" width="11.6640625" bestFit="1" customWidth="1"/>
    <col min="101" max="101" width="16.265625" bestFit="1" customWidth="1"/>
    <col min="102" max="102" width="11.6640625" bestFit="1" customWidth="1"/>
    <col min="103" max="103" width="16.265625" bestFit="1" customWidth="1"/>
    <col min="104" max="104" width="11.6640625" bestFit="1" customWidth="1"/>
    <col min="105" max="105" width="16.265625" bestFit="1" customWidth="1"/>
    <col min="106" max="106" width="11.6640625" bestFit="1" customWidth="1"/>
    <col min="107" max="107" width="16.265625" bestFit="1" customWidth="1"/>
    <col min="108" max="108" width="11.6640625" bestFit="1" customWidth="1"/>
    <col min="109" max="109" width="16.265625" bestFit="1" customWidth="1"/>
    <col min="110" max="110" width="11.6640625" bestFit="1" customWidth="1"/>
    <col min="111" max="111" width="16.265625" bestFit="1" customWidth="1"/>
    <col min="112" max="112" width="11.6640625" bestFit="1" customWidth="1"/>
    <col min="113" max="113" width="16.265625" bestFit="1" customWidth="1"/>
    <col min="114" max="114" width="11.6640625" bestFit="1" customWidth="1"/>
    <col min="115" max="115" width="16.265625" bestFit="1" customWidth="1"/>
    <col min="116" max="116" width="11.6640625" bestFit="1" customWidth="1"/>
    <col min="117" max="117" width="16.265625" bestFit="1" customWidth="1"/>
    <col min="118" max="118" width="11.6640625" bestFit="1" customWidth="1"/>
    <col min="119" max="119" width="16.265625" bestFit="1" customWidth="1"/>
    <col min="120" max="120" width="11.6640625" bestFit="1" customWidth="1"/>
    <col min="121" max="121" width="16.265625" bestFit="1" customWidth="1"/>
    <col min="122" max="122" width="11.6640625" bestFit="1" customWidth="1"/>
    <col min="123" max="123" width="16.265625" bestFit="1" customWidth="1"/>
    <col min="124" max="124" width="11.6640625" bestFit="1" customWidth="1"/>
    <col min="125" max="125" width="16.265625" bestFit="1" customWidth="1"/>
    <col min="126" max="126" width="11.6640625" bestFit="1" customWidth="1"/>
    <col min="127" max="127" width="16.265625" bestFit="1" customWidth="1"/>
    <col min="128" max="128" width="11.6640625" bestFit="1" customWidth="1"/>
    <col min="129" max="129" width="16.265625" bestFit="1" customWidth="1"/>
    <col min="130" max="130" width="11.6640625" bestFit="1" customWidth="1"/>
    <col min="131" max="131" width="16.265625" bestFit="1" customWidth="1"/>
    <col min="132" max="132" width="11.6640625" bestFit="1" customWidth="1"/>
    <col min="133" max="133" width="16.265625" bestFit="1" customWidth="1"/>
    <col min="134" max="134" width="11.6640625" bestFit="1" customWidth="1"/>
    <col min="135" max="135" width="16.265625" bestFit="1" customWidth="1"/>
    <col min="136" max="136" width="11.6640625" bestFit="1" customWidth="1"/>
    <col min="137" max="137" width="16.265625" bestFit="1" customWidth="1"/>
    <col min="138" max="138" width="11.6640625" bestFit="1" customWidth="1"/>
    <col min="139" max="139" width="16.265625" bestFit="1" customWidth="1"/>
    <col min="140" max="140" width="11.6640625" bestFit="1" customWidth="1"/>
    <col min="141" max="141" width="16.265625" bestFit="1" customWidth="1"/>
    <col min="142" max="142" width="11.6640625" bestFit="1" customWidth="1"/>
    <col min="143" max="143" width="16.265625" bestFit="1" customWidth="1"/>
    <col min="144" max="144" width="11.6640625" bestFit="1" customWidth="1"/>
    <col min="145" max="145" width="16.265625" bestFit="1" customWidth="1"/>
    <col min="146" max="146" width="11.6640625" bestFit="1" customWidth="1"/>
    <col min="147" max="147" width="16.265625" bestFit="1" customWidth="1"/>
    <col min="148" max="148" width="11.6640625" bestFit="1" customWidth="1"/>
    <col min="149" max="149" width="16.265625" bestFit="1" customWidth="1"/>
    <col min="150" max="150" width="11.6640625" bestFit="1" customWidth="1"/>
    <col min="151" max="151" width="16.265625" bestFit="1" customWidth="1"/>
    <col min="152" max="152" width="11.6640625" bestFit="1" customWidth="1"/>
    <col min="153" max="153" width="16.265625" bestFit="1" customWidth="1"/>
    <col min="154" max="154" width="11.6640625" bestFit="1" customWidth="1"/>
    <col min="155" max="155" width="16.265625" bestFit="1" customWidth="1"/>
    <col min="156" max="156" width="11.6640625" bestFit="1" customWidth="1"/>
    <col min="157" max="157" width="16.265625" bestFit="1" customWidth="1"/>
    <col min="158" max="158" width="11.6640625" bestFit="1" customWidth="1"/>
    <col min="159" max="159" width="16.265625" bestFit="1" customWidth="1"/>
    <col min="160" max="160" width="11.6640625" bestFit="1" customWidth="1"/>
    <col min="161" max="161" width="16.265625" bestFit="1" customWidth="1"/>
    <col min="162" max="162" width="11.6640625" bestFit="1" customWidth="1"/>
    <col min="163" max="163" width="16.265625" bestFit="1" customWidth="1"/>
    <col min="164" max="164" width="11.6640625" bestFit="1" customWidth="1"/>
    <col min="165" max="165" width="16.265625" bestFit="1" customWidth="1"/>
    <col min="166" max="166" width="11.6640625" bestFit="1" customWidth="1"/>
    <col min="167" max="167" width="16.265625" bestFit="1" customWidth="1"/>
    <col min="168" max="168" width="11.6640625" bestFit="1" customWidth="1"/>
    <col min="169" max="169" width="16.265625" bestFit="1" customWidth="1"/>
    <col min="170" max="170" width="11.6640625" bestFit="1" customWidth="1"/>
    <col min="171" max="171" width="16.265625" bestFit="1" customWidth="1"/>
    <col min="172" max="172" width="11.6640625" bestFit="1" customWidth="1"/>
    <col min="173" max="173" width="16.265625" bestFit="1" customWidth="1"/>
    <col min="174" max="174" width="11.6640625" bestFit="1" customWidth="1"/>
    <col min="175" max="175" width="16.265625" bestFit="1" customWidth="1"/>
    <col min="176" max="176" width="11.6640625" bestFit="1" customWidth="1"/>
    <col min="177" max="177" width="16.265625" bestFit="1" customWidth="1"/>
    <col min="178" max="178" width="10.19921875" bestFit="1" customWidth="1"/>
  </cols>
  <sheetData>
    <row r="3" spans="1:7" x14ac:dyDescent="0.45">
      <c r="A3" s="24" t="s">
        <v>1446</v>
      </c>
      <c r="B3" t="s">
        <v>1448</v>
      </c>
    </row>
    <row r="4" spans="1:7" x14ac:dyDescent="0.45">
      <c r="A4" s="25" t="s">
        <v>733</v>
      </c>
      <c r="B4" s="13">
        <v>1349164.1521660003</v>
      </c>
    </row>
    <row r="5" spans="1:7" x14ac:dyDescent="0.45">
      <c r="A5" s="26" t="s">
        <v>1080</v>
      </c>
      <c r="B5" s="28">
        <v>79082.507010000001</v>
      </c>
    </row>
    <row r="6" spans="1:7" x14ac:dyDescent="0.45">
      <c r="A6" s="26" t="s">
        <v>1053</v>
      </c>
      <c r="B6" s="28">
        <v>53034.364139999991</v>
      </c>
    </row>
    <row r="7" spans="1:7" x14ac:dyDescent="0.45">
      <c r="A7" s="26" t="s">
        <v>1288</v>
      </c>
      <c r="B7" s="28">
        <v>46450.26</v>
      </c>
    </row>
    <row r="8" spans="1:7" x14ac:dyDescent="0.45">
      <c r="A8" s="26" t="s">
        <v>1040</v>
      </c>
      <c r="B8" s="28">
        <v>43084.872000000003</v>
      </c>
    </row>
    <row r="9" spans="1:7" x14ac:dyDescent="0.45">
      <c r="A9" s="26" t="s">
        <v>752</v>
      </c>
      <c r="B9" s="28">
        <v>38096.18406</v>
      </c>
      <c r="G9" s="33" t="s">
        <v>1452</v>
      </c>
    </row>
    <row r="10" spans="1:7" x14ac:dyDescent="0.45">
      <c r="A10" s="26" t="s">
        <v>810</v>
      </c>
      <c r="B10" s="28">
        <v>35396.277799999996</v>
      </c>
      <c r="G10" s="32" t="s">
        <v>1453</v>
      </c>
    </row>
    <row r="11" spans="1:7" x14ac:dyDescent="0.45">
      <c r="A11" s="26" t="s">
        <v>1094</v>
      </c>
      <c r="B11" s="28">
        <v>35167.7448</v>
      </c>
      <c r="G11" s="31" t="s">
        <v>1454</v>
      </c>
    </row>
    <row r="12" spans="1:7" x14ac:dyDescent="0.45">
      <c r="A12" s="26" t="s">
        <v>1074</v>
      </c>
      <c r="B12" s="28">
        <v>34583.174496</v>
      </c>
    </row>
    <row r="13" spans="1:7" x14ac:dyDescent="0.45">
      <c r="A13" s="26" t="s">
        <v>831</v>
      </c>
      <c r="B13" s="28">
        <v>34139.159999999996</v>
      </c>
    </row>
    <row r="14" spans="1:7" x14ac:dyDescent="0.45">
      <c r="A14" s="26" t="s">
        <v>811</v>
      </c>
      <c r="B14" s="28">
        <v>33062.236480000007</v>
      </c>
    </row>
    <row r="15" spans="1:7" x14ac:dyDescent="0.45">
      <c r="A15" s="26" t="s">
        <v>876</v>
      </c>
      <c r="B15" s="28">
        <v>32086.37586</v>
      </c>
    </row>
    <row r="16" spans="1:7" x14ac:dyDescent="0.45">
      <c r="A16" s="26" t="s">
        <v>1175</v>
      </c>
      <c r="B16" s="28">
        <v>31513.085009999999</v>
      </c>
    </row>
    <row r="17" spans="1:2" x14ac:dyDescent="0.45">
      <c r="A17" s="26" t="s">
        <v>941</v>
      </c>
      <c r="B17" s="28">
        <v>28386.015839999996</v>
      </c>
    </row>
    <row r="18" spans="1:2" x14ac:dyDescent="0.45">
      <c r="A18" s="26" t="s">
        <v>1022</v>
      </c>
      <c r="B18" s="28">
        <v>26765.040239999998</v>
      </c>
    </row>
    <row r="19" spans="1:2" x14ac:dyDescent="0.45">
      <c r="A19" s="26" t="s">
        <v>921</v>
      </c>
      <c r="B19" s="28">
        <v>26759.28775</v>
      </c>
    </row>
    <row r="20" spans="1:2" x14ac:dyDescent="0.45">
      <c r="A20" s="26" t="s">
        <v>1086</v>
      </c>
      <c r="B20" s="28">
        <v>26552.60298</v>
      </c>
    </row>
    <row r="21" spans="1:2" x14ac:dyDescent="0.45">
      <c r="A21" s="26" t="s">
        <v>1171</v>
      </c>
      <c r="B21" s="28">
        <v>24278.849280000002</v>
      </c>
    </row>
    <row r="22" spans="1:2" x14ac:dyDescent="0.45">
      <c r="A22" s="26" t="s">
        <v>1142</v>
      </c>
      <c r="B22" s="28">
        <v>23668.560000000001</v>
      </c>
    </row>
    <row r="23" spans="1:2" x14ac:dyDescent="0.45">
      <c r="A23" s="26" t="s">
        <v>1026</v>
      </c>
      <c r="B23" s="28">
        <v>23375.594060000003</v>
      </c>
    </row>
    <row r="24" spans="1:2" x14ac:dyDescent="0.45">
      <c r="A24" s="26" t="s">
        <v>1089</v>
      </c>
      <c r="B24" s="28">
        <v>23195.01828</v>
      </c>
    </row>
    <row r="25" spans="1:2" x14ac:dyDescent="0.45">
      <c r="A25" s="26" t="s">
        <v>1212</v>
      </c>
      <c r="B25" s="28">
        <v>22620.859800000002</v>
      </c>
    </row>
    <row r="26" spans="1:2" x14ac:dyDescent="0.45">
      <c r="A26" s="26" t="s">
        <v>1255</v>
      </c>
      <c r="B26" s="28">
        <v>22526.66</v>
      </c>
    </row>
    <row r="27" spans="1:2" x14ac:dyDescent="0.45">
      <c r="A27" s="26" t="s">
        <v>1270</v>
      </c>
      <c r="B27" s="28">
        <v>20430.771599999996</v>
      </c>
    </row>
    <row r="28" spans="1:2" x14ac:dyDescent="0.45">
      <c r="A28" s="26" t="s">
        <v>1285</v>
      </c>
      <c r="B28" s="28">
        <v>20163.409200000002</v>
      </c>
    </row>
    <row r="29" spans="1:2" x14ac:dyDescent="0.45">
      <c r="A29" s="26" t="s">
        <v>827</v>
      </c>
      <c r="B29" s="28">
        <v>20079.343620000003</v>
      </c>
    </row>
    <row r="30" spans="1:2" x14ac:dyDescent="0.45">
      <c r="A30" s="26" t="s">
        <v>1184</v>
      </c>
      <c r="B30" s="28">
        <v>19628.476999999999</v>
      </c>
    </row>
    <row r="31" spans="1:2" x14ac:dyDescent="0.45">
      <c r="A31" s="26" t="s">
        <v>1024</v>
      </c>
      <c r="B31" s="28">
        <v>19066.045319999997</v>
      </c>
    </row>
    <row r="32" spans="1:2" x14ac:dyDescent="0.45">
      <c r="A32" s="26" t="s">
        <v>995</v>
      </c>
      <c r="B32" s="28">
        <v>17964.4038</v>
      </c>
    </row>
    <row r="33" spans="1:2" x14ac:dyDescent="0.45">
      <c r="A33" s="26" t="s">
        <v>943</v>
      </c>
      <c r="B33" s="28">
        <v>17847.907199999998</v>
      </c>
    </row>
    <row r="34" spans="1:2" x14ac:dyDescent="0.45">
      <c r="A34" s="26" t="s">
        <v>800</v>
      </c>
      <c r="B34" s="28">
        <v>16013.681599999998</v>
      </c>
    </row>
    <row r="35" spans="1:2" x14ac:dyDescent="0.45">
      <c r="A35" s="26" t="s">
        <v>744</v>
      </c>
      <c r="B35" s="28">
        <v>16006.14344</v>
      </c>
    </row>
    <row r="36" spans="1:2" x14ac:dyDescent="0.45">
      <c r="A36" s="26" t="s">
        <v>1286</v>
      </c>
      <c r="B36" s="28">
        <v>15860.782080000001</v>
      </c>
    </row>
    <row r="37" spans="1:2" x14ac:dyDescent="0.45">
      <c r="A37" s="26" t="s">
        <v>1279</v>
      </c>
      <c r="B37" s="28">
        <v>15530.929919999999</v>
      </c>
    </row>
    <row r="38" spans="1:2" x14ac:dyDescent="0.45">
      <c r="A38" s="26" t="s">
        <v>784</v>
      </c>
      <c r="B38" s="28">
        <v>14894.903999999999</v>
      </c>
    </row>
    <row r="39" spans="1:2" x14ac:dyDescent="0.45">
      <c r="A39" s="26" t="s">
        <v>1188</v>
      </c>
      <c r="B39" s="28">
        <v>14752.706080000002</v>
      </c>
    </row>
    <row r="40" spans="1:2" x14ac:dyDescent="0.45">
      <c r="A40" s="26" t="s">
        <v>904</v>
      </c>
      <c r="B40" s="28">
        <v>14549.029120000001</v>
      </c>
    </row>
    <row r="41" spans="1:2" x14ac:dyDescent="0.45">
      <c r="A41" s="26" t="s">
        <v>1128</v>
      </c>
      <c r="B41" s="28">
        <v>14431.738420000001</v>
      </c>
    </row>
    <row r="42" spans="1:2" x14ac:dyDescent="0.45">
      <c r="A42" s="26" t="s">
        <v>1338</v>
      </c>
      <c r="B42" s="28">
        <v>13856.52411</v>
      </c>
    </row>
    <row r="43" spans="1:2" x14ac:dyDescent="0.45">
      <c r="A43" s="26" t="s">
        <v>881</v>
      </c>
      <c r="B43" s="28">
        <v>13321.14</v>
      </c>
    </row>
    <row r="44" spans="1:2" x14ac:dyDescent="0.45">
      <c r="A44" s="26" t="s">
        <v>1291</v>
      </c>
      <c r="B44" s="28">
        <v>13108.78584</v>
      </c>
    </row>
    <row r="45" spans="1:2" x14ac:dyDescent="0.45">
      <c r="A45" s="26" t="s">
        <v>1033</v>
      </c>
      <c r="B45" s="28">
        <v>12699.28</v>
      </c>
    </row>
    <row r="46" spans="1:2" x14ac:dyDescent="0.45">
      <c r="A46" s="26" t="s">
        <v>1321</v>
      </c>
      <c r="B46" s="28">
        <v>12040.64352</v>
      </c>
    </row>
    <row r="47" spans="1:2" x14ac:dyDescent="0.45">
      <c r="A47" s="26" t="s">
        <v>1227</v>
      </c>
      <c r="B47" s="28">
        <v>11859.695119999998</v>
      </c>
    </row>
    <row r="48" spans="1:2" x14ac:dyDescent="0.45">
      <c r="A48" s="26" t="s">
        <v>1046</v>
      </c>
      <c r="B48" s="28">
        <v>11283.400799999999</v>
      </c>
    </row>
    <row r="49" spans="1:2" x14ac:dyDescent="0.45">
      <c r="A49" s="26" t="s">
        <v>888</v>
      </c>
      <c r="B49" s="28">
        <v>11015.510400000003</v>
      </c>
    </row>
    <row r="50" spans="1:2" x14ac:dyDescent="0.45">
      <c r="A50" s="26" t="s">
        <v>756</v>
      </c>
      <c r="B50" s="28">
        <v>10936.992</v>
      </c>
    </row>
    <row r="51" spans="1:2" x14ac:dyDescent="0.45">
      <c r="A51" s="26" t="s">
        <v>1149</v>
      </c>
      <c r="B51" s="28">
        <v>10893.6232</v>
      </c>
    </row>
    <row r="52" spans="1:2" x14ac:dyDescent="0.45">
      <c r="A52" s="26" t="s">
        <v>1355</v>
      </c>
      <c r="B52" s="28">
        <v>10693.88488</v>
      </c>
    </row>
    <row r="53" spans="1:2" x14ac:dyDescent="0.45">
      <c r="A53" s="26" t="s">
        <v>804</v>
      </c>
      <c r="B53" s="28">
        <v>10647.727199999999</v>
      </c>
    </row>
    <row r="54" spans="1:2" x14ac:dyDescent="0.45">
      <c r="A54" s="26" t="s">
        <v>919</v>
      </c>
      <c r="B54" s="28">
        <v>10388.429999999998</v>
      </c>
    </row>
    <row r="55" spans="1:2" x14ac:dyDescent="0.45">
      <c r="A55" s="26" t="s">
        <v>892</v>
      </c>
      <c r="B55" s="28">
        <v>10382.65884</v>
      </c>
    </row>
    <row r="56" spans="1:2" x14ac:dyDescent="0.45">
      <c r="A56" s="26" t="s">
        <v>1059</v>
      </c>
      <c r="B56" s="28">
        <v>9829.0483199999999</v>
      </c>
    </row>
    <row r="57" spans="1:2" x14ac:dyDescent="0.45">
      <c r="A57" s="26" t="s">
        <v>1322</v>
      </c>
      <c r="B57" s="28">
        <v>9022.35</v>
      </c>
    </row>
    <row r="58" spans="1:2" x14ac:dyDescent="0.45">
      <c r="A58" s="26" t="s">
        <v>1231</v>
      </c>
      <c r="B58" s="28">
        <v>8644.6696000000011</v>
      </c>
    </row>
    <row r="59" spans="1:2" x14ac:dyDescent="0.45">
      <c r="A59" s="26" t="s">
        <v>759</v>
      </c>
      <c r="B59" s="28">
        <v>8596.2905599999995</v>
      </c>
    </row>
    <row r="60" spans="1:2" x14ac:dyDescent="0.45">
      <c r="A60" s="26" t="s">
        <v>1326</v>
      </c>
      <c r="B60" s="28">
        <v>8366.02</v>
      </c>
    </row>
    <row r="61" spans="1:2" x14ac:dyDescent="0.45">
      <c r="A61" s="26" t="s">
        <v>1150</v>
      </c>
      <c r="B61" s="28">
        <v>7969.4615000000003</v>
      </c>
    </row>
    <row r="62" spans="1:2" x14ac:dyDescent="0.45">
      <c r="A62" s="26" t="s">
        <v>948</v>
      </c>
      <c r="B62" s="28">
        <v>7854.6693599999999</v>
      </c>
    </row>
    <row r="63" spans="1:2" x14ac:dyDescent="0.45">
      <c r="A63" s="26" t="s">
        <v>916</v>
      </c>
      <c r="B63" s="28">
        <v>7689.4560000000001</v>
      </c>
    </row>
    <row r="64" spans="1:2" x14ac:dyDescent="0.45">
      <c r="A64" s="26" t="s">
        <v>748</v>
      </c>
      <c r="B64" s="28">
        <v>7578.84</v>
      </c>
    </row>
    <row r="65" spans="1:2" x14ac:dyDescent="0.45">
      <c r="A65" s="26" t="s">
        <v>993</v>
      </c>
      <c r="B65" s="28">
        <v>7568.9632000000001</v>
      </c>
    </row>
    <row r="66" spans="1:2" x14ac:dyDescent="0.45">
      <c r="A66" s="26" t="s">
        <v>1225</v>
      </c>
      <c r="B66" s="28">
        <v>7507.4514899999995</v>
      </c>
    </row>
    <row r="67" spans="1:2" x14ac:dyDescent="0.45">
      <c r="A67" s="26" t="s">
        <v>1027</v>
      </c>
      <c r="B67" s="28">
        <v>7382.1450000000004</v>
      </c>
    </row>
    <row r="68" spans="1:2" x14ac:dyDescent="0.45">
      <c r="A68" s="26" t="s">
        <v>1004</v>
      </c>
      <c r="B68" s="28">
        <v>7235.2134999999998</v>
      </c>
    </row>
    <row r="69" spans="1:2" x14ac:dyDescent="0.45">
      <c r="A69" s="26" t="s">
        <v>1066</v>
      </c>
      <c r="B69" s="28">
        <v>7105.3528000000006</v>
      </c>
    </row>
    <row r="70" spans="1:2" x14ac:dyDescent="0.45">
      <c r="A70" s="26" t="s">
        <v>1310</v>
      </c>
      <c r="B70" s="28">
        <v>6732.4334000000008</v>
      </c>
    </row>
    <row r="71" spans="1:2" x14ac:dyDescent="0.45">
      <c r="A71" s="26" t="s">
        <v>1011</v>
      </c>
      <c r="B71" s="28">
        <v>6066.54648</v>
      </c>
    </row>
    <row r="72" spans="1:2" x14ac:dyDescent="0.45">
      <c r="A72" s="26" t="s">
        <v>837</v>
      </c>
      <c r="B72" s="28">
        <v>5960.3340000000007</v>
      </c>
    </row>
    <row r="73" spans="1:2" x14ac:dyDescent="0.45">
      <c r="A73" s="26" t="s">
        <v>1067</v>
      </c>
      <c r="B73" s="28">
        <v>5610.0923999999995</v>
      </c>
    </row>
    <row r="74" spans="1:2" x14ac:dyDescent="0.45">
      <c r="A74" s="26" t="s">
        <v>961</v>
      </c>
      <c r="B74" s="28">
        <v>5533.6230000000005</v>
      </c>
    </row>
    <row r="75" spans="1:2" x14ac:dyDescent="0.45">
      <c r="A75" s="26" t="s">
        <v>791</v>
      </c>
      <c r="B75" s="30">
        <v>4790.1068000000005</v>
      </c>
    </row>
    <row r="76" spans="1:2" x14ac:dyDescent="0.45">
      <c r="A76" s="26" t="s">
        <v>1275</v>
      </c>
      <c r="B76" s="30">
        <v>4737.2198399999997</v>
      </c>
    </row>
    <row r="77" spans="1:2" x14ac:dyDescent="0.45">
      <c r="A77" s="26" t="s">
        <v>1303</v>
      </c>
      <c r="B77" s="30">
        <v>4577.1480000000001</v>
      </c>
    </row>
    <row r="78" spans="1:2" x14ac:dyDescent="0.45">
      <c r="A78" s="26" t="s">
        <v>793</v>
      </c>
      <c r="B78" s="30">
        <v>4569.8508000000002</v>
      </c>
    </row>
    <row r="79" spans="1:2" x14ac:dyDescent="0.45">
      <c r="A79" s="26" t="s">
        <v>865</v>
      </c>
      <c r="B79" s="30">
        <v>4417.8334199999999</v>
      </c>
    </row>
    <row r="80" spans="1:2" x14ac:dyDescent="0.45">
      <c r="A80" s="26" t="s">
        <v>1092</v>
      </c>
      <c r="B80" s="30">
        <v>4071.8</v>
      </c>
    </row>
    <row r="81" spans="1:2" x14ac:dyDescent="0.45">
      <c r="A81" s="26" t="s">
        <v>1072</v>
      </c>
      <c r="B81" s="30">
        <v>3021.5016000000001</v>
      </c>
    </row>
    <row r="82" spans="1:2" x14ac:dyDescent="0.45">
      <c r="A82" s="26" t="s">
        <v>1199</v>
      </c>
      <c r="B82" s="30">
        <v>2719.8567000000003</v>
      </c>
    </row>
    <row r="83" spans="1:2" x14ac:dyDescent="0.45">
      <c r="A83" s="26" t="s">
        <v>847</v>
      </c>
      <c r="B83" s="30">
        <v>2117.4834999999998</v>
      </c>
    </row>
    <row r="84" spans="1:2" x14ac:dyDescent="0.45">
      <c r="A84" s="26" t="s">
        <v>1223</v>
      </c>
      <c r="B84" s="30">
        <v>1547.3500000000001</v>
      </c>
    </row>
    <row r="85" spans="1:2" x14ac:dyDescent="0.45">
      <c r="A85" s="26" t="s">
        <v>873</v>
      </c>
      <c r="B85" s="30">
        <v>1446.9507000000001</v>
      </c>
    </row>
    <row r="86" spans="1:2" x14ac:dyDescent="0.45">
      <c r="A86" s="26" t="s">
        <v>1352</v>
      </c>
      <c r="B86" s="30">
        <v>1030.7574</v>
      </c>
    </row>
    <row r="87" spans="1:2" x14ac:dyDescent="0.45">
      <c r="A87" s="26" t="s">
        <v>1250</v>
      </c>
      <c r="B87" s="30">
        <v>1010.3759200000001</v>
      </c>
    </row>
    <row r="88" spans="1:2" x14ac:dyDescent="0.45">
      <c r="A88" s="26" t="s">
        <v>1194</v>
      </c>
      <c r="B88" s="29">
        <v>930.17574000000002</v>
      </c>
    </row>
    <row r="89" spans="1:2" x14ac:dyDescent="0.45">
      <c r="A89" s="26" t="s">
        <v>955</v>
      </c>
      <c r="B89" s="29">
        <v>908.03700000000003</v>
      </c>
    </row>
    <row r="90" spans="1:2" x14ac:dyDescent="0.45">
      <c r="A90" s="26" t="s">
        <v>843</v>
      </c>
      <c r="B90" s="29">
        <v>549.80010000000004</v>
      </c>
    </row>
    <row r="91" spans="1:2" x14ac:dyDescent="0.45">
      <c r="A91" s="26" t="s">
        <v>792</v>
      </c>
      <c r="B91" s="29">
        <v>272.98599999999999</v>
      </c>
    </row>
    <row r="92" spans="1:2" x14ac:dyDescent="0.45">
      <c r="A92" s="26" t="s">
        <v>914</v>
      </c>
      <c r="B92" s="29">
        <v>18.659839999999999</v>
      </c>
    </row>
    <row r="93" spans="1:2" x14ac:dyDescent="0.45">
      <c r="A93" s="25" t="s">
        <v>727</v>
      </c>
      <c r="B93" s="13">
        <v>1564992.2440599992</v>
      </c>
    </row>
    <row r="94" spans="1:2" x14ac:dyDescent="0.45">
      <c r="A94" s="26" t="s">
        <v>971</v>
      </c>
      <c r="B94" s="28">
        <v>139277.83032000001</v>
      </c>
    </row>
    <row r="95" spans="1:2" x14ac:dyDescent="0.45">
      <c r="A95" s="26" t="s">
        <v>1198</v>
      </c>
      <c r="B95" s="28">
        <v>84136.119600000005</v>
      </c>
    </row>
    <row r="96" spans="1:2" x14ac:dyDescent="0.45">
      <c r="A96" s="26" t="s">
        <v>1125</v>
      </c>
      <c r="B96" s="28">
        <v>65930.791290000008</v>
      </c>
    </row>
    <row r="97" spans="1:2" x14ac:dyDescent="0.45">
      <c r="A97" s="26" t="s">
        <v>860</v>
      </c>
      <c r="B97" s="28">
        <v>65111.38614000001</v>
      </c>
    </row>
    <row r="98" spans="1:2" x14ac:dyDescent="0.45">
      <c r="A98" s="26" t="s">
        <v>743</v>
      </c>
      <c r="B98" s="28">
        <v>60928.502359999999</v>
      </c>
    </row>
    <row r="99" spans="1:2" x14ac:dyDescent="0.45">
      <c r="A99" s="26" t="s">
        <v>1245</v>
      </c>
      <c r="B99" s="28">
        <v>50296.415399999998</v>
      </c>
    </row>
    <row r="100" spans="1:2" x14ac:dyDescent="0.45">
      <c r="A100" s="26" t="s">
        <v>1351</v>
      </c>
      <c r="B100" s="28">
        <v>41419.524249999995</v>
      </c>
    </row>
    <row r="101" spans="1:2" x14ac:dyDescent="0.45">
      <c r="A101" s="26" t="s">
        <v>1361</v>
      </c>
      <c r="B101" s="28">
        <v>40476.013200000001</v>
      </c>
    </row>
    <row r="102" spans="1:2" x14ac:dyDescent="0.45">
      <c r="A102" s="26" t="s">
        <v>794</v>
      </c>
      <c r="B102" s="28">
        <v>33687.501800000005</v>
      </c>
    </row>
    <row r="103" spans="1:2" x14ac:dyDescent="0.45">
      <c r="A103" s="26" t="s">
        <v>1247</v>
      </c>
      <c r="B103" s="28">
        <v>33308.550000000003</v>
      </c>
    </row>
    <row r="104" spans="1:2" x14ac:dyDescent="0.45">
      <c r="A104" s="26" t="s">
        <v>1238</v>
      </c>
      <c r="B104" s="28">
        <v>32335.21802</v>
      </c>
    </row>
    <row r="105" spans="1:2" x14ac:dyDescent="0.45">
      <c r="A105" s="26" t="s">
        <v>795</v>
      </c>
      <c r="B105" s="28">
        <v>27701.570400000001</v>
      </c>
    </row>
    <row r="106" spans="1:2" x14ac:dyDescent="0.45">
      <c r="A106" s="26" t="s">
        <v>844</v>
      </c>
      <c r="B106" s="28">
        <v>27676.35</v>
      </c>
    </row>
    <row r="107" spans="1:2" x14ac:dyDescent="0.45">
      <c r="A107" s="26" t="s">
        <v>768</v>
      </c>
      <c r="B107" s="28">
        <v>27331.829999999998</v>
      </c>
    </row>
    <row r="108" spans="1:2" x14ac:dyDescent="0.45">
      <c r="A108" s="26" t="s">
        <v>1082</v>
      </c>
      <c r="B108" s="28">
        <v>27158.894079999998</v>
      </c>
    </row>
    <row r="109" spans="1:2" x14ac:dyDescent="0.45">
      <c r="A109" s="26" t="s">
        <v>1058</v>
      </c>
      <c r="B109" s="28">
        <v>26015.449459999996</v>
      </c>
    </row>
    <row r="110" spans="1:2" x14ac:dyDescent="0.45">
      <c r="A110" s="26" t="s">
        <v>1034</v>
      </c>
      <c r="B110" s="28">
        <v>25577.274079999999</v>
      </c>
    </row>
    <row r="111" spans="1:2" x14ac:dyDescent="0.45">
      <c r="A111" s="26" t="s">
        <v>1201</v>
      </c>
      <c r="B111" s="28">
        <v>25269.09</v>
      </c>
    </row>
    <row r="112" spans="1:2" x14ac:dyDescent="0.45">
      <c r="A112" s="26" t="s">
        <v>1319</v>
      </c>
      <c r="B112" s="28">
        <v>25131.155999999999</v>
      </c>
    </row>
    <row r="113" spans="1:2" x14ac:dyDescent="0.45">
      <c r="A113" s="26" t="s">
        <v>758</v>
      </c>
      <c r="B113" s="28">
        <v>24894.430559999997</v>
      </c>
    </row>
    <row r="114" spans="1:2" x14ac:dyDescent="0.45">
      <c r="A114" s="26" t="s">
        <v>1192</v>
      </c>
      <c r="B114" s="28">
        <v>24321.57</v>
      </c>
    </row>
    <row r="115" spans="1:2" x14ac:dyDescent="0.45">
      <c r="A115" s="26" t="s">
        <v>891</v>
      </c>
      <c r="B115" s="28">
        <v>24147.922500000001</v>
      </c>
    </row>
    <row r="116" spans="1:2" x14ac:dyDescent="0.45">
      <c r="A116" s="26" t="s">
        <v>1185</v>
      </c>
      <c r="B116" s="28">
        <v>23694.405119999999</v>
      </c>
    </row>
    <row r="117" spans="1:2" x14ac:dyDescent="0.45">
      <c r="A117" s="26" t="s">
        <v>994</v>
      </c>
      <c r="B117" s="28">
        <v>22882.675440000003</v>
      </c>
    </row>
    <row r="118" spans="1:2" x14ac:dyDescent="0.45">
      <c r="A118" s="26" t="s">
        <v>812</v>
      </c>
      <c r="B118" s="28">
        <v>21787.936199999996</v>
      </c>
    </row>
    <row r="119" spans="1:2" x14ac:dyDescent="0.45">
      <c r="A119" s="26" t="s">
        <v>1099</v>
      </c>
      <c r="B119" s="28">
        <v>21584.693520000001</v>
      </c>
    </row>
    <row r="120" spans="1:2" x14ac:dyDescent="0.45">
      <c r="A120" s="26" t="s">
        <v>1127</v>
      </c>
      <c r="B120" s="28">
        <v>19800.88896</v>
      </c>
    </row>
    <row r="121" spans="1:2" x14ac:dyDescent="0.45">
      <c r="A121" s="26" t="s">
        <v>990</v>
      </c>
      <c r="B121" s="28">
        <v>19073.059649999999</v>
      </c>
    </row>
    <row r="122" spans="1:2" x14ac:dyDescent="0.45">
      <c r="A122" s="26" t="s">
        <v>770</v>
      </c>
      <c r="B122" s="28">
        <v>18957.37689</v>
      </c>
    </row>
    <row r="123" spans="1:2" x14ac:dyDescent="0.45">
      <c r="A123" s="26" t="s">
        <v>1101</v>
      </c>
      <c r="B123" s="28">
        <v>18554.370299999999</v>
      </c>
    </row>
    <row r="124" spans="1:2" x14ac:dyDescent="0.45">
      <c r="A124" s="26" t="s">
        <v>944</v>
      </c>
      <c r="B124" s="28">
        <v>18061.204320000004</v>
      </c>
    </row>
    <row r="125" spans="1:2" x14ac:dyDescent="0.45">
      <c r="A125" s="26" t="s">
        <v>778</v>
      </c>
      <c r="B125" s="28">
        <v>17930.494560000003</v>
      </c>
    </row>
    <row r="126" spans="1:2" x14ac:dyDescent="0.45">
      <c r="A126" s="26" t="s">
        <v>1001</v>
      </c>
      <c r="B126" s="28">
        <v>17594.028880000002</v>
      </c>
    </row>
    <row r="127" spans="1:2" x14ac:dyDescent="0.45">
      <c r="A127" s="26" t="s">
        <v>1298</v>
      </c>
      <c r="B127" s="28">
        <v>17540.201120000002</v>
      </c>
    </row>
    <row r="128" spans="1:2" x14ac:dyDescent="0.45">
      <c r="A128" s="26" t="s">
        <v>1135</v>
      </c>
      <c r="B128" s="28">
        <v>16946.091840000001</v>
      </c>
    </row>
    <row r="129" spans="1:2" x14ac:dyDescent="0.45">
      <c r="A129" s="26" t="s">
        <v>1205</v>
      </c>
      <c r="B129" s="28">
        <v>15374.563199999999</v>
      </c>
    </row>
    <row r="130" spans="1:2" x14ac:dyDescent="0.45">
      <c r="A130" s="26" t="s">
        <v>1111</v>
      </c>
      <c r="B130" s="28">
        <v>15348.702599999999</v>
      </c>
    </row>
    <row r="131" spans="1:2" x14ac:dyDescent="0.45">
      <c r="A131" s="26" t="s">
        <v>968</v>
      </c>
      <c r="B131" s="28">
        <v>14269.848599999999</v>
      </c>
    </row>
    <row r="132" spans="1:2" x14ac:dyDescent="0.45">
      <c r="A132" s="26" t="s">
        <v>820</v>
      </c>
      <c r="B132" s="28">
        <v>14197.064400000001</v>
      </c>
    </row>
    <row r="133" spans="1:2" x14ac:dyDescent="0.45">
      <c r="A133" s="26" t="s">
        <v>1358</v>
      </c>
      <c r="B133" s="28">
        <v>13983.752729999998</v>
      </c>
    </row>
    <row r="134" spans="1:2" x14ac:dyDescent="0.45">
      <c r="A134" s="26" t="s">
        <v>954</v>
      </c>
      <c r="B134" s="28">
        <v>13519.529099999998</v>
      </c>
    </row>
    <row r="135" spans="1:2" x14ac:dyDescent="0.45">
      <c r="A135" s="26" t="s">
        <v>1131</v>
      </c>
      <c r="B135" s="28">
        <v>13185.543</v>
      </c>
    </row>
    <row r="136" spans="1:2" x14ac:dyDescent="0.45">
      <c r="A136" s="26" t="s">
        <v>819</v>
      </c>
      <c r="B136" s="28">
        <v>13146.470699999998</v>
      </c>
    </row>
    <row r="137" spans="1:2" x14ac:dyDescent="0.45">
      <c r="A137" s="26" t="s">
        <v>984</v>
      </c>
      <c r="B137" s="28">
        <v>12186.368600000002</v>
      </c>
    </row>
    <row r="138" spans="1:2" x14ac:dyDescent="0.45">
      <c r="A138" s="26" t="s">
        <v>839</v>
      </c>
      <c r="B138" s="28">
        <v>12080.215199999999</v>
      </c>
    </row>
    <row r="139" spans="1:2" x14ac:dyDescent="0.45">
      <c r="A139" s="26" t="s">
        <v>771</v>
      </c>
      <c r="B139" s="28">
        <v>11995.153920000001</v>
      </c>
    </row>
    <row r="140" spans="1:2" x14ac:dyDescent="0.45">
      <c r="A140" s="26" t="s">
        <v>1323</v>
      </c>
      <c r="B140" s="28">
        <v>11742.8703</v>
      </c>
    </row>
    <row r="141" spans="1:2" x14ac:dyDescent="0.45">
      <c r="A141" s="26" t="s">
        <v>1023</v>
      </c>
      <c r="B141" s="28">
        <v>10456.416880000001</v>
      </c>
    </row>
    <row r="142" spans="1:2" x14ac:dyDescent="0.45">
      <c r="A142" s="26" t="s">
        <v>764</v>
      </c>
      <c r="B142" s="28">
        <v>9805.8573800000013</v>
      </c>
    </row>
    <row r="143" spans="1:2" x14ac:dyDescent="0.45">
      <c r="A143" s="26" t="s">
        <v>870</v>
      </c>
      <c r="B143" s="28">
        <v>9698.1638399999993</v>
      </c>
    </row>
    <row r="144" spans="1:2" x14ac:dyDescent="0.45">
      <c r="A144" s="26" t="s">
        <v>803</v>
      </c>
      <c r="B144" s="28">
        <v>8930.7124999999996</v>
      </c>
    </row>
    <row r="145" spans="1:2" x14ac:dyDescent="0.45">
      <c r="A145" s="26" t="s">
        <v>905</v>
      </c>
      <c r="B145" s="28">
        <v>8928.9795999999988</v>
      </c>
    </row>
    <row r="146" spans="1:2" x14ac:dyDescent="0.45">
      <c r="A146" s="26" t="s">
        <v>859</v>
      </c>
      <c r="B146" s="28">
        <v>8909.8587200000002</v>
      </c>
    </row>
    <row r="147" spans="1:2" x14ac:dyDescent="0.45">
      <c r="A147" s="26" t="s">
        <v>1028</v>
      </c>
      <c r="B147" s="28">
        <v>8903.4839999999986</v>
      </c>
    </row>
    <row r="148" spans="1:2" x14ac:dyDescent="0.45">
      <c r="A148" s="26" t="s">
        <v>1049</v>
      </c>
      <c r="B148" s="28">
        <v>8780.5809000000008</v>
      </c>
    </row>
    <row r="149" spans="1:2" x14ac:dyDescent="0.45">
      <c r="A149" s="26" t="s">
        <v>1328</v>
      </c>
      <c r="B149" s="28">
        <v>8128.5187499999993</v>
      </c>
    </row>
    <row r="150" spans="1:2" x14ac:dyDescent="0.45">
      <c r="A150" s="26" t="s">
        <v>1137</v>
      </c>
      <c r="B150" s="28">
        <v>7832.0010999999995</v>
      </c>
    </row>
    <row r="151" spans="1:2" x14ac:dyDescent="0.45">
      <c r="A151" s="26" t="s">
        <v>1253</v>
      </c>
      <c r="B151" s="28">
        <v>7399.4832000000006</v>
      </c>
    </row>
    <row r="152" spans="1:2" x14ac:dyDescent="0.45">
      <c r="A152" s="26" t="s">
        <v>1170</v>
      </c>
      <c r="B152" s="28">
        <v>7340.3891399999993</v>
      </c>
    </row>
    <row r="153" spans="1:2" x14ac:dyDescent="0.45">
      <c r="A153" s="26" t="s">
        <v>809</v>
      </c>
      <c r="B153" s="28">
        <v>6874.4828600000001</v>
      </c>
    </row>
    <row r="154" spans="1:2" x14ac:dyDescent="0.45">
      <c r="A154" s="26" t="s">
        <v>1293</v>
      </c>
      <c r="B154" s="28">
        <v>6766.9829999999993</v>
      </c>
    </row>
    <row r="155" spans="1:2" x14ac:dyDescent="0.45">
      <c r="A155" s="26" t="s">
        <v>940</v>
      </c>
      <c r="B155" s="28">
        <v>6702.3501999999999</v>
      </c>
    </row>
    <row r="156" spans="1:2" x14ac:dyDescent="0.45">
      <c r="A156" s="26" t="s">
        <v>1224</v>
      </c>
      <c r="B156" s="28">
        <v>6664.0999999999995</v>
      </c>
    </row>
    <row r="157" spans="1:2" x14ac:dyDescent="0.45">
      <c r="A157" s="26" t="s">
        <v>1257</v>
      </c>
      <c r="B157" s="28">
        <v>6435.2555999999995</v>
      </c>
    </row>
    <row r="158" spans="1:2" x14ac:dyDescent="0.45">
      <c r="A158" s="26" t="s">
        <v>835</v>
      </c>
      <c r="B158" s="28">
        <v>6324.5775999999996</v>
      </c>
    </row>
    <row r="159" spans="1:2" x14ac:dyDescent="0.45">
      <c r="A159" s="26" t="s">
        <v>1313</v>
      </c>
      <c r="B159" s="28">
        <v>6137.8019999999988</v>
      </c>
    </row>
    <row r="160" spans="1:2" x14ac:dyDescent="0.45">
      <c r="A160" s="26" t="s">
        <v>1218</v>
      </c>
      <c r="B160" s="28">
        <v>6063.2517199999993</v>
      </c>
    </row>
    <row r="161" spans="1:2" x14ac:dyDescent="0.45">
      <c r="A161" s="26" t="s">
        <v>808</v>
      </c>
      <c r="B161" s="28">
        <v>5940.2834400000002</v>
      </c>
    </row>
    <row r="162" spans="1:2" x14ac:dyDescent="0.45">
      <c r="A162" s="26" t="s">
        <v>895</v>
      </c>
      <c r="B162" s="28">
        <v>5650.1744000000008</v>
      </c>
    </row>
    <row r="163" spans="1:2" x14ac:dyDescent="0.45">
      <c r="A163" s="26" t="s">
        <v>816</v>
      </c>
      <c r="B163" s="28">
        <v>5331.6696000000002</v>
      </c>
    </row>
    <row r="164" spans="1:2" x14ac:dyDescent="0.45">
      <c r="A164" s="26" t="s">
        <v>746</v>
      </c>
      <c r="B164" s="28">
        <v>4968.5039999999999</v>
      </c>
    </row>
    <row r="165" spans="1:2" x14ac:dyDescent="0.45">
      <c r="A165" s="26" t="s">
        <v>734</v>
      </c>
      <c r="B165" s="28">
        <v>4866.3287999999993</v>
      </c>
    </row>
    <row r="166" spans="1:2" x14ac:dyDescent="0.45">
      <c r="A166" s="26" t="s">
        <v>956</v>
      </c>
      <c r="B166" s="30">
        <v>4503.4363999999996</v>
      </c>
    </row>
    <row r="167" spans="1:2" x14ac:dyDescent="0.45">
      <c r="A167" s="26" t="s">
        <v>1210</v>
      </c>
      <c r="B167" s="30">
        <v>4212.3745999999992</v>
      </c>
    </row>
    <row r="168" spans="1:2" x14ac:dyDescent="0.45">
      <c r="A168" s="26" t="s">
        <v>1244</v>
      </c>
      <c r="B168" s="30">
        <v>3525.5505600000001</v>
      </c>
    </row>
    <row r="169" spans="1:2" x14ac:dyDescent="0.45">
      <c r="A169" s="26" t="s">
        <v>1302</v>
      </c>
      <c r="B169" s="30">
        <v>3378.1478400000001</v>
      </c>
    </row>
    <row r="170" spans="1:2" x14ac:dyDescent="0.45">
      <c r="A170" s="26" t="s">
        <v>1060</v>
      </c>
      <c r="B170" s="30">
        <v>2373.9623200000001</v>
      </c>
    </row>
    <row r="171" spans="1:2" x14ac:dyDescent="0.45">
      <c r="A171" s="26" t="s">
        <v>903</v>
      </c>
      <c r="B171" s="30">
        <v>2316.2621999999997</v>
      </c>
    </row>
    <row r="172" spans="1:2" x14ac:dyDescent="0.45">
      <c r="A172" s="26" t="s">
        <v>1341</v>
      </c>
      <c r="B172" s="30">
        <v>2077.46</v>
      </c>
    </row>
    <row r="173" spans="1:2" x14ac:dyDescent="0.45">
      <c r="A173" s="26" t="s">
        <v>858</v>
      </c>
      <c r="B173" s="30">
        <v>2072.9258400000003</v>
      </c>
    </row>
    <row r="174" spans="1:2" x14ac:dyDescent="0.45">
      <c r="A174" s="26" t="s">
        <v>1197</v>
      </c>
      <c r="B174" s="30">
        <v>1808.04592</v>
      </c>
    </row>
    <row r="175" spans="1:2" x14ac:dyDescent="0.45">
      <c r="A175" s="26" t="s">
        <v>1193</v>
      </c>
      <c r="B175" s="30">
        <v>1662.6945600000001</v>
      </c>
    </row>
    <row r="176" spans="1:2" x14ac:dyDescent="0.45">
      <c r="A176" s="26" t="s">
        <v>821</v>
      </c>
      <c r="B176" s="30">
        <v>1654.8966000000003</v>
      </c>
    </row>
    <row r="177" spans="1:2" x14ac:dyDescent="0.45">
      <c r="A177" s="26" t="s">
        <v>1252</v>
      </c>
      <c r="B177" s="30">
        <v>855.72881999999993</v>
      </c>
    </row>
    <row r="178" spans="1:2" x14ac:dyDescent="0.45">
      <c r="A178" s="26" t="s">
        <v>861</v>
      </c>
      <c r="B178" s="30">
        <v>853.32276999999988</v>
      </c>
    </row>
    <row r="179" spans="1:2" x14ac:dyDescent="0.45">
      <c r="A179" s="26" t="s">
        <v>1057</v>
      </c>
      <c r="B179" s="30">
        <v>703.2428000000001</v>
      </c>
    </row>
    <row r="180" spans="1:2" x14ac:dyDescent="0.45">
      <c r="A180" s="26" t="s">
        <v>964</v>
      </c>
      <c r="B180" s="29">
        <v>667.15008</v>
      </c>
    </row>
    <row r="181" spans="1:2" x14ac:dyDescent="0.45">
      <c r="A181" s="26" t="s">
        <v>1307</v>
      </c>
      <c r="B181" s="29">
        <v>496.98660000000001</v>
      </c>
    </row>
    <row r="182" spans="1:2" x14ac:dyDescent="0.45">
      <c r="A182" s="26" t="s">
        <v>911</v>
      </c>
      <c r="B182" s="29">
        <v>321.93290999999999</v>
      </c>
    </row>
    <row r="183" spans="1:2" x14ac:dyDescent="0.45">
      <c r="A183" s="26" t="s">
        <v>906</v>
      </c>
      <c r="B183" s="29">
        <v>97.0154</v>
      </c>
    </row>
    <row r="184" spans="1:2" x14ac:dyDescent="0.45">
      <c r="A184" s="25" t="s">
        <v>731</v>
      </c>
      <c r="B184" s="13">
        <v>1711094.3776</v>
      </c>
    </row>
    <row r="185" spans="1:2" x14ac:dyDescent="0.45">
      <c r="A185" s="26" t="s">
        <v>1155</v>
      </c>
      <c r="B185" s="28">
        <v>102122.94203999999</v>
      </c>
    </row>
    <row r="186" spans="1:2" x14ac:dyDescent="0.45">
      <c r="A186" s="26" t="s">
        <v>1096</v>
      </c>
      <c r="B186" s="28">
        <v>82514.711519999997</v>
      </c>
    </row>
    <row r="187" spans="1:2" x14ac:dyDescent="0.45">
      <c r="A187" s="26" t="s">
        <v>851</v>
      </c>
      <c r="B187" s="28">
        <v>65119.329599999997</v>
      </c>
    </row>
    <row r="188" spans="1:2" x14ac:dyDescent="0.45">
      <c r="A188" s="26" t="s">
        <v>1121</v>
      </c>
      <c r="B188" s="28">
        <v>65066.934229999999</v>
      </c>
    </row>
    <row r="189" spans="1:2" x14ac:dyDescent="0.45">
      <c r="A189" s="26" t="s">
        <v>1254</v>
      </c>
      <c r="B189" s="28">
        <v>64192.976999999999</v>
      </c>
    </row>
    <row r="190" spans="1:2" x14ac:dyDescent="0.45">
      <c r="A190" s="26" t="s">
        <v>1261</v>
      </c>
      <c r="B190" s="28">
        <v>58526.83122</v>
      </c>
    </row>
    <row r="191" spans="1:2" x14ac:dyDescent="0.45">
      <c r="A191" s="26" t="s">
        <v>1164</v>
      </c>
      <c r="B191" s="28">
        <v>58057.65</v>
      </c>
    </row>
    <row r="192" spans="1:2" x14ac:dyDescent="0.45">
      <c r="A192" s="26" t="s">
        <v>1299</v>
      </c>
      <c r="B192" s="28">
        <v>44173.627960000005</v>
      </c>
    </row>
    <row r="193" spans="1:2" x14ac:dyDescent="0.45">
      <c r="A193" s="26" t="s">
        <v>1267</v>
      </c>
      <c r="B193" s="28">
        <v>42433.254400000005</v>
      </c>
    </row>
    <row r="194" spans="1:2" x14ac:dyDescent="0.45">
      <c r="A194" s="26" t="s">
        <v>1211</v>
      </c>
      <c r="B194" s="28">
        <v>41914.215840000004</v>
      </c>
    </row>
    <row r="195" spans="1:2" x14ac:dyDescent="0.45">
      <c r="A195" s="26" t="s">
        <v>1315</v>
      </c>
      <c r="B195" s="28">
        <v>40563.321749999996</v>
      </c>
    </row>
    <row r="196" spans="1:2" x14ac:dyDescent="0.45">
      <c r="A196" s="26" t="s">
        <v>998</v>
      </c>
      <c r="B196" s="28">
        <v>40139.874619999995</v>
      </c>
    </row>
    <row r="197" spans="1:2" x14ac:dyDescent="0.45">
      <c r="A197" s="26" t="s">
        <v>753</v>
      </c>
      <c r="B197" s="28">
        <v>39263.702919999996</v>
      </c>
    </row>
    <row r="198" spans="1:2" x14ac:dyDescent="0.45">
      <c r="A198" s="26" t="s">
        <v>1215</v>
      </c>
      <c r="B198" s="28">
        <v>36161.097000000002</v>
      </c>
    </row>
    <row r="199" spans="1:2" x14ac:dyDescent="0.45">
      <c r="A199" s="26" t="s">
        <v>976</v>
      </c>
      <c r="B199" s="28">
        <v>34082.864639999993</v>
      </c>
    </row>
    <row r="200" spans="1:2" x14ac:dyDescent="0.45">
      <c r="A200" s="26" t="s">
        <v>1332</v>
      </c>
      <c r="B200" s="28">
        <v>33938.142760000002</v>
      </c>
    </row>
    <row r="201" spans="1:2" x14ac:dyDescent="0.45">
      <c r="A201" s="26" t="s">
        <v>907</v>
      </c>
      <c r="B201" s="28">
        <v>31556.187599999997</v>
      </c>
    </row>
    <row r="202" spans="1:2" x14ac:dyDescent="0.45">
      <c r="A202" s="26" t="s">
        <v>1159</v>
      </c>
      <c r="B202" s="28">
        <v>30435.614999999998</v>
      </c>
    </row>
    <row r="203" spans="1:2" x14ac:dyDescent="0.45">
      <c r="A203" s="26" t="s">
        <v>845</v>
      </c>
      <c r="B203" s="28">
        <v>30151.675319999998</v>
      </c>
    </row>
    <row r="204" spans="1:2" x14ac:dyDescent="0.45">
      <c r="A204" s="26" t="s">
        <v>790</v>
      </c>
      <c r="B204" s="28">
        <v>29659.68995</v>
      </c>
    </row>
    <row r="205" spans="1:2" x14ac:dyDescent="0.45">
      <c r="A205" s="26" t="s">
        <v>1063</v>
      </c>
      <c r="B205" s="28">
        <v>27756.432000000001</v>
      </c>
    </row>
    <row r="206" spans="1:2" x14ac:dyDescent="0.45">
      <c r="A206" s="26" t="s">
        <v>798</v>
      </c>
      <c r="B206" s="28">
        <v>26304.275999999998</v>
      </c>
    </row>
    <row r="207" spans="1:2" x14ac:dyDescent="0.45">
      <c r="A207" s="26" t="s">
        <v>833</v>
      </c>
      <c r="B207" s="28">
        <v>25502.910479999999</v>
      </c>
    </row>
    <row r="208" spans="1:2" x14ac:dyDescent="0.45">
      <c r="A208" s="26" t="s">
        <v>926</v>
      </c>
      <c r="B208" s="28">
        <v>24374.594880000001</v>
      </c>
    </row>
    <row r="209" spans="1:2" x14ac:dyDescent="0.45">
      <c r="A209" s="26" t="s">
        <v>989</v>
      </c>
      <c r="B209" s="28">
        <v>24161.205600000001</v>
      </c>
    </row>
    <row r="210" spans="1:2" x14ac:dyDescent="0.45">
      <c r="A210" s="26" t="s">
        <v>754</v>
      </c>
      <c r="B210" s="28">
        <v>23782.310720000001</v>
      </c>
    </row>
    <row r="211" spans="1:2" x14ac:dyDescent="0.45">
      <c r="A211" s="26" t="s">
        <v>1118</v>
      </c>
      <c r="B211" s="28">
        <v>22064.910300000003</v>
      </c>
    </row>
    <row r="212" spans="1:2" x14ac:dyDescent="0.45">
      <c r="A212" s="26" t="s">
        <v>885</v>
      </c>
      <c r="B212" s="28">
        <v>21572.590500000002</v>
      </c>
    </row>
    <row r="213" spans="1:2" x14ac:dyDescent="0.45">
      <c r="A213" s="26" t="s">
        <v>1029</v>
      </c>
      <c r="B213" s="28">
        <v>20455.985130000001</v>
      </c>
    </row>
    <row r="214" spans="1:2" x14ac:dyDescent="0.45">
      <c r="A214" s="26" t="s">
        <v>757</v>
      </c>
      <c r="B214" s="28">
        <v>20225.2248</v>
      </c>
    </row>
    <row r="215" spans="1:2" x14ac:dyDescent="0.45">
      <c r="A215" s="26" t="s">
        <v>806</v>
      </c>
      <c r="B215" s="28">
        <v>20171.63305</v>
      </c>
    </row>
    <row r="216" spans="1:2" x14ac:dyDescent="0.45">
      <c r="A216" s="26" t="s">
        <v>1120</v>
      </c>
      <c r="B216" s="28">
        <v>19773.362699999998</v>
      </c>
    </row>
    <row r="217" spans="1:2" x14ac:dyDescent="0.45">
      <c r="A217" s="26" t="s">
        <v>1273</v>
      </c>
      <c r="B217" s="28">
        <v>19581.87</v>
      </c>
    </row>
    <row r="218" spans="1:2" x14ac:dyDescent="0.45">
      <c r="A218" s="26" t="s">
        <v>924</v>
      </c>
      <c r="B218" s="28">
        <v>19542.975350000001</v>
      </c>
    </row>
    <row r="219" spans="1:2" x14ac:dyDescent="0.45">
      <c r="A219" s="26" t="s">
        <v>1305</v>
      </c>
      <c r="B219" s="28">
        <v>19139.594240000002</v>
      </c>
    </row>
    <row r="220" spans="1:2" x14ac:dyDescent="0.45">
      <c r="A220" s="26" t="s">
        <v>1130</v>
      </c>
      <c r="B220" s="28">
        <v>18641.222160000001</v>
      </c>
    </row>
    <row r="221" spans="1:2" x14ac:dyDescent="0.45">
      <c r="A221" s="26" t="s">
        <v>985</v>
      </c>
      <c r="B221" s="28">
        <v>17453.3436</v>
      </c>
    </row>
    <row r="222" spans="1:2" x14ac:dyDescent="0.45">
      <c r="A222" s="26" t="s">
        <v>1018</v>
      </c>
      <c r="B222" s="28">
        <v>15505.479600000001</v>
      </c>
    </row>
    <row r="223" spans="1:2" x14ac:dyDescent="0.45">
      <c r="A223" s="26" t="s">
        <v>958</v>
      </c>
      <c r="B223" s="28">
        <v>15490.527</v>
      </c>
    </row>
    <row r="224" spans="1:2" x14ac:dyDescent="0.45">
      <c r="A224" s="26" t="s">
        <v>1158</v>
      </c>
      <c r="B224" s="28">
        <v>15366.983199999999</v>
      </c>
    </row>
    <row r="225" spans="1:2" x14ac:dyDescent="0.45">
      <c r="A225" s="26" t="s">
        <v>1268</v>
      </c>
      <c r="B225" s="28">
        <v>15155.326800000001</v>
      </c>
    </row>
    <row r="226" spans="1:2" x14ac:dyDescent="0.45">
      <c r="A226" s="26" t="s">
        <v>1327</v>
      </c>
      <c r="B226" s="28">
        <v>14910.609600000002</v>
      </c>
    </row>
    <row r="227" spans="1:2" x14ac:dyDescent="0.45">
      <c r="A227" s="26" t="s">
        <v>900</v>
      </c>
      <c r="B227" s="28">
        <v>14448.298699999998</v>
      </c>
    </row>
    <row r="228" spans="1:2" x14ac:dyDescent="0.45">
      <c r="A228" s="26" t="s">
        <v>1276</v>
      </c>
      <c r="B228" s="28">
        <v>14114.068500000001</v>
      </c>
    </row>
    <row r="229" spans="1:2" x14ac:dyDescent="0.45">
      <c r="A229" s="26" t="s">
        <v>1102</v>
      </c>
      <c r="B229" s="28">
        <v>13784.586000000001</v>
      </c>
    </row>
    <row r="230" spans="1:2" x14ac:dyDescent="0.45">
      <c r="A230" s="26" t="s">
        <v>836</v>
      </c>
      <c r="B230" s="28">
        <v>13669.81</v>
      </c>
    </row>
    <row r="231" spans="1:2" x14ac:dyDescent="0.45">
      <c r="A231" s="26" t="s">
        <v>1079</v>
      </c>
      <c r="B231" s="28">
        <v>13637.287999999999</v>
      </c>
    </row>
    <row r="232" spans="1:2" x14ac:dyDescent="0.45">
      <c r="A232" s="26" t="s">
        <v>767</v>
      </c>
      <c r="B232" s="28">
        <v>13218.5</v>
      </c>
    </row>
    <row r="233" spans="1:2" x14ac:dyDescent="0.45">
      <c r="A233" s="26" t="s">
        <v>879</v>
      </c>
      <c r="B233" s="28">
        <v>12954.358080000002</v>
      </c>
    </row>
    <row r="234" spans="1:2" x14ac:dyDescent="0.45">
      <c r="A234" s="26" t="s">
        <v>838</v>
      </c>
      <c r="B234" s="28">
        <v>12335.654849999999</v>
      </c>
    </row>
    <row r="235" spans="1:2" x14ac:dyDescent="0.45">
      <c r="A235" s="26" t="s">
        <v>1083</v>
      </c>
      <c r="B235" s="28">
        <v>12236.874600000001</v>
      </c>
    </row>
    <row r="236" spans="1:2" x14ac:dyDescent="0.45">
      <c r="A236" s="26" t="s">
        <v>1017</v>
      </c>
      <c r="B236" s="28">
        <v>11696.156879999999</v>
      </c>
    </row>
    <row r="237" spans="1:2" x14ac:dyDescent="0.45">
      <c r="A237" s="26" t="s">
        <v>1248</v>
      </c>
      <c r="B237" s="28">
        <v>10859.64</v>
      </c>
    </row>
    <row r="238" spans="1:2" x14ac:dyDescent="0.45">
      <c r="A238" s="26" t="s">
        <v>1043</v>
      </c>
      <c r="B238" s="28">
        <v>9847.2358600000007</v>
      </c>
    </row>
    <row r="239" spans="1:2" x14ac:dyDescent="0.45">
      <c r="A239" s="26" t="s">
        <v>980</v>
      </c>
      <c r="B239" s="28">
        <v>9774.3888000000006</v>
      </c>
    </row>
    <row r="240" spans="1:2" x14ac:dyDescent="0.45">
      <c r="A240" s="26" t="s">
        <v>1179</v>
      </c>
      <c r="B240" s="28">
        <v>9771.4483199999995</v>
      </c>
    </row>
    <row r="241" spans="1:2" x14ac:dyDescent="0.45">
      <c r="A241" s="26" t="s">
        <v>1013</v>
      </c>
      <c r="B241" s="28">
        <v>8907.6924999999992</v>
      </c>
    </row>
    <row r="242" spans="1:2" x14ac:dyDescent="0.45">
      <c r="A242" s="26" t="s">
        <v>1009</v>
      </c>
      <c r="B242" s="28">
        <v>8567.3924999999999</v>
      </c>
    </row>
    <row r="243" spans="1:2" x14ac:dyDescent="0.45">
      <c r="A243" s="26" t="s">
        <v>866</v>
      </c>
      <c r="B243" s="28">
        <v>8336.8896000000004</v>
      </c>
    </row>
    <row r="244" spans="1:2" x14ac:dyDescent="0.45">
      <c r="A244" s="26" t="s">
        <v>1242</v>
      </c>
      <c r="B244" s="28">
        <v>8297.4286000000011</v>
      </c>
    </row>
    <row r="245" spans="1:2" x14ac:dyDescent="0.45">
      <c r="A245" s="26" t="s">
        <v>1191</v>
      </c>
      <c r="B245" s="28">
        <v>7643.2649999999994</v>
      </c>
    </row>
    <row r="246" spans="1:2" x14ac:dyDescent="0.45">
      <c r="A246" s="26" t="s">
        <v>749</v>
      </c>
      <c r="B246" s="28">
        <v>7090.5672000000004</v>
      </c>
    </row>
    <row r="247" spans="1:2" x14ac:dyDescent="0.45">
      <c r="A247" s="26" t="s">
        <v>1337</v>
      </c>
      <c r="B247" s="28">
        <v>7071.6331400000008</v>
      </c>
    </row>
    <row r="248" spans="1:2" x14ac:dyDescent="0.45">
      <c r="A248" s="26" t="s">
        <v>805</v>
      </c>
      <c r="B248" s="28">
        <v>6393.0952799999995</v>
      </c>
    </row>
    <row r="249" spans="1:2" x14ac:dyDescent="0.45">
      <c r="A249" s="26" t="s">
        <v>1038</v>
      </c>
      <c r="B249" s="28">
        <v>5932.7856000000002</v>
      </c>
    </row>
    <row r="250" spans="1:2" x14ac:dyDescent="0.45">
      <c r="A250" s="26" t="s">
        <v>786</v>
      </c>
      <c r="B250" s="30">
        <v>5785.8</v>
      </c>
    </row>
    <row r="251" spans="1:2" x14ac:dyDescent="0.45">
      <c r="A251" s="26" t="s">
        <v>1143</v>
      </c>
      <c r="B251" s="30">
        <v>5323.9903199999999</v>
      </c>
    </row>
    <row r="252" spans="1:2" x14ac:dyDescent="0.45">
      <c r="A252" s="26" t="s">
        <v>1136</v>
      </c>
      <c r="B252" s="30">
        <v>5250.4239000000007</v>
      </c>
    </row>
    <row r="253" spans="1:2" x14ac:dyDescent="0.45">
      <c r="A253" s="26" t="s">
        <v>1141</v>
      </c>
      <c r="B253" s="30">
        <v>4679.7141600000004</v>
      </c>
    </row>
    <row r="254" spans="1:2" x14ac:dyDescent="0.45">
      <c r="A254" s="26" t="s">
        <v>1297</v>
      </c>
      <c r="B254" s="30">
        <v>4229.4321199999995</v>
      </c>
    </row>
    <row r="255" spans="1:2" x14ac:dyDescent="0.45">
      <c r="A255" s="26" t="s">
        <v>739</v>
      </c>
      <c r="B255" s="30">
        <v>4141.7599999999993</v>
      </c>
    </row>
    <row r="256" spans="1:2" x14ac:dyDescent="0.45">
      <c r="A256" s="26" t="s">
        <v>1104</v>
      </c>
      <c r="B256" s="30">
        <v>4133.25108</v>
      </c>
    </row>
    <row r="257" spans="1:2" x14ac:dyDescent="0.45">
      <c r="A257" s="26" t="s">
        <v>1241</v>
      </c>
      <c r="B257" s="30">
        <v>3921.1744000000008</v>
      </c>
    </row>
    <row r="258" spans="1:2" x14ac:dyDescent="0.45">
      <c r="A258" s="26" t="s">
        <v>1316</v>
      </c>
      <c r="B258" s="30">
        <v>3823.6151599999998</v>
      </c>
    </row>
    <row r="259" spans="1:2" x14ac:dyDescent="0.45">
      <c r="A259" s="26" t="s">
        <v>973</v>
      </c>
      <c r="B259" s="30">
        <v>3823.5108</v>
      </c>
    </row>
    <row r="260" spans="1:2" x14ac:dyDescent="0.45">
      <c r="A260" s="26" t="s">
        <v>880</v>
      </c>
      <c r="B260" s="30">
        <v>3562.9028999999996</v>
      </c>
    </row>
    <row r="261" spans="1:2" x14ac:dyDescent="0.45">
      <c r="A261" s="26" t="s">
        <v>787</v>
      </c>
      <c r="B261" s="30">
        <v>2518.8755800000004</v>
      </c>
    </row>
    <row r="262" spans="1:2" x14ac:dyDescent="0.45">
      <c r="A262" s="26" t="s">
        <v>1209</v>
      </c>
      <c r="B262" s="29">
        <v>1009.2969000000002</v>
      </c>
    </row>
    <row r="263" spans="1:2" x14ac:dyDescent="0.45">
      <c r="A263" s="26" t="s">
        <v>853</v>
      </c>
      <c r="B263" s="29">
        <v>592.92849000000001</v>
      </c>
    </row>
    <row r="264" spans="1:2" x14ac:dyDescent="0.45">
      <c r="A264" s="26" t="s">
        <v>1122</v>
      </c>
      <c r="B264" s="29">
        <v>434.45248000000004</v>
      </c>
    </row>
    <row r="265" spans="1:2" x14ac:dyDescent="0.45">
      <c r="A265" s="26" t="s">
        <v>1363</v>
      </c>
      <c r="B265" s="29">
        <v>266.17821999999995</v>
      </c>
    </row>
    <row r="266" spans="1:2" x14ac:dyDescent="0.45">
      <c r="A266" s="25" t="s">
        <v>732</v>
      </c>
      <c r="B266" s="13">
        <v>1553318.8233099992</v>
      </c>
    </row>
    <row r="267" spans="1:2" x14ac:dyDescent="0.45">
      <c r="A267" s="26" t="s">
        <v>909</v>
      </c>
      <c r="B267" s="28">
        <v>92715.25</v>
      </c>
    </row>
    <row r="268" spans="1:2" x14ac:dyDescent="0.45">
      <c r="A268" s="26" t="s">
        <v>874</v>
      </c>
      <c r="B268" s="28">
        <v>87404.929919999995</v>
      </c>
    </row>
    <row r="269" spans="1:2" x14ac:dyDescent="0.45">
      <c r="A269" s="26" t="s">
        <v>899</v>
      </c>
      <c r="B269" s="28">
        <v>85637.740319999997</v>
      </c>
    </row>
    <row r="270" spans="1:2" x14ac:dyDescent="0.45">
      <c r="A270" s="26" t="s">
        <v>797</v>
      </c>
      <c r="B270" s="28">
        <v>72665.817450000002</v>
      </c>
    </row>
    <row r="271" spans="1:2" x14ac:dyDescent="0.45">
      <c r="A271" s="26" t="s">
        <v>1129</v>
      </c>
      <c r="B271" s="28">
        <v>56176.777799999996</v>
      </c>
    </row>
    <row r="272" spans="1:2" x14ac:dyDescent="0.45">
      <c r="A272" s="26" t="s">
        <v>1181</v>
      </c>
      <c r="B272" s="28">
        <v>45547.183360000003</v>
      </c>
    </row>
    <row r="273" spans="1:2" x14ac:dyDescent="0.45">
      <c r="A273" s="26" t="s">
        <v>774</v>
      </c>
      <c r="B273" s="28">
        <v>41106.800970000004</v>
      </c>
    </row>
    <row r="274" spans="1:2" x14ac:dyDescent="0.45">
      <c r="A274" s="26" t="s">
        <v>1000</v>
      </c>
      <c r="B274" s="28">
        <v>38818.760160000005</v>
      </c>
    </row>
    <row r="275" spans="1:2" x14ac:dyDescent="0.45">
      <c r="A275" s="26" t="s">
        <v>1006</v>
      </c>
      <c r="B275" s="28">
        <v>34632.106319999999</v>
      </c>
    </row>
    <row r="276" spans="1:2" x14ac:dyDescent="0.45">
      <c r="A276" s="26" t="s">
        <v>1106</v>
      </c>
      <c r="B276" s="28">
        <v>32280.32474</v>
      </c>
    </row>
    <row r="277" spans="1:2" x14ac:dyDescent="0.45">
      <c r="A277" s="26" t="s">
        <v>789</v>
      </c>
      <c r="B277" s="28">
        <v>31680.795320000001</v>
      </c>
    </row>
    <row r="278" spans="1:2" x14ac:dyDescent="0.45">
      <c r="A278" s="26" t="s">
        <v>929</v>
      </c>
      <c r="B278" s="28">
        <v>31191.64716</v>
      </c>
    </row>
    <row r="279" spans="1:2" x14ac:dyDescent="0.45">
      <c r="A279" s="26" t="s">
        <v>1044</v>
      </c>
      <c r="B279" s="28">
        <v>30799.273800000003</v>
      </c>
    </row>
    <row r="280" spans="1:2" x14ac:dyDescent="0.45">
      <c r="A280" s="26" t="s">
        <v>1274</v>
      </c>
      <c r="B280" s="28">
        <v>30652.403519999996</v>
      </c>
    </row>
    <row r="281" spans="1:2" x14ac:dyDescent="0.45">
      <c r="A281" s="26" t="s">
        <v>1007</v>
      </c>
      <c r="B281" s="28">
        <v>29536.716</v>
      </c>
    </row>
    <row r="282" spans="1:2" x14ac:dyDescent="0.45">
      <c r="A282" s="26" t="s">
        <v>922</v>
      </c>
      <c r="B282" s="28">
        <v>28072.190160000002</v>
      </c>
    </row>
    <row r="283" spans="1:2" x14ac:dyDescent="0.45">
      <c r="A283" s="26" t="s">
        <v>869</v>
      </c>
      <c r="B283" s="28">
        <v>27370.540859999997</v>
      </c>
    </row>
    <row r="284" spans="1:2" x14ac:dyDescent="0.45">
      <c r="A284" s="26" t="s">
        <v>918</v>
      </c>
      <c r="B284" s="28">
        <v>26408.63841</v>
      </c>
    </row>
    <row r="285" spans="1:2" x14ac:dyDescent="0.45">
      <c r="A285" s="26" t="s">
        <v>939</v>
      </c>
      <c r="B285" s="28">
        <v>26131.70736</v>
      </c>
    </row>
    <row r="286" spans="1:2" x14ac:dyDescent="0.45">
      <c r="A286" s="26" t="s">
        <v>1073</v>
      </c>
      <c r="B286" s="28">
        <v>26106.613960000002</v>
      </c>
    </row>
    <row r="287" spans="1:2" x14ac:dyDescent="0.45">
      <c r="A287" s="26" t="s">
        <v>938</v>
      </c>
      <c r="B287" s="28">
        <v>25553.782800000001</v>
      </c>
    </row>
    <row r="288" spans="1:2" x14ac:dyDescent="0.45">
      <c r="A288" s="26" t="s">
        <v>1300</v>
      </c>
      <c r="B288" s="28">
        <v>25079.480689999997</v>
      </c>
    </row>
    <row r="289" spans="1:2" x14ac:dyDescent="0.45">
      <c r="A289" s="26" t="s">
        <v>849</v>
      </c>
      <c r="B289" s="28">
        <v>24523.006720000001</v>
      </c>
    </row>
    <row r="290" spans="1:2" x14ac:dyDescent="0.45">
      <c r="A290" s="26" t="s">
        <v>1187</v>
      </c>
      <c r="B290" s="28">
        <v>23132.398349999996</v>
      </c>
    </row>
    <row r="291" spans="1:2" x14ac:dyDescent="0.45">
      <c r="A291" s="26" t="s">
        <v>855</v>
      </c>
      <c r="B291" s="28">
        <v>22983.34563</v>
      </c>
    </row>
    <row r="292" spans="1:2" x14ac:dyDescent="0.45">
      <c r="A292" s="26" t="s">
        <v>894</v>
      </c>
      <c r="B292" s="28">
        <v>22044.871499999997</v>
      </c>
    </row>
    <row r="293" spans="1:2" x14ac:dyDescent="0.45">
      <c r="A293" s="26" t="s">
        <v>1233</v>
      </c>
      <c r="B293" s="28">
        <v>20332.775539999999</v>
      </c>
    </row>
    <row r="294" spans="1:2" x14ac:dyDescent="0.45">
      <c r="A294" s="26" t="s">
        <v>986</v>
      </c>
      <c r="B294" s="28">
        <v>17689.623</v>
      </c>
    </row>
    <row r="295" spans="1:2" x14ac:dyDescent="0.45">
      <c r="A295" s="26" t="s">
        <v>1014</v>
      </c>
      <c r="B295" s="28">
        <v>17441.021520000002</v>
      </c>
    </row>
    <row r="296" spans="1:2" x14ac:dyDescent="0.45">
      <c r="A296" s="26" t="s">
        <v>1232</v>
      </c>
      <c r="B296" s="28">
        <v>16574.544740000001</v>
      </c>
    </row>
    <row r="297" spans="1:2" x14ac:dyDescent="0.45">
      <c r="A297" s="26" t="s">
        <v>1085</v>
      </c>
      <c r="B297" s="28">
        <v>16487.22781</v>
      </c>
    </row>
    <row r="298" spans="1:2" x14ac:dyDescent="0.45">
      <c r="A298" s="26" t="s">
        <v>1123</v>
      </c>
      <c r="B298" s="28">
        <v>16142.527829999999</v>
      </c>
    </row>
    <row r="299" spans="1:2" x14ac:dyDescent="0.45">
      <c r="A299" s="26" t="s">
        <v>1256</v>
      </c>
      <c r="B299" s="28">
        <v>16121.273400000002</v>
      </c>
    </row>
    <row r="300" spans="1:2" x14ac:dyDescent="0.45">
      <c r="A300" s="26" t="s">
        <v>1117</v>
      </c>
      <c r="B300" s="28">
        <v>15257.51748</v>
      </c>
    </row>
    <row r="301" spans="1:2" x14ac:dyDescent="0.45">
      <c r="A301" s="26" t="s">
        <v>742</v>
      </c>
      <c r="B301" s="28">
        <v>14714.12934</v>
      </c>
    </row>
    <row r="302" spans="1:2" x14ac:dyDescent="0.45">
      <c r="A302" s="26" t="s">
        <v>1306</v>
      </c>
      <c r="B302" s="28">
        <v>14466.95104</v>
      </c>
    </row>
    <row r="303" spans="1:2" x14ac:dyDescent="0.45">
      <c r="A303" s="26" t="s">
        <v>801</v>
      </c>
      <c r="B303" s="28">
        <v>14287.896349999999</v>
      </c>
    </row>
    <row r="304" spans="1:2" x14ac:dyDescent="0.45">
      <c r="A304" s="26" t="s">
        <v>1161</v>
      </c>
      <c r="B304" s="28">
        <v>13450.74</v>
      </c>
    </row>
    <row r="305" spans="1:2" x14ac:dyDescent="0.45">
      <c r="A305" s="26" t="s">
        <v>1138</v>
      </c>
      <c r="B305" s="28">
        <v>13437.300239999999</v>
      </c>
    </row>
    <row r="306" spans="1:2" x14ac:dyDescent="0.45">
      <c r="A306" s="26" t="s">
        <v>1132</v>
      </c>
      <c r="B306" s="28">
        <v>12972.00222</v>
      </c>
    </row>
    <row r="307" spans="1:2" x14ac:dyDescent="0.45">
      <c r="A307" s="26" t="s">
        <v>1166</v>
      </c>
      <c r="B307" s="28">
        <v>12967.958640000001</v>
      </c>
    </row>
    <row r="308" spans="1:2" x14ac:dyDescent="0.45">
      <c r="A308" s="26" t="s">
        <v>901</v>
      </c>
      <c r="B308" s="28">
        <v>12413.98458</v>
      </c>
    </row>
    <row r="309" spans="1:2" x14ac:dyDescent="0.45">
      <c r="A309" s="26" t="s">
        <v>897</v>
      </c>
      <c r="B309" s="28">
        <v>12194.714</v>
      </c>
    </row>
    <row r="310" spans="1:2" x14ac:dyDescent="0.45">
      <c r="A310" s="26" t="s">
        <v>822</v>
      </c>
      <c r="B310" s="28">
        <v>11842.8464</v>
      </c>
    </row>
    <row r="311" spans="1:2" x14ac:dyDescent="0.45">
      <c r="A311" s="26" t="s">
        <v>983</v>
      </c>
      <c r="B311" s="28">
        <v>11813.604160000001</v>
      </c>
    </row>
    <row r="312" spans="1:2" x14ac:dyDescent="0.45">
      <c r="A312" s="26" t="s">
        <v>1281</v>
      </c>
      <c r="B312" s="28">
        <v>10937.519999999999</v>
      </c>
    </row>
    <row r="313" spans="1:2" x14ac:dyDescent="0.45">
      <c r="A313" s="26" t="s">
        <v>1290</v>
      </c>
      <c r="B313" s="28">
        <v>10519.776450000001</v>
      </c>
    </row>
    <row r="314" spans="1:2" x14ac:dyDescent="0.45">
      <c r="A314" s="26" t="s">
        <v>1152</v>
      </c>
      <c r="B314" s="28">
        <v>9509.2865999999995</v>
      </c>
    </row>
    <row r="315" spans="1:2" x14ac:dyDescent="0.45">
      <c r="A315" s="26" t="s">
        <v>1344</v>
      </c>
      <c r="B315" s="28">
        <v>9256.14</v>
      </c>
    </row>
    <row r="316" spans="1:2" x14ac:dyDescent="0.45">
      <c r="A316" s="26" t="s">
        <v>1243</v>
      </c>
      <c r="B316" s="28">
        <v>9232.2830599999998</v>
      </c>
    </row>
    <row r="317" spans="1:2" x14ac:dyDescent="0.45">
      <c r="A317" s="26" t="s">
        <v>925</v>
      </c>
      <c r="B317" s="28">
        <v>8763.2849999999999</v>
      </c>
    </row>
    <row r="318" spans="1:2" x14ac:dyDescent="0.45">
      <c r="A318" s="26" t="s">
        <v>917</v>
      </c>
      <c r="B318" s="28">
        <v>8698.8768300000011</v>
      </c>
    </row>
    <row r="319" spans="1:2" x14ac:dyDescent="0.45">
      <c r="A319" s="26" t="s">
        <v>802</v>
      </c>
      <c r="B319" s="28">
        <v>8671.7354400000004</v>
      </c>
    </row>
    <row r="320" spans="1:2" x14ac:dyDescent="0.45">
      <c r="A320" s="26" t="s">
        <v>923</v>
      </c>
      <c r="B320" s="28">
        <v>8590.7094000000016</v>
      </c>
    </row>
    <row r="321" spans="1:2" x14ac:dyDescent="0.45">
      <c r="A321" s="26" t="s">
        <v>1295</v>
      </c>
      <c r="B321" s="28">
        <v>8520.2954399999999</v>
      </c>
    </row>
    <row r="322" spans="1:2" x14ac:dyDescent="0.45">
      <c r="A322" s="26" t="s">
        <v>1062</v>
      </c>
      <c r="B322" s="28">
        <v>8395.8638399999982</v>
      </c>
    </row>
    <row r="323" spans="1:2" x14ac:dyDescent="0.45">
      <c r="A323" s="26" t="s">
        <v>1206</v>
      </c>
      <c r="B323" s="28">
        <v>8330.2513199999994</v>
      </c>
    </row>
    <row r="324" spans="1:2" x14ac:dyDescent="0.45">
      <c r="A324" s="26" t="s">
        <v>1190</v>
      </c>
      <c r="B324" s="28">
        <v>7854.6931199999999</v>
      </c>
    </row>
    <row r="325" spans="1:2" x14ac:dyDescent="0.45">
      <c r="A325" s="26" t="s">
        <v>950</v>
      </c>
      <c r="B325" s="28">
        <v>7738.9596900000006</v>
      </c>
    </row>
    <row r="326" spans="1:2" x14ac:dyDescent="0.45">
      <c r="A326" s="26" t="s">
        <v>864</v>
      </c>
      <c r="B326" s="28">
        <v>7703.8640800000003</v>
      </c>
    </row>
    <row r="327" spans="1:2" x14ac:dyDescent="0.45">
      <c r="A327" s="26" t="s">
        <v>1097</v>
      </c>
      <c r="B327" s="28">
        <v>7327.9533600000004</v>
      </c>
    </row>
    <row r="328" spans="1:2" x14ac:dyDescent="0.45">
      <c r="A328" s="26" t="s">
        <v>1005</v>
      </c>
      <c r="B328" s="28">
        <v>7120.6486400000003</v>
      </c>
    </row>
    <row r="329" spans="1:2" x14ac:dyDescent="0.45">
      <c r="A329" s="26" t="s">
        <v>912</v>
      </c>
      <c r="B329" s="28">
        <v>7098.5495999999994</v>
      </c>
    </row>
    <row r="330" spans="1:2" x14ac:dyDescent="0.45">
      <c r="A330" s="26" t="s">
        <v>902</v>
      </c>
      <c r="B330" s="28">
        <v>6824.2884000000004</v>
      </c>
    </row>
    <row r="331" spans="1:2" x14ac:dyDescent="0.45">
      <c r="A331" s="26" t="s">
        <v>988</v>
      </c>
      <c r="B331" s="28">
        <v>6468.2751599999992</v>
      </c>
    </row>
    <row r="332" spans="1:2" x14ac:dyDescent="0.45">
      <c r="A332" s="26" t="s">
        <v>1331</v>
      </c>
      <c r="B332" s="28">
        <v>5962.1422499999999</v>
      </c>
    </row>
    <row r="333" spans="1:2" x14ac:dyDescent="0.45">
      <c r="A333" s="26" t="s">
        <v>852</v>
      </c>
      <c r="B333" s="28">
        <v>5769.2758000000003</v>
      </c>
    </row>
    <row r="334" spans="1:2" x14ac:dyDescent="0.45">
      <c r="A334" s="26" t="s">
        <v>1325</v>
      </c>
      <c r="B334" s="28">
        <v>5725.6496000000006</v>
      </c>
    </row>
    <row r="335" spans="1:2" x14ac:dyDescent="0.45">
      <c r="A335" s="26" t="s">
        <v>1180</v>
      </c>
      <c r="B335" s="28">
        <v>5565.3272500000003</v>
      </c>
    </row>
    <row r="336" spans="1:2" x14ac:dyDescent="0.45">
      <c r="A336" s="26" t="s">
        <v>967</v>
      </c>
      <c r="B336" s="28">
        <v>5280.8577599999999</v>
      </c>
    </row>
    <row r="337" spans="1:2" x14ac:dyDescent="0.45">
      <c r="A337" s="26" t="s">
        <v>1359</v>
      </c>
      <c r="B337" s="28">
        <v>5096.4790800000001</v>
      </c>
    </row>
    <row r="338" spans="1:2" x14ac:dyDescent="0.45">
      <c r="A338" s="26" t="s">
        <v>1048</v>
      </c>
      <c r="B338" s="28">
        <v>5032.4433599999993</v>
      </c>
    </row>
    <row r="339" spans="1:2" x14ac:dyDescent="0.45">
      <c r="A339" s="26" t="s">
        <v>813</v>
      </c>
      <c r="B339" s="28">
        <v>4877.1379800000004</v>
      </c>
    </row>
    <row r="340" spans="1:2" x14ac:dyDescent="0.45">
      <c r="A340" s="26" t="s">
        <v>920</v>
      </c>
      <c r="B340" s="28">
        <v>4831.9464600000001</v>
      </c>
    </row>
    <row r="341" spans="1:2" x14ac:dyDescent="0.45">
      <c r="A341" s="26" t="s">
        <v>1278</v>
      </c>
      <c r="B341" s="28">
        <v>4826.5396199999996</v>
      </c>
    </row>
    <row r="342" spans="1:2" x14ac:dyDescent="0.45">
      <c r="A342" s="26" t="s">
        <v>1228</v>
      </c>
      <c r="B342" s="30">
        <v>4682.9519799999998</v>
      </c>
    </row>
    <row r="343" spans="1:2" x14ac:dyDescent="0.45">
      <c r="A343" s="26" t="s">
        <v>992</v>
      </c>
      <c r="B343" s="30">
        <v>4375.3620000000001</v>
      </c>
    </row>
    <row r="344" spans="1:2" x14ac:dyDescent="0.45">
      <c r="A344" s="26" t="s">
        <v>1031</v>
      </c>
      <c r="B344" s="30">
        <v>3190.8713200000002</v>
      </c>
    </row>
    <row r="345" spans="1:2" x14ac:dyDescent="0.45">
      <c r="A345" s="26" t="s">
        <v>1052</v>
      </c>
      <c r="B345" s="30">
        <v>2915.4540999999999</v>
      </c>
    </row>
    <row r="346" spans="1:2" x14ac:dyDescent="0.45">
      <c r="A346" s="26" t="s">
        <v>740</v>
      </c>
      <c r="B346" s="30">
        <v>2886.4496399999998</v>
      </c>
    </row>
    <row r="347" spans="1:2" x14ac:dyDescent="0.45">
      <c r="A347" s="26" t="s">
        <v>1165</v>
      </c>
      <c r="B347" s="30">
        <v>2627.6239999999998</v>
      </c>
    </row>
    <row r="348" spans="1:2" x14ac:dyDescent="0.45">
      <c r="A348" s="26" t="s">
        <v>951</v>
      </c>
      <c r="B348" s="30">
        <v>2231.6467200000002</v>
      </c>
    </row>
    <row r="349" spans="1:2" x14ac:dyDescent="0.45">
      <c r="A349" s="26" t="s">
        <v>1283</v>
      </c>
      <c r="B349" s="30">
        <v>1846.8040799999999</v>
      </c>
    </row>
    <row r="350" spans="1:2" x14ac:dyDescent="0.45">
      <c r="A350" s="26" t="s">
        <v>1314</v>
      </c>
      <c r="B350" s="30">
        <v>1801.4076000000002</v>
      </c>
    </row>
    <row r="351" spans="1:2" x14ac:dyDescent="0.45">
      <c r="A351" s="26" t="s">
        <v>945</v>
      </c>
      <c r="B351" s="30">
        <v>1774.8072</v>
      </c>
    </row>
    <row r="352" spans="1:2" x14ac:dyDescent="0.45">
      <c r="A352" s="26" t="s">
        <v>1039</v>
      </c>
      <c r="B352" s="30">
        <v>1641.7107199999998</v>
      </c>
    </row>
    <row r="353" spans="1:2" x14ac:dyDescent="0.45">
      <c r="A353" s="26" t="s">
        <v>1349</v>
      </c>
      <c r="B353" s="30">
        <v>846.34703999999988</v>
      </c>
    </row>
    <row r="354" spans="1:2" x14ac:dyDescent="0.45">
      <c r="A354" s="26" t="s">
        <v>823</v>
      </c>
      <c r="B354" s="30">
        <v>624.43503999999996</v>
      </c>
    </row>
    <row r="355" spans="1:2" x14ac:dyDescent="0.45">
      <c r="A355" s="26" t="s">
        <v>981</v>
      </c>
      <c r="B355" s="30">
        <v>607.30668000000003</v>
      </c>
    </row>
    <row r="356" spans="1:2" x14ac:dyDescent="0.45">
      <c r="A356" s="26" t="s">
        <v>785</v>
      </c>
      <c r="B356" s="29">
        <v>599.53200000000004</v>
      </c>
    </row>
    <row r="357" spans="1:2" x14ac:dyDescent="0.45">
      <c r="A357" s="26" t="s">
        <v>1265</v>
      </c>
      <c r="B357" s="29">
        <v>534.57695999999999</v>
      </c>
    </row>
    <row r="358" spans="1:2" x14ac:dyDescent="0.45">
      <c r="A358" s="26" t="s">
        <v>817</v>
      </c>
      <c r="B358" s="29">
        <v>524.81174999999996</v>
      </c>
    </row>
    <row r="359" spans="1:2" x14ac:dyDescent="0.45">
      <c r="A359" s="26" t="s">
        <v>830</v>
      </c>
      <c r="B359" s="29">
        <v>147.00756000000001</v>
      </c>
    </row>
    <row r="360" spans="1:2" x14ac:dyDescent="0.45">
      <c r="A360" s="26" t="s">
        <v>1032</v>
      </c>
      <c r="B360" s="29">
        <v>66.920760000000001</v>
      </c>
    </row>
    <row r="361" spans="1:2" x14ac:dyDescent="0.45">
      <c r="A361" s="25" t="s">
        <v>729</v>
      </c>
      <c r="B361" s="13">
        <v>1778145.3452760004</v>
      </c>
    </row>
    <row r="362" spans="1:2" x14ac:dyDescent="0.45">
      <c r="A362" s="26" t="s">
        <v>781</v>
      </c>
      <c r="B362" s="28">
        <v>109244</v>
      </c>
    </row>
    <row r="363" spans="1:2" x14ac:dyDescent="0.45">
      <c r="A363" s="26" t="s">
        <v>1345</v>
      </c>
      <c r="B363" s="28">
        <v>82141.339799999987</v>
      </c>
    </row>
    <row r="364" spans="1:2" x14ac:dyDescent="0.45">
      <c r="A364" s="26" t="s">
        <v>1010</v>
      </c>
      <c r="B364" s="28">
        <v>79548.755999999994</v>
      </c>
    </row>
    <row r="365" spans="1:2" x14ac:dyDescent="0.45">
      <c r="A365" s="26" t="s">
        <v>957</v>
      </c>
      <c r="B365" s="28">
        <v>66988.771199999988</v>
      </c>
    </row>
    <row r="366" spans="1:2" x14ac:dyDescent="0.45">
      <c r="A366" s="26" t="s">
        <v>814</v>
      </c>
      <c r="B366" s="28">
        <v>60292.805299999993</v>
      </c>
    </row>
    <row r="367" spans="1:2" x14ac:dyDescent="0.45">
      <c r="A367" s="26" t="s">
        <v>1324</v>
      </c>
      <c r="B367" s="28">
        <v>51768.181920000003</v>
      </c>
    </row>
    <row r="368" spans="1:2" x14ac:dyDescent="0.45">
      <c r="A368" s="26" t="s">
        <v>1356</v>
      </c>
      <c r="B368" s="28">
        <v>50090.397499999999</v>
      </c>
    </row>
    <row r="369" spans="1:2" x14ac:dyDescent="0.45">
      <c r="A369" s="26" t="s">
        <v>1091</v>
      </c>
      <c r="B369" s="28">
        <v>49336.511399999996</v>
      </c>
    </row>
    <row r="370" spans="1:2" x14ac:dyDescent="0.45">
      <c r="A370" s="26" t="s">
        <v>937</v>
      </c>
      <c r="B370" s="28">
        <v>47962.717579999997</v>
      </c>
    </row>
    <row r="371" spans="1:2" x14ac:dyDescent="0.45">
      <c r="A371" s="26" t="s">
        <v>1116</v>
      </c>
      <c r="B371" s="28">
        <v>47693.373</v>
      </c>
    </row>
    <row r="372" spans="1:2" x14ac:dyDescent="0.45">
      <c r="A372" s="26" t="s">
        <v>1110</v>
      </c>
      <c r="B372" s="28">
        <v>43553.493060000001</v>
      </c>
    </row>
    <row r="373" spans="1:2" x14ac:dyDescent="0.45">
      <c r="A373" s="26" t="s">
        <v>1213</v>
      </c>
      <c r="B373" s="28">
        <v>40488.792960000006</v>
      </c>
    </row>
    <row r="374" spans="1:2" x14ac:dyDescent="0.45">
      <c r="A374" s="26" t="s">
        <v>1036</v>
      </c>
      <c r="B374" s="28">
        <v>39686.4182</v>
      </c>
    </row>
    <row r="375" spans="1:2" x14ac:dyDescent="0.45">
      <c r="A375" s="26" t="s">
        <v>1056</v>
      </c>
      <c r="B375" s="28">
        <v>39546.774539999999</v>
      </c>
    </row>
    <row r="376" spans="1:2" x14ac:dyDescent="0.45">
      <c r="A376" s="26" t="s">
        <v>854</v>
      </c>
      <c r="B376" s="28">
        <v>39516.804389999998</v>
      </c>
    </row>
    <row r="377" spans="1:2" x14ac:dyDescent="0.45">
      <c r="A377" s="26" t="s">
        <v>782</v>
      </c>
      <c r="B377" s="28">
        <v>35621.302319999995</v>
      </c>
    </row>
    <row r="378" spans="1:2" x14ac:dyDescent="0.45">
      <c r="A378" s="26" t="s">
        <v>1087</v>
      </c>
      <c r="B378" s="28">
        <v>34816.968000000001</v>
      </c>
    </row>
    <row r="379" spans="1:2" x14ac:dyDescent="0.45">
      <c r="A379" s="26" t="s">
        <v>1301</v>
      </c>
      <c r="B379" s="28">
        <v>34307.159999999996</v>
      </c>
    </row>
    <row r="380" spans="1:2" x14ac:dyDescent="0.45">
      <c r="A380" s="26" t="s">
        <v>1113</v>
      </c>
      <c r="B380" s="28">
        <v>33200.038079999998</v>
      </c>
    </row>
    <row r="381" spans="1:2" x14ac:dyDescent="0.45">
      <c r="A381" s="26" t="s">
        <v>1357</v>
      </c>
      <c r="B381" s="28">
        <v>32704.386400000003</v>
      </c>
    </row>
    <row r="382" spans="1:2" x14ac:dyDescent="0.45">
      <c r="A382" s="26" t="s">
        <v>779</v>
      </c>
      <c r="B382" s="28">
        <v>32506.559399999998</v>
      </c>
    </row>
    <row r="383" spans="1:2" x14ac:dyDescent="0.45">
      <c r="A383" s="26" t="s">
        <v>1147</v>
      </c>
      <c r="B383" s="28">
        <v>31513.423040000001</v>
      </c>
    </row>
    <row r="384" spans="1:2" x14ac:dyDescent="0.45">
      <c r="A384" s="26" t="s">
        <v>1229</v>
      </c>
      <c r="B384" s="28">
        <v>30692.47896</v>
      </c>
    </row>
    <row r="385" spans="1:2" x14ac:dyDescent="0.45">
      <c r="A385" s="26" t="s">
        <v>960</v>
      </c>
      <c r="B385" s="28">
        <v>30479.418970000002</v>
      </c>
    </row>
    <row r="386" spans="1:2" x14ac:dyDescent="0.45">
      <c r="A386" s="26" t="s">
        <v>1354</v>
      </c>
      <c r="B386" s="28">
        <v>30229.994880000002</v>
      </c>
    </row>
    <row r="387" spans="1:2" x14ac:dyDescent="0.45">
      <c r="A387" s="26" t="s">
        <v>1282</v>
      </c>
      <c r="B387" s="28">
        <v>29673.454499999993</v>
      </c>
    </row>
    <row r="388" spans="1:2" x14ac:dyDescent="0.45">
      <c r="A388" s="26" t="s">
        <v>878</v>
      </c>
      <c r="B388" s="28">
        <v>25672.127039999999</v>
      </c>
    </row>
    <row r="389" spans="1:2" x14ac:dyDescent="0.45">
      <c r="A389" s="26" t="s">
        <v>1230</v>
      </c>
      <c r="B389" s="28">
        <v>25249.613219999999</v>
      </c>
    </row>
    <row r="390" spans="1:2" x14ac:dyDescent="0.45">
      <c r="A390" s="26" t="s">
        <v>1217</v>
      </c>
      <c r="B390" s="28">
        <v>21908.731650000002</v>
      </c>
    </row>
    <row r="391" spans="1:2" x14ac:dyDescent="0.45">
      <c r="A391" s="26" t="s">
        <v>818</v>
      </c>
      <c r="B391" s="28">
        <v>21062.61248</v>
      </c>
    </row>
    <row r="392" spans="1:2" x14ac:dyDescent="0.45">
      <c r="A392" s="26" t="s">
        <v>763</v>
      </c>
      <c r="B392" s="28">
        <v>20084.133720000002</v>
      </c>
    </row>
    <row r="393" spans="1:2" x14ac:dyDescent="0.45">
      <c r="A393" s="26" t="s">
        <v>1021</v>
      </c>
      <c r="B393" s="28">
        <v>20028.787380000002</v>
      </c>
    </row>
    <row r="394" spans="1:2" x14ac:dyDescent="0.45">
      <c r="A394" s="26" t="s">
        <v>755</v>
      </c>
      <c r="B394" s="28">
        <v>19903.585040000002</v>
      </c>
    </row>
    <row r="395" spans="1:2" x14ac:dyDescent="0.45">
      <c r="A395" s="26" t="s">
        <v>1284</v>
      </c>
      <c r="B395" s="28">
        <v>18830.12472</v>
      </c>
    </row>
    <row r="396" spans="1:2" x14ac:dyDescent="0.45">
      <c r="A396" s="26" t="s">
        <v>1346</v>
      </c>
      <c r="B396" s="28">
        <v>18500.693520000001</v>
      </c>
    </row>
    <row r="397" spans="1:2" x14ac:dyDescent="0.45">
      <c r="A397" s="26" t="s">
        <v>1133</v>
      </c>
      <c r="B397" s="28">
        <v>17731.623</v>
      </c>
    </row>
    <row r="398" spans="1:2" x14ac:dyDescent="0.45">
      <c r="A398" s="26" t="s">
        <v>1015</v>
      </c>
      <c r="B398" s="28">
        <v>16822.700076000001</v>
      </c>
    </row>
    <row r="399" spans="1:2" x14ac:dyDescent="0.45">
      <c r="A399" s="26" t="s">
        <v>1051</v>
      </c>
      <c r="B399" s="28">
        <v>16306.59375</v>
      </c>
    </row>
    <row r="400" spans="1:2" x14ac:dyDescent="0.45">
      <c r="A400" s="26" t="s">
        <v>863</v>
      </c>
      <c r="B400" s="28">
        <v>16071.44868</v>
      </c>
    </row>
    <row r="401" spans="1:2" x14ac:dyDescent="0.45">
      <c r="A401" s="26" t="s">
        <v>1240</v>
      </c>
      <c r="B401" s="28">
        <v>15323.926799999999</v>
      </c>
    </row>
    <row r="402" spans="1:2" x14ac:dyDescent="0.45">
      <c r="A402" s="26" t="s">
        <v>949</v>
      </c>
      <c r="B402" s="28">
        <v>15253.069799999999</v>
      </c>
    </row>
    <row r="403" spans="1:2" x14ac:dyDescent="0.45">
      <c r="A403" s="26" t="s">
        <v>1200</v>
      </c>
      <c r="B403" s="28">
        <v>14261.92439</v>
      </c>
    </row>
    <row r="404" spans="1:2" x14ac:dyDescent="0.45">
      <c r="A404" s="26" t="s">
        <v>1309</v>
      </c>
      <c r="B404" s="28">
        <v>13882.6016</v>
      </c>
    </row>
    <row r="405" spans="1:2" x14ac:dyDescent="0.45">
      <c r="A405" s="26" t="s">
        <v>1114</v>
      </c>
      <c r="B405" s="28">
        <v>12881.097599999999</v>
      </c>
    </row>
    <row r="406" spans="1:2" x14ac:dyDescent="0.45">
      <c r="A406" s="26" t="s">
        <v>1308</v>
      </c>
      <c r="B406" s="28">
        <v>12091.190399999999</v>
      </c>
    </row>
    <row r="407" spans="1:2" x14ac:dyDescent="0.45">
      <c r="A407" s="26" t="s">
        <v>857</v>
      </c>
      <c r="B407" s="28">
        <v>10817.3416</v>
      </c>
    </row>
    <row r="408" spans="1:2" x14ac:dyDescent="0.45">
      <c r="A408" s="26" t="s">
        <v>1277</v>
      </c>
      <c r="B408" s="28">
        <v>10792.637119999999</v>
      </c>
    </row>
    <row r="409" spans="1:2" x14ac:dyDescent="0.45">
      <c r="A409" s="26" t="s">
        <v>1348</v>
      </c>
      <c r="B409" s="28">
        <v>10786.32144</v>
      </c>
    </row>
    <row r="410" spans="1:2" x14ac:dyDescent="0.45">
      <c r="A410" s="26" t="s">
        <v>775</v>
      </c>
      <c r="B410" s="28">
        <v>10558.74</v>
      </c>
    </row>
    <row r="411" spans="1:2" x14ac:dyDescent="0.45">
      <c r="A411" s="26" t="s">
        <v>1237</v>
      </c>
      <c r="B411" s="28">
        <v>10189.8891</v>
      </c>
    </row>
    <row r="412" spans="1:2" x14ac:dyDescent="0.45">
      <c r="A412" s="26" t="s">
        <v>1296</v>
      </c>
      <c r="B412" s="28">
        <v>10166.535600000001</v>
      </c>
    </row>
    <row r="413" spans="1:2" x14ac:dyDescent="0.45">
      <c r="A413" s="26" t="s">
        <v>1251</v>
      </c>
      <c r="B413" s="28">
        <v>9807.7842799999999</v>
      </c>
    </row>
    <row r="414" spans="1:2" x14ac:dyDescent="0.45">
      <c r="A414" s="26" t="s">
        <v>766</v>
      </c>
      <c r="B414" s="28">
        <v>9647.3852800000004</v>
      </c>
    </row>
    <row r="415" spans="1:2" x14ac:dyDescent="0.45">
      <c r="A415" s="26" t="s">
        <v>807</v>
      </c>
      <c r="B415" s="28">
        <v>9373.460219999999</v>
      </c>
    </row>
    <row r="416" spans="1:2" x14ac:dyDescent="0.45">
      <c r="A416" s="26" t="s">
        <v>1263</v>
      </c>
      <c r="B416" s="28">
        <v>9262.0686600000008</v>
      </c>
    </row>
    <row r="417" spans="1:2" x14ac:dyDescent="0.45">
      <c r="A417" s="26" t="s">
        <v>889</v>
      </c>
      <c r="B417" s="28">
        <v>8909.6646800000017</v>
      </c>
    </row>
    <row r="418" spans="1:2" x14ac:dyDescent="0.45">
      <c r="A418" s="26" t="s">
        <v>1065</v>
      </c>
      <c r="B418" s="28">
        <v>8764.4065599999994</v>
      </c>
    </row>
    <row r="419" spans="1:2" x14ac:dyDescent="0.45">
      <c r="A419" s="26" t="s">
        <v>1236</v>
      </c>
      <c r="B419" s="28">
        <v>8637.1874499999994</v>
      </c>
    </row>
    <row r="420" spans="1:2" x14ac:dyDescent="0.45">
      <c r="A420" s="26" t="s">
        <v>932</v>
      </c>
      <c r="B420" s="28">
        <v>8349.2224200000001</v>
      </c>
    </row>
    <row r="421" spans="1:2" x14ac:dyDescent="0.45">
      <c r="A421" s="26" t="s">
        <v>824</v>
      </c>
      <c r="B421" s="28">
        <v>8324.8326000000015</v>
      </c>
    </row>
    <row r="422" spans="1:2" x14ac:dyDescent="0.45">
      <c r="A422" s="26" t="s">
        <v>996</v>
      </c>
      <c r="B422" s="28">
        <v>8186.057600000001</v>
      </c>
    </row>
    <row r="423" spans="1:2" x14ac:dyDescent="0.45">
      <c r="A423" s="26" t="s">
        <v>1269</v>
      </c>
      <c r="B423" s="28">
        <v>7823.4472399999995</v>
      </c>
    </row>
    <row r="424" spans="1:2" x14ac:dyDescent="0.45">
      <c r="A424" s="26" t="s">
        <v>1055</v>
      </c>
      <c r="B424" s="28">
        <v>7493.1076000000012</v>
      </c>
    </row>
    <row r="425" spans="1:2" x14ac:dyDescent="0.45">
      <c r="A425" s="26" t="s">
        <v>890</v>
      </c>
      <c r="B425" s="28">
        <v>7203.8047000000006</v>
      </c>
    </row>
    <row r="426" spans="1:2" x14ac:dyDescent="0.45">
      <c r="A426" s="26" t="s">
        <v>1112</v>
      </c>
      <c r="B426" s="28">
        <v>6576.298960000001</v>
      </c>
    </row>
    <row r="427" spans="1:2" x14ac:dyDescent="0.45">
      <c r="A427" s="26" t="s">
        <v>1169</v>
      </c>
      <c r="B427" s="28">
        <v>5546.4642200000008</v>
      </c>
    </row>
    <row r="428" spans="1:2" x14ac:dyDescent="0.45">
      <c r="A428" s="26" t="s">
        <v>832</v>
      </c>
      <c r="B428" s="28">
        <v>5328.4890400000004</v>
      </c>
    </row>
    <row r="429" spans="1:2" x14ac:dyDescent="0.45">
      <c r="A429" s="26" t="s">
        <v>1311</v>
      </c>
      <c r="B429" s="28">
        <v>4280.6786400000001</v>
      </c>
    </row>
    <row r="430" spans="1:2" x14ac:dyDescent="0.45">
      <c r="A430" s="26" t="s">
        <v>928</v>
      </c>
      <c r="B430" s="28">
        <v>3928.3797600000003</v>
      </c>
    </row>
    <row r="431" spans="1:2" x14ac:dyDescent="0.45">
      <c r="A431" s="26" t="s">
        <v>1041</v>
      </c>
      <c r="B431" s="30">
        <v>3644.3212800000006</v>
      </c>
    </row>
    <row r="432" spans="1:2" x14ac:dyDescent="0.45">
      <c r="A432" s="26" t="s">
        <v>982</v>
      </c>
      <c r="B432" s="30">
        <v>3592.04</v>
      </c>
    </row>
    <row r="433" spans="1:2" x14ac:dyDescent="0.45">
      <c r="A433" s="26" t="s">
        <v>1272</v>
      </c>
      <c r="B433" s="30">
        <v>3340.6370000000002</v>
      </c>
    </row>
    <row r="434" spans="1:2" x14ac:dyDescent="0.45">
      <c r="A434" s="26" t="s">
        <v>1078</v>
      </c>
      <c r="B434" s="30">
        <v>3175.1547799999998</v>
      </c>
    </row>
    <row r="435" spans="1:2" x14ac:dyDescent="0.45">
      <c r="A435" s="26" t="s">
        <v>1172</v>
      </c>
      <c r="B435" s="30">
        <v>2795.6384399999997</v>
      </c>
    </row>
    <row r="436" spans="1:2" x14ac:dyDescent="0.45">
      <c r="A436" s="26" t="s">
        <v>991</v>
      </c>
      <c r="B436" s="30">
        <v>2394.1605599999998</v>
      </c>
    </row>
    <row r="437" spans="1:2" x14ac:dyDescent="0.45">
      <c r="A437" s="26" t="s">
        <v>1353</v>
      </c>
      <c r="B437" s="30">
        <v>2355.2113199999999</v>
      </c>
    </row>
    <row r="438" spans="1:2" x14ac:dyDescent="0.45">
      <c r="A438" s="26" t="s">
        <v>1167</v>
      </c>
      <c r="B438" s="30">
        <v>1950.0031200000001</v>
      </c>
    </row>
    <row r="439" spans="1:2" x14ac:dyDescent="0.45">
      <c r="A439" s="26" t="s">
        <v>1196</v>
      </c>
      <c r="B439" s="30">
        <v>1886.9915999999998</v>
      </c>
    </row>
    <row r="440" spans="1:2" x14ac:dyDescent="0.45">
      <c r="A440" s="26" t="s">
        <v>842</v>
      </c>
      <c r="B440" s="30">
        <v>1660.3999999999999</v>
      </c>
    </row>
    <row r="441" spans="1:2" x14ac:dyDescent="0.45">
      <c r="A441" s="26" t="s">
        <v>848</v>
      </c>
      <c r="B441" s="30">
        <v>1499.22</v>
      </c>
    </row>
    <row r="442" spans="1:2" x14ac:dyDescent="0.45">
      <c r="A442" s="26" t="s">
        <v>1075</v>
      </c>
      <c r="B442" s="30">
        <v>1115.1975999999997</v>
      </c>
    </row>
    <row r="443" spans="1:2" x14ac:dyDescent="0.45">
      <c r="A443" s="26" t="s">
        <v>1334</v>
      </c>
      <c r="B443" s="30">
        <v>1062.5902000000001</v>
      </c>
    </row>
    <row r="444" spans="1:2" x14ac:dyDescent="0.45">
      <c r="A444" s="26" t="s">
        <v>1045</v>
      </c>
      <c r="B444" s="29">
        <v>879.05840000000001</v>
      </c>
    </row>
    <row r="445" spans="1:2" x14ac:dyDescent="0.45">
      <c r="A445" s="26" t="s">
        <v>736</v>
      </c>
      <c r="B445" s="29">
        <v>319.72248000000002</v>
      </c>
    </row>
    <row r="446" spans="1:2" x14ac:dyDescent="0.45">
      <c r="A446" s="26" t="s">
        <v>788</v>
      </c>
      <c r="B446" s="29">
        <v>215.19839999999996</v>
      </c>
    </row>
    <row r="447" spans="1:2" x14ac:dyDescent="0.45">
      <c r="A447" s="26" t="s">
        <v>846</v>
      </c>
      <c r="B447" s="29">
        <v>34.689059999999998</v>
      </c>
    </row>
    <row r="448" spans="1:2" x14ac:dyDescent="0.45">
      <c r="A448" s="25" t="s">
        <v>730</v>
      </c>
      <c r="B448" s="13">
        <v>1404435.0674919998</v>
      </c>
    </row>
    <row r="449" spans="1:2" x14ac:dyDescent="0.45">
      <c r="A449" s="26" t="s">
        <v>1320</v>
      </c>
      <c r="B449" s="28">
        <v>68665.574250000005</v>
      </c>
    </row>
    <row r="450" spans="1:2" x14ac:dyDescent="0.45">
      <c r="A450" s="26" t="s">
        <v>834</v>
      </c>
      <c r="B450" s="28">
        <v>52780.07</v>
      </c>
    </row>
    <row r="451" spans="1:2" x14ac:dyDescent="0.45">
      <c r="A451" s="26" t="s">
        <v>883</v>
      </c>
      <c r="B451" s="28">
        <v>42495.805439999996</v>
      </c>
    </row>
    <row r="452" spans="1:2" x14ac:dyDescent="0.45">
      <c r="A452" s="26" t="s">
        <v>915</v>
      </c>
      <c r="B452" s="28">
        <v>41352.246200000009</v>
      </c>
    </row>
    <row r="453" spans="1:2" x14ac:dyDescent="0.45">
      <c r="A453" s="26" t="s">
        <v>1162</v>
      </c>
      <c r="B453" s="28">
        <v>41138.261999999995</v>
      </c>
    </row>
    <row r="454" spans="1:2" x14ac:dyDescent="0.45">
      <c r="A454" s="26" t="s">
        <v>1109</v>
      </c>
      <c r="B454" s="28">
        <v>38422.022320000004</v>
      </c>
    </row>
    <row r="455" spans="1:2" x14ac:dyDescent="0.45">
      <c r="A455" s="26" t="s">
        <v>970</v>
      </c>
      <c r="B455" s="28">
        <v>37038.581760000001</v>
      </c>
    </row>
    <row r="456" spans="1:2" x14ac:dyDescent="0.45">
      <c r="A456" s="26" t="s">
        <v>751</v>
      </c>
      <c r="B456" s="28">
        <v>35367.211040000002</v>
      </c>
    </row>
    <row r="457" spans="1:2" x14ac:dyDescent="0.45">
      <c r="A457" s="26" t="s">
        <v>1012</v>
      </c>
      <c r="B457" s="28">
        <v>34840.344000000005</v>
      </c>
    </row>
    <row r="458" spans="1:2" x14ac:dyDescent="0.45">
      <c r="A458" s="26" t="s">
        <v>1239</v>
      </c>
      <c r="B458" s="28">
        <v>34800.431400000001</v>
      </c>
    </row>
    <row r="459" spans="1:2" x14ac:dyDescent="0.45">
      <c r="A459" s="26" t="s">
        <v>1287</v>
      </c>
      <c r="B459" s="28">
        <v>33551.927499999998</v>
      </c>
    </row>
    <row r="460" spans="1:2" x14ac:dyDescent="0.45">
      <c r="A460" s="26" t="s">
        <v>1294</v>
      </c>
      <c r="B460" s="28">
        <v>33071.3145</v>
      </c>
    </row>
    <row r="461" spans="1:2" x14ac:dyDescent="0.45">
      <c r="A461" s="26" t="s">
        <v>1360</v>
      </c>
      <c r="B461" s="28">
        <v>33017.42</v>
      </c>
    </row>
    <row r="462" spans="1:2" x14ac:dyDescent="0.45">
      <c r="A462" s="26" t="s">
        <v>1108</v>
      </c>
      <c r="B462" s="28">
        <v>31005.24768</v>
      </c>
    </row>
    <row r="463" spans="1:2" x14ac:dyDescent="0.45">
      <c r="A463" s="26" t="s">
        <v>1156</v>
      </c>
      <c r="B463" s="28">
        <v>29627.320319999999</v>
      </c>
    </row>
    <row r="464" spans="1:2" x14ac:dyDescent="0.45">
      <c r="A464" s="26" t="s">
        <v>893</v>
      </c>
      <c r="B464" s="28">
        <v>29263.754519999995</v>
      </c>
    </row>
    <row r="465" spans="1:2" x14ac:dyDescent="0.45">
      <c r="A465" s="26" t="s">
        <v>1339</v>
      </c>
      <c r="B465" s="28">
        <v>29175.036029999999</v>
      </c>
    </row>
    <row r="466" spans="1:2" x14ac:dyDescent="0.45">
      <c r="A466" s="26" t="s">
        <v>1070</v>
      </c>
      <c r="B466" s="28">
        <v>28247.74656</v>
      </c>
    </row>
    <row r="467" spans="1:2" x14ac:dyDescent="0.45">
      <c r="A467" s="26" t="s">
        <v>1168</v>
      </c>
      <c r="B467" s="28">
        <v>27249</v>
      </c>
    </row>
    <row r="468" spans="1:2" x14ac:dyDescent="0.45">
      <c r="A468" s="26" t="s">
        <v>765</v>
      </c>
      <c r="B468" s="28">
        <v>26150.364320000001</v>
      </c>
    </row>
    <row r="469" spans="1:2" x14ac:dyDescent="0.45">
      <c r="A469" s="26" t="s">
        <v>936</v>
      </c>
      <c r="B469" s="28">
        <v>25299.040000000001</v>
      </c>
    </row>
    <row r="470" spans="1:2" x14ac:dyDescent="0.45">
      <c r="A470" s="26" t="s">
        <v>1160</v>
      </c>
      <c r="B470" s="28">
        <v>25231.379471999997</v>
      </c>
    </row>
    <row r="471" spans="1:2" x14ac:dyDescent="0.45">
      <c r="A471" s="26" t="s">
        <v>947</v>
      </c>
      <c r="B471" s="28">
        <v>24223.05</v>
      </c>
    </row>
    <row r="472" spans="1:2" x14ac:dyDescent="0.45">
      <c r="A472" s="26" t="s">
        <v>841</v>
      </c>
      <c r="B472" s="28">
        <v>23687.524440000001</v>
      </c>
    </row>
    <row r="473" spans="1:2" x14ac:dyDescent="0.45">
      <c r="A473" s="26" t="s">
        <v>1317</v>
      </c>
      <c r="B473" s="28">
        <v>22676.312610000001</v>
      </c>
    </row>
    <row r="474" spans="1:2" x14ac:dyDescent="0.45">
      <c r="A474" s="26" t="s">
        <v>1054</v>
      </c>
      <c r="B474" s="28">
        <v>22380.204000000002</v>
      </c>
    </row>
    <row r="475" spans="1:2" x14ac:dyDescent="0.45">
      <c r="A475" s="26" t="s">
        <v>930</v>
      </c>
      <c r="B475" s="28">
        <v>21679.749799999998</v>
      </c>
    </row>
    <row r="476" spans="1:2" x14ac:dyDescent="0.45">
      <c r="A476" s="26" t="s">
        <v>959</v>
      </c>
      <c r="B476" s="28">
        <v>21573.6495</v>
      </c>
    </row>
    <row r="477" spans="1:2" x14ac:dyDescent="0.45">
      <c r="A477" s="26" t="s">
        <v>1140</v>
      </c>
      <c r="B477" s="28">
        <v>21541.017959999997</v>
      </c>
    </row>
    <row r="478" spans="1:2" x14ac:dyDescent="0.45">
      <c r="A478" s="26" t="s">
        <v>1189</v>
      </c>
      <c r="B478" s="28">
        <v>20797.98</v>
      </c>
    </row>
    <row r="479" spans="1:2" x14ac:dyDescent="0.45">
      <c r="A479" s="26" t="s">
        <v>1100</v>
      </c>
      <c r="B479" s="28">
        <v>19547.329920000004</v>
      </c>
    </row>
    <row r="480" spans="1:2" x14ac:dyDescent="0.45">
      <c r="A480" s="26" t="s">
        <v>825</v>
      </c>
      <c r="B480" s="28">
        <v>19510.808000000001</v>
      </c>
    </row>
    <row r="481" spans="1:2" x14ac:dyDescent="0.45">
      <c r="A481" s="26" t="s">
        <v>1207</v>
      </c>
      <c r="B481" s="28">
        <v>19233.355499999998</v>
      </c>
    </row>
    <row r="482" spans="1:2" x14ac:dyDescent="0.45">
      <c r="A482" s="26" t="s">
        <v>1105</v>
      </c>
      <c r="B482" s="28">
        <v>16873.45</v>
      </c>
    </row>
    <row r="483" spans="1:2" x14ac:dyDescent="0.45">
      <c r="A483" s="26" t="s">
        <v>1146</v>
      </c>
      <c r="B483" s="28">
        <v>16134.22069</v>
      </c>
    </row>
    <row r="484" spans="1:2" x14ac:dyDescent="0.45">
      <c r="A484" s="26" t="s">
        <v>856</v>
      </c>
      <c r="B484" s="28">
        <v>16061.972879999999</v>
      </c>
    </row>
    <row r="485" spans="1:2" x14ac:dyDescent="0.45">
      <c r="A485" s="26" t="s">
        <v>934</v>
      </c>
      <c r="B485" s="28">
        <v>14963.769179999999</v>
      </c>
    </row>
    <row r="486" spans="1:2" x14ac:dyDescent="0.45">
      <c r="A486" s="26" t="s">
        <v>1153</v>
      </c>
      <c r="B486" s="28">
        <v>14527.748400000002</v>
      </c>
    </row>
    <row r="487" spans="1:2" x14ac:dyDescent="0.45">
      <c r="A487" s="26" t="s">
        <v>1362</v>
      </c>
      <c r="B487" s="28">
        <v>12769.38768</v>
      </c>
    </row>
    <row r="488" spans="1:2" x14ac:dyDescent="0.45">
      <c r="A488" s="26" t="s">
        <v>1174</v>
      </c>
      <c r="B488" s="28">
        <v>12668.50728</v>
      </c>
    </row>
    <row r="489" spans="1:2" x14ac:dyDescent="0.45">
      <c r="A489" s="26" t="s">
        <v>1182</v>
      </c>
      <c r="B489" s="28">
        <v>12289.2</v>
      </c>
    </row>
    <row r="490" spans="1:2" x14ac:dyDescent="0.45">
      <c r="A490" s="26" t="s">
        <v>978</v>
      </c>
      <c r="B490" s="28">
        <v>12248.675999999999</v>
      </c>
    </row>
    <row r="491" spans="1:2" x14ac:dyDescent="0.45">
      <c r="A491" s="26" t="s">
        <v>799</v>
      </c>
      <c r="B491" s="28">
        <v>12153.267360000002</v>
      </c>
    </row>
    <row r="492" spans="1:2" x14ac:dyDescent="0.45">
      <c r="A492" s="26" t="s">
        <v>1186</v>
      </c>
      <c r="B492" s="28">
        <v>11984.891250000001</v>
      </c>
    </row>
    <row r="493" spans="1:2" x14ac:dyDescent="0.45">
      <c r="A493" s="26" t="s">
        <v>1266</v>
      </c>
      <c r="B493" s="28">
        <v>11924.0978</v>
      </c>
    </row>
    <row r="494" spans="1:2" x14ac:dyDescent="0.45">
      <c r="A494" s="26" t="s">
        <v>931</v>
      </c>
      <c r="B494" s="28">
        <v>11326.846439999999</v>
      </c>
    </row>
    <row r="495" spans="1:2" x14ac:dyDescent="0.45">
      <c r="A495" s="26" t="s">
        <v>1126</v>
      </c>
      <c r="B495" s="28">
        <v>11285.764020000001</v>
      </c>
    </row>
    <row r="496" spans="1:2" x14ac:dyDescent="0.45">
      <c r="A496" s="26" t="s">
        <v>796</v>
      </c>
      <c r="B496" s="28">
        <v>10947.904</v>
      </c>
    </row>
    <row r="497" spans="1:2" x14ac:dyDescent="0.45">
      <c r="A497" s="26" t="s">
        <v>745</v>
      </c>
      <c r="B497" s="28">
        <v>10370.549999999999</v>
      </c>
    </row>
    <row r="498" spans="1:2" x14ac:dyDescent="0.45">
      <c r="A498" s="26" t="s">
        <v>1154</v>
      </c>
      <c r="B498" s="28">
        <v>9984.7160999999978</v>
      </c>
    </row>
    <row r="499" spans="1:2" x14ac:dyDescent="0.45">
      <c r="A499" s="26" t="s">
        <v>975</v>
      </c>
      <c r="B499" s="28">
        <v>9684.8756000000012</v>
      </c>
    </row>
    <row r="500" spans="1:2" x14ac:dyDescent="0.45">
      <c r="A500" s="26" t="s">
        <v>1222</v>
      </c>
      <c r="B500" s="28">
        <v>9614.4403999999995</v>
      </c>
    </row>
    <row r="501" spans="1:2" x14ac:dyDescent="0.45">
      <c r="A501" s="26" t="s">
        <v>1050</v>
      </c>
      <c r="B501" s="28">
        <v>9062.34692</v>
      </c>
    </row>
    <row r="502" spans="1:2" x14ac:dyDescent="0.45">
      <c r="A502" s="26" t="s">
        <v>1077</v>
      </c>
      <c r="B502" s="28">
        <v>8938.8996600000009</v>
      </c>
    </row>
    <row r="503" spans="1:2" x14ac:dyDescent="0.45">
      <c r="A503" s="26" t="s">
        <v>875</v>
      </c>
      <c r="B503" s="28">
        <v>8211.6342000000004</v>
      </c>
    </row>
    <row r="504" spans="1:2" x14ac:dyDescent="0.45">
      <c r="A504" s="26" t="s">
        <v>896</v>
      </c>
      <c r="B504" s="28">
        <v>8154.5511600000009</v>
      </c>
    </row>
    <row r="505" spans="1:2" x14ac:dyDescent="0.45">
      <c r="A505" s="26" t="s">
        <v>1037</v>
      </c>
      <c r="B505" s="28">
        <v>8093.4784</v>
      </c>
    </row>
    <row r="506" spans="1:2" x14ac:dyDescent="0.45">
      <c r="A506" s="26" t="s">
        <v>1234</v>
      </c>
      <c r="B506" s="28">
        <v>7428.1108999999988</v>
      </c>
    </row>
    <row r="507" spans="1:2" x14ac:dyDescent="0.45">
      <c r="A507" s="26" t="s">
        <v>1312</v>
      </c>
      <c r="B507" s="28">
        <v>7173.3342799999991</v>
      </c>
    </row>
    <row r="508" spans="1:2" x14ac:dyDescent="0.45">
      <c r="A508" s="26" t="s">
        <v>1002</v>
      </c>
      <c r="B508" s="28">
        <v>6946.8</v>
      </c>
    </row>
    <row r="509" spans="1:2" x14ac:dyDescent="0.45">
      <c r="A509" s="26" t="s">
        <v>972</v>
      </c>
      <c r="B509" s="28">
        <v>6684.1875</v>
      </c>
    </row>
    <row r="510" spans="1:2" x14ac:dyDescent="0.45">
      <c r="A510" s="26" t="s">
        <v>965</v>
      </c>
      <c r="B510" s="28">
        <v>5814.6927299999998</v>
      </c>
    </row>
    <row r="511" spans="1:2" x14ac:dyDescent="0.45">
      <c r="A511" s="26" t="s">
        <v>828</v>
      </c>
      <c r="B511" s="28">
        <v>5487.6023999999998</v>
      </c>
    </row>
    <row r="512" spans="1:2" x14ac:dyDescent="0.45">
      <c r="A512" s="26" t="s">
        <v>737</v>
      </c>
      <c r="B512" s="28">
        <v>5225.2710400000005</v>
      </c>
    </row>
    <row r="513" spans="1:2" x14ac:dyDescent="0.45">
      <c r="A513" s="26" t="s">
        <v>1246</v>
      </c>
      <c r="B513" s="28">
        <v>5189.8836000000001</v>
      </c>
    </row>
    <row r="514" spans="1:2" x14ac:dyDescent="0.45">
      <c r="A514" s="26" t="s">
        <v>1219</v>
      </c>
      <c r="B514" s="28">
        <v>5159.7893599999998</v>
      </c>
    </row>
    <row r="515" spans="1:2" x14ac:dyDescent="0.45">
      <c r="A515" s="26" t="s">
        <v>1216</v>
      </c>
      <c r="B515" s="28">
        <v>5127.0390600000001</v>
      </c>
    </row>
    <row r="516" spans="1:2" x14ac:dyDescent="0.45">
      <c r="A516" s="26" t="s">
        <v>1068</v>
      </c>
      <c r="B516" s="28">
        <v>4856.35725</v>
      </c>
    </row>
    <row r="517" spans="1:2" x14ac:dyDescent="0.45">
      <c r="A517" s="26" t="s">
        <v>1095</v>
      </c>
      <c r="B517" s="28">
        <v>4804.4682400000002</v>
      </c>
    </row>
    <row r="518" spans="1:2" x14ac:dyDescent="0.45">
      <c r="A518" s="26" t="s">
        <v>871</v>
      </c>
      <c r="B518" s="28">
        <v>4336.2427499999994</v>
      </c>
    </row>
    <row r="519" spans="1:2" x14ac:dyDescent="0.45">
      <c r="A519" s="26" t="s">
        <v>761</v>
      </c>
      <c r="B519" s="30">
        <v>3980.7075</v>
      </c>
    </row>
    <row r="520" spans="1:2" x14ac:dyDescent="0.45">
      <c r="A520" s="26" t="s">
        <v>1019</v>
      </c>
      <c r="B520" s="30">
        <v>3978.6474000000003</v>
      </c>
    </row>
    <row r="521" spans="1:2" x14ac:dyDescent="0.45">
      <c r="A521" s="26" t="s">
        <v>762</v>
      </c>
      <c r="B521" s="30">
        <v>3913.2000000000003</v>
      </c>
    </row>
    <row r="522" spans="1:2" x14ac:dyDescent="0.45">
      <c r="A522" s="26" t="s">
        <v>1061</v>
      </c>
      <c r="B522" s="30">
        <v>3799.8031499999997</v>
      </c>
    </row>
    <row r="523" spans="1:2" x14ac:dyDescent="0.45">
      <c r="A523" s="26" t="s">
        <v>867</v>
      </c>
      <c r="B523" s="30">
        <v>3494.4040799999998</v>
      </c>
    </row>
    <row r="524" spans="1:2" x14ac:dyDescent="0.45">
      <c r="A524" s="26" t="s">
        <v>979</v>
      </c>
      <c r="B524" s="30">
        <v>2909.8689199999999</v>
      </c>
    </row>
    <row r="525" spans="1:2" x14ac:dyDescent="0.45">
      <c r="A525" s="26" t="s">
        <v>862</v>
      </c>
      <c r="B525" s="30">
        <v>2642.1686999999997</v>
      </c>
    </row>
    <row r="526" spans="1:2" x14ac:dyDescent="0.45">
      <c r="A526" s="26" t="s">
        <v>1064</v>
      </c>
      <c r="B526" s="30">
        <v>2537.2908000000002</v>
      </c>
    </row>
    <row r="527" spans="1:2" x14ac:dyDescent="0.45">
      <c r="A527" s="26" t="s">
        <v>1081</v>
      </c>
      <c r="B527" s="30">
        <v>2206.8000000000002</v>
      </c>
    </row>
    <row r="528" spans="1:2" x14ac:dyDescent="0.45">
      <c r="A528" s="26" t="s">
        <v>1145</v>
      </c>
      <c r="B528" s="30">
        <v>2059.0056</v>
      </c>
    </row>
    <row r="529" spans="1:2" x14ac:dyDescent="0.45">
      <c r="A529" s="26" t="s">
        <v>1304</v>
      </c>
      <c r="B529" s="30">
        <v>841.00536</v>
      </c>
    </row>
    <row r="530" spans="1:2" x14ac:dyDescent="0.45">
      <c r="A530" s="26" t="s">
        <v>1016</v>
      </c>
      <c r="B530" s="30">
        <v>667.74</v>
      </c>
    </row>
    <row r="531" spans="1:2" x14ac:dyDescent="0.45">
      <c r="A531" s="26" t="s">
        <v>1264</v>
      </c>
      <c r="B531" s="30">
        <v>618.19979999999987</v>
      </c>
    </row>
    <row r="532" spans="1:2" x14ac:dyDescent="0.45">
      <c r="A532" s="26" t="s">
        <v>997</v>
      </c>
      <c r="B532" s="29">
        <v>560.36831999999993</v>
      </c>
    </row>
    <row r="533" spans="1:2" x14ac:dyDescent="0.45">
      <c r="A533" s="26" t="s">
        <v>840</v>
      </c>
      <c r="B533" s="29">
        <v>518.65436999999997</v>
      </c>
    </row>
    <row r="534" spans="1:2" x14ac:dyDescent="0.45">
      <c r="A534" s="26" t="s">
        <v>1318</v>
      </c>
      <c r="B534" s="29">
        <v>370.86</v>
      </c>
    </row>
    <row r="535" spans="1:2" x14ac:dyDescent="0.45">
      <c r="A535" s="26" t="s">
        <v>1226</v>
      </c>
      <c r="B535" s="29">
        <v>110.14919999999999</v>
      </c>
    </row>
    <row r="536" spans="1:2" x14ac:dyDescent="0.45">
      <c r="A536" s="26" t="s">
        <v>1020</v>
      </c>
      <c r="B536" s="29">
        <v>76.138720000000006</v>
      </c>
    </row>
    <row r="537" spans="1:2" x14ac:dyDescent="0.45">
      <c r="A537" s="25" t="s">
        <v>728</v>
      </c>
      <c r="B537" s="13">
        <v>1625048.336859999</v>
      </c>
    </row>
    <row r="538" spans="1:2" x14ac:dyDescent="0.45">
      <c r="A538" s="26" t="s">
        <v>1271</v>
      </c>
      <c r="B538" s="28">
        <v>66260.314239999992</v>
      </c>
    </row>
    <row r="539" spans="1:2" x14ac:dyDescent="0.45">
      <c r="A539" s="26" t="s">
        <v>1157</v>
      </c>
      <c r="B539" s="28">
        <v>58091.634960000003</v>
      </c>
    </row>
    <row r="540" spans="1:2" x14ac:dyDescent="0.45">
      <c r="A540" s="26" t="s">
        <v>933</v>
      </c>
      <c r="B540" s="28">
        <v>55880.483749999999</v>
      </c>
    </row>
    <row r="541" spans="1:2" x14ac:dyDescent="0.45">
      <c r="A541" s="26" t="s">
        <v>1289</v>
      </c>
      <c r="B541" s="28">
        <v>50545.319219999998</v>
      </c>
    </row>
    <row r="542" spans="1:2" x14ac:dyDescent="0.45">
      <c r="A542" s="26" t="s">
        <v>1090</v>
      </c>
      <c r="B542" s="28">
        <v>43907.94</v>
      </c>
    </row>
    <row r="543" spans="1:2" x14ac:dyDescent="0.45">
      <c r="A543" s="26" t="s">
        <v>829</v>
      </c>
      <c r="B543" s="28">
        <v>43209.006119999991</v>
      </c>
    </row>
    <row r="544" spans="1:2" x14ac:dyDescent="0.45">
      <c r="A544" s="26" t="s">
        <v>1047</v>
      </c>
      <c r="B544" s="28">
        <v>40325.31</v>
      </c>
    </row>
    <row r="545" spans="1:2" x14ac:dyDescent="0.45">
      <c r="A545" s="26" t="s">
        <v>1335</v>
      </c>
      <c r="B545" s="28">
        <v>39810.328000000001</v>
      </c>
    </row>
    <row r="546" spans="1:2" x14ac:dyDescent="0.45">
      <c r="A546" s="26" t="s">
        <v>776</v>
      </c>
      <c r="B546" s="28">
        <v>39542.248200000002</v>
      </c>
    </row>
    <row r="547" spans="1:2" x14ac:dyDescent="0.45">
      <c r="A547" s="26" t="s">
        <v>1071</v>
      </c>
      <c r="B547" s="28">
        <v>38535.955099999999</v>
      </c>
    </row>
    <row r="548" spans="1:2" x14ac:dyDescent="0.45">
      <c r="A548" s="26" t="s">
        <v>1115</v>
      </c>
      <c r="B548" s="28">
        <v>37562.28</v>
      </c>
    </row>
    <row r="549" spans="1:2" x14ac:dyDescent="0.45">
      <c r="A549" s="26" t="s">
        <v>1204</v>
      </c>
      <c r="B549" s="28">
        <v>36549.429260000004</v>
      </c>
    </row>
    <row r="550" spans="1:2" x14ac:dyDescent="0.45">
      <c r="A550" s="26" t="s">
        <v>872</v>
      </c>
      <c r="B550" s="28">
        <v>35567.737920000007</v>
      </c>
    </row>
    <row r="551" spans="1:2" x14ac:dyDescent="0.45">
      <c r="A551" s="26" t="s">
        <v>783</v>
      </c>
      <c r="B551" s="28">
        <v>34444.462359999998</v>
      </c>
    </row>
    <row r="552" spans="1:2" x14ac:dyDescent="0.45">
      <c r="A552" s="26" t="s">
        <v>1262</v>
      </c>
      <c r="B552" s="28">
        <v>33421.1</v>
      </c>
    </row>
    <row r="553" spans="1:2" x14ac:dyDescent="0.45">
      <c r="A553" s="26" t="s">
        <v>1280</v>
      </c>
      <c r="B553" s="28">
        <v>31822.023930000003</v>
      </c>
    </row>
    <row r="554" spans="1:2" x14ac:dyDescent="0.45">
      <c r="A554" s="26" t="s">
        <v>887</v>
      </c>
      <c r="B554" s="28">
        <v>29654.83008</v>
      </c>
    </row>
    <row r="555" spans="1:2" x14ac:dyDescent="0.45">
      <c r="A555" s="26" t="s">
        <v>1220</v>
      </c>
      <c r="B555" s="28">
        <v>28856.475000000002</v>
      </c>
    </row>
    <row r="556" spans="1:2" x14ac:dyDescent="0.45">
      <c r="A556" s="26" t="s">
        <v>953</v>
      </c>
      <c r="B556" s="28">
        <v>28211.92124</v>
      </c>
    </row>
    <row r="557" spans="1:2" x14ac:dyDescent="0.45">
      <c r="A557" s="26" t="s">
        <v>1208</v>
      </c>
      <c r="B557" s="28">
        <v>27194.152039999997</v>
      </c>
    </row>
    <row r="558" spans="1:2" x14ac:dyDescent="0.45">
      <c r="A558" s="26" t="s">
        <v>750</v>
      </c>
      <c r="B558" s="28">
        <v>25948.414799999995</v>
      </c>
    </row>
    <row r="559" spans="1:2" x14ac:dyDescent="0.45">
      <c r="A559" s="26" t="s">
        <v>987</v>
      </c>
      <c r="B559" s="28">
        <v>25483.91488</v>
      </c>
    </row>
    <row r="560" spans="1:2" x14ac:dyDescent="0.45">
      <c r="A560" s="26" t="s">
        <v>1350</v>
      </c>
      <c r="B560" s="28">
        <v>25174.028880000002</v>
      </c>
    </row>
    <row r="561" spans="1:2" x14ac:dyDescent="0.45">
      <c r="A561" s="26" t="s">
        <v>1139</v>
      </c>
      <c r="B561" s="28">
        <v>22457.143800000002</v>
      </c>
    </row>
    <row r="562" spans="1:2" x14ac:dyDescent="0.45">
      <c r="A562" s="26" t="s">
        <v>1249</v>
      </c>
      <c r="B562" s="28">
        <v>22201.762229999997</v>
      </c>
    </row>
    <row r="563" spans="1:2" x14ac:dyDescent="0.45">
      <c r="A563" s="26" t="s">
        <v>1177</v>
      </c>
      <c r="B563" s="28">
        <v>21664.440000000002</v>
      </c>
    </row>
    <row r="564" spans="1:2" x14ac:dyDescent="0.45">
      <c r="A564" s="26" t="s">
        <v>747</v>
      </c>
      <c r="B564" s="28">
        <v>21585.15</v>
      </c>
    </row>
    <row r="565" spans="1:2" x14ac:dyDescent="0.45">
      <c r="A565" s="26" t="s">
        <v>1173</v>
      </c>
      <c r="B565" s="28">
        <v>20672.289000000001</v>
      </c>
    </row>
    <row r="566" spans="1:2" x14ac:dyDescent="0.45">
      <c r="A566" s="26" t="s">
        <v>1076</v>
      </c>
      <c r="B566" s="28">
        <v>20053.439999999999</v>
      </c>
    </row>
    <row r="567" spans="1:2" x14ac:dyDescent="0.45">
      <c r="A567" s="26" t="s">
        <v>1148</v>
      </c>
      <c r="B567" s="28">
        <v>18411.4084</v>
      </c>
    </row>
    <row r="568" spans="1:2" x14ac:dyDescent="0.45">
      <c r="A568" s="26" t="s">
        <v>815</v>
      </c>
      <c r="B568" s="28">
        <v>18258.868320000001</v>
      </c>
    </row>
    <row r="569" spans="1:2" x14ac:dyDescent="0.45">
      <c r="A569" s="26" t="s">
        <v>1343</v>
      </c>
      <c r="B569" s="28">
        <v>18003.847679999999</v>
      </c>
    </row>
    <row r="570" spans="1:2" x14ac:dyDescent="0.45">
      <c r="A570" s="26" t="s">
        <v>735</v>
      </c>
      <c r="B570" s="28">
        <v>17960.432489999999</v>
      </c>
    </row>
    <row r="571" spans="1:2" x14ac:dyDescent="0.45">
      <c r="A571" s="26" t="s">
        <v>1134</v>
      </c>
      <c r="B571" s="28">
        <v>17427.164800000002</v>
      </c>
    </row>
    <row r="572" spans="1:2" x14ac:dyDescent="0.45">
      <c r="A572" s="26" t="s">
        <v>969</v>
      </c>
      <c r="B572" s="28">
        <v>17359.804799999998</v>
      </c>
    </row>
    <row r="573" spans="1:2" x14ac:dyDescent="0.45">
      <c r="A573" s="26" t="s">
        <v>962</v>
      </c>
      <c r="B573" s="28">
        <v>16609.090809999998</v>
      </c>
    </row>
    <row r="574" spans="1:2" x14ac:dyDescent="0.45">
      <c r="A574" s="26" t="s">
        <v>1202</v>
      </c>
      <c r="B574" s="28">
        <v>16252.219979999998</v>
      </c>
    </row>
    <row r="575" spans="1:2" x14ac:dyDescent="0.45">
      <c r="A575" s="26" t="s">
        <v>1069</v>
      </c>
      <c r="B575" s="28">
        <v>16219.34496</v>
      </c>
    </row>
    <row r="576" spans="1:2" x14ac:dyDescent="0.45">
      <c r="A576" s="26" t="s">
        <v>942</v>
      </c>
      <c r="B576" s="28">
        <v>15825.399369999997</v>
      </c>
    </row>
    <row r="577" spans="1:2" x14ac:dyDescent="0.45">
      <c r="A577" s="26" t="s">
        <v>910</v>
      </c>
      <c r="B577" s="28">
        <v>15656.47056</v>
      </c>
    </row>
    <row r="578" spans="1:2" x14ac:dyDescent="0.45">
      <c r="A578" s="26" t="s">
        <v>772</v>
      </c>
      <c r="B578" s="28">
        <v>14968.239</v>
      </c>
    </row>
    <row r="579" spans="1:2" x14ac:dyDescent="0.45">
      <c r="A579" s="26" t="s">
        <v>882</v>
      </c>
      <c r="B579" s="28">
        <v>14877.464000000002</v>
      </c>
    </row>
    <row r="580" spans="1:2" x14ac:dyDescent="0.45">
      <c r="A580" s="26" t="s">
        <v>1093</v>
      </c>
      <c r="B580" s="28">
        <v>14813.731920000002</v>
      </c>
    </row>
    <row r="581" spans="1:2" x14ac:dyDescent="0.45">
      <c r="A581" s="26" t="s">
        <v>1292</v>
      </c>
      <c r="B581" s="28">
        <v>13251.48</v>
      </c>
    </row>
    <row r="582" spans="1:2" x14ac:dyDescent="0.45">
      <c r="A582" s="26" t="s">
        <v>1163</v>
      </c>
      <c r="B582" s="28">
        <v>12955.824749999998</v>
      </c>
    </row>
    <row r="583" spans="1:2" x14ac:dyDescent="0.45">
      <c r="A583" s="26" t="s">
        <v>1098</v>
      </c>
      <c r="B583" s="28">
        <v>12717.311040000001</v>
      </c>
    </row>
    <row r="584" spans="1:2" x14ac:dyDescent="0.45">
      <c r="A584" s="26" t="s">
        <v>999</v>
      </c>
      <c r="B584" s="28">
        <v>12597.52224</v>
      </c>
    </row>
    <row r="585" spans="1:2" x14ac:dyDescent="0.45">
      <c r="A585" s="26" t="s">
        <v>1183</v>
      </c>
      <c r="B585" s="28">
        <v>12462.65055</v>
      </c>
    </row>
    <row r="586" spans="1:2" x14ac:dyDescent="0.45">
      <c r="A586" s="26" t="s">
        <v>868</v>
      </c>
      <c r="B586" s="28">
        <v>12031.491680000001</v>
      </c>
    </row>
    <row r="587" spans="1:2" x14ac:dyDescent="0.45">
      <c r="A587" s="26" t="s">
        <v>898</v>
      </c>
      <c r="B587" s="28">
        <v>11851.806399999999</v>
      </c>
    </row>
    <row r="588" spans="1:2" x14ac:dyDescent="0.45">
      <c r="A588" s="26" t="s">
        <v>1008</v>
      </c>
      <c r="B588" s="28">
        <v>11417.429099999999</v>
      </c>
    </row>
    <row r="589" spans="1:2" x14ac:dyDescent="0.45">
      <c r="A589" s="26" t="s">
        <v>1260</v>
      </c>
      <c r="B589" s="28">
        <v>11406.96</v>
      </c>
    </row>
    <row r="590" spans="1:2" x14ac:dyDescent="0.45">
      <c r="A590" s="26" t="s">
        <v>738</v>
      </c>
      <c r="B590" s="28">
        <v>10957.9797</v>
      </c>
    </row>
    <row r="591" spans="1:2" x14ac:dyDescent="0.45">
      <c r="A591" s="26" t="s">
        <v>1235</v>
      </c>
      <c r="B591" s="28">
        <v>10869.182940000001</v>
      </c>
    </row>
    <row r="592" spans="1:2" x14ac:dyDescent="0.45">
      <c r="A592" s="26" t="s">
        <v>777</v>
      </c>
      <c r="B592" s="28">
        <v>10666.229420000001</v>
      </c>
    </row>
    <row r="593" spans="1:2" x14ac:dyDescent="0.45">
      <c r="A593" s="26" t="s">
        <v>1347</v>
      </c>
      <c r="B593" s="28">
        <v>10464.138360000001</v>
      </c>
    </row>
    <row r="594" spans="1:2" x14ac:dyDescent="0.45">
      <c r="A594" s="26" t="s">
        <v>1203</v>
      </c>
      <c r="B594" s="28">
        <v>10428.057360000001</v>
      </c>
    </row>
    <row r="595" spans="1:2" x14ac:dyDescent="0.45">
      <c r="A595" s="26" t="s">
        <v>1342</v>
      </c>
      <c r="B595" s="28">
        <v>10260.060159999999</v>
      </c>
    </row>
    <row r="596" spans="1:2" x14ac:dyDescent="0.45">
      <c r="A596" s="26" t="s">
        <v>826</v>
      </c>
      <c r="B596" s="28">
        <v>10161.46624</v>
      </c>
    </row>
    <row r="597" spans="1:2" x14ac:dyDescent="0.45">
      <c r="A597" s="26" t="s">
        <v>877</v>
      </c>
      <c r="B597" s="28">
        <v>9969.4201499999999</v>
      </c>
    </row>
    <row r="598" spans="1:2" x14ac:dyDescent="0.45">
      <c r="A598" s="26" t="s">
        <v>1035</v>
      </c>
      <c r="B598" s="28">
        <v>9866.3104799999983</v>
      </c>
    </row>
    <row r="599" spans="1:2" x14ac:dyDescent="0.45">
      <c r="A599" s="26" t="s">
        <v>1119</v>
      </c>
      <c r="B599" s="28">
        <v>9586.8057599999993</v>
      </c>
    </row>
    <row r="600" spans="1:2" x14ac:dyDescent="0.45">
      <c r="A600" s="26" t="s">
        <v>1258</v>
      </c>
      <c r="B600" s="28">
        <v>8326.6852500000005</v>
      </c>
    </row>
    <row r="601" spans="1:2" x14ac:dyDescent="0.45">
      <c r="A601" s="26" t="s">
        <v>884</v>
      </c>
      <c r="B601" s="28">
        <v>7901.5041599999995</v>
      </c>
    </row>
    <row r="602" spans="1:2" x14ac:dyDescent="0.45">
      <c r="A602" s="26" t="s">
        <v>1003</v>
      </c>
      <c r="B602" s="28">
        <v>7678.2113999999992</v>
      </c>
    </row>
    <row r="603" spans="1:2" x14ac:dyDescent="0.45">
      <c r="A603" s="26" t="s">
        <v>1333</v>
      </c>
      <c r="B603" s="28">
        <v>7466.3063999999986</v>
      </c>
    </row>
    <row r="604" spans="1:2" x14ac:dyDescent="0.45">
      <c r="A604" s="26" t="s">
        <v>963</v>
      </c>
      <c r="B604" s="28">
        <v>7446.5209000000004</v>
      </c>
    </row>
    <row r="605" spans="1:2" x14ac:dyDescent="0.45">
      <c r="A605" s="26" t="s">
        <v>780</v>
      </c>
      <c r="B605" s="28">
        <v>7135.57</v>
      </c>
    </row>
    <row r="606" spans="1:2" x14ac:dyDescent="0.45">
      <c r="A606" s="26" t="s">
        <v>946</v>
      </c>
      <c r="B606" s="28">
        <v>6984.8246399999998</v>
      </c>
    </row>
    <row r="607" spans="1:2" x14ac:dyDescent="0.45">
      <c r="A607" s="26" t="s">
        <v>1144</v>
      </c>
      <c r="B607" s="28">
        <v>6899.8804600000003</v>
      </c>
    </row>
    <row r="608" spans="1:2" x14ac:dyDescent="0.45">
      <c r="A608" s="26" t="s">
        <v>769</v>
      </c>
      <c r="B608" s="28">
        <v>6631.6443100000006</v>
      </c>
    </row>
    <row r="609" spans="1:2" x14ac:dyDescent="0.45">
      <c r="A609" s="26" t="s">
        <v>952</v>
      </c>
      <c r="B609" s="28">
        <v>6535.6324800000002</v>
      </c>
    </row>
    <row r="610" spans="1:2" x14ac:dyDescent="0.45">
      <c r="A610" s="26" t="s">
        <v>1176</v>
      </c>
      <c r="B610" s="28">
        <v>5960.04288</v>
      </c>
    </row>
    <row r="611" spans="1:2" x14ac:dyDescent="0.45">
      <c r="A611" s="26" t="s">
        <v>1336</v>
      </c>
      <c r="B611" s="28">
        <v>5457.4317000000001</v>
      </c>
    </row>
    <row r="612" spans="1:2" x14ac:dyDescent="0.45">
      <c r="A612" s="26" t="s">
        <v>1042</v>
      </c>
      <c r="B612" s="28">
        <v>5334.9141999999993</v>
      </c>
    </row>
    <row r="613" spans="1:2" x14ac:dyDescent="0.45">
      <c r="A613" s="26" t="s">
        <v>1214</v>
      </c>
      <c r="B613" s="28">
        <v>4738.5261</v>
      </c>
    </row>
    <row r="614" spans="1:2" x14ac:dyDescent="0.45">
      <c r="A614" s="26" t="s">
        <v>935</v>
      </c>
      <c r="B614" s="28">
        <v>4637.7968000000001</v>
      </c>
    </row>
    <row r="615" spans="1:2" x14ac:dyDescent="0.45">
      <c r="A615" s="26" t="s">
        <v>1103</v>
      </c>
      <c r="B615" s="28">
        <v>4569.5735999999997</v>
      </c>
    </row>
    <row r="616" spans="1:2" x14ac:dyDescent="0.45">
      <c r="A616" s="26" t="s">
        <v>974</v>
      </c>
      <c r="B616" s="28">
        <v>4436.6291200000005</v>
      </c>
    </row>
    <row r="617" spans="1:2" x14ac:dyDescent="0.45">
      <c r="A617" s="26" t="s">
        <v>913</v>
      </c>
      <c r="B617" s="28">
        <v>4420.5961799999995</v>
      </c>
    </row>
    <row r="618" spans="1:2" x14ac:dyDescent="0.45">
      <c r="A618" s="26" t="s">
        <v>1330</v>
      </c>
      <c r="B618" s="28">
        <v>4409.5168800000001</v>
      </c>
    </row>
    <row r="619" spans="1:2" x14ac:dyDescent="0.45">
      <c r="A619" s="26" t="s">
        <v>927</v>
      </c>
      <c r="B619" s="28">
        <v>4402.1164799999997</v>
      </c>
    </row>
    <row r="620" spans="1:2" x14ac:dyDescent="0.45">
      <c r="A620" s="26" t="s">
        <v>1030</v>
      </c>
      <c r="B620" s="30">
        <v>4241.88105</v>
      </c>
    </row>
    <row r="621" spans="1:2" x14ac:dyDescent="0.45">
      <c r="A621" s="26" t="s">
        <v>886</v>
      </c>
      <c r="B621" s="30">
        <v>4139.8127999999997</v>
      </c>
    </row>
    <row r="622" spans="1:2" x14ac:dyDescent="0.45">
      <c r="A622" s="26" t="s">
        <v>1084</v>
      </c>
      <c r="B622" s="30">
        <v>4132.0325200000007</v>
      </c>
    </row>
    <row r="623" spans="1:2" x14ac:dyDescent="0.45">
      <c r="A623" s="26" t="s">
        <v>1107</v>
      </c>
      <c r="B623" s="30">
        <v>4117.4880599999997</v>
      </c>
    </row>
    <row r="624" spans="1:2" x14ac:dyDescent="0.45">
      <c r="A624" s="26" t="s">
        <v>1195</v>
      </c>
      <c r="B624" s="30">
        <v>4055.5175999999997</v>
      </c>
    </row>
    <row r="625" spans="1:2" x14ac:dyDescent="0.45">
      <c r="A625" s="26" t="s">
        <v>1221</v>
      </c>
      <c r="B625" s="30">
        <v>4025.8565599999993</v>
      </c>
    </row>
    <row r="626" spans="1:2" x14ac:dyDescent="0.45">
      <c r="A626" s="26" t="s">
        <v>773</v>
      </c>
      <c r="B626" s="30">
        <v>3562.1983800000003</v>
      </c>
    </row>
    <row r="627" spans="1:2" x14ac:dyDescent="0.45">
      <c r="A627" s="26" t="s">
        <v>1329</v>
      </c>
      <c r="B627" s="30">
        <v>3116.21</v>
      </c>
    </row>
    <row r="628" spans="1:2" x14ac:dyDescent="0.45">
      <c r="A628" s="26" t="s">
        <v>966</v>
      </c>
      <c r="B628" s="30">
        <v>2879.9836</v>
      </c>
    </row>
    <row r="629" spans="1:2" x14ac:dyDescent="0.45">
      <c r="A629" s="26" t="s">
        <v>1340</v>
      </c>
      <c r="B629" s="30">
        <v>2736.27018</v>
      </c>
    </row>
    <row r="630" spans="1:2" x14ac:dyDescent="0.45">
      <c r="A630" s="26" t="s">
        <v>1124</v>
      </c>
      <c r="B630" s="30">
        <v>2525.0635000000002</v>
      </c>
    </row>
    <row r="631" spans="1:2" x14ac:dyDescent="0.45">
      <c r="A631" s="26" t="s">
        <v>1259</v>
      </c>
      <c r="B631" s="30">
        <v>2146.5580500000001</v>
      </c>
    </row>
    <row r="632" spans="1:2" x14ac:dyDescent="0.45">
      <c r="A632" s="26" t="s">
        <v>908</v>
      </c>
      <c r="B632" s="30">
        <v>1952.6356799999999</v>
      </c>
    </row>
    <row r="633" spans="1:2" x14ac:dyDescent="0.45">
      <c r="A633" s="26" t="s">
        <v>1178</v>
      </c>
      <c r="B633" s="30">
        <v>1925.29872</v>
      </c>
    </row>
    <row r="634" spans="1:2" x14ac:dyDescent="0.45">
      <c r="A634" s="26" t="s">
        <v>760</v>
      </c>
      <c r="B634" s="30">
        <v>1756.6999999999998</v>
      </c>
    </row>
    <row r="635" spans="1:2" x14ac:dyDescent="0.45">
      <c r="A635" s="26" t="s">
        <v>1088</v>
      </c>
      <c r="B635" s="29">
        <v>1122.0896000000002</v>
      </c>
    </row>
    <row r="636" spans="1:2" x14ac:dyDescent="0.45">
      <c r="A636" s="26" t="s">
        <v>1025</v>
      </c>
      <c r="B636" s="29">
        <v>1098.9470800000001</v>
      </c>
    </row>
    <row r="637" spans="1:2" x14ac:dyDescent="0.45">
      <c r="A637" s="26" t="s">
        <v>850</v>
      </c>
      <c r="B637" s="29">
        <v>765.99195000000009</v>
      </c>
    </row>
    <row r="638" spans="1:2" x14ac:dyDescent="0.45">
      <c r="A638" s="26" t="s">
        <v>977</v>
      </c>
      <c r="B638" s="29">
        <v>748.22303999999997</v>
      </c>
    </row>
    <row r="639" spans="1:2" x14ac:dyDescent="0.45">
      <c r="A639" s="26" t="s">
        <v>1151</v>
      </c>
      <c r="B639" s="29">
        <v>741.43835999999999</v>
      </c>
    </row>
    <row r="640" spans="1:2" x14ac:dyDescent="0.45">
      <c r="A640" s="26" t="s">
        <v>741</v>
      </c>
      <c r="B640" s="29">
        <v>685.06776000000002</v>
      </c>
    </row>
    <row r="641" spans="1:2" x14ac:dyDescent="0.45">
      <c r="A641" s="25" t="s">
        <v>1447</v>
      </c>
      <c r="B641" s="13">
        <v>10986198.346763998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5"/>
  <sheetViews>
    <sheetView workbookViewId="0">
      <selection activeCell="C4" sqref="C4"/>
    </sheetView>
  </sheetViews>
  <sheetFormatPr defaultRowHeight="14.25" x14ac:dyDescent="0.45"/>
  <cols>
    <col min="1" max="1" width="12.06640625" customWidth="1"/>
    <col min="2" max="2" width="18.73046875" customWidth="1"/>
    <col min="3" max="3" width="16" customWidth="1"/>
    <col min="4" max="4" width="14.73046875" bestFit="1" customWidth="1"/>
  </cols>
  <sheetData>
    <row r="3" spans="1:4" x14ac:dyDescent="0.45">
      <c r="A3" s="24" t="s">
        <v>1446</v>
      </c>
      <c r="B3" t="s">
        <v>1448</v>
      </c>
      <c r="C3" t="s">
        <v>1456</v>
      </c>
      <c r="D3" t="s">
        <v>1457</v>
      </c>
    </row>
    <row r="4" spans="1:4" x14ac:dyDescent="0.45">
      <c r="A4" s="25" t="s">
        <v>717</v>
      </c>
      <c r="B4" s="13">
        <v>893735.66085000022</v>
      </c>
      <c r="C4" s="13">
        <v>315969.97085000004</v>
      </c>
      <c r="D4" s="17">
        <v>48</v>
      </c>
    </row>
    <row r="5" spans="1:4" x14ac:dyDescent="0.45">
      <c r="A5" s="25" t="s">
        <v>1447</v>
      </c>
      <c r="B5" s="13">
        <v>893735.66085000022</v>
      </c>
      <c r="C5" s="13">
        <v>315969.97085000004</v>
      </c>
      <c r="D5" s="17">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7"/>
  <sheetViews>
    <sheetView workbookViewId="0">
      <selection activeCell="B11" sqref="B11"/>
    </sheetView>
  </sheetViews>
  <sheetFormatPr defaultRowHeight="14.25" x14ac:dyDescent="0.45"/>
  <cols>
    <col min="1" max="1" width="12.06640625" customWidth="1"/>
    <col min="2" max="2" width="14.73046875" customWidth="1"/>
  </cols>
  <sheetData>
    <row r="4" spans="1:2" x14ac:dyDescent="0.45">
      <c r="A4" s="24" t="s">
        <v>1446</v>
      </c>
      <c r="B4" t="s">
        <v>1457</v>
      </c>
    </row>
    <row r="5" spans="1:2" x14ac:dyDescent="0.45">
      <c r="A5" s="25" t="s">
        <v>1463</v>
      </c>
      <c r="B5" s="15">
        <v>0.72784810126582278</v>
      </c>
    </row>
    <row r="6" spans="1:2" x14ac:dyDescent="0.45">
      <c r="A6" s="25" t="s">
        <v>1464</v>
      </c>
      <c r="B6" s="15">
        <v>0.27215189873417722</v>
      </c>
    </row>
    <row r="7" spans="1:2" x14ac:dyDescent="0.45">
      <c r="A7" s="25" t="s">
        <v>1447</v>
      </c>
      <c r="B7" s="1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4" sqref="A4"/>
    </sheetView>
  </sheetViews>
  <sheetFormatPr defaultRowHeight="14.25" x14ac:dyDescent="0.45"/>
  <cols>
    <col min="1" max="1" width="12.06640625" customWidth="1"/>
    <col min="2" max="2" width="17.9296875" customWidth="1"/>
    <col min="3" max="3" width="16.59765625" customWidth="1"/>
    <col min="4" max="79" width="5.6640625" customWidth="1"/>
    <col min="80" max="223" width="6.6640625" customWidth="1"/>
    <col min="224" max="224" width="10.19921875" bestFit="1" customWidth="1"/>
  </cols>
  <sheetData>
    <row r="3" spans="1:2" x14ac:dyDescent="0.45">
      <c r="A3" s="24" t="s">
        <v>1446</v>
      </c>
      <c r="B3" t="s">
        <v>1466</v>
      </c>
    </row>
    <row r="4" spans="1:2" x14ac:dyDescent="0.45">
      <c r="A4" s="25" t="s">
        <v>1463</v>
      </c>
      <c r="B4" s="15">
        <v>0.90909090909090906</v>
      </c>
    </row>
    <row r="5" spans="1:2" x14ac:dyDescent="0.45">
      <c r="A5" s="25" t="s">
        <v>1464</v>
      </c>
      <c r="B5" s="15">
        <v>9.0909090909090912E-2</v>
      </c>
    </row>
    <row r="6" spans="1:2" x14ac:dyDescent="0.45">
      <c r="A6" s="25" t="s">
        <v>1447</v>
      </c>
      <c r="B6" s="15">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C19" sqref="C19"/>
    </sheetView>
  </sheetViews>
  <sheetFormatPr defaultRowHeight="14.25" x14ac:dyDescent="0.45"/>
  <cols>
    <col min="1" max="1" width="12.06640625" customWidth="1"/>
    <col min="2" max="2" width="18.73046875" bestFit="1" customWidth="1"/>
  </cols>
  <sheetData>
    <row r="3" spans="1:2" x14ac:dyDescent="0.45">
      <c r="A3" s="24" t="s">
        <v>1446</v>
      </c>
      <c r="B3" t="s">
        <v>1448</v>
      </c>
    </row>
    <row r="4" spans="1:2" x14ac:dyDescent="0.45">
      <c r="A4" s="25">
        <v>1</v>
      </c>
      <c r="B4" s="17">
        <v>33042.254140000005</v>
      </c>
    </row>
    <row r="5" spans="1:2" x14ac:dyDescent="0.45">
      <c r="A5" s="25">
        <v>2</v>
      </c>
      <c r="B5" s="17">
        <v>57375.806730000004</v>
      </c>
    </row>
    <row r="6" spans="1:2" x14ac:dyDescent="0.45">
      <c r="A6" s="25">
        <v>4</v>
      </c>
      <c r="B6" s="17">
        <v>18675.931700000001</v>
      </c>
    </row>
    <row r="7" spans="1:2" x14ac:dyDescent="0.45">
      <c r="A7" s="25">
        <v>5</v>
      </c>
      <c r="B7" s="17">
        <v>6899.8804600000003</v>
      </c>
    </row>
    <row r="8" spans="1:2" x14ac:dyDescent="0.45">
      <c r="A8" s="25">
        <v>6</v>
      </c>
      <c r="B8" s="17">
        <v>4804.4682400000002</v>
      </c>
    </row>
    <row r="9" spans="1:2" x14ac:dyDescent="0.45">
      <c r="A9" s="25">
        <v>8</v>
      </c>
      <c r="B9" s="17">
        <v>41106.800970000004</v>
      </c>
    </row>
    <row r="10" spans="1:2" x14ac:dyDescent="0.45">
      <c r="A10" s="25">
        <v>12</v>
      </c>
      <c r="B10" s="17">
        <v>30519.801539999993</v>
      </c>
    </row>
    <row r="11" spans="1:2" x14ac:dyDescent="0.45">
      <c r="A11" s="25" t="s">
        <v>1447</v>
      </c>
      <c r="B11" s="17">
        <v>192424.94378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
  <sheetViews>
    <sheetView topLeftCell="A3" zoomScale="90" workbookViewId="0">
      <selection activeCell="H6" sqref="H6"/>
    </sheetView>
  </sheetViews>
  <sheetFormatPr defaultRowHeight="14.25" x14ac:dyDescent="0.45"/>
  <cols>
    <col min="1" max="1" width="16" customWidth="1"/>
    <col min="2" max="2" width="14.86328125" bestFit="1" customWidth="1"/>
    <col min="3" max="3" width="10.73046875" customWidth="1"/>
    <col min="4" max="4" width="11.73046875" bestFit="1" customWidth="1"/>
    <col min="5" max="5" width="10.73046875" customWidth="1"/>
    <col min="6" max="6" width="12.33203125" customWidth="1"/>
    <col min="7" max="7" width="15.796875" customWidth="1"/>
    <col min="8" max="8" width="11.73046875" bestFit="1" customWidth="1"/>
  </cols>
  <sheetData>
    <row r="3" spans="1:8" x14ac:dyDescent="0.45">
      <c r="A3" s="24" t="s">
        <v>1456</v>
      </c>
      <c r="B3" s="24" t="s">
        <v>1449</v>
      </c>
    </row>
    <row r="4" spans="1:8" x14ac:dyDescent="0.45">
      <c r="A4" s="24" t="s">
        <v>1446</v>
      </c>
      <c r="B4" t="s">
        <v>711</v>
      </c>
      <c r="C4" t="s">
        <v>710</v>
      </c>
      <c r="D4" t="s">
        <v>709</v>
      </c>
      <c r="E4" t="s">
        <v>708</v>
      </c>
      <c r="F4" t="s">
        <v>707</v>
      </c>
      <c r="G4" t="s">
        <v>1423</v>
      </c>
      <c r="H4" t="s">
        <v>1447</v>
      </c>
    </row>
    <row r="5" spans="1:8" x14ac:dyDescent="0.45">
      <c r="A5" s="25" t="s">
        <v>649</v>
      </c>
      <c r="B5" s="17">
        <v>17682.526830000003</v>
      </c>
      <c r="C5" s="17">
        <v>9388.5682799999995</v>
      </c>
      <c r="D5" s="17">
        <v>16954.685430000005</v>
      </c>
      <c r="E5" s="17">
        <v>14144.854499999992</v>
      </c>
      <c r="F5" s="17">
        <v>-16776.201260000002</v>
      </c>
      <c r="G5" s="17">
        <v>6765.2</v>
      </c>
      <c r="H5" s="17">
        <v>48159.633779999996</v>
      </c>
    </row>
    <row r="6" spans="1:8" x14ac:dyDescent="0.45">
      <c r="A6" s="25" t="s">
        <v>1447</v>
      </c>
      <c r="B6" s="17">
        <v>17682.526830000003</v>
      </c>
      <c r="C6" s="17">
        <v>9388.5682799999995</v>
      </c>
      <c r="D6" s="17">
        <v>16954.685430000005</v>
      </c>
      <c r="E6" s="17">
        <v>14144.854499999992</v>
      </c>
      <c r="F6" s="17">
        <v>-16776.201260000002</v>
      </c>
      <c r="G6" s="17">
        <v>6765.2</v>
      </c>
      <c r="H6" s="17">
        <v>48159.633779999996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8" sqref="B8"/>
    </sheetView>
  </sheetViews>
  <sheetFormatPr defaultRowHeight="14.25" x14ac:dyDescent="0.45"/>
  <cols>
    <col min="1" max="1" width="12.06640625" bestFit="1" customWidth="1"/>
    <col min="2" max="2" width="18.73046875" bestFit="1" customWidth="1"/>
    <col min="3" max="3" width="11.73046875" bestFit="1" customWidth="1"/>
    <col min="4" max="4" width="9.73046875" bestFit="1" customWidth="1"/>
    <col min="5" max="6" width="10.73046875" bestFit="1" customWidth="1"/>
    <col min="7" max="8" width="11.73046875" bestFit="1" customWidth="1"/>
    <col min="9" max="9" width="8.73046875" customWidth="1"/>
    <col min="10" max="10" width="10.73046875" bestFit="1" customWidth="1"/>
    <col min="11" max="12" width="11.73046875" bestFit="1" customWidth="1"/>
    <col min="13" max="13" width="8.53125" customWidth="1"/>
    <col min="14" max="14" width="10.73046875" bestFit="1" customWidth="1"/>
    <col min="15" max="15" width="8.53125" customWidth="1"/>
    <col min="16" max="16" width="10.73046875" bestFit="1" customWidth="1"/>
    <col min="17" max="17" width="9.73046875" bestFit="1" customWidth="1"/>
    <col min="18" max="18" width="10.73046875" bestFit="1" customWidth="1"/>
    <col min="19" max="19" width="8.73046875" customWidth="1"/>
    <col min="20" max="20" width="11.73046875" bestFit="1" customWidth="1"/>
    <col min="21" max="21" width="10.73046875" bestFit="1" customWidth="1"/>
    <col min="22" max="23" width="9.73046875" bestFit="1" customWidth="1"/>
    <col min="24" max="24" width="10.73046875" bestFit="1" customWidth="1"/>
    <col min="25" max="25" width="11.73046875" bestFit="1" customWidth="1"/>
    <col min="26" max="26" width="8.53125" customWidth="1"/>
    <col min="27" max="27" width="9.73046875" bestFit="1" customWidth="1"/>
    <col min="28" max="28" width="11.73046875" bestFit="1" customWidth="1"/>
    <col min="29" max="29" width="10.73046875" bestFit="1" customWidth="1"/>
    <col min="30" max="30" width="8.73046875" customWidth="1"/>
    <col min="31" max="31" width="11.73046875" bestFit="1" customWidth="1"/>
    <col min="32" max="32" width="8.53125" customWidth="1"/>
    <col min="33" max="34" width="9.73046875" bestFit="1" customWidth="1"/>
    <col min="35" max="35" width="8.73046875" customWidth="1"/>
    <col min="36" max="38" width="9.73046875" bestFit="1" customWidth="1"/>
    <col min="39" max="39" width="11.73046875" bestFit="1" customWidth="1"/>
    <col min="40" max="41" width="10.73046875" bestFit="1" customWidth="1"/>
    <col min="42" max="42" width="11.73046875" bestFit="1" customWidth="1"/>
    <col min="43" max="43" width="10.73046875" bestFit="1" customWidth="1"/>
    <col min="44" max="44" width="9.73046875" bestFit="1" customWidth="1"/>
    <col min="45" max="45" width="8.73046875" customWidth="1"/>
    <col min="46" max="46" width="11.73046875" bestFit="1" customWidth="1"/>
    <col min="47" max="47" width="9.73046875" bestFit="1" customWidth="1"/>
    <col min="48" max="48" width="8.53125" customWidth="1"/>
    <col min="49" max="49" width="8.73046875" customWidth="1"/>
    <col min="50" max="50" width="11.73046875" bestFit="1" customWidth="1"/>
    <col min="51" max="51" width="10.73046875" bestFit="1" customWidth="1"/>
    <col min="52" max="52" width="8.73046875" customWidth="1"/>
    <col min="53" max="53" width="9.73046875" bestFit="1" customWidth="1"/>
    <col min="54" max="54" width="10.73046875" bestFit="1" customWidth="1"/>
    <col min="55" max="55" width="11.73046875" bestFit="1" customWidth="1"/>
    <col min="56" max="56" width="8.73046875" customWidth="1"/>
    <col min="57" max="57" width="9.73046875" bestFit="1" customWidth="1"/>
    <col min="58" max="58" width="11.73046875" bestFit="1" customWidth="1"/>
    <col min="59" max="59" width="9.73046875" bestFit="1" customWidth="1"/>
    <col min="60" max="60" width="8.73046875" customWidth="1"/>
    <col min="61" max="62" width="11.73046875" bestFit="1" customWidth="1"/>
    <col min="63" max="63" width="8.73046875" customWidth="1"/>
    <col min="64" max="64" width="8.53125" customWidth="1"/>
    <col min="65" max="67" width="11.73046875" bestFit="1" customWidth="1"/>
    <col min="68" max="68" width="9.73046875" bestFit="1" customWidth="1"/>
    <col min="69" max="69" width="11.73046875" bestFit="1" customWidth="1"/>
    <col min="70" max="70" width="10.73046875" bestFit="1" customWidth="1"/>
    <col min="71" max="71" width="8.53125" customWidth="1"/>
    <col min="72" max="72" width="11.73046875" bestFit="1" customWidth="1"/>
    <col min="73" max="73" width="10.73046875" bestFit="1" customWidth="1"/>
    <col min="74" max="74" width="11.73046875" bestFit="1" customWidth="1"/>
    <col min="75" max="75" width="9.73046875" bestFit="1" customWidth="1"/>
    <col min="76" max="76" width="10.73046875" bestFit="1" customWidth="1"/>
    <col min="77" max="78" width="11.73046875" bestFit="1" customWidth="1"/>
    <col min="79" max="80" width="10.73046875" bestFit="1" customWidth="1"/>
    <col min="81" max="81" width="11.73046875" bestFit="1" customWidth="1"/>
    <col min="82" max="82" width="10.73046875" bestFit="1" customWidth="1"/>
    <col min="83" max="83" width="11.73046875" bestFit="1" customWidth="1"/>
    <col min="84" max="84" width="8.73046875" customWidth="1"/>
    <col min="85" max="85" width="10.73046875" bestFit="1" customWidth="1"/>
    <col min="86" max="86" width="9.73046875" bestFit="1" customWidth="1"/>
    <col min="87" max="89" width="8.73046875" customWidth="1"/>
    <col min="90" max="90" width="10.73046875" bestFit="1" customWidth="1"/>
    <col min="91" max="91" width="9.73046875" bestFit="1" customWidth="1"/>
    <col min="92" max="92" width="9" customWidth="1"/>
    <col min="93" max="93" width="10.73046875" bestFit="1" customWidth="1"/>
    <col min="94" max="95" width="9" customWidth="1"/>
    <col min="96" max="96" width="11.73046875" bestFit="1" customWidth="1"/>
    <col min="97" max="98" width="9" customWidth="1"/>
    <col min="99" max="99" width="10.73046875" bestFit="1" customWidth="1"/>
    <col min="100" max="102" width="11.73046875" bestFit="1" customWidth="1"/>
    <col min="103" max="104" width="10.73046875" bestFit="1" customWidth="1"/>
    <col min="105" max="105" width="9.73046875" bestFit="1" customWidth="1"/>
    <col min="106" max="106" width="10.73046875" bestFit="1" customWidth="1"/>
    <col min="107" max="107" width="11.73046875" bestFit="1" customWidth="1"/>
    <col min="108" max="109" width="9.73046875" bestFit="1" customWidth="1"/>
    <col min="110" max="110" width="11.73046875" bestFit="1" customWidth="1"/>
    <col min="111" max="112" width="10.73046875" bestFit="1" customWidth="1"/>
    <col min="113" max="114" width="9" customWidth="1"/>
    <col min="115" max="115" width="10.73046875" bestFit="1" customWidth="1"/>
    <col min="116" max="116" width="11.73046875" bestFit="1" customWidth="1"/>
    <col min="117" max="117" width="9" customWidth="1"/>
    <col min="118" max="119" width="10.73046875" bestFit="1" customWidth="1"/>
    <col min="120" max="120" width="11.73046875" bestFit="1" customWidth="1"/>
    <col min="121" max="121" width="9.73046875" bestFit="1" customWidth="1"/>
    <col min="122" max="122" width="9" customWidth="1"/>
    <col min="123" max="123" width="10.73046875" bestFit="1" customWidth="1"/>
    <col min="124" max="124" width="9.73046875" bestFit="1" customWidth="1"/>
    <col min="125" max="127" width="11.73046875" bestFit="1" customWidth="1"/>
    <col min="128" max="128" width="9" customWidth="1"/>
    <col min="129" max="129" width="10.73046875" bestFit="1" customWidth="1"/>
    <col min="130" max="130" width="11.73046875" bestFit="1" customWidth="1"/>
    <col min="131" max="133" width="10.73046875" bestFit="1" customWidth="1"/>
    <col min="134" max="134" width="9.73046875" bestFit="1" customWidth="1"/>
    <col min="135" max="135" width="10.73046875" bestFit="1" customWidth="1"/>
    <col min="136" max="136" width="9" customWidth="1"/>
    <col min="137" max="137" width="9.73046875" bestFit="1" customWidth="1"/>
    <col min="138" max="139" width="10.73046875" bestFit="1" customWidth="1"/>
    <col min="140" max="140" width="9.73046875" bestFit="1" customWidth="1"/>
    <col min="141" max="142" width="11.73046875" bestFit="1" customWidth="1"/>
    <col min="143" max="143" width="9.73046875" bestFit="1" customWidth="1"/>
    <col min="144" max="144" width="10.73046875" bestFit="1" customWidth="1"/>
    <col min="145" max="145" width="9" customWidth="1"/>
    <col min="146" max="146" width="10.73046875" bestFit="1" customWidth="1"/>
    <col min="147" max="147" width="11.73046875" bestFit="1" customWidth="1"/>
    <col min="148" max="148" width="10.73046875" bestFit="1" customWidth="1"/>
    <col min="149" max="149" width="11.73046875" bestFit="1" customWidth="1"/>
    <col min="150" max="150" width="9.73046875" bestFit="1" customWidth="1"/>
    <col min="151" max="151" width="10.73046875" bestFit="1" customWidth="1"/>
    <col min="152" max="152" width="9.73046875" bestFit="1" customWidth="1"/>
    <col min="153" max="153" width="10.73046875" bestFit="1" customWidth="1"/>
    <col min="154" max="154" width="11.73046875" bestFit="1" customWidth="1"/>
    <col min="155" max="157" width="9.73046875" bestFit="1" customWidth="1"/>
    <col min="158" max="158" width="10.73046875" bestFit="1" customWidth="1"/>
    <col min="159" max="159" width="11.73046875" bestFit="1" customWidth="1"/>
    <col min="160" max="162" width="10.73046875" bestFit="1" customWidth="1"/>
    <col min="163" max="163" width="9.73046875" bestFit="1" customWidth="1"/>
    <col min="164" max="165" width="10.73046875" bestFit="1" customWidth="1"/>
    <col min="166" max="166" width="9.73046875" bestFit="1" customWidth="1"/>
    <col min="167" max="168" width="11.73046875" bestFit="1" customWidth="1"/>
    <col min="169" max="169" width="10.73046875" bestFit="1" customWidth="1"/>
    <col min="170" max="170" width="9.73046875" bestFit="1" customWidth="1"/>
    <col min="171" max="171" width="11.73046875" bestFit="1" customWidth="1"/>
    <col min="172" max="172" width="9.73046875" bestFit="1" customWidth="1"/>
    <col min="173" max="173" width="11.73046875" bestFit="1" customWidth="1"/>
    <col min="174" max="175" width="9.73046875" bestFit="1" customWidth="1"/>
    <col min="176" max="177" width="11.73046875" bestFit="1" customWidth="1"/>
    <col min="178" max="179" width="9" customWidth="1"/>
    <col min="180" max="180" width="9.73046875" bestFit="1" customWidth="1"/>
    <col min="181" max="181" width="11.73046875" bestFit="1" customWidth="1"/>
    <col min="182" max="183" width="10.73046875" bestFit="1" customWidth="1"/>
    <col min="184" max="185" width="11.73046875" bestFit="1" customWidth="1"/>
    <col min="186" max="186" width="9.73046875" bestFit="1" customWidth="1"/>
    <col min="187" max="187" width="11.73046875" bestFit="1" customWidth="1"/>
    <col min="188" max="189" width="10.73046875" bestFit="1" customWidth="1"/>
    <col min="190" max="190" width="8.73046875" customWidth="1"/>
    <col min="191" max="191" width="10.73046875" bestFit="1" customWidth="1"/>
    <col min="192" max="194" width="9.73046875" bestFit="1" customWidth="1"/>
    <col min="195" max="195" width="10.73046875" bestFit="1" customWidth="1"/>
    <col min="196" max="196" width="9.73046875" bestFit="1" customWidth="1"/>
    <col min="197" max="197" width="10.73046875" bestFit="1" customWidth="1"/>
    <col min="198" max="200" width="9.73046875" bestFit="1" customWidth="1"/>
    <col min="201" max="201" width="11.73046875" bestFit="1" customWidth="1"/>
    <col min="202" max="202" width="9.73046875" bestFit="1" customWidth="1"/>
    <col min="203" max="203" width="11.73046875" bestFit="1" customWidth="1"/>
    <col min="204" max="204" width="9.73046875" bestFit="1" customWidth="1"/>
    <col min="205" max="205" width="11.73046875" bestFit="1" customWidth="1"/>
    <col min="206" max="206" width="9.73046875" bestFit="1" customWidth="1"/>
    <col min="207" max="207" width="11.73046875" bestFit="1" customWidth="1"/>
    <col min="208" max="208" width="10.73046875" bestFit="1" customWidth="1"/>
    <col min="209" max="209" width="11.73046875" bestFit="1" customWidth="1"/>
    <col min="210" max="210" width="8.73046875" customWidth="1"/>
    <col min="211" max="211" width="11.73046875" bestFit="1" customWidth="1"/>
    <col min="212" max="213" width="10.73046875" bestFit="1" customWidth="1"/>
    <col min="214" max="214" width="9.73046875" bestFit="1" customWidth="1"/>
    <col min="215" max="215" width="10.73046875" bestFit="1" customWidth="1"/>
    <col min="216" max="216" width="11.73046875" bestFit="1" customWidth="1"/>
    <col min="217" max="217" width="8.73046875" customWidth="1"/>
    <col min="218" max="220" width="10.73046875" bestFit="1" customWidth="1"/>
    <col min="221" max="221" width="9.73046875" bestFit="1" customWidth="1"/>
    <col min="222" max="223" width="11.73046875" bestFit="1" customWidth="1"/>
    <col min="224" max="224" width="10.73046875" bestFit="1" customWidth="1"/>
    <col min="225" max="225" width="11.73046875" bestFit="1" customWidth="1"/>
    <col min="226" max="227" width="10.73046875" bestFit="1" customWidth="1"/>
    <col min="228" max="228" width="9.73046875" bestFit="1" customWidth="1"/>
    <col min="229" max="229" width="10.73046875" bestFit="1" customWidth="1"/>
    <col min="230" max="230" width="9.73046875" bestFit="1" customWidth="1"/>
    <col min="231" max="231" width="11.73046875" bestFit="1" customWidth="1"/>
    <col min="232" max="232" width="10.73046875" bestFit="1" customWidth="1"/>
    <col min="233" max="233" width="9.73046875" bestFit="1" customWidth="1"/>
    <col min="234" max="234" width="10.73046875" bestFit="1" customWidth="1"/>
    <col min="235" max="235" width="8.73046875" customWidth="1"/>
    <col min="236" max="236" width="9.73046875" bestFit="1" customWidth="1"/>
    <col min="237" max="237" width="10.73046875" bestFit="1" customWidth="1"/>
    <col min="238" max="238" width="11.73046875" bestFit="1" customWidth="1"/>
    <col min="239" max="239" width="9.73046875" bestFit="1" customWidth="1"/>
    <col min="240" max="240" width="8.33203125" customWidth="1"/>
    <col min="241" max="241" width="11.73046875" bestFit="1" customWidth="1"/>
    <col min="242" max="243" width="10.73046875" bestFit="1" customWidth="1"/>
    <col min="244" max="244" width="11.73046875" bestFit="1" customWidth="1"/>
    <col min="245" max="245" width="10.73046875" bestFit="1" customWidth="1"/>
    <col min="246" max="246" width="11.73046875" bestFit="1" customWidth="1"/>
    <col min="247" max="247" width="8.33203125" customWidth="1"/>
    <col min="248" max="248" width="11.73046875" bestFit="1" customWidth="1"/>
    <col min="249" max="249" width="8.73046875" customWidth="1"/>
    <col min="250" max="250" width="10.73046875" bestFit="1" customWidth="1"/>
    <col min="251" max="251" width="11.73046875" bestFit="1" customWidth="1"/>
    <col min="252" max="252" width="9.73046875" bestFit="1" customWidth="1"/>
    <col min="253" max="253" width="10.73046875" bestFit="1" customWidth="1"/>
    <col min="254" max="254" width="11.73046875" bestFit="1" customWidth="1"/>
    <col min="255" max="256" width="9.73046875" bestFit="1" customWidth="1"/>
    <col min="257" max="257" width="11.73046875" bestFit="1" customWidth="1"/>
    <col min="258" max="258" width="9.73046875" bestFit="1" customWidth="1"/>
    <col min="259" max="259" width="10.73046875" bestFit="1" customWidth="1"/>
    <col min="260" max="260" width="8.33203125" customWidth="1"/>
    <col min="261" max="262" width="11.73046875" bestFit="1" customWidth="1"/>
    <col min="263" max="264" width="10.73046875" bestFit="1" customWidth="1"/>
    <col min="265" max="265" width="9.73046875" bestFit="1" customWidth="1"/>
    <col min="266" max="267" width="10.73046875" bestFit="1" customWidth="1"/>
    <col min="268" max="268" width="11.73046875" bestFit="1" customWidth="1"/>
    <col min="269" max="269" width="9.73046875" bestFit="1" customWidth="1"/>
    <col min="270" max="272" width="11.73046875" bestFit="1" customWidth="1"/>
    <col min="273" max="276" width="10.73046875" bestFit="1" customWidth="1"/>
    <col min="277" max="277" width="11.73046875" bestFit="1" customWidth="1"/>
    <col min="278" max="278" width="9.73046875" bestFit="1" customWidth="1"/>
    <col min="279" max="279" width="10.73046875" bestFit="1" customWidth="1"/>
    <col min="280" max="280" width="9.73046875" bestFit="1" customWidth="1"/>
    <col min="281" max="281" width="10.73046875" bestFit="1" customWidth="1"/>
    <col min="282" max="283" width="11.73046875" bestFit="1" customWidth="1"/>
    <col min="284" max="284" width="9.73046875" bestFit="1" customWidth="1"/>
    <col min="285" max="285" width="9.59765625" bestFit="1" customWidth="1"/>
    <col min="286" max="286" width="9.73046875" bestFit="1" customWidth="1"/>
    <col min="287" max="288" width="11.73046875" bestFit="1" customWidth="1"/>
    <col min="289" max="289" width="10.73046875" bestFit="1" customWidth="1"/>
    <col min="290" max="292" width="9.73046875" bestFit="1" customWidth="1"/>
    <col min="293" max="293" width="11.73046875" bestFit="1" customWidth="1"/>
    <col min="294" max="295" width="10.73046875" bestFit="1" customWidth="1"/>
    <col min="296" max="296" width="9.59765625" bestFit="1" customWidth="1"/>
    <col min="297" max="297" width="9.73046875" bestFit="1" customWidth="1"/>
    <col min="298" max="301" width="11.73046875" bestFit="1" customWidth="1"/>
    <col min="302" max="304" width="10.73046875" bestFit="1" customWidth="1"/>
    <col min="305" max="305" width="11.73046875" bestFit="1" customWidth="1"/>
    <col min="306" max="306" width="10.73046875" bestFit="1" customWidth="1"/>
    <col min="307" max="307" width="9.73046875" bestFit="1" customWidth="1"/>
    <col min="308" max="308" width="10.73046875" bestFit="1" customWidth="1"/>
    <col min="309" max="310" width="11.73046875" bestFit="1" customWidth="1"/>
    <col min="311" max="311" width="9.59765625" bestFit="1" customWidth="1"/>
    <col min="312" max="313" width="10.73046875" bestFit="1" customWidth="1"/>
    <col min="314" max="314" width="11.73046875" bestFit="1" customWidth="1"/>
    <col min="315" max="315" width="10.73046875" bestFit="1" customWidth="1"/>
    <col min="316" max="316" width="11.73046875" bestFit="1" customWidth="1"/>
    <col min="317" max="317" width="10.73046875" bestFit="1" customWidth="1"/>
    <col min="318" max="318" width="9.59765625" bestFit="1" customWidth="1"/>
    <col min="319" max="319" width="10.73046875" bestFit="1" customWidth="1"/>
    <col min="320" max="324" width="11.73046875" bestFit="1" customWidth="1"/>
    <col min="325" max="325" width="9.59765625" bestFit="1" customWidth="1"/>
    <col min="326" max="326" width="11.73046875" bestFit="1" customWidth="1"/>
    <col min="327" max="327" width="10.73046875" bestFit="1" customWidth="1"/>
    <col min="328" max="328" width="9.73046875" bestFit="1" customWidth="1"/>
    <col min="329" max="329" width="9.59765625" bestFit="1" customWidth="1"/>
    <col min="330" max="330" width="9.73046875" bestFit="1" customWidth="1"/>
    <col min="331" max="331" width="11.73046875" bestFit="1" customWidth="1"/>
    <col min="332" max="332" width="9.59765625" bestFit="1" customWidth="1"/>
    <col min="333" max="333" width="9.73046875" bestFit="1" customWidth="1"/>
    <col min="334" max="334" width="11.73046875" bestFit="1" customWidth="1"/>
    <col min="335" max="335" width="10.73046875" bestFit="1" customWidth="1"/>
    <col min="336" max="336" width="9.59765625" bestFit="1" customWidth="1"/>
    <col min="337" max="338" width="10.73046875" bestFit="1" customWidth="1"/>
    <col min="339" max="340" width="11.73046875" bestFit="1" customWidth="1"/>
    <col min="341" max="341" width="9.59765625" bestFit="1" customWidth="1"/>
    <col min="342" max="342" width="11.73046875" bestFit="1" customWidth="1"/>
    <col min="343" max="345" width="10.73046875" bestFit="1" customWidth="1"/>
    <col min="346" max="348" width="9.73046875" bestFit="1" customWidth="1"/>
    <col min="349" max="349" width="11.73046875" bestFit="1" customWidth="1"/>
    <col min="350" max="350" width="9.73046875" bestFit="1" customWidth="1"/>
    <col min="351" max="351" width="10.73046875" bestFit="1" customWidth="1"/>
    <col min="352" max="352" width="11.73046875" bestFit="1" customWidth="1"/>
    <col min="353" max="353" width="10.73046875" bestFit="1" customWidth="1"/>
    <col min="354" max="355" width="11.73046875" bestFit="1" customWidth="1"/>
    <col min="356" max="356" width="8.73046875" customWidth="1"/>
    <col min="357" max="358" width="11.73046875" bestFit="1" customWidth="1"/>
    <col min="359" max="359" width="10.73046875" bestFit="1" customWidth="1"/>
    <col min="360" max="360" width="8.73046875" customWidth="1"/>
    <col min="361" max="361" width="10.73046875" bestFit="1" customWidth="1"/>
    <col min="362" max="362" width="11.73046875" bestFit="1" customWidth="1"/>
    <col min="363" max="364" width="10.73046875" bestFit="1" customWidth="1"/>
    <col min="365" max="365" width="9.73046875" bestFit="1" customWidth="1"/>
    <col min="366" max="366" width="10.73046875" bestFit="1" customWidth="1"/>
    <col min="367" max="367" width="11.73046875" bestFit="1" customWidth="1"/>
    <col min="368" max="368" width="9.73046875" bestFit="1" customWidth="1"/>
    <col min="369" max="369" width="10.73046875" bestFit="1" customWidth="1"/>
    <col min="370" max="370" width="8.46484375" customWidth="1"/>
    <col min="371" max="371" width="11.73046875" bestFit="1" customWidth="1"/>
    <col min="372" max="375" width="10.73046875" bestFit="1" customWidth="1"/>
    <col min="376" max="376" width="8.46484375" customWidth="1"/>
    <col min="377" max="377" width="11.73046875" bestFit="1" customWidth="1"/>
    <col min="378" max="378" width="10.73046875" bestFit="1" customWidth="1"/>
    <col min="379" max="379" width="8.46484375" customWidth="1"/>
    <col min="380" max="380" width="11.73046875" bestFit="1" customWidth="1"/>
    <col min="381" max="381" width="9.73046875" bestFit="1" customWidth="1"/>
    <col min="382" max="382" width="10.73046875" bestFit="1" customWidth="1"/>
    <col min="383" max="383" width="11.73046875" bestFit="1" customWidth="1"/>
    <col min="384" max="387" width="10.73046875" bestFit="1" customWidth="1"/>
    <col min="388" max="388" width="9.73046875" bestFit="1" customWidth="1"/>
    <col min="389" max="389" width="10.73046875" bestFit="1" customWidth="1"/>
    <col min="390" max="391" width="11.73046875" bestFit="1" customWidth="1"/>
    <col min="392" max="392" width="10.73046875" bestFit="1" customWidth="1"/>
    <col min="393" max="393" width="8.73046875" customWidth="1"/>
    <col min="394" max="394" width="10.73046875" bestFit="1" customWidth="1"/>
    <col min="395" max="395" width="9.73046875" bestFit="1" customWidth="1"/>
    <col min="396" max="396" width="11.73046875" bestFit="1" customWidth="1"/>
    <col min="397" max="398" width="10.73046875" bestFit="1" customWidth="1"/>
    <col min="399" max="401" width="11.73046875" bestFit="1" customWidth="1"/>
    <col min="402" max="402" width="9.73046875" bestFit="1" customWidth="1"/>
    <col min="403" max="404" width="11.73046875" bestFit="1" customWidth="1"/>
    <col min="405" max="405" width="9.73046875" bestFit="1" customWidth="1"/>
    <col min="406" max="407" width="10.73046875" bestFit="1" customWidth="1"/>
    <col min="408" max="409" width="11.73046875" bestFit="1" customWidth="1"/>
    <col min="410" max="410" width="9.73046875" bestFit="1" customWidth="1"/>
    <col min="411" max="411" width="10.73046875" bestFit="1" customWidth="1"/>
    <col min="412" max="412" width="11.73046875" bestFit="1" customWidth="1"/>
    <col min="413" max="413" width="8.46484375" customWidth="1"/>
    <col min="414" max="414" width="10.73046875" bestFit="1" customWidth="1"/>
    <col min="415" max="417" width="11.73046875" bestFit="1" customWidth="1"/>
    <col min="418" max="423" width="10.73046875" bestFit="1" customWidth="1"/>
    <col min="424" max="424" width="11.73046875" bestFit="1" customWidth="1"/>
    <col min="425" max="426" width="10.73046875" bestFit="1" customWidth="1"/>
    <col min="427" max="427" width="9.73046875" bestFit="1" customWidth="1"/>
    <col min="428" max="428" width="8.73046875" customWidth="1"/>
    <col min="429" max="429" width="11.73046875" bestFit="1" customWidth="1"/>
    <col min="430" max="430" width="9.73046875" bestFit="1" customWidth="1"/>
    <col min="431" max="431" width="10.73046875" bestFit="1" customWidth="1"/>
    <col min="432" max="432" width="9.73046875" bestFit="1" customWidth="1"/>
    <col min="433" max="433" width="8.73046875" customWidth="1"/>
    <col min="434" max="435" width="10.73046875" bestFit="1" customWidth="1"/>
    <col min="436" max="436" width="9.73046875" bestFit="1" customWidth="1"/>
    <col min="437" max="437" width="11.73046875" bestFit="1" customWidth="1"/>
    <col min="438" max="438" width="10.73046875" bestFit="1" customWidth="1"/>
    <col min="439" max="439" width="11.73046875" bestFit="1" customWidth="1"/>
    <col min="440" max="440" width="8.73046875" customWidth="1"/>
    <col min="441" max="441" width="9.73046875" bestFit="1" customWidth="1"/>
    <col min="442" max="442" width="11.73046875" bestFit="1" customWidth="1"/>
    <col min="443" max="445" width="8.796875" customWidth="1"/>
    <col min="446" max="446" width="10.73046875" bestFit="1" customWidth="1"/>
    <col min="447" max="447" width="8.796875" customWidth="1"/>
    <col min="448" max="448" width="10.73046875" bestFit="1" customWidth="1"/>
    <col min="449" max="449" width="9.73046875" bestFit="1" customWidth="1"/>
    <col min="450" max="451" width="8.796875" customWidth="1"/>
    <col min="452" max="452" width="10.73046875" bestFit="1" customWidth="1"/>
    <col min="453" max="453" width="11.73046875" bestFit="1" customWidth="1"/>
    <col min="454" max="454" width="8.796875" customWidth="1"/>
    <col min="455" max="455" width="9.73046875" bestFit="1" customWidth="1"/>
    <col min="456" max="457" width="10.73046875" bestFit="1" customWidth="1"/>
    <col min="458" max="458" width="11.73046875" bestFit="1" customWidth="1"/>
    <col min="459" max="459" width="10.73046875" bestFit="1" customWidth="1"/>
    <col min="460" max="461" width="8.796875" customWidth="1"/>
    <col min="462" max="464" width="11.73046875" bestFit="1" customWidth="1"/>
    <col min="465" max="466" width="9.73046875" bestFit="1" customWidth="1"/>
    <col min="467" max="467" width="8.796875" customWidth="1"/>
    <col min="468" max="468" width="9.73046875" bestFit="1" customWidth="1"/>
    <col min="469" max="469" width="10.73046875" bestFit="1" customWidth="1"/>
    <col min="470" max="471" width="11.73046875" bestFit="1" customWidth="1"/>
    <col min="472" max="473" width="9.73046875" bestFit="1" customWidth="1"/>
    <col min="474" max="474" width="10.73046875" bestFit="1" customWidth="1"/>
    <col min="475" max="477" width="11.73046875" bestFit="1" customWidth="1"/>
    <col min="478" max="478" width="8.796875" customWidth="1"/>
    <col min="479" max="479" width="10.73046875" bestFit="1" customWidth="1"/>
    <col min="480" max="482" width="11.73046875" bestFit="1" customWidth="1"/>
    <col min="483" max="483" width="9.73046875" bestFit="1" customWidth="1"/>
    <col min="484" max="484" width="8.796875" customWidth="1"/>
    <col min="485" max="486" width="10.73046875" bestFit="1" customWidth="1"/>
    <col min="487" max="487" width="11.73046875" bestFit="1" customWidth="1"/>
    <col min="488" max="488" width="9.73046875" bestFit="1" customWidth="1"/>
    <col min="489" max="489" width="11.73046875" bestFit="1" customWidth="1"/>
    <col min="490" max="492" width="10.73046875" bestFit="1" customWidth="1"/>
    <col min="493" max="494" width="9.73046875" bestFit="1" customWidth="1"/>
    <col min="495" max="495" width="8.796875" customWidth="1"/>
    <col min="496" max="498" width="9.73046875" bestFit="1" customWidth="1"/>
    <col min="499" max="499" width="11.73046875" bestFit="1" customWidth="1"/>
    <col min="500" max="500" width="9.73046875" bestFit="1" customWidth="1"/>
    <col min="501" max="501" width="8.796875" customWidth="1"/>
    <col min="502" max="502" width="9.73046875" bestFit="1" customWidth="1"/>
    <col min="503" max="503" width="10.73046875" bestFit="1" customWidth="1"/>
    <col min="504" max="504" width="11.73046875" bestFit="1" customWidth="1"/>
    <col min="505" max="506" width="10.73046875" bestFit="1" customWidth="1"/>
    <col min="507" max="507" width="11.73046875" bestFit="1" customWidth="1"/>
    <col min="508" max="508" width="8.796875" customWidth="1"/>
    <col min="509" max="510" width="11.73046875" bestFit="1" customWidth="1"/>
    <col min="511" max="511" width="10.73046875" bestFit="1" customWidth="1"/>
    <col min="512" max="512" width="9.73046875" bestFit="1" customWidth="1"/>
    <col min="513" max="513" width="10.73046875" bestFit="1" customWidth="1"/>
    <col min="514" max="514" width="9.73046875" bestFit="1" customWidth="1"/>
    <col min="515" max="515" width="8.796875" customWidth="1"/>
    <col min="516" max="516" width="10.73046875" bestFit="1" customWidth="1"/>
    <col min="517" max="517" width="9.73046875" bestFit="1" customWidth="1"/>
    <col min="518" max="518" width="10.73046875" bestFit="1" customWidth="1"/>
    <col min="519" max="519" width="11.73046875" bestFit="1" customWidth="1"/>
    <col min="520" max="520" width="8.796875" customWidth="1"/>
    <col min="521" max="522" width="9.73046875" bestFit="1" customWidth="1"/>
    <col min="523" max="524" width="11.73046875" bestFit="1" customWidth="1"/>
    <col min="525" max="525" width="9.73046875" bestFit="1" customWidth="1"/>
    <col min="526" max="526" width="10.73046875" bestFit="1" customWidth="1"/>
    <col min="527" max="527" width="11.73046875" bestFit="1" customWidth="1"/>
    <col min="528" max="528" width="10.73046875" bestFit="1" customWidth="1"/>
    <col min="529" max="530" width="11.73046875" bestFit="1" customWidth="1"/>
    <col min="531" max="532" width="9.73046875" bestFit="1" customWidth="1"/>
    <col min="533" max="534" width="11.73046875" bestFit="1" customWidth="1"/>
    <col min="535" max="535" width="9.73046875" bestFit="1" customWidth="1"/>
    <col min="536" max="536" width="11.73046875" bestFit="1" customWidth="1"/>
    <col min="537" max="537" width="8.73046875" customWidth="1"/>
    <col min="538" max="538" width="11.73046875" bestFit="1" customWidth="1"/>
    <col min="539" max="539" width="10.73046875" bestFit="1" customWidth="1"/>
    <col min="540" max="540" width="11.73046875" bestFit="1" customWidth="1"/>
    <col min="541" max="541" width="10.73046875" bestFit="1" customWidth="1"/>
    <col min="542" max="542" width="9.73046875" bestFit="1" customWidth="1"/>
    <col min="543" max="543" width="11.73046875" bestFit="1" customWidth="1"/>
    <col min="544" max="544" width="8.73046875" customWidth="1"/>
    <col min="545" max="547" width="11.73046875" bestFit="1" customWidth="1"/>
    <col min="548" max="548" width="8.6640625" customWidth="1"/>
    <col min="549" max="549" width="10.73046875" bestFit="1" customWidth="1"/>
    <col min="550" max="551" width="11.73046875" bestFit="1" customWidth="1"/>
    <col min="552" max="552" width="9.73046875" bestFit="1" customWidth="1"/>
    <col min="553" max="554" width="10.73046875" bestFit="1" customWidth="1"/>
    <col min="555" max="556" width="11.73046875" bestFit="1" customWidth="1"/>
    <col min="557" max="557" width="9.73046875" bestFit="1" customWidth="1"/>
    <col min="558" max="558" width="10.73046875" bestFit="1" customWidth="1"/>
    <col min="559" max="559" width="9.73046875" bestFit="1" customWidth="1"/>
    <col min="560" max="560" width="10.73046875" bestFit="1" customWidth="1"/>
    <col min="561" max="561" width="8.6640625" customWidth="1"/>
    <col min="562" max="562" width="9.73046875" bestFit="1" customWidth="1"/>
    <col min="563" max="564" width="10.73046875" bestFit="1" customWidth="1"/>
    <col min="565" max="566" width="8.6640625" customWidth="1"/>
    <col min="567" max="567" width="11.73046875" bestFit="1" customWidth="1"/>
    <col min="568" max="568" width="10.73046875" bestFit="1" customWidth="1"/>
    <col min="569" max="569" width="8.73046875" customWidth="1"/>
    <col min="570" max="571" width="11.73046875" bestFit="1" customWidth="1"/>
    <col min="572" max="573" width="10.73046875" bestFit="1" customWidth="1"/>
    <col min="574" max="574" width="9.73046875" bestFit="1" customWidth="1"/>
    <col min="575" max="576" width="11.73046875" bestFit="1" customWidth="1"/>
    <col min="577" max="577" width="10.73046875" bestFit="1" customWidth="1"/>
    <col min="578" max="578" width="9.73046875" bestFit="1" customWidth="1"/>
    <col min="579" max="581" width="10.73046875" bestFit="1" customWidth="1"/>
    <col min="582" max="582" width="11.73046875" bestFit="1" customWidth="1"/>
    <col min="583" max="583" width="10.73046875" bestFit="1" customWidth="1"/>
    <col min="584" max="584" width="9.73046875" bestFit="1" customWidth="1"/>
    <col min="585" max="585" width="8.73046875" customWidth="1"/>
    <col min="586" max="586" width="11.73046875" bestFit="1" customWidth="1"/>
    <col min="587" max="587" width="9.73046875" bestFit="1" customWidth="1"/>
    <col min="588" max="588" width="10.73046875" bestFit="1" customWidth="1"/>
    <col min="589" max="589" width="9.73046875" bestFit="1" customWidth="1"/>
    <col min="590" max="590" width="11.73046875" bestFit="1" customWidth="1"/>
    <col min="591" max="591" width="9.73046875" bestFit="1" customWidth="1"/>
    <col min="592" max="592" width="11.73046875" bestFit="1" customWidth="1"/>
    <col min="593" max="594" width="10.73046875" bestFit="1" customWidth="1"/>
    <col min="595" max="595" width="8.73046875" customWidth="1"/>
    <col min="596" max="596" width="11.73046875" bestFit="1" customWidth="1"/>
    <col min="597" max="597" width="9.73046875" bestFit="1" customWidth="1"/>
    <col min="598" max="598" width="10.73046875" bestFit="1" customWidth="1"/>
    <col min="599" max="599" width="9.73046875" bestFit="1" customWidth="1"/>
    <col min="600" max="600" width="11.73046875" bestFit="1" customWidth="1"/>
    <col min="601" max="601" width="9.73046875" bestFit="1" customWidth="1"/>
    <col min="602" max="603" width="11.73046875" bestFit="1" customWidth="1"/>
    <col min="604" max="604" width="9.73046875" bestFit="1" customWidth="1"/>
    <col min="605" max="610" width="10.73046875" bestFit="1" customWidth="1"/>
    <col min="611" max="611" width="9.73046875" bestFit="1" customWidth="1"/>
    <col min="612" max="612" width="8.73046875" customWidth="1"/>
    <col min="613" max="613" width="9.73046875" bestFit="1" customWidth="1"/>
    <col min="614" max="617" width="10.73046875" bestFit="1" customWidth="1"/>
    <col min="618" max="620" width="11.73046875" bestFit="1" customWidth="1"/>
    <col min="621" max="621" width="10.73046875" bestFit="1" customWidth="1"/>
    <col min="622" max="622" width="11.73046875" bestFit="1" customWidth="1"/>
    <col min="623" max="624" width="8.73046875" customWidth="1"/>
    <col min="625" max="627" width="11.73046875" bestFit="1" customWidth="1"/>
    <col min="628" max="628" width="9.73046875" bestFit="1" customWidth="1"/>
    <col min="629" max="629" width="10.73046875" bestFit="1" customWidth="1"/>
    <col min="630" max="630" width="9.73046875" bestFit="1" customWidth="1"/>
    <col min="631" max="631" width="10.73046875" bestFit="1" customWidth="1"/>
    <col min="632" max="632" width="11.73046875" bestFit="1" customWidth="1"/>
  </cols>
  <sheetData>
    <row r="3" spans="1:2" x14ac:dyDescent="0.45">
      <c r="A3" s="24" t="s">
        <v>1446</v>
      </c>
      <c r="B3" t="s">
        <v>1448</v>
      </c>
    </row>
    <row r="4" spans="1:2" x14ac:dyDescent="0.45">
      <c r="A4" s="25" t="s">
        <v>774</v>
      </c>
      <c r="B4" s="17">
        <v>41106.800970000004</v>
      </c>
    </row>
    <row r="5" spans="1:2" x14ac:dyDescent="0.45">
      <c r="A5" s="25" t="s">
        <v>1280</v>
      </c>
      <c r="B5" s="17">
        <v>31822.023930000003</v>
      </c>
    </row>
    <row r="6" spans="1:2" x14ac:dyDescent="0.45">
      <c r="A6" s="25" t="s">
        <v>1282</v>
      </c>
      <c r="B6" s="17">
        <v>29673.454499999993</v>
      </c>
    </row>
    <row r="7" spans="1:2" x14ac:dyDescent="0.45">
      <c r="A7" s="25" t="s">
        <v>938</v>
      </c>
      <c r="B7" s="17">
        <v>25553.782800000001</v>
      </c>
    </row>
    <row r="8" spans="1:2" x14ac:dyDescent="0.45">
      <c r="A8" s="25" t="s">
        <v>1089</v>
      </c>
      <c r="B8" s="17">
        <v>23195.01828</v>
      </c>
    </row>
    <row r="9" spans="1:2" x14ac:dyDescent="0.45">
      <c r="A9" s="25" t="s">
        <v>767</v>
      </c>
      <c r="B9" s="17">
        <v>13218.5</v>
      </c>
    </row>
    <row r="10" spans="1:2" x14ac:dyDescent="0.45">
      <c r="A10" s="25" t="s">
        <v>1043</v>
      </c>
      <c r="B10" s="17">
        <v>9847.2358600000007</v>
      </c>
    </row>
    <row r="11" spans="1:2" x14ac:dyDescent="0.45">
      <c r="A11" s="25" t="s">
        <v>1144</v>
      </c>
      <c r="B11" s="17">
        <v>6899.8804600000003</v>
      </c>
    </row>
    <row r="12" spans="1:2" x14ac:dyDescent="0.45">
      <c r="A12" s="25" t="s">
        <v>1336</v>
      </c>
      <c r="B12" s="17">
        <v>5457.4317000000001</v>
      </c>
    </row>
    <row r="13" spans="1:2" x14ac:dyDescent="0.45">
      <c r="A13" s="25" t="s">
        <v>1095</v>
      </c>
      <c r="B13" s="17">
        <v>4804.4682400000002</v>
      </c>
    </row>
    <row r="14" spans="1:2" x14ac:dyDescent="0.45">
      <c r="A14" s="25" t="s">
        <v>1447</v>
      </c>
      <c r="B14" s="17">
        <v>191578.59673999995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C10" sqref="C10"/>
    </sheetView>
  </sheetViews>
  <sheetFormatPr defaultRowHeight="14.25" x14ac:dyDescent="0.45"/>
  <cols>
    <col min="1" max="1" width="21.86328125" customWidth="1"/>
    <col min="2" max="2" width="25.796875" customWidth="1"/>
    <col min="3" max="3" width="23.06640625" customWidth="1"/>
  </cols>
  <sheetData>
    <row r="3" spans="1:3" x14ac:dyDescent="0.45">
      <c r="A3" t="s">
        <v>1448</v>
      </c>
      <c r="B3" t="s">
        <v>1456</v>
      </c>
      <c r="C3" t="s">
        <v>1478</v>
      </c>
    </row>
    <row r="4" spans="1:3" x14ac:dyDescent="0.45">
      <c r="A4" s="13">
        <v>929424.88821999985</v>
      </c>
      <c r="B4" s="13">
        <v>331115.02821999986</v>
      </c>
      <c r="C4" s="13">
        <v>598309.86</v>
      </c>
    </row>
    <row r="9" spans="1:3" x14ac:dyDescent="0.45">
      <c r="A9" t="s">
        <v>1467</v>
      </c>
      <c r="B9" t="s">
        <v>1479</v>
      </c>
      <c r="C9" t="s">
        <v>1480</v>
      </c>
    </row>
    <row r="10" spans="1:3" x14ac:dyDescent="0.45">
      <c r="A10" s="13">
        <v>18224.01741607843</v>
      </c>
      <c r="B10" s="13">
        <v>1004031.4083799998</v>
      </c>
      <c r="C10" s="13">
        <v>350677.04126000003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topLeftCell="B1" zoomScale="91" workbookViewId="0">
      <selection activeCell="B13" sqref="B13"/>
    </sheetView>
  </sheetViews>
  <sheetFormatPr defaultRowHeight="14.25" x14ac:dyDescent="0.45"/>
  <cols>
    <col min="1" max="1" width="14.3984375" customWidth="1"/>
    <col min="2" max="2" width="19.06640625" bestFit="1" customWidth="1"/>
  </cols>
  <sheetData>
    <row r="3" spans="1:2" x14ac:dyDescent="0.45">
      <c r="A3" s="24" t="s">
        <v>1446</v>
      </c>
      <c r="B3" t="s">
        <v>1448</v>
      </c>
    </row>
    <row r="4" spans="1:2" x14ac:dyDescent="0.45">
      <c r="A4" s="25" t="s">
        <v>649</v>
      </c>
      <c r="B4" s="17">
        <v>929424.8882200002</v>
      </c>
    </row>
    <row r="5" spans="1:2" x14ac:dyDescent="0.45">
      <c r="A5" s="26" t="s">
        <v>711</v>
      </c>
      <c r="B5" s="17">
        <v>440549.30887000001</v>
      </c>
    </row>
    <row r="6" spans="1:2" x14ac:dyDescent="0.45">
      <c r="A6" s="26" t="s">
        <v>710</v>
      </c>
      <c r="B6" s="17">
        <v>89682.392490000013</v>
      </c>
    </row>
    <row r="7" spans="1:2" x14ac:dyDescent="0.45">
      <c r="A7" s="26" t="s">
        <v>709</v>
      </c>
      <c r="B7" s="17">
        <v>141258.16537</v>
      </c>
    </row>
    <row r="8" spans="1:2" x14ac:dyDescent="0.45">
      <c r="A8" s="26" t="s">
        <v>708</v>
      </c>
      <c r="B8" s="17">
        <v>188656.70182000002</v>
      </c>
    </row>
    <row r="9" spans="1:2" x14ac:dyDescent="0.45">
      <c r="A9" s="26" t="s">
        <v>707</v>
      </c>
      <c r="B9" s="17">
        <v>69278.319669999997</v>
      </c>
    </row>
    <row r="10" spans="1:2" x14ac:dyDescent="0.45">
      <c r="A10" s="25" t="s">
        <v>1447</v>
      </c>
      <c r="B10" s="17">
        <v>929424.8882200002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633"/>
  <sheetViews>
    <sheetView zoomScale="110" zoomScaleNormal="110" workbookViewId="0">
      <pane ySplit="1" topLeftCell="A2" activePane="bottomLeft" state="frozen"/>
      <selection activeCell="F1" sqref="F1"/>
      <selection pane="bottomLeft" activeCell="O6" sqref="O6"/>
    </sheetView>
  </sheetViews>
  <sheetFormatPr defaultRowHeight="14.25" x14ac:dyDescent="0.45"/>
  <cols>
    <col min="1" max="1" width="15.53125" style="3" bestFit="1" customWidth="1"/>
    <col min="2" max="2" width="10.19921875" style="5" bestFit="1" customWidth="1"/>
    <col min="3" max="3" width="11.9296875" style="5" bestFit="1" customWidth="1"/>
    <col min="4" max="4" width="11.9296875" style="5" customWidth="1"/>
    <col min="5" max="5" width="16.6640625" style="5" bestFit="1" customWidth="1"/>
    <col min="6" max="6" width="12.3984375" style="7" bestFit="1" customWidth="1"/>
    <col min="7" max="7" width="12.3984375" style="5" customWidth="1"/>
    <col min="8" max="8" width="8" style="3" bestFit="1" customWidth="1"/>
    <col min="9" max="9" width="13.59765625" style="3" bestFit="1" customWidth="1"/>
    <col min="10" max="10" width="11.73046875" style="3" bestFit="1" customWidth="1"/>
    <col min="11" max="11" width="15.86328125" style="3" bestFit="1" customWidth="1"/>
    <col min="12" max="12" width="15.265625" style="3" bestFit="1" customWidth="1"/>
    <col min="13" max="13" width="18.3984375" style="3" bestFit="1" customWidth="1"/>
    <col min="14" max="14" width="14.33203125" style="3" bestFit="1" customWidth="1"/>
    <col min="15" max="15" width="9.53125" style="3" bestFit="1" customWidth="1"/>
    <col min="16" max="17" width="10.3984375" style="19" bestFit="1" customWidth="1"/>
    <col min="18" max="18" width="10.33203125" style="15" bestFit="1" customWidth="1"/>
    <col min="19" max="19" width="7.86328125" style="7" bestFit="1" customWidth="1"/>
    <col min="20" max="20" width="12.3984375" style="13" bestFit="1" customWidth="1"/>
    <col min="21" max="21" width="11.3984375" bestFit="1" customWidth="1"/>
    <col min="22" max="22" width="12.33203125" style="13" bestFit="1" customWidth="1"/>
    <col min="23" max="23" width="12.33203125" style="15" bestFit="1" customWidth="1"/>
    <col min="25" max="25" width="35.796875" customWidth="1"/>
    <col min="26" max="26" width="9.06640625" customWidth="1"/>
    <col min="27" max="27" width="9.53125" customWidth="1"/>
    <col min="28" max="28" width="11.46484375" customWidth="1"/>
    <col min="29" max="29" width="14.06640625" customWidth="1"/>
    <col min="30" max="30" width="9" bestFit="1" customWidth="1"/>
    <col min="31" max="31" width="14.86328125" style="36" bestFit="1" customWidth="1"/>
    <col min="32" max="32" width="14.73046875" bestFit="1" customWidth="1"/>
    <col min="33" max="33" width="14.86328125" bestFit="1" customWidth="1"/>
    <col min="34" max="34" width="19.46484375" style="13" bestFit="1" customWidth="1"/>
    <col min="35" max="35" width="18.46484375" bestFit="1" customWidth="1"/>
    <col min="36" max="36" width="16.73046875" style="13" bestFit="1" customWidth="1"/>
  </cols>
  <sheetData>
    <row r="1" spans="1:36" s="12" customFormat="1" x14ac:dyDescent="0.45">
      <c r="A1" s="2" t="s">
        <v>0</v>
      </c>
      <c r="B1" s="4" t="s">
        <v>1</v>
      </c>
      <c r="C1" s="4" t="s">
        <v>2</v>
      </c>
      <c r="D1" s="4" t="s">
        <v>1439</v>
      </c>
      <c r="E1" s="4" t="s">
        <v>1425</v>
      </c>
      <c r="F1" s="6" t="s">
        <v>1426</v>
      </c>
      <c r="G1" s="4" t="s">
        <v>1441</v>
      </c>
      <c r="H1" s="2" t="s">
        <v>3</v>
      </c>
      <c r="I1" s="2" t="s">
        <v>4</v>
      </c>
      <c r="J1" s="2" t="s">
        <v>5</v>
      </c>
      <c r="K1" s="2" t="s">
        <v>6</v>
      </c>
      <c r="L1" s="2" t="s">
        <v>7</v>
      </c>
      <c r="M1" s="2" t="s">
        <v>8</v>
      </c>
      <c r="N1" s="2" t="s">
        <v>9</v>
      </c>
      <c r="O1" s="2" t="s">
        <v>10</v>
      </c>
      <c r="P1" s="18" t="s">
        <v>11</v>
      </c>
      <c r="Q1" s="18" t="s">
        <v>12</v>
      </c>
      <c r="R1" s="14" t="s">
        <v>13</v>
      </c>
      <c r="S1" s="6" t="s">
        <v>14</v>
      </c>
      <c r="T1" s="21" t="s">
        <v>1427</v>
      </c>
      <c r="U1" s="12" t="s">
        <v>1428</v>
      </c>
      <c r="V1" s="21" t="s">
        <v>1429</v>
      </c>
      <c r="W1" s="22" t="s">
        <v>1430</v>
      </c>
      <c r="X1" s="12" t="s">
        <v>1442</v>
      </c>
      <c r="Y1" s="12" t="s">
        <v>1443</v>
      </c>
      <c r="Z1" s="12" t="s">
        <v>1444</v>
      </c>
      <c r="AA1" s="12" t="s">
        <v>1458</v>
      </c>
      <c r="AB1" s="12" t="s">
        <v>1459</v>
      </c>
      <c r="AC1" s="12" t="s">
        <v>1462</v>
      </c>
      <c r="AD1" s="12" t="s">
        <v>1465</v>
      </c>
      <c r="AE1" s="35" t="s">
        <v>1477</v>
      </c>
      <c r="AF1" s="12" t="s">
        <v>1476</v>
      </c>
      <c r="AG1" s="12" t="s">
        <v>1475</v>
      </c>
      <c r="AH1" s="21" t="s">
        <v>1474</v>
      </c>
      <c r="AI1" s="12" t="s">
        <v>1473</v>
      </c>
      <c r="AJ1" s="21" t="s">
        <v>1472</v>
      </c>
    </row>
    <row r="2" spans="1:36" x14ac:dyDescent="0.45">
      <c r="A2" s="3" t="s">
        <v>15</v>
      </c>
      <c r="B2" s="5">
        <v>45362</v>
      </c>
      <c r="C2" s="5">
        <v>45388</v>
      </c>
      <c r="D2" s="5">
        <f>IF(C2&gt;B2,B2,C2)</f>
        <v>45362</v>
      </c>
      <c r="E2" s="5">
        <f>IF(C2&gt;B2,C2,B2)</f>
        <v>45388</v>
      </c>
      <c r="F2" s="7">
        <f t="shared" ref="F2:F10" si="0">DATEDIF(D2,E2,"D")</f>
        <v>26</v>
      </c>
      <c r="G2" s="23" t="str">
        <f>CONCATENATE(MONTH(D2), "-",YEAR(D2))</f>
        <v>3-2024</v>
      </c>
      <c r="H2" s="3" t="s">
        <v>646</v>
      </c>
      <c r="I2" s="3" t="s">
        <v>650</v>
      </c>
      <c r="J2" s="3" t="s">
        <v>662</v>
      </c>
      <c r="K2" s="3" t="s">
        <v>701</v>
      </c>
      <c r="L2" s="3" t="s">
        <v>707</v>
      </c>
      <c r="M2" s="3" t="s">
        <v>712</v>
      </c>
      <c r="N2" s="3" t="s">
        <v>727</v>
      </c>
      <c r="O2" s="3" t="s">
        <v>734</v>
      </c>
      <c r="P2" s="19">
        <v>279.24</v>
      </c>
      <c r="Q2" s="19">
        <v>608.9</v>
      </c>
      <c r="R2" s="15">
        <v>0.112</v>
      </c>
      <c r="S2" s="7">
        <v>9</v>
      </c>
      <c r="T2" s="13">
        <f>(Q2*S2)*(1-R2)</f>
        <v>4866.3287999999993</v>
      </c>
      <c r="U2" s="13">
        <f>P2*S2</f>
        <v>2513.16</v>
      </c>
      <c r="V2" s="13">
        <f>T2-U2</f>
        <v>2353.1687999999995</v>
      </c>
      <c r="W2" s="15">
        <f>IF(T2=0, 0,V2/T2)</f>
        <v>0.48356140670149533</v>
      </c>
      <c r="X2" s="17" t="str">
        <f>CONCATENATE(IF(MONTH(D2)&lt;=3,"Q1", IF(MONTH(D2)&lt;=6, "Q2", IF(MONTH(D2)&lt;= 9, "Q3", "Q4"))), "-", YEAR(D2))</f>
        <v>Q1-2024</v>
      </c>
      <c r="Y2" t="str">
        <f>CONCATENATE(H2," → ",I2," → ",J2)</f>
        <v>Africa → Kenya → Kisumu</v>
      </c>
      <c r="Z2" t="str">
        <f>IF(Q2&lt;=1193.97, "Low",IF(Q2&lt;1912.05,"Medium", "High"))</f>
        <v>Low</v>
      </c>
      <c r="AA2">
        <f>YEAR(D2)</f>
        <v>2024</v>
      </c>
      <c r="AB2">
        <f>MONTH(D2)</f>
        <v>3</v>
      </c>
      <c r="AC2" t="str">
        <f>IF(F2&lt;=7,"Yes", "No")</f>
        <v>No</v>
      </c>
      <c r="AD2" t="str">
        <f>IF(R2&gt;20%,"Yes","No")</f>
        <v>No</v>
      </c>
      <c r="AE2" s="36">
        <f>IF(Dashboard!$P$47&gt;'Staging Data'!R2,'Staging Data'!R2,Dashboard!$P$47)</f>
        <v>0.1</v>
      </c>
      <c r="AF2">
        <f>(100%+Dashboard!$P$48)*'Staging Data'!P2</f>
        <v>293.202</v>
      </c>
      <c r="AG2">
        <f>(100%+Dashboard!$P$49)*S2</f>
        <v>9.36</v>
      </c>
      <c r="AH2" s="13">
        <f>(Q2*AG2)*(1-AE2)</f>
        <v>5129.373599999999</v>
      </c>
      <c r="AI2" s="13">
        <f>AF2*AG2</f>
        <v>2744.3707199999999</v>
      </c>
      <c r="AJ2" s="13">
        <f>AH2-AI2</f>
        <v>2385.0028799999991</v>
      </c>
    </row>
    <row r="3" spans="1:36" x14ac:dyDescent="0.45">
      <c r="A3" s="3" t="s">
        <v>16</v>
      </c>
      <c r="B3" s="5">
        <v>45588</v>
      </c>
      <c r="C3" s="5">
        <v>45587</v>
      </c>
      <c r="D3" s="5">
        <f t="shared" ref="D3:D10" si="1">IF(C3&gt;B3,B3,C3)</f>
        <v>45587</v>
      </c>
      <c r="E3" s="5">
        <f t="shared" ref="E3:E10" si="2">IF(C3&gt;B3,C3,B3)</f>
        <v>45588</v>
      </c>
      <c r="F3" s="7">
        <f t="shared" si="0"/>
        <v>1</v>
      </c>
      <c r="G3" s="23" t="str">
        <f>CONCATENATE(MONTH(D3), "-",YEAR(D3))</f>
        <v>10-2024</v>
      </c>
      <c r="H3" s="3" t="s">
        <v>646</v>
      </c>
      <c r="I3" s="3" t="s">
        <v>651</v>
      </c>
      <c r="J3" s="3" t="s">
        <v>663</v>
      </c>
      <c r="K3" s="3" t="s">
        <v>702</v>
      </c>
      <c r="L3" s="3" t="s">
        <v>708</v>
      </c>
      <c r="M3" s="3" t="s">
        <v>713</v>
      </c>
      <c r="N3" s="3" t="s">
        <v>728</v>
      </c>
      <c r="O3" s="3" t="s">
        <v>735</v>
      </c>
      <c r="P3" s="19">
        <v>1084.3900000000001</v>
      </c>
      <c r="Q3" s="19">
        <v>759.33</v>
      </c>
      <c r="R3" s="15">
        <v>0.23699999999999999</v>
      </c>
      <c r="S3" s="7">
        <v>31</v>
      </c>
      <c r="T3" s="13">
        <f t="shared" ref="T3:T66" si="3">(Q3*S3)*(1-R3)</f>
        <v>17960.432489999999</v>
      </c>
      <c r="U3" s="13">
        <f t="shared" ref="U3:U66" si="4">P3*S3</f>
        <v>33616.090000000004</v>
      </c>
      <c r="V3" s="13">
        <f t="shared" ref="V3:V10" si="5">T3-U3</f>
        <v>-15655.657510000005</v>
      </c>
      <c r="W3" s="15">
        <f t="shared" ref="W3:W10" si="6">IF(T3=0, 0,V3/T3)</f>
        <v>-0.87167486187856302</v>
      </c>
      <c r="X3" s="17" t="str">
        <f t="shared" ref="X3:X10" si="7">CONCATENATE(IF(MONTH(D3)&lt;=3,"Q1", IF(MONTH(D3)&lt;=6, "Q2", IF(MONTH(D3)&lt;= 9, "Q3", "Q4"))), "-", YEAR(D3))</f>
        <v>Q4-2024</v>
      </c>
      <c r="Y3" t="str">
        <f t="shared" ref="Y3:Y10" si="8">CONCATENATE(H3," → ",I3," → ",J3)</f>
        <v>Africa → Nigeria → Port Harcourt</v>
      </c>
      <c r="Z3" t="str">
        <f>IF(Q3&lt;=1193.97, "Low",IF(Q3&lt;1912.05,"Medium", "High"))</f>
        <v>Low</v>
      </c>
      <c r="AA3">
        <f t="shared" ref="AA3:AA66" si="9">YEAR(D3)</f>
        <v>2024</v>
      </c>
      <c r="AB3">
        <f t="shared" ref="AB3:AB66" si="10">MONTH(D3)</f>
        <v>10</v>
      </c>
      <c r="AC3" t="str">
        <f t="shared" ref="AC3:AC66" si="11">IF(F3&lt;=7,"Yes", "No")</f>
        <v>Yes</v>
      </c>
      <c r="AD3" t="str">
        <f t="shared" ref="AD3:AD66" si="12">IF(R3&gt;20%,"Yes","No")</f>
        <v>Yes</v>
      </c>
      <c r="AE3" s="36">
        <f>IF(Dashboard!$P$47&gt;'Staging Data'!R3,'Staging Data'!R3,Dashboard!$P$47)</f>
        <v>0.1</v>
      </c>
      <c r="AF3">
        <f>(100%+Dashboard!$P$48)*'Staging Data'!P3</f>
        <v>1138.6095000000003</v>
      </c>
      <c r="AG3">
        <f>(100%+Dashboard!$P$49)*S3</f>
        <v>32.24</v>
      </c>
      <c r="AH3" s="13">
        <f t="shared" ref="AH3:AH66" si="13">(Q3*AG3)*(1-AE3)</f>
        <v>22032.719280000001</v>
      </c>
      <c r="AI3" s="13">
        <f t="shared" ref="AI3:AI66" si="14">AF3*AG3</f>
        <v>36708.770280000012</v>
      </c>
      <c r="AJ3" s="13">
        <f t="shared" ref="AJ3:AJ66" si="15">AH3-AI3</f>
        <v>-14676.05100000001</v>
      </c>
    </row>
    <row r="4" spans="1:36" x14ac:dyDescent="0.45">
      <c r="A4" s="3" t="s">
        <v>17</v>
      </c>
      <c r="B4" s="5">
        <v>44985</v>
      </c>
      <c r="C4" s="5">
        <v>45010</v>
      </c>
      <c r="D4" s="5">
        <f t="shared" si="1"/>
        <v>44985</v>
      </c>
      <c r="E4" s="5">
        <f t="shared" si="2"/>
        <v>45010</v>
      </c>
      <c r="F4" s="7">
        <f t="shared" si="0"/>
        <v>25</v>
      </c>
      <c r="G4" s="23" t="str">
        <f t="shared" ref="G4:G10" si="16">CONCATENATE(MONTH(D4), "-",YEAR(D4))</f>
        <v>2-2023</v>
      </c>
      <c r="H4" s="3" t="s">
        <v>646</v>
      </c>
      <c r="I4" s="3" t="s">
        <v>650</v>
      </c>
      <c r="J4" s="3" t="s">
        <v>664</v>
      </c>
      <c r="K4" s="3" t="s">
        <v>701</v>
      </c>
      <c r="L4" s="3" t="s">
        <v>707</v>
      </c>
      <c r="M4" s="3" t="s">
        <v>714</v>
      </c>
      <c r="N4" s="3" t="s">
        <v>729</v>
      </c>
      <c r="O4" s="3" t="s">
        <v>736</v>
      </c>
      <c r="P4" s="19">
        <v>1460.76</v>
      </c>
      <c r="Q4" s="19">
        <v>30.66</v>
      </c>
      <c r="R4" s="15">
        <v>0.13100000000000001</v>
      </c>
      <c r="S4" s="7">
        <v>12</v>
      </c>
      <c r="T4" s="13">
        <f t="shared" si="3"/>
        <v>319.72248000000002</v>
      </c>
      <c r="U4" s="13">
        <f>P4*S4</f>
        <v>17529.12</v>
      </c>
      <c r="V4" s="13">
        <f t="shared" si="5"/>
        <v>-17209.397519999999</v>
      </c>
      <c r="W4" s="15">
        <f>IF(T4=0, 0,V4/T4)</f>
        <v>-53.826047890032626</v>
      </c>
      <c r="X4" s="17" t="str">
        <f t="shared" si="7"/>
        <v>Q1-2023</v>
      </c>
      <c r="Y4" t="str">
        <f t="shared" si="8"/>
        <v>Africa → Kenya → Nairobi</v>
      </c>
      <c r="Z4" t="str">
        <f t="shared" ref="Z4:Z10" si="17">IF(Q4&lt;=1193.97, "Low",IF(Q4&lt;1912.05,"Medium", "High"))</f>
        <v>Low</v>
      </c>
      <c r="AA4">
        <f t="shared" si="9"/>
        <v>2023</v>
      </c>
      <c r="AB4">
        <f t="shared" si="10"/>
        <v>2</v>
      </c>
      <c r="AC4" t="str">
        <f t="shared" si="11"/>
        <v>No</v>
      </c>
      <c r="AD4" t="str">
        <f t="shared" si="12"/>
        <v>No</v>
      </c>
      <c r="AE4" s="36">
        <f>IF(Dashboard!$P$47&gt;'Staging Data'!R4,'Staging Data'!R4,Dashboard!$P$47)</f>
        <v>0.1</v>
      </c>
      <c r="AF4">
        <f>(100%+Dashboard!$P$48)*'Staging Data'!P4</f>
        <v>1533.798</v>
      </c>
      <c r="AG4">
        <f>(100%+Dashboard!$P$49)*S4</f>
        <v>12.48</v>
      </c>
      <c r="AH4" s="13">
        <f t="shared" si="13"/>
        <v>344.37312000000003</v>
      </c>
      <c r="AI4" s="13">
        <f t="shared" si="14"/>
        <v>19141.799040000002</v>
      </c>
      <c r="AJ4" s="13">
        <f t="shared" si="15"/>
        <v>-18797.425920000001</v>
      </c>
    </row>
    <row r="5" spans="1:36" x14ac:dyDescent="0.45">
      <c r="A5" s="3" t="s">
        <v>18</v>
      </c>
      <c r="B5" s="5">
        <v>45745</v>
      </c>
      <c r="C5" s="5">
        <v>45749</v>
      </c>
      <c r="D5" s="5">
        <f t="shared" si="1"/>
        <v>45745</v>
      </c>
      <c r="E5" s="5">
        <f t="shared" si="2"/>
        <v>45749</v>
      </c>
      <c r="F5" s="7">
        <f t="shared" si="0"/>
        <v>4</v>
      </c>
      <c r="G5" s="23" t="str">
        <f t="shared" si="16"/>
        <v>3-2025</v>
      </c>
      <c r="H5" s="3" t="s">
        <v>646</v>
      </c>
      <c r="I5" s="3" t="s">
        <v>651</v>
      </c>
      <c r="J5" s="3" t="s">
        <v>665</v>
      </c>
      <c r="K5" s="3" t="s">
        <v>703</v>
      </c>
      <c r="L5" s="3" t="s">
        <v>709</v>
      </c>
      <c r="M5" s="3" t="s">
        <v>715</v>
      </c>
      <c r="N5" s="3" t="s">
        <v>730</v>
      </c>
      <c r="O5" s="3" t="s">
        <v>737</v>
      </c>
      <c r="P5" s="19">
        <v>259.93</v>
      </c>
      <c r="Q5" s="19">
        <v>255.94</v>
      </c>
      <c r="R5" s="15">
        <v>7.1999999999999995E-2</v>
      </c>
      <c r="S5" s="7">
        <v>22</v>
      </c>
      <c r="T5" s="13">
        <f t="shared" si="3"/>
        <v>5225.2710400000005</v>
      </c>
      <c r="U5" s="13">
        <f t="shared" si="4"/>
        <v>5718.46</v>
      </c>
      <c r="V5" s="13">
        <f t="shared" si="5"/>
        <v>-493.1889599999995</v>
      </c>
      <c r="W5" s="15">
        <f t="shared" si="6"/>
        <v>-9.4385335463861311E-2</v>
      </c>
      <c r="X5" s="17" t="str">
        <f t="shared" si="7"/>
        <v>Q1-2025</v>
      </c>
      <c r="Y5" t="str">
        <f t="shared" si="8"/>
        <v>Africa → Nigeria → Lagos</v>
      </c>
      <c r="Z5" t="str">
        <f t="shared" si="17"/>
        <v>Low</v>
      </c>
      <c r="AA5">
        <f t="shared" si="9"/>
        <v>2025</v>
      </c>
      <c r="AB5">
        <f t="shared" si="10"/>
        <v>3</v>
      </c>
      <c r="AC5" t="str">
        <f t="shared" si="11"/>
        <v>Yes</v>
      </c>
      <c r="AD5" t="str">
        <f t="shared" si="12"/>
        <v>No</v>
      </c>
      <c r="AE5" s="36">
        <f>IF(Dashboard!$P$47&gt;'Staging Data'!R5,'Staging Data'!R5,Dashboard!$P$47)</f>
        <v>7.1999999999999995E-2</v>
      </c>
      <c r="AF5">
        <f>(100%+Dashboard!$P$48)*'Staging Data'!P5</f>
        <v>272.92650000000003</v>
      </c>
      <c r="AG5">
        <f>(100%+Dashboard!$P$49)*S5</f>
        <v>22.880000000000003</v>
      </c>
      <c r="AH5" s="13">
        <f t="shared" si="13"/>
        <v>5434.2818816000008</v>
      </c>
      <c r="AI5" s="13">
        <f t="shared" si="14"/>
        <v>6244.558320000001</v>
      </c>
      <c r="AJ5" s="13">
        <f t="shared" si="15"/>
        <v>-810.27643840000019</v>
      </c>
    </row>
    <row r="6" spans="1:36" x14ac:dyDescent="0.45">
      <c r="A6" s="3" t="s">
        <v>19</v>
      </c>
      <c r="B6" s="5">
        <v>45266</v>
      </c>
      <c r="C6" s="5">
        <v>45291</v>
      </c>
      <c r="D6" s="5">
        <f t="shared" si="1"/>
        <v>45266</v>
      </c>
      <c r="E6" s="5">
        <f t="shared" si="2"/>
        <v>45291</v>
      </c>
      <c r="F6" s="7">
        <f t="shared" si="0"/>
        <v>25</v>
      </c>
      <c r="G6" s="23" t="str">
        <f t="shared" si="16"/>
        <v>12-2023</v>
      </c>
      <c r="H6" s="3" t="s">
        <v>647</v>
      </c>
      <c r="I6" s="3" t="s">
        <v>652</v>
      </c>
      <c r="J6" s="3" t="s">
        <v>666</v>
      </c>
      <c r="K6" s="3" t="s">
        <v>704</v>
      </c>
      <c r="L6" s="3" t="s">
        <v>707</v>
      </c>
      <c r="M6" s="3" t="s">
        <v>716</v>
      </c>
      <c r="N6" s="3" t="s">
        <v>728</v>
      </c>
      <c r="O6" s="3" t="s">
        <v>738</v>
      </c>
      <c r="P6" s="19">
        <v>663.03</v>
      </c>
      <c r="Q6" s="19">
        <v>813.51</v>
      </c>
      <c r="R6" s="15">
        <v>0.10199999999999999</v>
      </c>
      <c r="S6" s="7">
        <v>15</v>
      </c>
      <c r="T6" s="13">
        <f t="shared" si="3"/>
        <v>10957.9797</v>
      </c>
      <c r="U6" s="13">
        <f t="shared" si="4"/>
        <v>9945.4499999999989</v>
      </c>
      <c r="V6" s="13">
        <f t="shared" si="5"/>
        <v>1012.529700000001</v>
      </c>
      <c r="W6" s="15">
        <f t="shared" si="6"/>
        <v>9.2401129379715952E-2</v>
      </c>
      <c r="X6" s="17" t="str">
        <f t="shared" si="7"/>
        <v>Q4-2023</v>
      </c>
      <c r="Y6" t="str">
        <f t="shared" si="8"/>
        <v>Asia → Japan → Osaka</v>
      </c>
      <c r="Z6" t="str">
        <f t="shared" si="17"/>
        <v>Low</v>
      </c>
      <c r="AA6">
        <f t="shared" si="9"/>
        <v>2023</v>
      </c>
      <c r="AB6">
        <f t="shared" si="10"/>
        <v>12</v>
      </c>
      <c r="AC6" t="str">
        <f t="shared" si="11"/>
        <v>No</v>
      </c>
      <c r="AD6" t="str">
        <f t="shared" si="12"/>
        <v>No</v>
      </c>
      <c r="AE6" s="36">
        <f>IF(Dashboard!$P$47&gt;'Staging Data'!R6,'Staging Data'!R6,Dashboard!$P$47)</f>
        <v>0.1</v>
      </c>
      <c r="AF6">
        <f>(100%+Dashboard!$P$48)*'Staging Data'!P6</f>
        <v>696.18150000000003</v>
      </c>
      <c r="AG6">
        <f>(100%+Dashboard!$P$49)*S6</f>
        <v>15.600000000000001</v>
      </c>
      <c r="AH6" s="13">
        <f t="shared" si="13"/>
        <v>11421.680400000001</v>
      </c>
      <c r="AI6" s="13">
        <f t="shared" si="14"/>
        <v>10860.431400000001</v>
      </c>
      <c r="AJ6" s="13">
        <f t="shared" si="15"/>
        <v>561.2489999999998</v>
      </c>
    </row>
    <row r="7" spans="1:36" x14ac:dyDescent="0.45">
      <c r="A7" s="3" t="s">
        <v>20</v>
      </c>
      <c r="B7" s="5">
        <v>44928</v>
      </c>
      <c r="C7" s="5">
        <v>44931</v>
      </c>
      <c r="D7" s="5">
        <f t="shared" si="1"/>
        <v>44928</v>
      </c>
      <c r="E7" s="5">
        <f t="shared" si="2"/>
        <v>44931</v>
      </c>
      <c r="F7" s="7">
        <f t="shared" si="0"/>
        <v>3</v>
      </c>
      <c r="G7" s="23" t="str">
        <f t="shared" si="16"/>
        <v>1-2023</v>
      </c>
      <c r="H7" s="3" t="s">
        <v>648</v>
      </c>
      <c r="I7" s="3" t="s">
        <v>653</v>
      </c>
      <c r="J7" s="3" t="s">
        <v>667</v>
      </c>
      <c r="K7" s="3" t="s">
        <v>701</v>
      </c>
      <c r="L7" s="3" t="s">
        <v>710</v>
      </c>
      <c r="M7" s="3" t="s">
        <v>717</v>
      </c>
      <c r="N7" s="3" t="s">
        <v>731</v>
      </c>
      <c r="O7" s="3" t="s">
        <v>739</v>
      </c>
      <c r="P7" s="19">
        <v>315.87</v>
      </c>
      <c r="Q7" s="19">
        <v>591.67999999999995</v>
      </c>
      <c r="R7" s="15">
        <v>0</v>
      </c>
      <c r="S7" s="7">
        <v>7</v>
      </c>
      <c r="T7" s="13">
        <f t="shared" si="3"/>
        <v>4141.7599999999993</v>
      </c>
      <c r="U7" s="13">
        <f t="shared" si="4"/>
        <v>2211.09</v>
      </c>
      <c r="V7" s="13">
        <f t="shared" si="5"/>
        <v>1930.6699999999992</v>
      </c>
      <c r="W7" s="15">
        <f t="shared" si="6"/>
        <v>0.46614724175229844</v>
      </c>
      <c r="X7" s="17" t="str">
        <f t="shared" si="7"/>
        <v>Q1-2023</v>
      </c>
      <c r="Y7" t="str">
        <f t="shared" si="8"/>
        <v>Americas → Canada → Toronto</v>
      </c>
      <c r="Z7" t="str">
        <f t="shared" si="17"/>
        <v>Low</v>
      </c>
      <c r="AA7">
        <f t="shared" si="9"/>
        <v>2023</v>
      </c>
      <c r="AB7">
        <f t="shared" si="10"/>
        <v>1</v>
      </c>
      <c r="AC7" t="str">
        <f t="shared" si="11"/>
        <v>Yes</v>
      </c>
      <c r="AD7" t="str">
        <f t="shared" si="12"/>
        <v>No</v>
      </c>
      <c r="AE7" s="36">
        <f>IF(Dashboard!$P$47&gt;'Staging Data'!R7,'Staging Data'!R7,Dashboard!$P$47)</f>
        <v>0</v>
      </c>
      <c r="AF7">
        <f>(100%+Dashboard!$P$48)*'Staging Data'!P7</f>
        <v>331.6635</v>
      </c>
      <c r="AG7">
        <f>(100%+Dashboard!$P$49)*S7</f>
        <v>7.28</v>
      </c>
      <c r="AH7" s="13">
        <f t="shared" si="13"/>
        <v>4307.4304000000002</v>
      </c>
      <c r="AI7" s="13">
        <f t="shared" si="14"/>
        <v>2414.51028</v>
      </c>
      <c r="AJ7" s="13">
        <f t="shared" si="15"/>
        <v>1892.9201200000002</v>
      </c>
    </row>
    <row r="8" spans="1:36" x14ac:dyDescent="0.45">
      <c r="A8" s="3" t="s">
        <v>21</v>
      </c>
      <c r="B8" s="5">
        <v>45653</v>
      </c>
      <c r="C8" s="5">
        <v>45671</v>
      </c>
      <c r="D8" s="5">
        <f t="shared" si="1"/>
        <v>45653</v>
      </c>
      <c r="E8" s="5">
        <f t="shared" si="2"/>
        <v>45671</v>
      </c>
      <c r="F8" s="7">
        <f t="shared" si="0"/>
        <v>18</v>
      </c>
      <c r="G8" s="23" t="str">
        <f t="shared" si="16"/>
        <v>12-2024</v>
      </c>
      <c r="H8" s="3" t="s">
        <v>647</v>
      </c>
      <c r="I8" s="3" t="s">
        <v>654</v>
      </c>
      <c r="J8" s="3" t="s">
        <v>668</v>
      </c>
      <c r="K8" s="3" t="s">
        <v>705</v>
      </c>
      <c r="L8" s="3" t="s">
        <v>709</v>
      </c>
      <c r="M8" s="3" t="s">
        <v>718</v>
      </c>
      <c r="N8" s="3" t="s">
        <v>732</v>
      </c>
      <c r="O8" s="3" t="s">
        <v>740</v>
      </c>
      <c r="P8" s="19">
        <v>586.07000000000005</v>
      </c>
      <c r="Q8" s="19">
        <v>845.97</v>
      </c>
      <c r="R8" s="15">
        <v>0.14699999999999999</v>
      </c>
      <c r="S8" s="7">
        <v>4</v>
      </c>
      <c r="T8" s="13">
        <f t="shared" si="3"/>
        <v>2886.4496399999998</v>
      </c>
      <c r="U8" s="13">
        <f t="shared" si="4"/>
        <v>2344.2800000000002</v>
      </c>
      <c r="V8" s="13">
        <f t="shared" si="5"/>
        <v>542.16963999999962</v>
      </c>
      <c r="W8" s="15">
        <f t="shared" si="6"/>
        <v>0.18783270370862928</v>
      </c>
      <c r="X8" s="17" t="str">
        <f t="shared" si="7"/>
        <v>Q4-2024</v>
      </c>
      <c r="Y8" t="str">
        <f t="shared" si="8"/>
        <v>Asia → India → Bengaluru</v>
      </c>
      <c r="Z8" t="str">
        <f t="shared" si="17"/>
        <v>Low</v>
      </c>
      <c r="AA8">
        <f t="shared" si="9"/>
        <v>2024</v>
      </c>
      <c r="AB8">
        <f t="shared" si="10"/>
        <v>12</v>
      </c>
      <c r="AC8" t="str">
        <f t="shared" si="11"/>
        <v>No</v>
      </c>
      <c r="AD8" t="str">
        <f t="shared" si="12"/>
        <v>No</v>
      </c>
      <c r="AE8" s="36">
        <f>IF(Dashboard!$P$47&gt;'Staging Data'!R8,'Staging Data'!R8,Dashboard!$P$47)</f>
        <v>0.1</v>
      </c>
      <c r="AF8">
        <f>(100%+Dashboard!$P$48)*'Staging Data'!P8</f>
        <v>615.37350000000004</v>
      </c>
      <c r="AG8">
        <f>(100%+Dashboard!$P$49)*S8</f>
        <v>4.16</v>
      </c>
      <c r="AH8" s="13">
        <f t="shared" si="13"/>
        <v>3167.3116800000003</v>
      </c>
      <c r="AI8" s="13">
        <f t="shared" si="14"/>
        <v>2559.9537600000003</v>
      </c>
      <c r="AJ8" s="13">
        <f t="shared" si="15"/>
        <v>607.35791999999992</v>
      </c>
    </row>
    <row r="9" spans="1:36" x14ac:dyDescent="0.45">
      <c r="A9" s="3" t="s">
        <v>22</v>
      </c>
      <c r="B9" s="5">
        <v>44941</v>
      </c>
      <c r="C9" s="5">
        <v>44939</v>
      </c>
      <c r="D9" s="5">
        <f t="shared" si="1"/>
        <v>44939</v>
      </c>
      <c r="E9" s="5">
        <f t="shared" si="2"/>
        <v>44941</v>
      </c>
      <c r="F9" s="7">
        <f t="shared" si="0"/>
        <v>2</v>
      </c>
      <c r="G9" s="23" t="str">
        <f t="shared" si="16"/>
        <v>1-2023</v>
      </c>
      <c r="H9" s="3" t="s">
        <v>646</v>
      </c>
      <c r="I9" s="3" t="s">
        <v>651</v>
      </c>
      <c r="J9" s="3" t="s">
        <v>669</v>
      </c>
      <c r="K9" s="3" t="s">
        <v>702</v>
      </c>
      <c r="L9" s="3" t="s">
        <v>708</v>
      </c>
      <c r="M9" s="3" t="s">
        <v>719</v>
      </c>
      <c r="N9" s="3" t="s">
        <v>728</v>
      </c>
      <c r="O9" s="3" t="s">
        <v>741</v>
      </c>
      <c r="P9" s="19">
        <v>28.38</v>
      </c>
      <c r="Q9" s="19">
        <v>47.22</v>
      </c>
      <c r="R9" s="15">
        <v>0.19400000000000001</v>
      </c>
      <c r="S9" s="7">
        <v>18</v>
      </c>
      <c r="T9" s="13">
        <f t="shared" si="3"/>
        <v>685.06776000000002</v>
      </c>
      <c r="U9" s="13">
        <f t="shared" si="4"/>
        <v>510.84</v>
      </c>
      <c r="V9" s="13">
        <f t="shared" si="5"/>
        <v>174.22776000000005</v>
      </c>
      <c r="W9" s="15">
        <f t="shared" si="6"/>
        <v>0.25432193743871417</v>
      </c>
      <c r="X9" s="17" t="str">
        <f t="shared" si="7"/>
        <v>Q1-2023</v>
      </c>
      <c r="Y9" t="str">
        <f t="shared" si="8"/>
        <v>Africa → Nigeria → Abuja</v>
      </c>
      <c r="Z9" t="str">
        <f t="shared" si="17"/>
        <v>Low</v>
      </c>
      <c r="AA9">
        <f t="shared" si="9"/>
        <v>2023</v>
      </c>
      <c r="AB9">
        <f t="shared" si="10"/>
        <v>1</v>
      </c>
      <c r="AC9" t="str">
        <f t="shared" si="11"/>
        <v>Yes</v>
      </c>
      <c r="AD9" t="str">
        <f t="shared" si="12"/>
        <v>No</v>
      </c>
      <c r="AE9" s="36">
        <f>IF(Dashboard!$P$47&gt;'Staging Data'!R9,'Staging Data'!R9,Dashboard!$P$47)</f>
        <v>0.1</v>
      </c>
      <c r="AF9">
        <f>(100%+Dashboard!$P$48)*'Staging Data'!P9</f>
        <v>29.798999999999999</v>
      </c>
      <c r="AG9">
        <f>(100%+Dashboard!$P$49)*S9</f>
        <v>18.72</v>
      </c>
      <c r="AH9" s="13">
        <f t="shared" si="13"/>
        <v>795.56255999999985</v>
      </c>
      <c r="AI9" s="13">
        <f t="shared" si="14"/>
        <v>557.83727999999996</v>
      </c>
      <c r="AJ9" s="13">
        <f t="shared" si="15"/>
        <v>237.72527999999988</v>
      </c>
    </row>
    <row r="10" spans="1:36" x14ac:dyDescent="0.45">
      <c r="A10" s="3" t="s">
        <v>23</v>
      </c>
      <c r="B10" s="5">
        <v>45416</v>
      </c>
      <c r="C10" s="5">
        <v>45441</v>
      </c>
      <c r="D10" s="5">
        <f t="shared" si="1"/>
        <v>45416</v>
      </c>
      <c r="E10" s="5">
        <f t="shared" si="2"/>
        <v>45441</v>
      </c>
      <c r="F10" s="7">
        <f t="shared" si="0"/>
        <v>25</v>
      </c>
      <c r="G10" s="23" t="str">
        <f t="shared" si="16"/>
        <v>5-2024</v>
      </c>
      <c r="H10" s="3" t="s">
        <v>646</v>
      </c>
      <c r="I10" s="3" t="s">
        <v>651</v>
      </c>
      <c r="J10" s="3" t="s">
        <v>669</v>
      </c>
      <c r="K10" s="3" t="s">
        <v>703</v>
      </c>
      <c r="L10" s="3" t="s">
        <v>709</v>
      </c>
      <c r="M10" s="3" t="s">
        <v>719</v>
      </c>
      <c r="N10" s="3" t="s">
        <v>732</v>
      </c>
      <c r="O10" s="3" t="s">
        <v>742</v>
      </c>
      <c r="P10" s="19">
        <v>1295.3399999999999</v>
      </c>
      <c r="Q10" s="19">
        <v>2530.81</v>
      </c>
      <c r="R10" s="15">
        <v>3.1E-2</v>
      </c>
      <c r="S10" s="7">
        <v>6</v>
      </c>
      <c r="T10" s="13">
        <f t="shared" si="3"/>
        <v>14714.12934</v>
      </c>
      <c r="U10" s="13">
        <f t="shared" si="4"/>
        <v>7772.0399999999991</v>
      </c>
      <c r="V10" s="13">
        <f t="shared" si="5"/>
        <v>6942.0893400000004</v>
      </c>
      <c r="W10" s="15">
        <f t="shared" si="6"/>
        <v>0.4717974933880798</v>
      </c>
      <c r="X10" s="17" t="str">
        <f t="shared" si="7"/>
        <v>Q2-2024</v>
      </c>
      <c r="Y10" t="str">
        <f t="shared" si="8"/>
        <v>Africa → Nigeria → Abuja</v>
      </c>
      <c r="Z10" t="str">
        <f t="shared" si="17"/>
        <v>High</v>
      </c>
      <c r="AA10">
        <f t="shared" si="9"/>
        <v>2024</v>
      </c>
      <c r="AB10">
        <f t="shared" si="10"/>
        <v>5</v>
      </c>
      <c r="AC10" t="str">
        <f t="shared" si="11"/>
        <v>No</v>
      </c>
      <c r="AD10" t="str">
        <f t="shared" si="12"/>
        <v>No</v>
      </c>
      <c r="AE10" s="36">
        <f>IF(Dashboard!$P$47&gt;'Staging Data'!R10,'Staging Data'!R10,Dashboard!$P$47)</f>
        <v>3.1E-2</v>
      </c>
      <c r="AF10">
        <f>(100%+Dashboard!$P$48)*'Staging Data'!P10</f>
        <v>1360.107</v>
      </c>
      <c r="AG10">
        <f>(100%+Dashboard!$P$49)*S10</f>
        <v>6.24</v>
      </c>
      <c r="AH10" s="13">
        <f t="shared" si="13"/>
        <v>15302.694513599999</v>
      </c>
      <c r="AI10" s="13">
        <f t="shared" si="14"/>
        <v>8487.0676800000001</v>
      </c>
      <c r="AJ10" s="13">
        <f t="shared" si="15"/>
        <v>6815.6268335999994</v>
      </c>
    </row>
    <row r="11" spans="1:36" x14ac:dyDescent="0.45">
      <c r="A11" s="3" t="s">
        <v>596</v>
      </c>
      <c r="B11" s="5">
        <v>44955</v>
      </c>
      <c r="C11" s="5">
        <v>44963</v>
      </c>
      <c r="D11" s="27">
        <f t="shared" ref="D11:D74" si="18">IF(C11&gt;B11,B11,C11)</f>
        <v>44955</v>
      </c>
      <c r="E11" s="5">
        <f t="shared" ref="E11:E74" si="19">IF(C11&gt;B11,C11,B11)</f>
        <v>44963</v>
      </c>
      <c r="F11" s="7">
        <f t="shared" ref="F11:F74" si="20">DATEDIF(D11,E11,"D")</f>
        <v>8</v>
      </c>
      <c r="G11" s="23" t="str">
        <f t="shared" ref="G11:G74" si="21">CONCATENATE(MONTH(D11), "-",YEAR(D11))</f>
        <v>1-2023</v>
      </c>
      <c r="H11" s="3" t="s">
        <v>648</v>
      </c>
      <c r="I11" s="3" t="s">
        <v>655</v>
      </c>
      <c r="J11" s="3" t="s">
        <v>672</v>
      </c>
      <c r="K11" s="3" t="s">
        <v>701</v>
      </c>
      <c r="L11" s="3" t="s">
        <v>709</v>
      </c>
      <c r="M11" s="3" t="s">
        <v>726</v>
      </c>
      <c r="N11" s="3" t="s">
        <v>732</v>
      </c>
      <c r="O11" s="3" t="s">
        <v>1314</v>
      </c>
      <c r="P11" s="19">
        <v>41.84</v>
      </c>
      <c r="Q11" s="19">
        <v>86.2</v>
      </c>
      <c r="R11" s="15">
        <v>0.22600000000000001</v>
      </c>
      <c r="S11" s="7">
        <v>27</v>
      </c>
      <c r="T11" s="13">
        <f t="shared" si="3"/>
        <v>1801.4076000000002</v>
      </c>
      <c r="U11" s="13">
        <f t="shared" si="4"/>
        <v>1129.68</v>
      </c>
      <c r="V11" s="13">
        <f t="shared" ref="V11:V74" si="22">T11-U11</f>
        <v>671.72760000000017</v>
      </c>
      <c r="W11" s="15">
        <f t="shared" ref="W11:W74" si="23">IF(T11=0, 0,V11/T11)</f>
        <v>0.37289039970742882</v>
      </c>
      <c r="X11" s="17" t="str">
        <f t="shared" ref="X11:X74" si="24">CONCATENATE(IF(MONTH(D11)&lt;=3,"Q1", IF(MONTH(D11)&lt;=6, "Q2", IF(MONTH(D11)&lt;= 9, "Q3", "Q4"))), "-", YEAR(D11))</f>
        <v>Q1-2023</v>
      </c>
      <c r="Y11" t="str">
        <f t="shared" ref="Y11:Y74" si="25">CONCATENATE(H11," → ",I11," → ",J11)</f>
        <v>Americas → Brazil → Brasília</v>
      </c>
      <c r="Z11" t="str">
        <f t="shared" ref="Z11:Z74" si="26">IF(Q11&lt;=1193.97, "Low",IF(Q11&lt;1912.05,"Medium", "High"))</f>
        <v>Low</v>
      </c>
      <c r="AA11">
        <f t="shared" si="9"/>
        <v>2023</v>
      </c>
      <c r="AB11">
        <f t="shared" si="10"/>
        <v>1</v>
      </c>
      <c r="AC11" t="str">
        <f t="shared" si="11"/>
        <v>No</v>
      </c>
      <c r="AD11" t="str">
        <f t="shared" si="12"/>
        <v>Yes</v>
      </c>
      <c r="AE11" s="36">
        <f>IF(Dashboard!$P$47&gt;'Staging Data'!R11,'Staging Data'!R11,Dashboard!$P$47)</f>
        <v>0.1</v>
      </c>
      <c r="AF11">
        <f>(100%+Dashboard!$P$48)*'Staging Data'!P11</f>
        <v>43.932000000000002</v>
      </c>
      <c r="AG11">
        <f>(100%+Dashboard!$P$49)*S11</f>
        <v>28.080000000000002</v>
      </c>
      <c r="AH11" s="13">
        <f t="shared" si="13"/>
        <v>2178.4464000000003</v>
      </c>
      <c r="AI11" s="13">
        <f t="shared" si="14"/>
        <v>1233.6105600000001</v>
      </c>
      <c r="AJ11" s="13">
        <f t="shared" si="15"/>
        <v>944.83584000000019</v>
      </c>
    </row>
    <row r="12" spans="1:36" x14ac:dyDescent="0.45">
      <c r="A12" s="3" t="s">
        <v>360</v>
      </c>
      <c r="B12" s="5">
        <v>45498</v>
      </c>
      <c r="C12" s="5">
        <v>45506</v>
      </c>
      <c r="D12" s="5">
        <f t="shared" si="18"/>
        <v>45498</v>
      </c>
      <c r="E12" s="5">
        <f t="shared" si="19"/>
        <v>45506</v>
      </c>
      <c r="F12" s="7">
        <f t="shared" si="20"/>
        <v>8</v>
      </c>
      <c r="G12" s="23" t="str">
        <f t="shared" si="21"/>
        <v>7-2024</v>
      </c>
      <c r="H12" s="3" t="s">
        <v>648</v>
      </c>
      <c r="I12" s="3" t="s">
        <v>653</v>
      </c>
      <c r="J12" s="3" t="s">
        <v>681</v>
      </c>
      <c r="K12" s="3" t="s">
        <v>704</v>
      </c>
      <c r="L12" s="3" t="s">
        <v>711</v>
      </c>
      <c r="M12" s="3" t="s">
        <v>713</v>
      </c>
      <c r="N12" s="3" t="s">
        <v>733</v>
      </c>
      <c r="O12" s="3" t="s">
        <v>1080</v>
      </c>
      <c r="P12" s="19">
        <v>986.81</v>
      </c>
      <c r="Q12" s="19">
        <v>2050.31</v>
      </c>
      <c r="R12" s="15">
        <v>0.10299999999999999</v>
      </c>
      <c r="S12" s="7">
        <v>43</v>
      </c>
      <c r="T12" s="13">
        <f t="shared" si="3"/>
        <v>79082.507010000001</v>
      </c>
      <c r="U12" s="13">
        <f t="shared" si="4"/>
        <v>42432.829999999994</v>
      </c>
      <c r="V12" s="13">
        <f t="shared" si="22"/>
        <v>36649.677010000007</v>
      </c>
      <c r="W12" s="15">
        <f t="shared" si="23"/>
        <v>0.46343595310358138</v>
      </c>
      <c r="X12" s="17" t="str">
        <f t="shared" si="24"/>
        <v>Q3-2024</v>
      </c>
      <c r="Y12" t="str">
        <f t="shared" si="25"/>
        <v>Americas → Canada → Montreal</v>
      </c>
      <c r="Z12" t="str">
        <f t="shared" si="26"/>
        <v>High</v>
      </c>
      <c r="AA12">
        <f t="shared" si="9"/>
        <v>2024</v>
      </c>
      <c r="AB12">
        <f t="shared" si="10"/>
        <v>7</v>
      </c>
      <c r="AC12" t="str">
        <f t="shared" si="11"/>
        <v>No</v>
      </c>
      <c r="AD12" t="str">
        <f t="shared" si="12"/>
        <v>No</v>
      </c>
      <c r="AE12" s="36">
        <f>IF(Dashboard!$P$47&gt;'Staging Data'!R12,'Staging Data'!R12,Dashboard!$P$47)</f>
        <v>0.1</v>
      </c>
      <c r="AF12">
        <f>(100%+Dashboard!$P$48)*'Staging Data'!P12</f>
        <v>1036.1505</v>
      </c>
      <c r="AG12">
        <f>(100%+Dashboard!$P$49)*S12</f>
        <v>44.72</v>
      </c>
      <c r="AH12" s="13">
        <f t="shared" si="13"/>
        <v>82520.876879999996</v>
      </c>
      <c r="AI12" s="13">
        <f t="shared" si="14"/>
        <v>46336.65036</v>
      </c>
      <c r="AJ12" s="13">
        <f t="shared" si="15"/>
        <v>36184.226519999997</v>
      </c>
    </row>
    <row r="13" spans="1:36" x14ac:dyDescent="0.45">
      <c r="A13" s="3" t="s">
        <v>26</v>
      </c>
      <c r="B13" s="5">
        <v>45660</v>
      </c>
      <c r="C13" s="5">
        <v>45680</v>
      </c>
      <c r="D13" s="5">
        <f t="shared" si="18"/>
        <v>45660</v>
      </c>
      <c r="E13" s="5">
        <f t="shared" si="19"/>
        <v>45680</v>
      </c>
      <c r="F13" s="7">
        <f t="shared" si="20"/>
        <v>20</v>
      </c>
      <c r="G13" s="23" t="str">
        <f t="shared" si="21"/>
        <v>1-2025</v>
      </c>
      <c r="H13" s="3" t="s">
        <v>647</v>
      </c>
      <c r="I13" s="3" t="s">
        <v>652</v>
      </c>
      <c r="J13" s="3" t="s">
        <v>666</v>
      </c>
      <c r="K13" s="3" t="s">
        <v>701</v>
      </c>
      <c r="L13" s="3" t="s">
        <v>710</v>
      </c>
      <c r="M13" s="3" t="s">
        <v>721</v>
      </c>
      <c r="N13" s="3" t="s">
        <v>730</v>
      </c>
      <c r="O13" s="3" t="s">
        <v>745</v>
      </c>
      <c r="P13" s="19">
        <v>908.6</v>
      </c>
      <c r="Q13" s="19">
        <v>691.37</v>
      </c>
      <c r="R13" s="15">
        <v>0.25</v>
      </c>
      <c r="S13" s="7">
        <v>20</v>
      </c>
      <c r="T13" s="13">
        <f t="shared" si="3"/>
        <v>10370.549999999999</v>
      </c>
      <c r="U13" s="13">
        <f t="shared" si="4"/>
        <v>18172</v>
      </c>
      <c r="V13" s="13">
        <f t="shared" si="22"/>
        <v>-7801.4500000000007</v>
      </c>
      <c r="W13" s="15">
        <f t="shared" si="23"/>
        <v>-0.75226964818645115</v>
      </c>
      <c r="X13" s="17" t="str">
        <f t="shared" si="24"/>
        <v>Q1-2025</v>
      </c>
      <c r="Y13" t="str">
        <f t="shared" si="25"/>
        <v>Asia → Japan → Osaka</v>
      </c>
      <c r="Z13" t="str">
        <f t="shared" si="26"/>
        <v>Low</v>
      </c>
      <c r="AA13">
        <f t="shared" si="9"/>
        <v>2025</v>
      </c>
      <c r="AB13">
        <f t="shared" si="10"/>
        <v>1</v>
      </c>
      <c r="AC13" t="str">
        <f t="shared" si="11"/>
        <v>No</v>
      </c>
      <c r="AD13" t="str">
        <f t="shared" si="12"/>
        <v>Yes</v>
      </c>
      <c r="AE13" s="36">
        <f>IF(Dashboard!$P$47&gt;'Staging Data'!R13,'Staging Data'!R13,Dashboard!$P$47)</f>
        <v>0.1</v>
      </c>
      <c r="AF13">
        <f>(100%+Dashboard!$P$48)*'Staging Data'!P13</f>
        <v>954.03000000000009</v>
      </c>
      <c r="AG13">
        <f>(100%+Dashboard!$P$49)*S13</f>
        <v>20.8</v>
      </c>
      <c r="AH13" s="13">
        <f t="shared" si="13"/>
        <v>12942.446400000001</v>
      </c>
      <c r="AI13" s="13">
        <f t="shared" si="14"/>
        <v>19843.824000000004</v>
      </c>
      <c r="AJ13" s="13">
        <f t="shared" si="15"/>
        <v>-6901.3776000000034</v>
      </c>
    </row>
    <row r="14" spans="1:36" x14ac:dyDescent="0.45">
      <c r="A14" s="3" t="s">
        <v>39</v>
      </c>
      <c r="B14" s="5">
        <v>44964</v>
      </c>
      <c r="C14" s="5">
        <v>44969</v>
      </c>
      <c r="D14" s="5">
        <f t="shared" si="18"/>
        <v>44964</v>
      </c>
      <c r="E14" s="5">
        <f t="shared" si="19"/>
        <v>44969</v>
      </c>
      <c r="F14" s="7">
        <f t="shared" si="20"/>
        <v>5</v>
      </c>
      <c r="G14" s="23" t="str">
        <f t="shared" si="21"/>
        <v>2-2023</v>
      </c>
      <c r="H14" s="3" t="s">
        <v>648</v>
      </c>
      <c r="I14" s="3" t="s">
        <v>655</v>
      </c>
      <c r="J14" s="3" t="s">
        <v>670</v>
      </c>
      <c r="K14" s="3" t="s">
        <v>702</v>
      </c>
      <c r="L14" s="3" t="s">
        <v>708</v>
      </c>
      <c r="M14" s="3" t="s">
        <v>725</v>
      </c>
      <c r="N14" s="3" t="s">
        <v>727</v>
      </c>
      <c r="O14" s="3" t="s">
        <v>758</v>
      </c>
      <c r="P14" s="19">
        <v>948.55</v>
      </c>
      <c r="Q14" s="19">
        <v>2089.16</v>
      </c>
      <c r="R14" s="15">
        <v>7.0000000000000001E-3</v>
      </c>
      <c r="S14" s="7">
        <v>12</v>
      </c>
      <c r="T14" s="13">
        <f t="shared" si="3"/>
        <v>24894.430559999997</v>
      </c>
      <c r="U14" s="13">
        <f t="shared" si="4"/>
        <v>11382.599999999999</v>
      </c>
      <c r="V14" s="13">
        <f t="shared" si="22"/>
        <v>13511.830559999999</v>
      </c>
      <c r="W14" s="15">
        <f t="shared" si="23"/>
        <v>0.54276519912492427</v>
      </c>
      <c r="X14" s="17" t="str">
        <f t="shared" si="24"/>
        <v>Q1-2023</v>
      </c>
      <c r="Y14" t="str">
        <f t="shared" si="25"/>
        <v>Americas → Brazil → São Paulo</v>
      </c>
      <c r="Z14" t="str">
        <f t="shared" si="26"/>
        <v>High</v>
      </c>
      <c r="AA14">
        <f t="shared" si="9"/>
        <v>2023</v>
      </c>
      <c r="AB14">
        <f t="shared" si="10"/>
        <v>2</v>
      </c>
      <c r="AC14" t="str">
        <f t="shared" si="11"/>
        <v>Yes</v>
      </c>
      <c r="AD14" t="str">
        <f t="shared" si="12"/>
        <v>No</v>
      </c>
      <c r="AE14" s="36">
        <f>IF(Dashboard!$P$47&gt;'Staging Data'!R14,'Staging Data'!R14,Dashboard!$P$47)</f>
        <v>7.0000000000000001E-3</v>
      </c>
      <c r="AF14">
        <f>(100%+Dashboard!$P$48)*'Staging Data'!P14</f>
        <v>995.97749999999996</v>
      </c>
      <c r="AG14">
        <f>(100%+Dashboard!$P$49)*S14</f>
        <v>12.48</v>
      </c>
      <c r="AH14" s="13">
        <f t="shared" si="13"/>
        <v>25890.207782399997</v>
      </c>
      <c r="AI14" s="13">
        <f t="shared" si="14"/>
        <v>12429.799199999999</v>
      </c>
      <c r="AJ14" s="13">
        <f t="shared" si="15"/>
        <v>13460.408582399998</v>
      </c>
    </row>
    <row r="15" spans="1:36" x14ac:dyDescent="0.45">
      <c r="A15" s="3" t="s">
        <v>28</v>
      </c>
      <c r="B15" s="5">
        <v>45311</v>
      </c>
      <c r="C15" s="5">
        <v>45335</v>
      </c>
      <c r="D15" s="5">
        <f t="shared" si="18"/>
        <v>45311</v>
      </c>
      <c r="E15" s="5">
        <f t="shared" si="19"/>
        <v>45335</v>
      </c>
      <c r="F15" s="7">
        <f t="shared" si="20"/>
        <v>24</v>
      </c>
      <c r="G15" s="23" t="str">
        <f t="shared" si="21"/>
        <v>1-2024</v>
      </c>
      <c r="H15" s="3" t="s">
        <v>649</v>
      </c>
      <c r="I15" s="3" t="s">
        <v>657</v>
      </c>
      <c r="J15" s="3" t="s">
        <v>673</v>
      </c>
      <c r="K15" s="3" t="s">
        <v>701</v>
      </c>
      <c r="L15" s="3" t="s">
        <v>707</v>
      </c>
      <c r="M15" s="3" t="s">
        <v>722</v>
      </c>
      <c r="N15" s="3" t="s">
        <v>728</v>
      </c>
      <c r="O15" s="3" t="s">
        <v>747</v>
      </c>
      <c r="P15" s="19">
        <v>643.53</v>
      </c>
      <c r="Q15" s="19">
        <v>1439.01</v>
      </c>
      <c r="R15" s="15">
        <v>0</v>
      </c>
      <c r="S15" s="7">
        <v>15</v>
      </c>
      <c r="T15" s="13">
        <f t="shared" si="3"/>
        <v>21585.15</v>
      </c>
      <c r="U15" s="13">
        <f t="shared" si="4"/>
        <v>9652.9499999999989</v>
      </c>
      <c r="V15" s="13">
        <f t="shared" si="22"/>
        <v>11932.200000000003</v>
      </c>
      <c r="W15" s="15">
        <f t="shared" si="23"/>
        <v>0.55279671440782208</v>
      </c>
      <c r="X15" s="17" t="str">
        <f t="shared" si="24"/>
        <v>Q1-2024</v>
      </c>
      <c r="Y15" t="str">
        <f t="shared" si="25"/>
        <v>Europe → France → Marseille</v>
      </c>
      <c r="Z15" t="str">
        <f t="shared" si="26"/>
        <v>Medium</v>
      </c>
      <c r="AA15">
        <f t="shared" si="9"/>
        <v>2024</v>
      </c>
      <c r="AB15">
        <f t="shared" si="10"/>
        <v>1</v>
      </c>
      <c r="AC15" t="str">
        <f t="shared" si="11"/>
        <v>No</v>
      </c>
      <c r="AD15" t="str">
        <f t="shared" si="12"/>
        <v>No</v>
      </c>
      <c r="AE15" s="36">
        <f>IF(Dashboard!$P$47&gt;'Staging Data'!R15,'Staging Data'!R15,Dashboard!$P$47)</f>
        <v>0</v>
      </c>
      <c r="AF15">
        <f>(100%+Dashboard!$P$48)*'Staging Data'!P15</f>
        <v>675.70650000000001</v>
      </c>
      <c r="AG15">
        <f>(100%+Dashboard!$P$49)*S15</f>
        <v>15.600000000000001</v>
      </c>
      <c r="AH15" s="13">
        <f t="shared" si="13"/>
        <v>22448.556</v>
      </c>
      <c r="AI15" s="13">
        <f t="shared" si="14"/>
        <v>10541.021400000001</v>
      </c>
      <c r="AJ15" s="13">
        <f t="shared" si="15"/>
        <v>11907.534599999999</v>
      </c>
    </row>
    <row r="16" spans="1:36" x14ac:dyDescent="0.45">
      <c r="A16" s="3" t="s">
        <v>130</v>
      </c>
      <c r="B16" s="5">
        <v>44987</v>
      </c>
      <c r="C16" s="5">
        <v>44990</v>
      </c>
      <c r="D16" s="5">
        <f t="shared" si="18"/>
        <v>44987</v>
      </c>
      <c r="E16" s="5">
        <f t="shared" si="19"/>
        <v>44990</v>
      </c>
      <c r="F16" s="7">
        <f t="shared" si="20"/>
        <v>3</v>
      </c>
      <c r="G16" s="23" t="str">
        <f t="shared" si="21"/>
        <v>3-2023</v>
      </c>
      <c r="H16" s="3" t="s">
        <v>648</v>
      </c>
      <c r="I16" s="3" t="s">
        <v>655</v>
      </c>
      <c r="J16" s="3" t="s">
        <v>672</v>
      </c>
      <c r="K16" s="3" t="s">
        <v>706</v>
      </c>
      <c r="L16" s="3" t="s">
        <v>711</v>
      </c>
      <c r="M16" s="3" t="s">
        <v>715</v>
      </c>
      <c r="N16" s="3" t="s">
        <v>732</v>
      </c>
      <c r="O16" s="3" t="s">
        <v>849</v>
      </c>
      <c r="P16" s="19">
        <v>1473.58</v>
      </c>
      <c r="Q16" s="19">
        <v>3436.52</v>
      </c>
      <c r="R16" s="15">
        <v>0.108</v>
      </c>
      <c r="S16" s="7">
        <v>8</v>
      </c>
      <c r="T16" s="13">
        <f t="shared" si="3"/>
        <v>24523.006720000001</v>
      </c>
      <c r="U16" s="13">
        <f t="shared" si="4"/>
        <v>11788.64</v>
      </c>
      <c r="V16" s="13">
        <f t="shared" si="22"/>
        <v>12734.366720000002</v>
      </c>
      <c r="W16" s="15">
        <f t="shared" si="23"/>
        <v>0.51928243813652564</v>
      </c>
      <c r="X16" s="17" t="str">
        <f t="shared" si="24"/>
        <v>Q1-2023</v>
      </c>
      <c r="Y16" t="str">
        <f t="shared" si="25"/>
        <v>Americas → Brazil → Brasília</v>
      </c>
      <c r="Z16" t="str">
        <f t="shared" si="26"/>
        <v>High</v>
      </c>
      <c r="AA16">
        <f t="shared" si="9"/>
        <v>2023</v>
      </c>
      <c r="AB16">
        <f t="shared" si="10"/>
        <v>3</v>
      </c>
      <c r="AC16" t="str">
        <f t="shared" si="11"/>
        <v>Yes</v>
      </c>
      <c r="AD16" t="str">
        <f t="shared" si="12"/>
        <v>No</v>
      </c>
      <c r="AE16" s="36">
        <f>IF(Dashboard!$P$47&gt;'Staging Data'!R16,'Staging Data'!R16,Dashboard!$P$47)</f>
        <v>0.1</v>
      </c>
      <c r="AF16">
        <f>(100%+Dashboard!$P$48)*'Staging Data'!P16</f>
        <v>1547.259</v>
      </c>
      <c r="AG16">
        <f>(100%+Dashboard!$P$49)*S16</f>
        <v>8.32</v>
      </c>
      <c r="AH16" s="13">
        <f t="shared" si="13"/>
        <v>25732.661760000003</v>
      </c>
      <c r="AI16" s="13">
        <f t="shared" si="14"/>
        <v>12873.194880000001</v>
      </c>
      <c r="AJ16" s="13">
        <f t="shared" si="15"/>
        <v>12859.466880000002</v>
      </c>
    </row>
    <row r="17" spans="1:36" x14ac:dyDescent="0.45">
      <c r="A17" s="3" t="s">
        <v>30</v>
      </c>
      <c r="B17" s="5">
        <v>45039</v>
      </c>
      <c r="C17" s="5">
        <v>45038</v>
      </c>
      <c r="D17" s="5">
        <f t="shared" si="18"/>
        <v>45038</v>
      </c>
      <c r="E17" s="5">
        <f t="shared" si="19"/>
        <v>45039</v>
      </c>
      <c r="F17" s="7">
        <f t="shared" si="20"/>
        <v>1</v>
      </c>
      <c r="G17" s="23" t="str">
        <f t="shared" si="21"/>
        <v>4-2023</v>
      </c>
      <c r="H17" s="3" t="s">
        <v>646</v>
      </c>
      <c r="I17" s="3" t="s">
        <v>650</v>
      </c>
      <c r="J17" s="3" t="s">
        <v>664</v>
      </c>
      <c r="K17" s="3" t="s">
        <v>705</v>
      </c>
      <c r="L17" s="3" t="s">
        <v>711</v>
      </c>
      <c r="M17" s="3" t="s">
        <v>718</v>
      </c>
      <c r="N17" s="3" t="s">
        <v>731</v>
      </c>
      <c r="O17" s="3" t="s">
        <v>749</v>
      </c>
      <c r="P17" s="19">
        <v>756.51</v>
      </c>
      <c r="Q17" s="19">
        <v>850.8</v>
      </c>
      <c r="R17" s="15">
        <v>7.3999999999999996E-2</v>
      </c>
      <c r="S17" s="7">
        <v>9</v>
      </c>
      <c r="T17" s="13">
        <f t="shared" si="3"/>
        <v>7090.5672000000004</v>
      </c>
      <c r="U17" s="13">
        <f t="shared" si="4"/>
        <v>6808.59</v>
      </c>
      <c r="V17" s="13">
        <f t="shared" si="22"/>
        <v>281.97720000000027</v>
      </c>
      <c r="W17" s="15">
        <f t="shared" si="23"/>
        <v>3.9767932810791252E-2</v>
      </c>
      <c r="X17" s="17" t="str">
        <f t="shared" si="24"/>
        <v>Q2-2023</v>
      </c>
      <c r="Y17" t="str">
        <f t="shared" si="25"/>
        <v>Africa → Kenya → Nairobi</v>
      </c>
      <c r="Z17" t="str">
        <f t="shared" si="26"/>
        <v>Low</v>
      </c>
      <c r="AA17">
        <f t="shared" si="9"/>
        <v>2023</v>
      </c>
      <c r="AB17">
        <f t="shared" si="10"/>
        <v>4</v>
      </c>
      <c r="AC17" t="str">
        <f t="shared" si="11"/>
        <v>Yes</v>
      </c>
      <c r="AD17" t="str">
        <f t="shared" si="12"/>
        <v>No</v>
      </c>
      <c r="AE17" s="36">
        <f>IF(Dashboard!$P$47&gt;'Staging Data'!R17,'Staging Data'!R17,Dashboard!$P$47)</f>
        <v>7.3999999999999996E-2</v>
      </c>
      <c r="AF17">
        <f>(100%+Dashboard!$P$48)*'Staging Data'!P17</f>
        <v>794.33550000000002</v>
      </c>
      <c r="AG17">
        <f>(100%+Dashboard!$P$49)*S17</f>
        <v>9.36</v>
      </c>
      <c r="AH17" s="13">
        <f t="shared" si="13"/>
        <v>7374.1898879999999</v>
      </c>
      <c r="AI17" s="13">
        <f t="shared" si="14"/>
        <v>7434.9802799999998</v>
      </c>
      <c r="AJ17" s="13">
        <f t="shared" si="15"/>
        <v>-60.790391999999883</v>
      </c>
    </row>
    <row r="18" spans="1:36" x14ac:dyDescent="0.45">
      <c r="A18" s="3" t="s">
        <v>31</v>
      </c>
      <c r="B18" s="5">
        <v>45636</v>
      </c>
      <c r="C18" s="5">
        <v>45665</v>
      </c>
      <c r="D18" s="5">
        <f t="shared" si="18"/>
        <v>45636</v>
      </c>
      <c r="E18" s="5">
        <f t="shared" si="19"/>
        <v>45665</v>
      </c>
      <c r="F18" s="7">
        <f t="shared" si="20"/>
        <v>29</v>
      </c>
      <c r="G18" s="23" t="str">
        <f t="shared" si="21"/>
        <v>12-2024</v>
      </c>
      <c r="H18" s="3" t="s">
        <v>649</v>
      </c>
      <c r="I18" s="3" t="s">
        <v>657</v>
      </c>
      <c r="J18" s="3" t="s">
        <v>673</v>
      </c>
      <c r="K18" s="3" t="s">
        <v>705</v>
      </c>
      <c r="L18" s="3" t="s">
        <v>707</v>
      </c>
      <c r="M18" s="3" t="s">
        <v>723</v>
      </c>
      <c r="N18" s="3" t="s">
        <v>728</v>
      </c>
      <c r="O18" s="3" t="s">
        <v>750</v>
      </c>
      <c r="P18" s="19">
        <v>891.08</v>
      </c>
      <c r="Q18" s="19">
        <v>1040.0999999999999</v>
      </c>
      <c r="R18" s="15">
        <v>0.109</v>
      </c>
      <c r="S18" s="7">
        <v>28</v>
      </c>
      <c r="T18" s="13">
        <f t="shared" si="3"/>
        <v>25948.414799999995</v>
      </c>
      <c r="U18" s="13">
        <f t="shared" si="4"/>
        <v>24950.240000000002</v>
      </c>
      <c r="V18" s="13">
        <f t="shared" si="22"/>
        <v>998.17479999999341</v>
      </c>
      <c r="W18" s="15">
        <f t="shared" si="23"/>
        <v>3.8467660074556598E-2</v>
      </c>
      <c r="X18" s="17" t="str">
        <f t="shared" si="24"/>
        <v>Q4-2024</v>
      </c>
      <c r="Y18" t="str">
        <f t="shared" si="25"/>
        <v>Europe → France → Marseille</v>
      </c>
      <c r="Z18" t="str">
        <f t="shared" si="26"/>
        <v>Low</v>
      </c>
      <c r="AA18">
        <f t="shared" si="9"/>
        <v>2024</v>
      </c>
      <c r="AB18">
        <f t="shared" si="10"/>
        <v>12</v>
      </c>
      <c r="AC18" t="str">
        <f t="shared" si="11"/>
        <v>No</v>
      </c>
      <c r="AD18" t="str">
        <f t="shared" si="12"/>
        <v>No</v>
      </c>
      <c r="AE18" s="36">
        <f>IF(Dashboard!$P$47&gt;'Staging Data'!R18,'Staging Data'!R18,Dashboard!$P$47)</f>
        <v>0.1</v>
      </c>
      <c r="AF18">
        <f>(100%+Dashboard!$P$48)*'Staging Data'!P18</f>
        <v>935.63400000000013</v>
      </c>
      <c r="AG18">
        <f>(100%+Dashboard!$P$49)*S18</f>
        <v>29.12</v>
      </c>
      <c r="AH18" s="13">
        <f t="shared" si="13"/>
        <v>27258.9408</v>
      </c>
      <c r="AI18" s="13">
        <f t="shared" si="14"/>
        <v>27245.662080000006</v>
      </c>
      <c r="AJ18" s="13">
        <f t="shared" si="15"/>
        <v>13.278719999994792</v>
      </c>
    </row>
    <row r="19" spans="1:36" x14ac:dyDescent="0.45">
      <c r="A19" s="3" t="s">
        <v>32</v>
      </c>
      <c r="B19" s="5">
        <v>45908</v>
      </c>
      <c r="C19" s="5">
        <v>45916</v>
      </c>
      <c r="D19" s="5">
        <f t="shared" si="18"/>
        <v>45908</v>
      </c>
      <c r="E19" s="5">
        <f t="shared" si="19"/>
        <v>45916</v>
      </c>
      <c r="F19" s="7">
        <f t="shared" si="20"/>
        <v>8</v>
      </c>
      <c r="G19" s="23" t="str">
        <f t="shared" si="21"/>
        <v>9-2025</v>
      </c>
      <c r="H19" s="3" t="s">
        <v>647</v>
      </c>
      <c r="I19" s="3" t="s">
        <v>652</v>
      </c>
      <c r="J19" s="3" t="s">
        <v>666</v>
      </c>
      <c r="K19" s="3" t="s">
        <v>701</v>
      </c>
      <c r="L19" s="3" t="s">
        <v>710</v>
      </c>
      <c r="M19" s="3" t="s">
        <v>712</v>
      </c>
      <c r="N19" s="3" t="s">
        <v>730</v>
      </c>
      <c r="O19" s="3" t="s">
        <v>751</v>
      </c>
      <c r="P19" s="19">
        <v>1225.57</v>
      </c>
      <c r="Q19" s="19">
        <v>2705.57</v>
      </c>
      <c r="R19" s="15">
        <v>0.183</v>
      </c>
      <c r="S19" s="7">
        <v>16</v>
      </c>
      <c r="T19" s="13">
        <f t="shared" si="3"/>
        <v>35367.211040000002</v>
      </c>
      <c r="U19" s="13">
        <f t="shared" si="4"/>
        <v>19609.12</v>
      </c>
      <c r="V19" s="13">
        <f t="shared" si="22"/>
        <v>15758.091040000003</v>
      </c>
      <c r="W19" s="15">
        <f t="shared" si="23"/>
        <v>0.44555650775453404</v>
      </c>
      <c r="X19" s="17" t="str">
        <f t="shared" si="24"/>
        <v>Q3-2025</v>
      </c>
      <c r="Y19" t="str">
        <f t="shared" si="25"/>
        <v>Asia → Japan → Osaka</v>
      </c>
      <c r="Z19" t="str">
        <f t="shared" si="26"/>
        <v>High</v>
      </c>
      <c r="AA19">
        <f t="shared" si="9"/>
        <v>2025</v>
      </c>
      <c r="AB19">
        <f t="shared" si="10"/>
        <v>9</v>
      </c>
      <c r="AC19" t="str">
        <f t="shared" si="11"/>
        <v>No</v>
      </c>
      <c r="AD19" t="str">
        <f t="shared" si="12"/>
        <v>No</v>
      </c>
      <c r="AE19" s="36">
        <f>IF(Dashboard!$P$47&gt;'Staging Data'!R19,'Staging Data'!R19,Dashboard!$P$47)</f>
        <v>0.1</v>
      </c>
      <c r="AF19">
        <f>(100%+Dashboard!$P$48)*'Staging Data'!P19</f>
        <v>1286.8485000000001</v>
      </c>
      <c r="AG19">
        <f>(100%+Dashboard!$P$49)*S19</f>
        <v>16.64</v>
      </c>
      <c r="AH19" s="13">
        <f t="shared" si="13"/>
        <v>40518.616320000001</v>
      </c>
      <c r="AI19" s="13">
        <f t="shared" si="14"/>
        <v>21413.159040000002</v>
      </c>
      <c r="AJ19" s="13">
        <f t="shared" si="15"/>
        <v>19105.457279999999</v>
      </c>
    </row>
    <row r="20" spans="1:36" x14ac:dyDescent="0.45">
      <c r="A20" s="3" t="s">
        <v>258</v>
      </c>
      <c r="B20" s="5">
        <v>45035</v>
      </c>
      <c r="C20" s="5">
        <v>45044</v>
      </c>
      <c r="D20" s="5">
        <f t="shared" si="18"/>
        <v>45035</v>
      </c>
      <c r="E20" s="5">
        <f t="shared" si="19"/>
        <v>45044</v>
      </c>
      <c r="F20" s="7">
        <f t="shared" si="20"/>
        <v>9</v>
      </c>
      <c r="G20" s="23" t="str">
        <f t="shared" si="21"/>
        <v>4-2023</v>
      </c>
      <c r="H20" s="3" t="s">
        <v>648</v>
      </c>
      <c r="I20" s="3" t="s">
        <v>655</v>
      </c>
      <c r="J20" s="3" t="s">
        <v>692</v>
      </c>
      <c r="K20" s="3" t="s">
        <v>701</v>
      </c>
      <c r="L20" s="3" t="s">
        <v>710</v>
      </c>
      <c r="M20" s="3" t="s">
        <v>724</v>
      </c>
      <c r="N20" s="3" t="s">
        <v>730</v>
      </c>
      <c r="O20" s="3" t="s">
        <v>978</v>
      </c>
      <c r="P20" s="19">
        <v>1013.54</v>
      </c>
      <c r="Q20" s="19">
        <v>927.93</v>
      </c>
      <c r="R20" s="15">
        <v>0.17499999999999999</v>
      </c>
      <c r="S20" s="7">
        <v>16</v>
      </c>
      <c r="T20" s="13">
        <f t="shared" si="3"/>
        <v>12248.675999999999</v>
      </c>
      <c r="U20" s="13">
        <f t="shared" si="4"/>
        <v>16216.64</v>
      </c>
      <c r="V20" s="13">
        <f t="shared" si="22"/>
        <v>-3967.9639999999999</v>
      </c>
      <c r="W20" s="15">
        <f t="shared" si="23"/>
        <v>-0.32395044166406234</v>
      </c>
      <c r="X20" s="17" t="str">
        <f t="shared" si="24"/>
        <v>Q2-2023</v>
      </c>
      <c r="Y20" t="str">
        <f t="shared" si="25"/>
        <v>Americas → Brazil → Rio de Janeiro</v>
      </c>
      <c r="Z20" t="str">
        <f t="shared" si="26"/>
        <v>Low</v>
      </c>
      <c r="AA20">
        <f t="shared" si="9"/>
        <v>2023</v>
      </c>
      <c r="AB20">
        <f t="shared" si="10"/>
        <v>4</v>
      </c>
      <c r="AC20" t="str">
        <f t="shared" si="11"/>
        <v>No</v>
      </c>
      <c r="AD20" t="str">
        <f t="shared" si="12"/>
        <v>No</v>
      </c>
      <c r="AE20" s="36">
        <f>IF(Dashboard!$P$47&gt;'Staging Data'!R20,'Staging Data'!R20,Dashboard!$P$47)</f>
        <v>0.1</v>
      </c>
      <c r="AF20">
        <f>(100%+Dashboard!$P$48)*'Staging Data'!P20</f>
        <v>1064.2170000000001</v>
      </c>
      <c r="AG20">
        <f>(100%+Dashboard!$P$49)*S20</f>
        <v>16.64</v>
      </c>
      <c r="AH20" s="13">
        <f t="shared" si="13"/>
        <v>13896.679679999999</v>
      </c>
      <c r="AI20" s="13">
        <f t="shared" si="14"/>
        <v>17708.570880000003</v>
      </c>
      <c r="AJ20" s="13">
        <f t="shared" si="15"/>
        <v>-3811.8912000000037</v>
      </c>
    </row>
    <row r="21" spans="1:36" x14ac:dyDescent="0.45">
      <c r="A21" s="3" t="s">
        <v>34</v>
      </c>
      <c r="B21" s="5">
        <v>45798</v>
      </c>
      <c r="C21" s="5">
        <v>45796</v>
      </c>
      <c r="D21" s="5">
        <f t="shared" si="18"/>
        <v>45796</v>
      </c>
      <c r="E21" s="5">
        <f t="shared" si="19"/>
        <v>45798</v>
      </c>
      <c r="F21" s="7">
        <f t="shared" si="20"/>
        <v>2</v>
      </c>
      <c r="G21" s="23" t="str">
        <f t="shared" si="21"/>
        <v>5-2025</v>
      </c>
      <c r="H21" s="3" t="s">
        <v>649</v>
      </c>
      <c r="I21" s="3" t="s">
        <v>658</v>
      </c>
      <c r="J21" s="3" t="s">
        <v>674</v>
      </c>
      <c r="K21" s="3" t="s">
        <v>706</v>
      </c>
      <c r="L21" s="3" t="s">
        <v>708</v>
      </c>
      <c r="M21" s="3" t="s">
        <v>724</v>
      </c>
      <c r="N21" s="3" t="s">
        <v>731</v>
      </c>
      <c r="O21" s="3" t="s">
        <v>753</v>
      </c>
      <c r="P21" s="19">
        <v>1015.16</v>
      </c>
      <c r="Q21" s="19">
        <v>2148.14</v>
      </c>
      <c r="R21" s="15">
        <v>3.7999999999999999E-2</v>
      </c>
      <c r="S21" s="7">
        <v>19</v>
      </c>
      <c r="T21" s="13">
        <f t="shared" si="3"/>
        <v>39263.702919999996</v>
      </c>
      <c r="U21" s="13">
        <f t="shared" si="4"/>
        <v>19288.04</v>
      </c>
      <c r="V21" s="13">
        <f t="shared" si="22"/>
        <v>19975.662919999995</v>
      </c>
      <c r="W21" s="15">
        <f t="shared" si="23"/>
        <v>0.50875647059322227</v>
      </c>
      <c r="X21" s="17" t="str">
        <f t="shared" si="24"/>
        <v>Q2-2025</v>
      </c>
      <c r="Y21" t="str">
        <f t="shared" si="25"/>
        <v>Europe → United Kingdom → Birmingham</v>
      </c>
      <c r="Z21" t="str">
        <f t="shared" si="26"/>
        <v>High</v>
      </c>
      <c r="AA21">
        <f t="shared" si="9"/>
        <v>2025</v>
      </c>
      <c r="AB21">
        <f t="shared" si="10"/>
        <v>5</v>
      </c>
      <c r="AC21" t="str">
        <f t="shared" si="11"/>
        <v>Yes</v>
      </c>
      <c r="AD21" t="str">
        <f t="shared" si="12"/>
        <v>No</v>
      </c>
      <c r="AE21" s="36">
        <f>IF(Dashboard!$P$47&gt;'Staging Data'!R21,'Staging Data'!R21,Dashboard!$P$47)</f>
        <v>3.7999999999999999E-2</v>
      </c>
      <c r="AF21">
        <f>(100%+Dashboard!$P$48)*'Staging Data'!P21</f>
        <v>1065.9180000000001</v>
      </c>
      <c r="AG21">
        <f>(100%+Dashboard!$P$49)*S21</f>
        <v>19.760000000000002</v>
      </c>
      <c r="AH21" s="13">
        <f t="shared" si="13"/>
        <v>40834.2510368</v>
      </c>
      <c r="AI21" s="13">
        <f t="shared" si="14"/>
        <v>21062.539680000005</v>
      </c>
      <c r="AJ21" s="13">
        <f t="shared" si="15"/>
        <v>19771.711356799995</v>
      </c>
    </row>
    <row r="22" spans="1:36" x14ac:dyDescent="0.45">
      <c r="A22" s="3" t="s">
        <v>35</v>
      </c>
      <c r="B22" s="5">
        <v>45498</v>
      </c>
      <c r="C22" s="5">
        <v>45497</v>
      </c>
      <c r="D22" s="5">
        <f t="shared" si="18"/>
        <v>45497</v>
      </c>
      <c r="E22" s="5">
        <f t="shared" si="19"/>
        <v>45498</v>
      </c>
      <c r="F22" s="7">
        <f t="shared" si="20"/>
        <v>1</v>
      </c>
      <c r="G22" s="23" t="str">
        <f t="shared" si="21"/>
        <v>7-2024</v>
      </c>
      <c r="H22" s="3" t="s">
        <v>646</v>
      </c>
      <c r="I22" s="3" t="s">
        <v>650</v>
      </c>
      <c r="J22" s="3" t="s">
        <v>675</v>
      </c>
      <c r="K22" s="3" t="s">
        <v>703</v>
      </c>
      <c r="L22" s="3" t="s">
        <v>711</v>
      </c>
      <c r="M22" s="3" t="s">
        <v>713</v>
      </c>
      <c r="N22" s="3" t="s">
        <v>731</v>
      </c>
      <c r="O22" s="3" t="s">
        <v>754</v>
      </c>
      <c r="P22" s="19">
        <v>1494.4</v>
      </c>
      <c r="Q22" s="19">
        <v>3661.07</v>
      </c>
      <c r="R22" s="15">
        <v>7.1999999999999995E-2</v>
      </c>
      <c r="S22" s="7">
        <v>7</v>
      </c>
      <c r="T22" s="13">
        <f t="shared" si="3"/>
        <v>23782.310720000001</v>
      </c>
      <c r="U22" s="13">
        <f t="shared" si="4"/>
        <v>10460.800000000001</v>
      </c>
      <c r="V22" s="13">
        <f t="shared" si="22"/>
        <v>13321.51072</v>
      </c>
      <c r="W22" s="15">
        <f t="shared" si="23"/>
        <v>0.56014366630897339</v>
      </c>
      <c r="X22" s="17" t="str">
        <f t="shared" si="24"/>
        <v>Q3-2024</v>
      </c>
      <c r="Y22" t="str">
        <f t="shared" si="25"/>
        <v>Africa → Kenya → Mombasa</v>
      </c>
      <c r="Z22" t="str">
        <f t="shared" si="26"/>
        <v>High</v>
      </c>
      <c r="AA22">
        <f t="shared" si="9"/>
        <v>2024</v>
      </c>
      <c r="AB22">
        <f t="shared" si="10"/>
        <v>7</v>
      </c>
      <c r="AC22" t="str">
        <f t="shared" si="11"/>
        <v>Yes</v>
      </c>
      <c r="AD22" t="str">
        <f t="shared" si="12"/>
        <v>No</v>
      </c>
      <c r="AE22" s="36">
        <f>IF(Dashboard!$P$47&gt;'Staging Data'!R22,'Staging Data'!R22,Dashboard!$P$47)</f>
        <v>7.1999999999999995E-2</v>
      </c>
      <c r="AF22">
        <f>(100%+Dashboard!$P$48)*'Staging Data'!P22</f>
        <v>1569.1200000000001</v>
      </c>
      <c r="AG22">
        <f>(100%+Dashboard!$P$49)*S22</f>
        <v>7.28</v>
      </c>
      <c r="AH22" s="13">
        <f t="shared" si="13"/>
        <v>24733.603148800004</v>
      </c>
      <c r="AI22" s="13">
        <f t="shared" si="14"/>
        <v>11423.193600000001</v>
      </c>
      <c r="AJ22" s="13">
        <f t="shared" si="15"/>
        <v>13310.409548800004</v>
      </c>
    </row>
    <row r="23" spans="1:36" x14ac:dyDescent="0.45">
      <c r="A23" s="3" t="s">
        <v>36</v>
      </c>
      <c r="B23" s="5">
        <v>45057</v>
      </c>
      <c r="C23" s="5">
        <v>45074</v>
      </c>
      <c r="D23" s="5">
        <f t="shared" si="18"/>
        <v>45057</v>
      </c>
      <c r="E23" s="5">
        <f t="shared" si="19"/>
        <v>45074</v>
      </c>
      <c r="F23" s="7">
        <f t="shared" si="20"/>
        <v>17</v>
      </c>
      <c r="G23" s="23" t="str">
        <f t="shared" si="21"/>
        <v>5-2023</v>
      </c>
      <c r="H23" s="3" t="s">
        <v>647</v>
      </c>
      <c r="I23" s="3" t="s">
        <v>659</v>
      </c>
      <c r="J23" s="3" t="s">
        <v>676</v>
      </c>
      <c r="K23" s="3" t="s">
        <v>706</v>
      </c>
      <c r="L23" s="3" t="s">
        <v>709</v>
      </c>
      <c r="M23" s="3" t="s">
        <v>718</v>
      </c>
      <c r="N23" s="3" t="s">
        <v>729</v>
      </c>
      <c r="O23" s="3" t="s">
        <v>755</v>
      </c>
      <c r="P23" s="19">
        <v>1331.19</v>
      </c>
      <c r="Q23" s="19">
        <v>2903.09</v>
      </c>
      <c r="R23" s="15">
        <v>0.14299999999999999</v>
      </c>
      <c r="S23" s="7">
        <v>8</v>
      </c>
      <c r="T23" s="13">
        <f t="shared" si="3"/>
        <v>19903.585040000002</v>
      </c>
      <c r="U23" s="13">
        <f t="shared" si="4"/>
        <v>10649.52</v>
      </c>
      <c r="V23" s="13">
        <f t="shared" si="22"/>
        <v>9254.0650400000013</v>
      </c>
      <c r="W23" s="15">
        <f t="shared" si="23"/>
        <v>0.46494463290920784</v>
      </c>
      <c r="X23" s="17" t="str">
        <f t="shared" si="24"/>
        <v>Q2-2023</v>
      </c>
      <c r="Y23" t="str">
        <f t="shared" si="25"/>
        <v>Asia → China → Shenzhen</v>
      </c>
      <c r="Z23" t="str">
        <f t="shared" si="26"/>
        <v>High</v>
      </c>
      <c r="AA23">
        <f t="shared" si="9"/>
        <v>2023</v>
      </c>
      <c r="AB23">
        <f t="shared" si="10"/>
        <v>5</v>
      </c>
      <c r="AC23" t="str">
        <f t="shared" si="11"/>
        <v>No</v>
      </c>
      <c r="AD23" t="str">
        <f t="shared" si="12"/>
        <v>No</v>
      </c>
      <c r="AE23" s="36">
        <f>IF(Dashboard!$P$47&gt;'Staging Data'!R23,'Staging Data'!R23,Dashboard!$P$47)</f>
        <v>0.1</v>
      </c>
      <c r="AF23">
        <f>(100%+Dashboard!$P$48)*'Staging Data'!P23</f>
        <v>1397.7495000000001</v>
      </c>
      <c r="AG23">
        <f>(100%+Dashboard!$P$49)*S23</f>
        <v>8.32</v>
      </c>
      <c r="AH23" s="13">
        <f t="shared" si="13"/>
        <v>21738.337920000002</v>
      </c>
      <c r="AI23" s="13">
        <f t="shared" si="14"/>
        <v>11629.275840000002</v>
      </c>
      <c r="AJ23" s="13">
        <f t="shared" si="15"/>
        <v>10109.06208</v>
      </c>
    </row>
    <row r="24" spans="1:36" x14ac:dyDescent="0.45">
      <c r="A24" s="3" t="s">
        <v>333</v>
      </c>
      <c r="B24" s="5">
        <v>45008</v>
      </c>
      <c r="C24" s="5">
        <v>45031</v>
      </c>
      <c r="D24" s="5">
        <f t="shared" si="18"/>
        <v>45008</v>
      </c>
      <c r="E24" s="5">
        <f t="shared" si="19"/>
        <v>45031</v>
      </c>
      <c r="F24" s="7">
        <f t="shared" si="20"/>
        <v>23</v>
      </c>
      <c r="G24" s="23" t="str">
        <f t="shared" si="21"/>
        <v>3-2023</v>
      </c>
      <c r="H24" s="3" t="s">
        <v>646</v>
      </c>
      <c r="I24" s="3" t="s">
        <v>650</v>
      </c>
      <c r="J24" s="3" t="s">
        <v>675</v>
      </c>
      <c r="K24" s="3" t="s">
        <v>705</v>
      </c>
      <c r="L24" s="3" t="s">
        <v>707</v>
      </c>
      <c r="M24" s="3" t="s">
        <v>712</v>
      </c>
      <c r="N24" s="3" t="s">
        <v>733</v>
      </c>
      <c r="O24" s="3" t="s">
        <v>1053</v>
      </c>
      <c r="P24" s="19">
        <v>875.36</v>
      </c>
      <c r="Q24" s="19">
        <v>1178.6199999999999</v>
      </c>
      <c r="R24" s="15">
        <v>0.151</v>
      </c>
      <c r="S24" s="7">
        <v>53</v>
      </c>
      <c r="T24" s="13">
        <f t="shared" si="3"/>
        <v>53034.364139999991</v>
      </c>
      <c r="U24" s="13">
        <f t="shared" si="4"/>
        <v>46394.080000000002</v>
      </c>
      <c r="V24" s="13">
        <f t="shared" si="22"/>
        <v>6640.2841399999888</v>
      </c>
      <c r="W24" s="15">
        <f t="shared" si="23"/>
        <v>0.12520719815685888</v>
      </c>
      <c r="X24" s="17" t="str">
        <f t="shared" si="24"/>
        <v>Q1-2023</v>
      </c>
      <c r="Y24" t="str">
        <f t="shared" si="25"/>
        <v>Africa → Kenya → Mombasa</v>
      </c>
      <c r="Z24" t="str">
        <f t="shared" si="26"/>
        <v>Low</v>
      </c>
      <c r="AA24">
        <f t="shared" si="9"/>
        <v>2023</v>
      </c>
      <c r="AB24">
        <f t="shared" si="10"/>
        <v>3</v>
      </c>
      <c r="AC24" t="str">
        <f t="shared" si="11"/>
        <v>No</v>
      </c>
      <c r="AD24" t="str">
        <f t="shared" si="12"/>
        <v>No</v>
      </c>
      <c r="AE24" s="36">
        <f>IF(Dashboard!$P$47&gt;'Staging Data'!R24,'Staging Data'!R24,Dashboard!$P$47)</f>
        <v>0.1</v>
      </c>
      <c r="AF24">
        <f>(100%+Dashboard!$P$48)*'Staging Data'!P24</f>
        <v>919.12800000000004</v>
      </c>
      <c r="AG24">
        <f>(100%+Dashboard!$P$49)*S24</f>
        <v>55.120000000000005</v>
      </c>
      <c r="AH24" s="13">
        <f t="shared" si="13"/>
        <v>58468.980960000001</v>
      </c>
      <c r="AI24" s="13">
        <f t="shared" si="14"/>
        <v>50662.335360000005</v>
      </c>
      <c r="AJ24" s="13">
        <f t="shared" si="15"/>
        <v>7806.6455999999962</v>
      </c>
    </row>
    <row r="25" spans="1:36" x14ac:dyDescent="0.45">
      <c r="A25" s="3" t="s">
        <v>38</v>
      </c>
      <c r="B25" s="5">
        <v>45430</v>
      </c>
      <c r="C25" s="5">
        <v>45435</v>
      </c>
      <c r="D25" s="5">
        <f t="shared" si="18"/>
        <v>45430</v>
      </c>
      <c r="E25" s="5">
        <f t="shared" si="19"/>
        <v>45435</v>
      </c>
      <c r="F25" s="7">
        <f t="shared" si="20"/>
        <v>5</v>
      </c>
      <c r="G25" s="23" t="str">
        <f t="shared" si="21"/>
        <v>5-2024</v>
      </c>
      <c r="H25" s="3" t="s">
        <v>648</v>
      </c>
      <c r="I25" s="3" t="s">
        <v>660</v>
      </c>
      <c r="J25" s="3" t="s">
        <v>677</v>
      </c>
      <c r="K25" s="3" t="s">
        <v>706</v>
      </c>
      <c r="L25" s="3" t="s">
        <v>707</v>
      </c>
      <c r="M25" s="3" t="s">
        <v>722</v>
      </c>
      <c r="N25" s="3" t="s">
        <v>731</v>
      </c>
      <c r="O25" s="3" t="s">
        <v>757</v>
      </c>
      <c r="P25" s="19">
        <v>1274.5899999999999</v>
      </c>
      <c r="Q25" s="19">
        <v>2553.69</v>
      </c>
      <c r="R25" s="15">
        <v>0.01</v>
      </c>
      <c r="S25" s="7">
        <v>8</v>
      </c>
      <c r="T25" s="13">
        <f t="shared" si="3"/>
        <v>20225.2248</v>
      </c>
      <c r="U25" s="13">
        <f t="shared" si="4"/>
        <v>10196.719999999999</v>
      </c>
      <c r="V25" s="13">
        <f t="shared" si="22"/>
        <v>10028.504800000001</v>
      </c>
      <c r="W25" s="15">
        <f t="shared" si="23"/>
        <v>0.49584145042481803</v>
      </c>
      <c r="X25" s="17" t="str">
        <f t="shared" si="24"/>
        <v>Q2-2024</v>
      </c>
      <c r="Y25" t="str">
        <f t="shared" si="25"/>
        <v>Americas → USA → Chicago</v>
      </c>
      <c r="Z25" t="str">
        <f t="shared" si="26"/>
        <v>High</v>
      </c>
      <c r="AA25">
        <f t="shared" si="9"/>
        <v>2024</v>
      </c>
      <c r="AB25">
        <f t="shared" si="10"/>
        <v>5</v>
      </c>
      <c r="AC25" t="str">
        <f t="shared" si="11"/>
        <v>Yes</v>
      </c>
      <c r="AD25" t="str">
        <f t="shared" si="12"/>
        <v>No</v>
      </c>
      <c r="AE25" s="36">
        <f>IF(Dashboard!$P$47&gt;'Staging Data'!R25,'Staging Data'!R25,Dashboard!$P$47)</f>
        <v>0.01</v>
      </c>
      <c r="AF25">
        <f>(100%+Dashboard!$P$48)*'Staging Data'!P25</f>
        <v>1338.3195000000001</v>
      </c>
      <c r="AG25">
        <f>(100%+Dashboard!$P$49)*S25</f>
        <v>8.32</v>
      </c>
      <c r="AH25" s="13">
        <f t="shared" si="13"/>
        <v>21034.233792000003</v>
      </c>
      <c r="AI25" s="13">
        <f t="shared" si="14"/>
        <v>11134.818240000001</v>
      </c>
      <c r="AJ25" s="13">
        <f t="shared" si="15"/>
        <v>9899.4155520000022</v>
      </c>
    </row>
    <row r="26" spans="1:36" x14ac:dyDescent="0.45">
      <c r="A26" s="3" t="s">
        <v>489</v>
      </c>
      <c r="B26" s="5">
        <v>45069</v>
      </c>
      <c r="C26" s="5">
        <v>45071</v>
      </c>
      <c r="D26" s="5">
        <f t="shared" si="18"/>
        <v>45069</v>
      </c>
      <c r="E26" s="5">
        <f t="shared" si="19"/>
        <v>45071</v>
      </c>
      <c r="F26" s="7">
        <f t="shared" si="20"/>
        <v>2</v>
      </c>
      <c r="G26" s="23" t="str">
        <f t="shared" si="21"/>
        <v>5-2023</v>
      </c>
      <c r="H26" s="3" t="s">
        <v>648</v>
      </c>
      <c r="I26" s="3" t="s">
        <v>655</v>
      </c>
      <c r="J26" s="3" t="s">
        <v>692</v>
      </c>
      <c r="K26" s="3" t="s">
        <v>706</v>
      </c>
      <c r="L26" s="3" t="s">
        <v>707</v>
      </c>
      <c r="M26" s="3" t="s">
        <v>724</v>
      </c>
      <c r="N26" s="3" t="s">
        <v>728</v>
      </c>
      <c r="O26" s="3" t="s">
        <v>1208</v>
      </c>
      <c r="P26" s="19">
        <v>690.49</v>
      </c>
      <c r="Q26" s="19">
        <v>1290.29</v>
      </c>
      <c r="R26" s="15">
        <v>4.2000000000000003E-2</v>
      </c>
      <c r="S26" s="7">
        <v>22</v>
      </c>
      <c r="T26" s="13">
        <f t="shared" si="3"/>
        <v>27194.152039999997</v>
      </c>
      <c r="U26" s="13">
        <f t="shared" si="4"/>
        <v>15190.78</v>
      </c>
      <c r="V26" s="13">
        <f t="shared" si="22"/>
        <v>12003.372039999997</v>
      </c>
      <c r="W26" s="15">
        <f t="shared" si="23"/>
        <v>0.44139534199647718</v>
      </c>
      <c r="X26" s="17" t="str">
        <f t="shared" si="24"/>
        <v>Q2-2023</v>
      </c>
      <c r="Y26" t="str">
        <f t="shared" si="25"/>
        <v>Americas → Brazil → Rio de Janeiro</v>
      </c>
      <c r="Z26" t="str">
        <f t="shared" si="26"/>
        <v>Medium</v>
      </c>
      <c r="AA26">
        <f t="shared" si="9"/>
        <v>2023</v>
      </c>
      <c r="AB26">
        <f t="shared" si="10"/>
        <v>5</v>
      </c>
      <c r="AC26" t="str">
        <f t="shared" si="11"/>
        <v>Yes</v>
      </c>
      <c r="AD26" t="str">
        <f t="shared" si="12"/>
        <v>No</v>
      </c>
      <c r="AE26" s="36">
        <f>IF(Dashboard!$P$47&gt;'Staging Data'!R26,'Staging Data'!R26,Dashboard!$P$47)</f>
        <v>4.2000000000000003E-2</v>
      </c>
      <c r="AF26">
        <f>(100%+Dashboard!$P$48)*'Staging Data'!P26</f>
        <v>725.0145</v>
      </c>
      <c r="AG26">
        <f>(100%+Dashboard!$P$49)*S26</f>
        <v>22.880000000000003</v>
      </c>
      <c r="AH26" s="13">
        <f t="shared" si="13"/>
        <v>28281.9181216</v>
      </c>
      <c r="AI26" s="13">
        <f t="shared" si="14"/>
        <v>16588.331760000001</v>
      </c>
      <c r="AJ26" s="13">
        <f t="shared" si="15"/>
        <v>11693.586361599999</v>
      </c>
    </row>
    <row r="27" spans="1:36" x14ac:dyDescent="0.45">
      <c r="A27" s="3" t="s">
        <v>595</v>
      </c>
      <c r="B27" s="5">
        <v>45080</v>
      </c>
      <c r="C27" s="5">
        <v>45108</v>
      </c>
      <c r="D27" s="5">
        <f t="shared" si="18"/>
        <v>45080</v>
      </c>
      <c r="E27" s="5">
        <f t="shared" si="19"/>
        <v>45108</v>
      </c>
      <c r="F27" s="7">
        <f t="shared" si="20"/>
        <v>28</v>
      </c>
      <c r="G27" s="23" t="str">
        <f t="shared" si="21"/>
        <v>6-2023</v>
      </c>
      <c r="H27" s="3" t="s">
        <v>648</v>
      </c>
      <c r="I27" s="3" t="s">
        <v>655</v>
      </c>
      <c r="J27" s="3" t="s">
        <v>672</v>
      </c>
      <c r="K27" s="3" t="s">
        <v>705</v>
      </c>
      <c r="L27" s="3" t="s">
        <v>709</v>
      </c>
      <c r="M27" s="3" t="s">
        <v>720</v>
      </c>
      <c r="N27" s="3" t="s">
        <v>727</v>
      </c>
      <c r="O27" s="3" t="s">
        <v>1313</v>
      </c>
      <c r="P27" s="19">
        <v>860.4</v>
      </c>
      <c r="Q27" s="19">
        <v>2066.6</v>
      </c>
      <c r="R27" s="15">
        <v>0.01</v>
      </c>
      <c r="S27" s="7">
        <v>3</v>
      </c>
      <c r="T27" s="13">
        <f t="shared" si="3"/>
        <v>6137.8019999999988</v>
      </c>
      <c r="U27" s="13">
        <f t="shared" si="4"/>
        <v>2581.1999999999998</v>
      </c>
      <c r="V27" s="13">
        <f t="shared" si="22"/>
        <v>3556.601999999999</v>
      </c>
      <c r="W27" s="15">
        <f t="shared" si="23"/>
        <v>0.57945857491004105</v>
      </c>
      <c r="X27" s="17" t="str">
        <f t="shared" si="24"/>
        <v>Q2-2023</v>
      </c>
      <c r="Y27" t="str">
        <f t="shared" si="25"/>
        <v>Americas → Brazil → Brasília</v>
      </c>
      <c r="Z27" t="str">
        <f t="shared" si="26"/>
        <v>High</v>
      </c>
      <c r="AA27">
        <f t="shared" si="9"/>
        <v>2023</v>
      </c>
      <c r="AB27">
        <f t="shared" si="10"/>
        <v>6</v>
      </c>
      <c r="AC27" t="str">
        <f t="shared" si="11"/>
        <v>No</v>
      </c>
      <c r="AD27" t="str">
        <f t="shared" si="12"/>
        <v>No</v>
      </c>
      <c r="AE27" s="36">
        <f>IF(Dashboard!$P$47&gt;'Staging Data'!R27,'Staging Data'!R27,Dashboard!$P$47)</f>
        <v>0.01</v>
      </c>
      <c r="AF27">
        <f>(100%+Dashboard!$P$48)*'Staging Data'!P27</f>
        <v>903.42</v>
      </c>
      <c r="AG27">
        <f>(100%+Dashboard!$P$49)*S27</f>
        <v>3.12</v>
      </c>
      <c r="AH27" s="13">
        <f t="shared" si="13"/>
        <v>6383.3140800000001</v>
      </c>
      <c r="AI27" s="13">
        <f t="shared" si="14"/>
        <v>2818.6704</v>
      </c>
      <c r="AJ27" s="13">
        <f t="shared" si="15"/>
        <v>3564.6436800000001</v>
      </c>
    </row>
    <row r="28" spans="1:36" x14ac:dyDescent="0.45">
      <c r="A28" s="3" t="s">
        <v>41</v>
      </c>
      <c r="B28" s="5">
        <v>45626</v>
      </c>
      <c r="C28" s="5">
        <v>45656</v>
      </c>
      <c r="D28" s="5">
        <f t="shared" si="18"/>
        <v>45626</v>
      </c>
      <c r="E28" s="5">
        <f t="shared" si="19"/>
        <v>45656</v>
      </c>
      <c r="F28" s="7">
        <f t="shared" si="20"/>
        <v>30</v>
      </c>
      <c r="G28" s="23" t="str">
        <f t="shared" si="21"/>
        <v>11-2024</v>
      </c>
      <c r="H28" s="3" t="s">
        <v>649</v>
      </c>
      <c r="I28" s="3" t="s">
        <v>657</v>
      </c>
      <c r="J28" s="3" t="s">
        <v>673</v>
      </c>
      <c r="K28" s="3" t="s">
        <v>704</v>
      </c>
      <c r="L28" s="3" t="s">
        <v>709</v>
      </c>
      <c r="M28" s="3" t="s">
        <v>721</v>
      </c>
      <c r="N28" s="3" t="s">
        <v>728</v>
      </c>
      <c r="O28" s="3" t="s">
        <v>760</v>
      </c>
      <c r="P28" s="19">
        <v>117.64</v>
      </c>
      <c r="Q28" s="19">
        <v>175.67</v>
      </c>
      <c r="R28" s="15">
        <v>0</v>
      </c>
      <c r="S28" s="7">
        <v>10</v>
      </c>
      <c r="T28" s="13">
        <f t="shared" si="3"/>
        <v>1756.6999999999998</v>
      </c>
      <c r="U28" s="13">
        <f t="shared" si="4"/>
        <v>1176.4000000000001</v>
      </c>
      <c r="V28" s="13">
        <f t="shared" si="22"/>
        <v>580.29999999999973</v>
      </c>
      <c r="W28" s="15">
        <f t="shared" si="23"/>
        <v>0.33033528775545046</v>
      </c>
      <c r="X28" s="17" t="str">
        <f t="shared" si="24"/>
        <v>Q4-2024</v>
      </c>
      <c r="Y28" t="str">
        <f t="shared" si="25"/>
        <v>Europe → France → Marseille</v>
      </c>
      <c r="Z28" t="str">
        <f t="shared" si="26"/>
        <v>Low</v>
      </c>
      <c r="AA28">
        <f t="shared" si="9"/>
        <v>2024</v>
      </c>
      <c r="AB28">
        <f t="shared" si="10"/>
        <v>11</v>
      </c>
      <c r="AC28" t="str">
        <f t="shared" si="11"/>
        <v>No</v>
      </c>
      <c r="AD28" t="str">
        <f t="shared" si="12"/>
        <v>No</v>
      </c>
      <c r="AE28" s="36">
        <f>IF(Dashboard!$P$47&gt;'Staging Data'!R28,'Staging Data'!R28,Dashboard!$P$47)</f>
        <v>0</v>
      </c>
      <c r="AF28">
        <f>(100%+Dashboard!$P$48)*'Staging Data'!P28</f>
        <v>123.52200000000001</v>
      </c>
      <c r="AG28">
        <f>(100%+Dashboard!$P$49)*S28</f>
        <v>10.4</v>
      </c>
      <c r="AH28" s="13">
        <f t="shared" si="13"/>
        <v>1826.9679999999998</v>
      </c>
      <c r="AI28" s="13">
        <f t="shared" si="14"/>
        <v>1284.6288000000002</v>
      </c>
      <c r="AJ28" s="13">
        <f t="shared" si="15"/>
        <v>542.33919999999966</v>
      </c>
    </row>
    <row r="29" spans="1:36" x14ac:dyDescent="0.45">
      <c r="A29" s="3" t="s">
        <v>42</v>
      </c>
      <c r="B29" s="5">
        <v>45492</v>
      </c>
      <c r="C29" s="5">
        <v>45492</v>
      </c>
      <c r="D29" s="5">
        <f t="shared" si="18"/>
        <v>45492</v>
      </c>
      <c r="E29" s="5">
        <f t="shared" si="19"/>
        <v>45492</v>
      </c>
      <c r="F29" s="7">
        <f t="shared" si="20"/>
        <v>0</v>
      </c>
      <c r="G29" s="23" t="str">
        <f t="shared" si="21"/>
        <v>7-2024</v>
      </c>
      <c r="H29" s="3" t="s">
        <v>646</v>
      </c>
      <c r="I29" s="3" t="s">
        <v>650</v>
      </c>
      <c r="J29" s="3" t="s">
        <v>662</v>
      </c>
      <c r="K29" s="3" t="s">
        <v>705</v>
      </c>
      <c r="L29" s="3" t="s">
        <v>707</v>
      </c>
      <c r="M29" s="3" t="s">
        <v>720</v>
      </c>
      <c r="N29" s="3" t="s">
        <v>730</v>
      </c>
      <c r="O29" s="3" t="s">
        <v>761</v>
      </c>
      <c r="P29" s="19">
        <v>857.24</v>
      </c>
      <c r="Q29" s="19">
        <v>758.23</v>
      </c>
      <c r="R29" s="15">
        <v>0.125</v>
      </c>
      <c r="S29" s="7">
        <v>6</v>
      </c>
      <c r="T29" s="13">
        <f t="shared" si="3"/>
        <v>3980.7075</v>
      </c>
      <c r="U29" s="13">
        <f t="shared" si="4"/>
        <v>5143.4400000000005</v>
      </c>
      <c r="V29" s="13">
        <f t="shared" si="22"/>
        <v>-1162.7325000000005</v>
      </c>
      <c r="W29" s="15">
        <f t="shared" si="23"/>
        <v>-0.29209192084572921</v>
      </c>
      <c r="X29" s="17" t="str">
        <f t="shared" si="24"/>
        <v>Q3-2024</v>
      </c>
      <c r="Y29" t="str">
        <f t="shared" si="25"/>
        <v>Africa → Kenya → Kisumu</v>
      </c>
      <c r="Z29" t="str">
        <f t="shared" si="26"/>
        <v>Low</v>
      </c>
      <c r="AA29">
        <f t="shared" si="9"/>
        <v>2024</v>
      </c>
      <c r="AB29">
        <f t="shared" si="10"/>
        <v>7</v>
      </c>
      <c r="AC29" t="str">
        <f t="shared" si="11"/>
        <v>Yes</v>
      </c>
      <c r="AD29" t="str">
        <f t="shared" si="12"/>
        <v>No</v>
      </c>
      <c r="AE29" s="36">
        <f>IF(Dashboard!$P$47&gt;'Staging Data'!R29,'Staging Data'!R29,Dashboard!$P$47)</f>
        <v>0.1</v>
      </c>
      <c r="AF29">
        <f>(100%+Dashboard!$P$48)*'Staging Data'!P29</f>
        <v>900.10200000000009</v>
      </c>
      <c r="AG29">
        <f>(100%+Dashboard!$P$49)*S29</f>
        <v>6.24</v>
      </c>
      <c r="AH29" s="13">
        <f t="shared" si="13"/>
        <v>4258.2196800000002</v>
      </c>
      <c r="AI29" s="13">
        <f t="shared" si="14"/>
        <v>5616.636480000001</v>
      </c>
      <c r="AJ29" s="13">
        <f t="shared" si="15"/>
        <v>-1358.4168000000009</v>
      </c>
    </row>
    <row r="30" spans="1:36" x14ac:dyDescent="0.45">
      <c r="A30" s="3" t="s">
        <v>43</v>
      </c>
      <c r="B30" s="5">
        <v>45030</v>
      </c>
      <c r="C30" s="5">
        <v>45060</v>
      </c>
      <c r="D30" s="5">
        <f t="shared" si="18"/>
        <v>45030</v>
      </c>
      <c r="E30" s="5">
        <f t="shared" si="19"/>
        <v>45060</v>
      </c>
      <c r="F30" s="7">
        <f t="shared" si="20"/>
        <v>30</v>
      </c>
      <c r="G30" s="23" t="str">
        <f t="shared" si="21"/>
        <v>4-2023</v>
      </c>
      <c r="H30" s="3" t="s">
        <v>646</v>
      </c>
      <c r="I30" s="3" t="s">
        <v>650</v>
      </c>
      <c r="J30" s="3" t="s">
        <v>678</v>
      </c>
      <c r="K30" s="3" t="s">
        <v>704</v>
      </c>
      <c r="L30" s="3" t="s">
        <v>709</v>
      </c>
      <c r="M30" s="3" t="s">
        <v>724</v>
      </c>
      <c r="N30" s="3" t="s">
        <v>730</v>
      </c>
      <c r="O30" s="3" t="s">
        <v>762</v>
      </c>
      <c r="P30" s="19">
        <v>209.25</v>
      </c>
      <c r="Q30" s="19">
        <v>434.8</v>
      </c>
      <c r="R30" s="15">
        <v>0</v>
      </c>
      <c r="S30" s="7">
        <v>9</v>
      </c>
      <c r="T30" s="13">
        <f t="shared" si="3"/>
        <v>3913.2000000000003</v>
      </c>
      <c r="U30" s="13">
        <f t="shared" si="4"/>
        <v>1883.25</v>
      </c>
      <c r="V30" s="13">
        <f t="shared" si="22"/>
        <v>2029.9500000000003</v>
      </c>
      <c r="W30" s="15">
        <f t="shared" si="23"/>
        <v>0.51874425022999082</v>
      </c>
      <c r="X30" s="17" t="str">
        <f t="shared" si="24"/>
        <v>Q2-2023</v>
      </c>
      <c r="Y30" t="str">
        <f t="shared" si="25"/>
        <v>Africa → Kenya → Nakuru</v>
      </c>
      <c r="Z30" t="str">
        <f t="shared" si="26"/>
        <v>Low</v>
      </c>
      <c r="AA30">
        <f t="shared" si="9"/>
        <v>2023</v>
      </c>
      <c r="AB30">
        <f t="shared" si="10"/>
        <v>4</v>
      </c>
      <c r="AC30" t="str">
        <f t="shared" si="11"/>
        <v>No</v>
      </c>
      <c r="AD30" t="str">
        <f t="shared" si="12"/>
        <v>No</v>
      </c>
      <c r="AE30" s="36">
        <f>IF(Dashboard!$P$47&gt;'Staging Data'!R30,'Staging Data'!R30,Dashboard!$P$47)</f>
        <v>0</v>
      </c>
      <c r="AF30">
        <f>(100%+Dashboard!$P$48)*'Staging Data'!P30</f>
        <v>219.71250000000001</v>
      </c>
      <c r="AG30">
        <f>(100%+Dashboard!$P$49)*S30</f>
        <v>9.36</v>
      </c>
      <c r="AH30" s="13">
        <f t="shared" si="13"/>
        <v>4069.7280000000001</v>
      </c>
      <c r="AI30" s="13">
        <f t="shared" si="14"/>
        <v>2056.509</v>
      </c>
      <c r="AJ30" s="13">
        <f t="shared" si="15"/>
        <v>2013.2190000000001</v>
      </c>
    </row>
    <row r="31" spans="1:36" x14ac:dyDescent="0.45">
      <c r="A31" s="3" t="s">
        <v>44</v>
      </c>
      <c r="B31" s="5">
        <v>45754</v>
      </c>
      <c r="C31" s="5">
        <v>45758</v>
      </c>
      <c r="D31" s="5">
        <f t="shared" si="18"/>
        <v>45754</v>
      </c>
      <c r="E31" s="5">
        <f t="shared" si="19"/>
        <v>45758</v>
      </c>
      <c r="F31" s="7">
        <f t="shared" si="20"/>
        <v>4</v>
      </c>
      <c r="G31" s="23" t="str">
        <f t="shared" si="21"/>
        <v>4-2025</v>
      </c>
      <c r="H31" s="3" t="s">
        <v>649</v>
      </c>
      <c r="I31" s="3" t="s">
        <v>657</v>
      </c>
      <c r="J31" s="3" t="s">
        <v>679</v>
      </c>
      <c r="K31" s="3" t="s">
        <v>702</v>
      </c>
      <c r="L31" s="3" t="s">
        <v>707</v>
      </c>
      <c r="M31" s="3" t="s">
        <v>718</v>
      </c>
      <c r="N31" s="3" t="s">
        <v>729</v>
      </c>
      <c r="O31" s="3" t="s">
        <v>763</v>
      </c>
      <c r="P31" s="19">
        <v>754.77</v>
      </c>
      <c r="Q31" s="19">
        <v>1666.18</v>
      </c>
      <c r="R31" s="15">
        <v>0.13900000000000001</v>
      </c>
      <c r="S31" s="7">
        <v>14</v>
      </c>
      <c r="T31" s="13">
        <f t="shared" si="3"/>
        <v>20084.133720000002</v>
      </c>
      <c r="U31" s="13">
        <f t="shared" si="4"/>
        <v>10566.779999999999</v>
      </c>
      <c r="V31" s="13">
        <f t="shared" si="22"/>
        <v>9517.3537200000028</v>
      </c>
      <c r="W31" s="15">
        <f t="shared" si="23"/>
        <v>0.47387424584424653</v>
      </c>
      <c r="X31" s="17" t="str">
        <f t="shared" si="24"/>
        <v>Q2-2025</v>
      </c>
      <c r="Y31" t="str">
        <f t="shared" si="25"/>
        <v>Europe → France → Lyon</v>
      </c>
      <c r="Z31" t="str">
        <f t="shared" si="26"/>
        <v>Medium</v>
      </c>
      <c r="AA31">
        <f t="shared" si="9"/>
        <v>2025</v>
      </c>
      <c r="AB31">
        <f t="shared" si="10"/>
        <v>4</v>
      </c>
      <c r="AC31" t="str">
        <f t="shared" si="11"/>
        <v>Yes</v>
      </c>
      <c r="AD31" t="str">
        <f t="shared" si="12"/>
        <v>No</v>
      </c>
      <c r="AE31" s="36">
        <f>IF(Dashboard!$P$47&gt;'Staging Data'!R31,'Staging Data'!R31,Dashboard!$P$47)</f>
        <v>0.1</v>
      </c>
      <c r="AF31">
        <f>(100%+Dashboard!$P$48)*'Staging Data'!P31</f>
        <v>792.50850000000003</v>
      </c>
      <c r="AG31">
        <f>(100%+Dashboard!$P$49)*S31</f>
        <v>14.56</v>
      </c>
      <c r="AH31" s="13">
        <f t="shared" si="13"/>
        <v>21833.622720000003</v>
      </c>
      <c r="AI31" s="13">
        <f t="shared" si="14"/>
        <v>11538.923760000001</v>
      </c>
      <c r="AJ31" s="13">
        <f t="shared" si="15"/>
        <v>10294.698960000002</v>
      </c>
    </row>
    <row r="32" spans="1:36" x14ac:dyDescent="0.45">
      <c r="A32" s="3" t="s">
        <v>45</v>
      </c>
      <c r="B32" s="5">
        <v>45653</v>
      </c>
      <c r="C32" s="5">
        <v>45672</v>
      </c>
      <c r="D32" s="5">
        <f t="shared" si="18"/>
        <v>45653</v>
      </c>
      <c r="E32" s="5">
        <f t="shared" si="19"/>
        <v>45672</v>
      </c>
      <c r="F32" s="7">
        <f t="shared" si="20"/>
        <v>19</v>
      </c>
      <c r="G32" s="23" t="str">
        <f t="shared" si="21"/>
        <v>12-2024</v>
      </c>
      <c r="H32" s="3" t="s">
        <v>647</v>
      </c>
      <c r="I32" s="3" t="s">
        <v>654</v>
      </c>
      <c r="J32" s="3" t="s">
        <v>680</v>
      </c>
      <c r="K32" s="3" t="s">
        <v>703</v>
      </c>
      <c r="L32" s="3" t="s">
        <v>710</v>
      </c>
      <c r="M32" s="3" t="s">
        <v>715</v>
      </c>
      <c r="N32" s="3" t="s">
        <v>727</v>
      </c>
      <c r="O32" s="3" t="s">
        <v>764</v>
      </c>
      <c r="P32" s="19">
        <v>495.59</v>
      </c>
      <c r="Q32" s="19">
        <v>631.78</v>
      </c>
      <c r="R32" s="15">
        <v>8.6999999999999994E-2</v>
      </c>
      <c r="S32" s="7">
        <v>17</v>
      </c>
      <c r="T32" s="13">
        <f t="shared" si="3"/>
        <v>9805.8573800000013</v>
      </c>
      <c r="U32" s="13">
        <f t="shared" si="4"/>
        <v>8425.0299999999988</v>
      </c>
      <c r="V32" s="13">
        <f t="shared" si="22"/>
        <v>1380.8273800000024</v>
      </c>
      <c r="W32" s="15">
        <f t="shared" si="23"/>
        <v>0.14081658813601899</v>
      </c>
      <c r="X32" s="17" t="str">
        <f t="shared" si="24"/>
        <v>Q4-2024</v>
      </c>
      <c r="Y32" t="str">
        <f t="shared" si="25"/>
        <v>Asia → India → Delhi</v>
      </c>
      <c r="Z32" t="str">
        <f t="shared" si="26"/>
        <v>Low</v>
      </c>
      <c r="AA32">
        <f t="shared" si="9"/>
        <v>2024</v>
      </c>
      <c r="AB32">
        <f t="shared" si="10"/>
        <v>12</v>
      </c>
      <c r="AC32" t="str">
        <f t="shared" si="11"/>
        <v>No</v>
      </c>
      <c r="AD32" t="str">
        <f t="shared" si="12"/>
        <v>No</v>
      </c>
      <c r="AE32" s="36">
        <f>IF(Dashboard!$P$47&gt;'Staging Data'!R32,'Staging Data'!R32,Dashboard!$P$47)</f>
        <v>8.6999999999999994E-2</v>
      </c>
      <c r="AF32">
        <f>(100%+Dashboard!$P$48)*'Staging Data'!P32</f>
        <v>520.36950000000002</v>
      </c>
      <c r="AG32">
        <f>(100%+Dashboard!$P$49)*S32</f>
        <v>17.68</v>
      </c>
      <c r="AH32" s="13">
        <f t="shared" si="13"/>
        <v>10198.091675199999</v>
      </c>
      <c r="AI32" s="13">
        <f t="shared" si="14"/>
        <v>9200.1327600000004</v>
      </c>
      <c r="AJ32" s="13">
        <f t="shared" si="15"/>
        <v>997.95891519999896</v>
      </c>
    </row>
    <row r="33" spans="1:36" x14ac:dyDescent="0.45">
      <c r="A33" s="3" t="s">
        <v>46</v>
      </c>
      <c r="B33" s="5">
        <v>44980</v>
      </c>
      <c r="C33" s="5">
        <v>45010</v>
      </c>
      <c r="D33" s="27">
        <f t="shared" si="18"/>
        <v>44980</v>
      </c>
      <c r="E33" s="5">
        <f t="shared" si="19"/>
        <v>45010</v>
      </c>
      <c r="F33" s="7">
        <f t="shared" si="20"/>
        <v>30</v>
      </c>
      <c r="G33" s="23" t="str">
        <f t="shared" si="21"/>
        <v>2-2023</v>
      </c>
      <c r="H33" s="3" t="s">
        <v>648</v>
      </c>
      <c r="I33" s="3" t="s">
        <v>653</v>
      </c>
      <c r="J33" s="3" t="s">
        <v>681</v>
      </c>
      <c r="K33" s="3" t="s">
        <v>706</v>
      </c>
      <c r="L33" s="3" t="s">
        <v>708</v>
      </c>
      <c r="M33" s="3" t="s">
        <v>726</v>
      </c>
      <c r="N33" s="3" t="s">
        <v>730</v>
      </c>
      <c r="O33" s="3" t="s">
        <v>765</v>
      </c>
      <c r="P33" s="19">
        <v>1242.6600000000001</v>
      </c>
      <c r="Q33" s="19">
        <v>1794.07</v>
      </c>
      <c r="R33" s="15">
        <v>8.8999999999999996E-2</v>
      </c>
      <c r="S33" s="7">
        <v>16</v>
      </c>
      <c r="T33" s="13">
        <f t="shared" si="3"/>
        <v>26150.364320000001</v>
      </c>
      <c r="U33" s="13">
        <f t="shared" si="4"/>
        <v>19882.560000000001</v>
      </c>
      <c r="V33" s="13">
        <f t="shared" si="22"/>
        <v>6267.8043199999993</v>
      </c>
      <c r="W33" s="15">
        <f t="shared" si="23"/>
        <v>0.23968325042440553</v>
      </c>
      <c r="X33" s="17" t="str">
        <f t="shared" si="24"/>
        <v>Q1-2023</v>
      </c>
      <c r="Y33" t="str">
        <f t="shared" si="25"/>
        <v>Americas → Canada → Montreal</v>
      </c>
      <c r="Z33" t="str">
        <f t="shared" si="26"/>
        <v>Medium</v>
      </c>
      <c r="AA33">
        <f t="shared" si="9"/>
        <v>2023</v>
      </c>
      <c r="AB33">
        <f t="shared" si="10"/>
        <v>2</v>
      </c>
      <c r="AC33" t="str">
        <f t="shared" si="11"/>
        <v>No</v>
      </c>
      <c r="AD33" t="str">
        <f t="shared" si="12"/>
        <v>No</v>
      </c>
      <c r="AE33" s="36">
        <f>IF(Dashboard!$P$47&gt;'Staging Data'!R33,'Staging Data'!R33,Dashboard!$P$47)</f>
        <v>8.8999999999999996E-2</v>
      </c>
      <c r="AF33">
        <f>(100%+Dashboard!$P$48)*'Staging Data'!P33</f>
        <v>1304.7930000000001</v>
      </c>
      <c r="AG33">
        <f>(100%+Dashboard!$P$49)*S33</f>
        <v>16.64</v>
      </c>
      <c r="AH33" s="13">
        <f t="shared" si="13"/>
        <v>27196.378892799999</v>
      </c>
      <c r="AI33" s="13">
        <f t="shared" si="14"/>
        <v>21711.755520000002</v>
      </c>
      <c r="AJ33" s="13">
        <f t="shared" si="15"/>
        <v>5484.623372799997</v>
      </c>
    </row>
    <row r="34" spans="1:36" x14ac:dyDescent="0.45">
      <c r="A34" s="3" t="s">
        <v>47</v>
      </c>
      <c r="B34" s="5">
        <v>45862</v>
      </c>
      <c r="C34" s="5">
        <v>45875</v>
      </c>
      <c r="D34" s="5">
        <f t="shared" si="18"/>
        <v>45862</v>
      </c>
      <c r="E34" s="5">
        <f t="shared" si="19"/>
        <v>45875</v>
      </c>
      <c r="F34" s="7">
        <f t="shared" si="20"/>
        <v>13</v>
      </c>
      <c r="G34" s="23" t="str">
        <f t="shared" si="21"/>
        <v>7-2025</v>
      </c>
      <c r="H34" s="3" t="s">
        <v>646</v>
      </c>
      <c r="I34" s="3" t="s">
        <v>661</v>
      </c>
      <c r="J34" s="3" t="s">
        <v>682</v>
      </c>
      <c r="K34" s="3" t="s">
        <v>702</v>
      </c>
      <c r="L34" s="3" t="s">
        <v>709</v>
      </c>
      <c r="M34" s="3" t="s">
        <v>726</v>
      </c>
      <c r="N34" s="3" t="s">
        <v>729</v>
      </c>
      <c r="O34" s="3" t="s">
        <v>766</v>
      </c>
      <c r="P34" s="19">
        <v>1463.9</v>
      </c>
      <c r="Q34" s="19">
        <v>2633.02</v>
      </c>
      <c r="R34" s="15">
        <v>8.4000000000000005E-2</v>
      </c>
      <c r="S34" s="7">
        <v>4</v>
      </c>
      <c r="T34" s="13">
        <f t="shared" si="3"/>
        <v>9647.3852800000004</v>
      </c>
      <c r="U34" s="13">
        <f t="shared" si="4"/>
        <v>5855.6</v>
      </c>
      <c r="V34" s="13">
        <f t="shared" si="22"/>
        <v>3791.7852800000001</v>
      </c>
      <c r="W34" s="15">
        <f t="shared" si="23"/>
        <v>0.39303761277791527</v>
      </c>
      <c r="X34" s="17" t="str">
        <f t="shared" si="24"/>
        <v>Q3-2025</v>
      </c>
      <c r="Y34" t="str">
        <f t="shared" si="25"/>
        <v>Africa → South Africa → Johannesburg</v>
      </c>
      <c r="Z34" t="str">
        <f t="shared" si="26"/>
        <v>High</v>
      </c>
      <c r="AA34">
        <f t="shared" si="9"/>
        <v>2025</v>
      </c>
      <c r="AB34">
        <f t="shared" si="10"/>
        <v>7</v>
      </c>
      <c r="AC34" t="str">
        <f t="shared" si="11"/>
        <v>No</v>
      </c>
      <c r="AD34" t="str">
        <f t="shared" si="12"/>
        <v>No</v>
      </c>
      <c r="AE34" s="36">
        <f>IF(Dashboard!$P$47&gt;'Staging Data'!R34,'Staging Data'!R34,Dashboard!$P$47)</f>
        <v>8.4000000000000005E-2</v>
      </c>
      <c r="AF34">
        <f>(100%+Dashboard!$P$48)*'Staging Data'!P34</f>
        <v>1537.0950000000003</v>
      </c>
      <c r="AG34">
        <f>(100%+Dashboard!$P$49)*S34</f>
        <v>4.16</v>
      </c>
      <c r="AH34" s="13">
        <f t="shared" si="13"/>
        <v>10033.2806912</v>
      </c>
      <c r="AI34" s="13">
        <f t="shared" si="14"/>
        <v>6394.3152000000009</v>
      </c>
      <c r="AJ34" s="13">
        <f t="shared" si="15"/>
        <v>3638.9654911999987</v>
      </c>
    </row>
    <row r="35" spans="1:36" x14ac:dyDescent="0.45">
      <c r="A35" s="3" t="s">
        <v>48</v>
      </c>
      <c r="B35" s="5">
        <v>45400</v>
      </c>
      <c r="C35" s="5">
        <v>45420</v>
      </c>
      <c r="D35" s="5">
        <f t="shared" si="18"/>
        <v>45400</v>
      </c>
      <c r="E35" s="5">
        <f t="shared" si="19"/>
        <v>45420</v>
      </c>
      <c r="F35" s="7">
        <f t="shared" si="20"/>
        <v>20</v>
      </c>
      <c r="G35" s="23" t="str">
        <f t="shared" si="21"/>
        <v>4-2024</v>
      </c>
      <c r="H35" s="3" t="s">
        <v>649</v>
      </c>
      <c r="I35" s="3" t="s">
        <v>658</v>
      </c>
      <c r="J35" s="3" t="s">
        <v>683</v>
      </c>
      <c r="K35" s="3" t="s">
        <v>703</v>
      </c>
      <c r="L35" s="3" t="s">
        <v>1423</v>
      </c>
      <c r="M35" s="3" t="s">
        <v>726</v>
      </c>
      <c r="N35" s="3" t="s">
        <v>731</v>
      </c>
      <c r="O35" s="3" t="s">
        <v>767</v>
      </c>
      <c r="P35" s="19">
        <v>645.33000000000004</v>
      </c>
      <c r="Q35" s="19">
        <v>1321.85</v>
      </c>
      <c r="R35" s="15">
        <v>0</v>
      </c>
      <c r="S35" s="7">
        <v>10</v>
      </c>
      <c r="T35" s="13">
        <f t="shared" si="3"/>
        <v>13218.5</v>
      </c>
      <c r="U35" s="13">
        <f t="shared" si="4"/>
        <v>6453.3</v>
      </c>
      <c r="V35" s="13">
        <f t="shared" si="22"/>
        <v>6765.2</v>
      </c>
      <c r="W35" s="15">
        <f t="shared" si="23"/>
        <v>0.51179785906116426</v>
      </c>
      <c r="X35" s="17" t="str">
        <f t="shared" si="24"/>
        <v>Q2-2024</v>
      </c>
      <c r="Y35" t="str">
        <f t="shared" si="25"/>
        <v>Europe → United Kingdom → London</v>
      </c>
      <c r="Z35" t="str">
        <f t="shared" si="26"/>
        <v>Medium</v>
      </c>
      <c r="AA35">
        <f t="shared" si="9"/>
        <v>2024</v>
      </c>
      <c r="AB35">
        <f t="shared" si="10"/>
        <v>4</v>
      </c>
      <c r="AC35" t="str">
        <f t="shared" si="11"/>
        <v>No</v>
      </c>
      <c r="AD35" t="str">
        <f t="shared" si="12"/>
        <v>No</v>
      </c>
      <c r="AE35" s="36">
        <f>IF(Dashboard!$P$47&gt;'Staging Data'!R35,'Staging Data'!R35,Dashboard!$P$47)</f>
        <v>0</v>
      </c>
      <c r="AF35">
        <f>(100%+Dashboard!$P$48)*'Staging Data'!P35</f>
        <v>677.59650000000011</v>
      </c>
      <c r="AG35">
        <f>(100%+Dashboard!$P$49)*S35</f>
        <v>10.4</v>
      </c>
      <c r="AH35" s="13">
        <f t="shared" si="13"/>
        <v>13747.24</v>
      </c>
      <c r="AI35" s="13">
        <f t="shared" si="14"/>
        <v>7047.0036000000009</v>
      </c>
      <c r="AJ35" s="13">
        <f t="shared" si="15"/>
        <v>6700.2363999999989</v>
      </c>
    </row>
    <row r="36" spans="1:36" x14ac:dyDescent="0.45">
      <c r="A36" s="3" t="s">
        <v>49</v>
      </c>
      <c r="B36" s="5">
        <v>45527</v>
      </c>
      <c r="C36" s="5">
        <v>45525</v>
      </c>
      <c r="D36" s="5">
        <f t="shared" si="18"/>
        <v>45525</v>
      </c>
      <c r="E36" s="5">
        <f t="shared" si="19"/>
        <v>45527</v>
      </c>
      <c r="F36" s="7">
        <f t="shared" si="20"/>
        <v>2</v>
      </c>
      <c r="G36" s="23" t="str">
        <f t="shared" si="21"/>
        <v>8-2024</v>
      </c>
      <c r="H36" s="3" t="s">
        <v>646</v>
      </c>
      <c r="I36" s="3" t="s">
        <v>661</v>
      </c>
      <c r="J36" s="3" t="s">
        <v>682</v>
      </c>
      <c r="K36" s="3" t="s">
        <v>702</v>
      </c>
      <c r="L36" s="3" t="s">
        <v>707</v>
      </c>
      <c r="M36" s="3" t="s">
        <v>718</v>
      </c>
      <c r="N36" s="3" t="s">
        <v>727</v>
      </c>
      <c r="O36" s="3" t="s">
        <v>768</v>
      </c>
      <c r="P36" s="19">
        <v>1432.52</v>
      </c>
      <c r="Q36" s="19">
        <v>3036.87</v>
      </c>
      <c r="R36" s="15">
        <v>0</v>
      </c>
      <c r="S36" s="7">
        <v>9</v>
      </c>
      <c r="T36" s="13">
        <f t="shared" si="3"/>
        <v>27331.829999999998</v>
      </c>
      <c r="U36" s="13">
        <f t="shared" si="4"/>
        <v>12892.68</v>
      </c>
      <c r="V36" s="13">
        <f t="shared" si="22"/>
        <v>14439.149999999998</v>
      </c>
      <c r="W36" s="15">
        <f t="shared" si="23"/>
        <v>0.52829064135112791</v>
      </c>
      <c r="X36" s="17" t="str">
        <f t="shared" si="24"/>
        <v>Q3-2024</v>
      </c>
      <c r="Y36" t="str">
        <f t="shared" si="25"/>
        <v>Africa → South Africa → Johannesburg</v>
      </c>
      <c r="Z36" t="str">
        <f t="shared" si="26"/>
        <v>High</v>
      </c>
      <c r="AA36">
        <f t="shared" si="9"/>
        <v>2024</v>
      </c>
      <c r="AB36">
        <f t="shared" si="10"/>
        <v>8</v>
      </c>
      <c r="AC36" t="str">
        <f t="shared" si="11"/>
        <v>Yes</v>
      </c>
      <c r="AD36" t="str">
        <f t="shared" si="12"/>
        <v>No</v>
      </c>
      <c r="AE36" s="36">
        <f>IF(Dashboard!$P$47&gt;'Staging Data'!R36,'Staging Data'!R36,Dashboard!$P$47)</f>
        <v>0</v>
      </c>
      <c r="AF36">
        <f>(100%+Dashboard!$P$48)*'Staging Data'!P36</f>
        <v>1504.146</v>
      </c>
      <c r="AG36">
        <f>(100%+Dashboard!$P$49)*S36</f>
        <v>9.36</v>
      </c>
      <c r="AH36" s="13">
        <f t="shared" si="13"/>
        <v>28425.103199999998</v>
      </c>
      <c r="AI36" s="13">
        <f t="shared" si="14"/>
        <v>14078.806559999999</v>
      </c>
      <c r="AJ36" s="13">
        <f t="shared" si="15"/>
        <v>14346.296639999999</v>
      </c>
    </row>
    <row r="37" spans="1:36" x14ac:dyDescent="0.45">
      <c r="A37" s="3" t="s">
        <v>50</v>
      </c>
      <c r="B37" s="5">
        <v>45012</v>
      </c>
      <c r="C37" s="5">
        <v>45038</v>
      </c>
      <c r="D37" s="5">
        <f t="shared" si="18"/>
        <v>45012</v>
      </c>
      <c r="E37" s="5">
        <f t="shared" si="19"/>
        <v>45038</v>
      </c>
      <c r="F37" s="7">
        <f t="shared" si="20"/>
        <v>26</v>
      </c>
      <c r="G37" s="23" t="str">
        <f t="shared" si="21"/>
        <v>3-2023</v>
      </c>
      <c r="H37" s="3" t="s">
        <v>647</v>
      </c>
      <c r="I37" s="3" t="s">
        <v>654</v>
      </c>
      <c r="J37" s="3" t="s">
        <v>680</v>
      </c>
      <c r="K37" s="3" t="s">
        <v>703</v>
      </c>
      <c r="L37" s="3" t="s">
        <v>709</v>
      </c>
      <c r="M37" s="3" t="s">
        <v>713</v>
      </c>
      <c r="N37" s="3" t="s">
        <v>728</v>
      </c>
      <c r="O37" s="3" t="s">
        <v>769</v>
      </c>
      <c r="P37" s="19">
        <v>178.53</v>
      </c>
      <c r="Q37" s="19">
        <v>199.37</v>
      </c>
      <c r="R37" s="15">
        <v>0.10100000000000001</v>
      </c>
      <c r="S37" s="7">
        <v>37</v>
      </c>
      <c r="T37" s="13">
        <f t="shared" si="3"/>
        <v>6631.6443100000006</v>
      </c>
      <c r="U37" s="13">
        <f t="shared" si="4"/>
        <v>6605.61</v>
      </c>
      <c r="V37" s="13">
        <f t="shared" si="22"/>
        <v>26.034310000000914</v>
      </c>
      <c r="W37" s="15">
        <f t="shared" si="23"/>
        <v>3.9257699573457538E-3</v>
      </c>
      <c r="X37" s="17" t="str">
        <f t="shared" si="24"/>
        <v>Q1-2023</v>
      </c>
      <c r="Y37" t="str">
        <f t="shared" si="25"/>
        <v>Asia → India → Delhi</v>
      </c>
      <c r="Z37" t="str">
        <f t="shared" si="26"/>
        <v>Low</v>
      </c>
      <c r="AA37">
        <f t="shared" si="9"/>
        <v>2023</v>
      </c>
      <c r="AB37">
        <f t="shared" si="10"/>
        <v>3</v>
      </c>
      <c r="AC37" t="str">
        <f t="shared" si="11"/>
        <v>No</v>
      </c>
      <c r="AD37" t="str">
        <f t="shared" si="12"/>
        <v>No</v>
      </c>
      <c r="AE37" s="36">
        <f>IF(Dashboard!$P$47&gt;'Staging Data'!R37,'Staging Data'!R37,Dashboard!$P$47)</f>
        <v>0.1</v>
      </c>
      <c r="AF37">
        <f>(100%+Dashboard!$P$48)*'Staging Data'!P37</f>
        <v>187.45650000000001</v>
      </c>
      <c r="AG37">
        <f>(100%+Dashboard!$P$49)*S37</f>
        <v>38.480000000000004</v>
      </c>
      <c r="AH37" s="13">
        <f t="shared" si="13"/>
        <v>6904.5818400000007</v>
      </c>
      <c r="AI37" s="13">
        <f t="shared" si="14"/>
        <v>7213.3261200000006</v>
      </c>
      <c r="AJ37" s="13">
        <f t="shared" si="15"/>
        <v>-308.74427999999989</v>
      </c>
    </row>
    <row r="38" spans="1:36" x14ac:dyDescent="0.45">
      <c r="A38" s="3" t="s">
        <v>51</v>
      </c>
      <c r="B38" s="5">
        <v>45358</v>
      </c>
      <c r="C38" s="5">
        <v>45376</v>
      </c>
      <c r="D38" s="5">
        <f t="shared" si="18"/>
        <v>45358</v>
      </c>
      <c r="E38" s="5">
        <f t="shared" si="19"/>
        <v>45376</v>
      </c>
      <c r="F38" s="7">
        <f t="shared" si="20"/>
        <v>18</v>
      </c>
      <c r="G38" s="23" t="str">
        <f t="shared" si="21"/>
        <v>3-2024</v>
      </c>
      <c r="H38" s="3" t="s">
        <v>649</v>
      </c>
      <c r="I38" s="3" t="s">
        <v>656</v>
      </c>
      <c r="J38" s="3" t="s">
        <v>684</v>
      </c>
      <c r="K38" s="3" t="s">
        <v>701</v>
      </c>
      <c r="L38" s="3" t="s">
        <v>708</v>
      </c>
      <c r="M38" s="3" t="s">
        <v>717</v>
      </c>
      <c r="N38" s="3" t="s">
        <v>727</v>
      </c>
      <c r="O38" s="3" t="s">
        <v>770</v>
      </c>
      <c r="P38" s="19">
        <v>712.84</v>
      </c>
      <c r="Q38" s="19">
        <v>927.51</v>
      </c>
      <c r="R38" s="15">
        <v>0.24299999999999999</v>
      </c>
      <c r="S38" s="7">
        <v>27</v>
      </c>
      <c r="T38" s="13">
        <f t="shared" si="3"/>
        <v>18957.37689</v>
      </c>
      <c r="U38" s="13">
        <f t="shared" si="4"/>
        <v>19246.68</v>
      </c>
      <c r="V38" s="13">
        <f t="shared" si="22"/>
        <v>-289.30311000000074</v>
      </c>
      <c r="W38" s="15">
        <f t="shared" si="23"/>
        <v>-1.5260714163076427E-2</v>
      </c>
      <c r="X38" s="17" t="str">
        <f t="shared" si="24"/>
        <v>Q1-2024</v>
      </c>
      <c r="Y38" t="str">
        <f t="shared" si="25"/>
        <v>Europe → Germany → Munich</v>
      </c>
      <c r="Z38" t="str">
        <f t="shared" si="26"/>
        <v>Low</v>
      </c>
      <c r="AA38">
        <f t="shared" si="9"/>
        <v>2024</v>
      </c>
      <c r="AB38">
        <f t="shared" si="10"/>
        <v>3</v>
      </c>
      <c r="AC38" t="str">
        <f t="shared" si="11"/>
        <v>No</v>
      </c>
      <c r="AD38" t="str">
        <f t="shared" si="12"/>
        <v>Yes</v>
      </c>
      <c r="AE38" s="36">
        <f>IF(Dashboard!$P$47&gt;'Staging Data'!R38,'Staging Data'!R38,Dashboard!$P$47)</f>
        <v>0.1</v>
      </c>
      <c r="AF38">
        <f>(100%+Dashboard!$P$48)*'Staging Data'!P38</f>
        <v>748.48200000000008</v>
      </c>
      <c r="AG38">
        <f>(100%+Dashboard!$P$49)*S38</f>
        <v>28.080000000000002</v>
      </c>
      <c r="AH38" s="13">
        <f t="shared" si="13"/>
        <v>23440.032720000003</v>
      </c>
      <c r="AI38" s="13">
        <f t="shared" si="14"/>
        <v>21017.374560000004</v>
      </c>
      <c r="AJ38" s="13">
        <f t="shared" si="15"/>
        <v>2422.658159999999</v>
      </c>
    </row>
    <row r="39" spans="1:36" x14ac:dyDescent="0.45">
      <c r="A39" s="3" t="s">
        <v>52</v>
      </c>
      <c r="B39" s="5">
        <v>45832</v>
      </c>
      <c r="C39" s="5">
        <v>45848</v>
      </c>
      <c r="D39" s="5">
        <f t="shared" si="18"/>
        <v>45832</v>
      </c>
      <c r="E39" s="5">
        <f t="shared" si="19"/>
        <v>45848</v>
      </c>
      <c r="F39" s="7">
        <f t="shared" si="20"/>
        <v>16</v>
      </c>
      <c r="G39" s="23" t="str">
        <f t="shared" si="21"/>
        <v>6-2025</v>
      </c>
      <c r="H39" s="3" t="s">
        <v>647</v>
      </c>
      <c r="I39" s="3" t="s">
        <v>659</v>
      </c>
      <c r="J39" s="3" t="s">
        <v>685</v>
      </c>
      <c r="K39" s="3" t="s">
        <v>706</v>
      </c>
      <c r="L39" s="3" t="s">
        <v>711</v>
      </c>
      <c r="M39" s="3" t="s">
        <v>725</v>
      </c>
      <c r="N39" s="3" t="s">
        <v>727</v>
      </c>
      <c r="O39" s="3" t="s">
        <v>771</v>
      </c>
      <c r="P39" s="19">
        <v>757.19</v>
      </c>
      <c r="Q39" s="19">
        <v>1735.41</v>
      </c>
      <c r="R39" s="15">
        <v>0.13600000000000001</v>
      </c>
      <c r="S39" s="7">
        <v>8</v>
      </c>
      <c r="T39" s="13">
        <f t="shared" si="3"/>
        <v>11995.153920000001</v>
      </c>
      <c r="U39" s="13">
        <f t="shared" si="4"/>
        <v>6057.52</v>
      </c>
      <c r="V39" s="13">
        <f t="shared" si="22"/>
        <v>5937.6339200000002</v>
      </c>
      <c r="W39" s="15">
        <f t="shared" si="23"/>
        <v>0.4950027285685718</v>
      </c>
      <c r="X39" s="17" t="str">
        <f t="shared" si="24"/>
        <v>Q2-2025</v>
      </c>
      <c r="Y39" t="str">
        <f t="shared" si="25"/>
        <v>Asia → China → Shanghai</v>
      </c>
      <c r="Z39" t="str">
        <f t="shared" si="26"/>
        <v>Medium</v>
      </c>
      <c r="AA39">
        <f t="shared" si="9"/>
        <v>2025</v>
      </c>
      <c r="AB39">
        <f t="shared" si="10"/>
        <v>6</v>
      </c>
      <c r="AC39" t="str">
        <f t="shared" si="11"/>
        <v>No</v>
      </c>
      <c r="AD39" t="str">
        <f t="shared" si="12"/>
        <v>No</v>
      </c>
      <c r="AE39" s="36">
        <f>IF(Dashboard!$P$47&gt;'Staging Data'!R39,'Staging Data'!R39,Dashboard!$P$47)</f>
        <v>0.1</v>
      </c>
      <c r="AF39">
        <f>(100%+Dashboard!$P$48)*'Staging Data'!P39</f>
        <v>795.04950000000008</v>
      </c>
      <c r="AG39">
        <f>(100%+Dashboard!$P$49)*S39</f>
        <v>8.32</v>
      </c>
      <c r="AH39" s="13">
        <f t="shared" si="13"/>
        <v>12994.750080000002</v>
      </c>
      <c r="AI39" s="13">
        <f t="shared" si="14"/>
        <v>6614.8118400000012</v>
      </c>
      <c r="AJ39" s="13">
        <f t="shared" si="15"/>
        <v>6379.9382400000004</v>
      </c>
    </row>
    <row r="40" spans="1:36" x14ac:dyDescent="0.45">
      <c r="A40" s="3" t="s">
        <v>53</v>
      </c>
      <c r="B40" s="5">
        <v>45401</v>
      </c>
      <c r="C40" s="5">
        <v>45418</v>
      </c>
      <c r="D40" s="5">
        <f t="shared" si="18"/>
        <v>45401</v>
      </c>
      <c r="E40" s="5">
        <f t="shared" si="19"/>
        <v>45418</v>
      </c>
      <c r="F40" s="7">
        <f t="shared" si="20"/>
        <v>17</v>
      </c>
      <c r="G40" s="23" t="str">
        <f t="shared" si="21"/>
        <v>4-2024</v>
      </c>
      <c r="H40" s="3" t="s">
        <v>646</v>
      </c>
      <c r="I40" s="3" t="s">
        <v>651</v>
      </c>
      <c r="J40" s="3" t="s">
        <v>663</v>
      </c>
      <c r="K40" s="3" t="s">
        <v>703</v>
      </c>
      <c r="L40" s="3" t="s">
        <v>708</v>
      </c>
      <c r="M40" s="3" t="s">
        <v>720</v>
      </c>
      <c r="N40" s="3" t="s">
        <v>728</v>
      </c>
      <c r="O40" s="3" t="s">
        <v>772</v>
      </c>
      <c r="P40" s="19">
        <v>865.33</v>
      </c>
      <c r="Q40" s="19">
        <v>1395.64</v>
      </c>
      <c r="R40" s="15">
        <v>0.17499999999999999</v>
      </c>
      <c r="S40" s="7">
        <v>13</v>
      </c>
      <c r="T40" s="13">
        <f t="shared" si="3"/>
        <v>14968.239</v>
      </c>
      <c r="U40" s="13">
        <f t="shared" si="4"/>
        <v>11249.29</v>
      </c>
      <c r="V40" s="13">
        <f t="shared" si="22"/>
        <v>3718.9489999999987</v>
      </c>
      <c r="W40" s="15">
        <f t="shared" si="23"/>
        <v>0.24845601409758347</v>
      </c>
      <c r="X40" s="17" t="str">
        <f t="shared" si="24"/>
        <v>Q2-2024</v>
      </c>
      <c r="Y40" t="str">
        <f t="shared" si="25"/>
        <v>Africa → Nigeria → Port Harcourt</v>
      </c>
      <c r="Z40" t="str">
        <f t="shared" si="26"/>
        <v>Medium</v>
      </c>
      <c r="AA40">
        <f t="shared" si="9"/>
        <v>2024</v>
      </c>
      <c r="AB40">
        <f t="shared" si="10"/>
        <v>4</v>
      </c>
      <c r="AC40" t="str">
        <f t="shared" si="11"/>
        <v>No</v>
      </c>
      <c r="AD40" t="str">
        <f t="shared" si="12"/>
        <v>No</v>
      </c>
      <c r="AE40" s="36">
        <f>IF(Dashboard!$P$47&gt;'Staging Data'!R40,'Staging Data'!R40,Dashboard!$P$47)</f>
        <v>0.1</v>
      </c>
      <c r="AF40">
        <f>(100%+Dashboard!$P$48)*'Staging Data'!P40</f>
        <v>908.59650000000011</v>
      </c>
      <c r="AG40">
        <f>(100%+Dashboard!$P$49)*S40</f>
        <v>13.52</v>
      </c>
      <c r="AH40" s="13">
        <f t="shared" si="13"/>
        <v>16982.147520000002</v>
      </c>
      <c r="AI40" s="13">
        <f t="shared" si="14"/>
        <v>12284.224680000001</v>
      </c>
      <c r="AJ40" s="13">
        <f t="shared" si="15"/>
        <v>4697.9228400000011</v>
      </c>
    </row>
    <row r="41" spans="1:36" x14ac:dyDescent="0.45">
      <c r="A41" s="3" t="s">
        <v>54</v>
      </c>
      <c r="B41" s="5">
        <v>45094</v>
      </c>
      <c r="C41" s="5">
        <v>45101</v>
      </c>
      <c r="D41" s="5">
        <f t="shared" si="18"/>
        <v>45094</v>
      </c>
      <c r="E41" s="5">
        <f t="shared" si="19"/>
        <v>45101</v>
      </c>
      <c r="F41" s="7">
        <f t="shared" si="20"/>
        <v>7</v>
      </c>
      <c r="G41" s="23" t="str">
        <f t="shared" si="21"/>
        <v>6-2023</v>
      </c>
      <c r="H41" s="3" t="s">
        <v>648</v>
      </c>
      <c r="I41" s="3" t="s">
        <v>660</v>
      </c>
      <c r="J41" s="3" t="s">
        <v>686</v>
      </c>
      <c r="K41" s="3" t="s">
        <v>701</v>
      </c>
      <c r="L41" s="3" t="s">
        <v>707</v>
      </c>
      <c r="M41" s="3" t="s">
        <v>714</v>
      </c>
      <c r="N41" s="3" t="s">
        <v>728</v>
      </c>
      <c r="O41" s="3" t="s">
        <v>773</v>
      </c>
      <c r="P41" s="19">
        <v>313.99</v>
      </c>
      <c r="Q41" s="19">
        <v>454.42</v>
      </c>
      <c r="R41" s="15">
        <v>0.129</v>
      </c>
      <c r="S41" s="7">
        <v>9</v>
      </c>
      <c r="T41" s="13">
        <f t="shared" si="3"/>
        <v>3562.1983800000003</v>
      </c>
      <c r="U41" s="13">
        <f t="shared" si="4"/>
        <v>2825.91</v>
      </c>
      <c r="V41" s="13">
        <f t="shared" si="22"/>
        <v>736.28838000000042</v>
      </c>
      <c r="W41" s="15">
        <f t="shared" si="23"/>
        <v>0.20669493988147858</v>
      </c>
      <c r="X41" s="17" t="str">
        <f t="shared" si="24"/>
        <v>Q2-2023</v>
      </c>
      <c r="Y41" t="str">
        <f t="shared" si="25"/>
        <v>Americas → USA → San Francisco</v>
      </c>
      <c r="Z41" t="str">
        <f t="shared" si="26"/>
        <v>Low</v>
      </c>
      <c r="AA41">
        <f t="shared" si="9"/>
        <v>2023</v>
      </c>
      <c r="AB41">
        <f t="shared" si="10"/>
        <v>6</v>
      </c>
      <c r="AC41" t="str">
        <f t="shared" si="11"/>
        <v>Yes</v>
      </c>
      <c r="AD41" t="str">
        <f t="shared" si="12"/>
        <v>No</v>
      </c>
      <c r="AE41" s="36">
        <f>IF(Dashboard!$P$47&gt;'Staging Data'!R41,'Staging Data'!R41,Dashboard!$P$47)</f>
        <v>0.1</v>
      </c>
      <c r="AF41">
        <f>(100%+Dashboard!$P$48)*'Staging Data'!P41</f>
        <v>329.68950000000001</v>
      </c>
      <c r="AG41">
        <f>(100%+Dashboard!$P$49)*S41</f>
        <v>9.36</v>
      </c>
      <c r="AH41" s="13">
        <f t="shared" si="13"/>
        <v>3828.0340799999999</v>
      </c>
      <c r="AI41" s="13">
        <f t="shared" si="14"/>
        <v>3085.89372</v>
      </c>
      <c r="AJ41" s="13">
        <f t="shared" si="15"/>
        <v>742.14035999999987</v>
      </c>
    </row>
    <row r="42" spans="1:36" x14ac:dyDescent="0.45">
      <c r="A42" s="3" t="s">
        <v>55</v>
      </c>
      <c r="B42" s="5">
        <v>45531</v>
      </c>
      <c r="C42" s="5">
        <v>45554</v>
      </c>
      <c r="D42" s="5">
        <f t="shared" si="18"/>
        <v>45531</v>
      </c>
      <c r="E42" s="5">
        <f t="shared" si="19"/>
        <v>45554</v>
      </c>
      <c r="F42" s="7">
        <f t="shared" si="20"/>
        <v>23</v>
      </c>
      <c r="G42" s="23" t="str">
        <f t="shared" si="21"/>
        <v>8-2024</v>
      </c>
      <c r="H42" s="3" t="s">
        <v>649</v>
      </c>
      <c r="I42" s="3" t="s">
        <v>656</v>
      </c>
      <c r="J42" s="3" t="s">
        <v>671</v>
      </c>
      <c r="K42" s="3" t="s">
        <v>705</v>
      </c>
      <c r="L42" s="3" t="s">
        <v>711</v>
      </c>
      <c r="M42" s="3" t="s">
        <v>726</v>
      </c>
      <c r="N42" s="3" t="s">
        <v>732</v>
      </c>
      <c r="O42" s="3" t="s">
        <v>774</v>
      </c>
      <c r="P42" s="19">
        <v>1024.01</v>
      </c>
      <c r="Q42" s="19">
        <v>1580.97</v>
      </c>
      <c r="R42" s="15">
        <v>3.6999999999999998E-2</v>
      </c>
      <c r="S42" s="7">
        <v>27</v>
      </c>
      <c r="T42" s="13">
        <f t="shared" si="3"/>
        <v>41106.800970000004</v>
      </c>
      <c r="U42" s="13">
        <f t="shared" si="4"/>
        <v>27648.27</v>
      </c>
      <c r="V42" s="13">
        <f t="shared" si="22"/>
        <v>13458.530970000003</v>
      </c>
      <c r="W42" s="15">
        <f t="shared" si="23"/>
        <v>0.3274039976942531</v>
      </c>
      <c r="X42" s="17" t="str">
        <f t="shared" si="24"/>
        <v>Q3-2024</v>
      </c>
      <c r="Y42" t="str">
        <f t="shared" si="25"/>
        <v>Europe → Germany → Berlin</v>
      </c>
      <c r="Z42" t="str">
        <f t="shared" si="26"/>
        <v>Medium</v>
      </c>
      <c r="AA42">
        <f t="shared" si="9"/>
        <v>2024</v>
      </c>
      <c r="AB42">
        <f t="shared" si="10"/>
        <v>8</v>
      </c>
      <c r="AC42" t="str">
        <f t="shared" si="11"/>
        <v>No</v>
      </c>
      <c r="AD42" t="str">
        <f t="shared" si="12"/>
        <v>No</v>
      </c>
      <c r="AE42" s="36">
        <f>IF(Dashboard!$P$47&gt;'Staging Data'!R42,'Staging Data'!R42,Dashboard!$P$47)</f>
        <v>3.6999999999999998E-2</v>
      </c>
      <c r="AF42">
        <f>(100%+Dashboard!$P$48)*'Staging Data'!P42</f>
        <v>1075.2105000000001</v>
      </c>
      <c r="AG42">
        <f>(100%+Dashboard!$P$49)*S42</f>
        <v>28.080000000000002</v>
      </c>
      <c r="AH42" s="13">
        <f t="shared" si="13"/>
        <v>42751.073008799998</v>
      </c>
      <c r="AI42" s="13">
        <f t="shared" si="14"/>
        <v>30191.910840000004</v>
      </c>
      <c r="AJ42" s="13">
        <f t="shared" si="15"/>
        <v>12559.162168799994</v>
      </c>
    </row>
    <row r="43" spans="1:36" x14ac:dyDescent="0.45">
      <c r="A43" s="3" t="s">
        <v>56</v>
      </c>
      <c r="B43" s="5">
        <v>45302</v>
      </c>
      <c r="C43" s="5">
        <v>45324</v>
      </c>
      <c r="D43" s="5">
        <f t="shared" si="18"/>
        <v>45302</v>
      </c>
      <c r="E43" s="5">
        <f t="shared" si="19"/>
        <v>45324</v>
      </c>
      <c r="F43" s="7">
        <f t="shared" si="20"/>
        <v>22</v>
      </c>
      <c r="G43" s="23" t="str">
        <f t="shared" si="21"/>
        <v>1-2024</v>
      </c>
      <c r="H43" s="3" t="s">
        <v>646</v>
      </c>
      <c r="I43" s="3" t="s">
        <v>661</v>
      </c>
      <c r="J43" s="3" t="s">
        <v>687</v>
      </c>
      <c r="K43" s="3" t="s">
        <v>704</v>
      </c>
      <c r="L43" s="3" t="s">
        <v>708</v>
      </c>
      <c r="M43" s="3" t="s">
        <v>723</v>
      </c>
      <c r="N43" s="3" t="s">
        <v>729</v>
      </c>
      <c r="O43" s="3" t="s">
        <v>775</v>
      </c>
      <c r="P43" s="19">
        <v>1206.2</v>
      </c>
      <c r="Q43" s="19">
        <v>1759.79</v>
      </c>
      <c r="R43" s="15">
        <v>0</v>
      </c>
      <c r="S43" s="7">
        <v>6</v>
      </c>
      <c r="T43" s="13">
        <f t="shared" si="3"/>
        <v>10558.74</v>
      </c>
      <c r="U43" s="13">
        <f t="shared" si="4"/>
        <v>7237.2000000000007</v>
      </c>
      <c r="V43" s="13">
        <f t="shared" si="22"/>
        <v>3321.5399999999991</v>
      </c>
      <c r="W43" s="15">
        <f t="shared" si="23"/>
        <v>0.31457730751964713</v>
      </c>
      <c r="X43" s="17" t="str">
        <f t="shared" si="24"/>
        <v>Q1-2024</v>
      </c>
      <c r="Y43" t="str">
        <f t="shared" si="25"/>
        <v>Africa → South Africa → Durban</v>
      </c>
      <c r="Z43" t="str">
        <f t="shared" si="26"/>
        <v>Medium</v>
      </c>
      <c r="AA43">
        <f t="shared" si="9"/>
        <v>2024</v>
      </c>
      <c r="AB43">
        <f t="shared" si="10"/>
        <v>1</v>
      </c>
      <c r="AC43" t="str">
        <f t="shared" si="11"/>
        <v>No</v>
      </c>
      <c r="AD43" t="str">
        <f t="shared" si="12"/>
        <v>No</v>
      </c>
      <c r="AE43" s="36">
        <f>IF(Dashboard!$P$47&gt;'Staging Data'!R43,'Staging Data'!R43,Dashboard!$P$47)</f>
        <v>0</v>
      </c>
      <c r="AF43">
        <f>(100%+Dashboard!$P$48)*'Staging Data'!P43</f>
        <v>1266.51</v>
      </c>
      <c r="AG43">
        <f>(100%+Dashboard!$P$49)*S43</f>
        <v>6.24</v>
      </c>
      <c r="AH43" s="13">
        <f t="shared" si="13"/>
        <v>10981.089599999999</v>
      </c>
      <c r="AI43" s="13">
        <f t="shared" si="14"/>
        <v>7903.0223999999998</v>
      </c>
      <c r="AJ43" s="13">
        <f t="shared" si="15"/>
        <v>3078.0671999999995</v>
      </c>
    </row>
    <row r="44" spans="1:36" x14ac:dyDescent="0.45">
      <c r="A44" s="3" t="s">
        <v>57</v>
      </c>
      <c r="B44" s="5">
        <v>45590</v>
      </c>
      <c r="C44" s="5">
        <v>45610</v>
      </c>
      <c r="D44" s="5">
        <f t="shared" si="18"/>
        <v>45590</v>
      </c>
      <c r="E44" s="5">
        <f t="shared" si="19"/>
        <v>45610</v>
      </c>
      <c r="F44" s="7">
        <f t="shared" si="20"/>
        <v>20</v>
      </c>
      <c r="G44" s="23" t="str">
        <f t="shared" si="21"/>
        <v>10-2024</v>
      </c>
      <c r="H44" s="3" t="s">
        <v>646</v>
      </c>
      <c r="I44" s="3" t="s">
        <v>650</v>
      </c>
      <c r="J44" s="3" t="s">
        <v>675</v>
      </c>
      <c r="K44" s="3" t="s">
        <v>701</v>
      </c>
      <c r="L44" s="3" t="s">
        <v>711</v>
      </c>
      <c r="M44" s="3" t="s">
        <v>722</v>
      </c>
      <c r="N44" s="3" t="s">
        <v>728</v>
      </c>
      <c r="O44" s="3" t="s">
        <v>776</v>
      </c>
      <c r="P44" s="19">
        <v>1396.48</v>
      </c>
      <c r="Q44" s="19">
        <v>3204.5</v>
      </c>
      <c r="R44" s="15">
        <v>0.1186</v>
      </c>
      <c r="S44" s="7">
        <v>14</v>
      </c>
      <c r="T44" s="13">
        <f t="shared" si="3"/>
        <v>39542.248200000002</v>
      </c>
      <c r="U44" s="13">
        <f t="shared" si="4"/>
        <v>19550.72</v>
      </c>
      <c r="V44" s="13">
        <f t="shared" si="22"/>
        <v>19991.528200000001</v>
      </c>
      <c r="W44" s="15">
        <f t="shared" si="23"/>
        <v>0.50557388894240973</v>
      </c>
      <c r="X44" s="17" t="str">
        <f t="shared" si="24"/>
        <v>Q4-2024</v>
      </c>
      <c r="Y44" t="str">
        <f t="shared" si="25"/>
        <v>Africa → Kenya → Mombasa</v>
      </c>
      <c r="Z44" t="str">
        <f t="shared" si="26"/>
        <v>High</v>
      </c>
      <c r="AA44">
        <f t="shared" si="9"/>
        <v>2024</v>
      </c>
      <c r="AB44">
        <f t="shared" si="10"/>
        <v>10</v>
      </c>
      <c r="AC44" t="str">
        <f t="shared" si="11"/>
        <v>No</v>
      </c>
      <c r="AD44" t="str">
        <f t="shared" si="12"/>
        <v>No</v>
      </c>
      <c r="AE44" s="36">
        <f>IF(Dashboard!$P$47&gt;'Staging Data'!R44,'Staging Data'!R44,Dashboard!$P$47)</f>
        <v>0.1</v>
      </c>
      <c r="AF44">
        <f>(100%+Dashboard!$P$48)*'Staging Data'!P44</f>
        <v>1466.3040000000001</v>
      </c>
      <c r="AG44">
        <f>(100%+Dashboard!$P$49)*S44</f>
        <v>14.56</v>
      </c>
      <c r="AH44" s="13">
        <f t="shared" si="13"/>
        <v>41991.768000000004</v>
      </c>
      <c r="AI44" s="13">
        <f t="shared" si="14"/>
        <v>21349.386240000003</v>
      </c>
      <c r="AJ44" s="13">
        <f t="shared" si="15"/>
        <v>20642.38176</v>
      </c>
    </row>
    <row r="45" spans="1:36" x14ac:dyDescent="0.45">
      <c r="A45" s="3" t="s">
        <v>58</v>
      </c>
      <c r="B45" s="5">
        <v>45806</v>
      </c>
      <c r="C45" s="5">
        <v>45828</v>
      </c>
      <c r="D45" s="5">
        <f t="shared" si="18"/>
        <v>45806</v>
      </c>
      <c r="E45" s="5">
        <f t="shared" si="19"/>
        <v>45828</v>
      </c>
      <c r="F45" s="7">
        <f t="shared" si="20"/>
        <v>22</v>
      </c>
      <c r="G45" s="23" t="str">
        <f t="shared" si="21"/>
        <v>5-2025</v>
      </c>
      <c r="H45" s="3" t="s">
        <v>649</v>
      </c>
      <c r="I45" s="3" t="s">
        <v>656</v>
      </c>
      <c r="J45" s="3" t="s">
        <v>671</v>
      </c>
      <c r="K45" s="3" t="s">
        <v>701</v>
      </c>
      <c r="L45" s="3" t="s">
        <v>711</v>
      </c>
      <c r="M45" s="3" t="s">
        <v>720</v>
      </c>
      <c r="N45" s="3" t="s">
        <v>728</v>
      </c>
      <c r="O45" s="3" t="s">
        <v>777</v>
      </c>
      <c r="P45" s="19">
        <v>483.47</v>
      </c>
      <c r="Q45" s="19">
        <v>1135.43</v>
      </c>
      <c r="R45" s="15">
        <v>0.14599999999999999</v>
      </c>
      <c r="S45" s="7">
        <v>11</v>
      </c>
      <c r="T45" s="13">
        <f t="shared" si="3"/>
        <v>10666.229420000001</v>
      </c>
      <c r="U45" s="13">
        <f t="shared" si="4"/>
        <v>5318.17</v>
      </c>
      <c r="V45" s="13">
        <f t="shared" si="22"/>
        <v>5348.0594200000014</v>
      </c>
      <c r="W45" s="15">
        <f t="shared" si="23"/>
        <v>0.50140112399719983</v>
      </c>
      <c r="X45" s="17" t="str">
        <f t="shared" si="24"/>
        <v>Q2-2025</v>
      </c>
      <c r="Y45" t="str">
        <f t="shared" si="25"/>
        <v>Europe → Germany → Berlin</v>
      </c>
      <c r="Z45" t="str">
        <f t="shared" si="26"/>
        <v>Low</v>
      </c>
      <c r="AA45">
        <f t="shared" si="9"/>
        <v>2025</v>
      </c>
      <c r="AB45">
        <f t="shared" si="10"/>
        <v>5</v>
      </c>
      <c r="AC45" t="str">
        <f t="shared" si="11"/>
        <v>No</v>
      </c>
      <c r="AD45" t="str">
        <f t="shared" si="12"/>
        <v>No</v>
      </c>
      <c r="AE45" s="36">
        <f>IF(Dashboard!$P$47&gt;'Staging Data'!R45,'Staging Data'!R45,Dashboard!$P$47)</f>
        <v>0.1</v>
      </c>
      <c r="AF45">
        <f>(100%+Dashboard!$P$48)*'Staging Data'!P45</f>
        <v>507.64350000000007</v>
      </c>
      <c r="AG45">
        <f>(100%+Dashboard!$P$49)*S45</f>
        <v>11.440000000000001</v>
      </c>
      <c r="AH45" s="13">
        <f t="shared" si="13"/>
        <v>11690.387280000003</v>
      </c>
      <c r="AI45" s="13">
        <f t="shared" si="14"/>
        <v>5807.4416400000018</v>
      </c>
      <c r="AJ45" s="13">
        <f t="shared" si="15"/>
        <v>5882.9456400000008</v>
      </c>
    </row>
    <row r="46" spans="1:36" x14ac:dyDescent="0.45">
      <c r="A46" s="3" t="s">
        <v>59</v>
      </c>
      <c r="B46" s="5">
        <v>45432</v>
      </c>
      <c r="C46" s="5">
        <v>45445</v>
      </c>
      <c r="D46" s="5">
        <f t="shared" si="18"/>
        <v>45432</v>
      </c>
      <c r="E46" s="5">
        <f t="shared" si="19"/>
        <v>45445</v>
      </c>
      <c r="F46" s="7">
        <f t="shared" si="20"/>
        <v>13</v>
      </c>
      <c r="G46" s="23" t="str">
        <f t="shared" si="21"/>
        <v>5-2024</v>
      </c>
      <c r="H46" s="3" t="s">
        <v>648</v>
      </c>
      <c r="I46" s="3" t="s">
        <v>653</v>
      </c>
      <c r="J46" s="3" t="s">
        <v>688</v>
      </c>
      <c r="K46" s="3" t="s">
        <v>706</v>
      </c>
      <c r="L46" s="3" t="s">
        <v>709</v>
      </c>
      <c r="M46" s="3" t="s">
        <v>723</v>
      </c>
      <c r="N46" s="3" t="s">
        <v>727</v>
      </c>
      <c r="O46" s="3" t="s">
        <v>778</v>
      </c>
      <c r="P46" s="19">
        <v>675.43</v>
      </c>
      <c r="Q46" s="19">
        <v>996.36</v>
      </c>
      <c r="R46" s="15">
        <v>0.182</v>
      </c>
      <c r="S46" s="7">
        <v>22</v>
      </c>
      <c r="T46" s="13">
        <f t="shared" si="3"/>
        <v>17930.494560000003</v>
      </c>
      <c r="U46" s="13">
        <f t="shared" si="4"/>
        <v>14859.46</v>
      </c>
      <c r="V46" s="13">
        <f t="shared" si="22"/>
        <v>3071.0345600000037</v>
      </c>
      <c r="W46" s="15">
        <f t="shared" si="23"/>
        <v>0.17127439233332575</v>
      </c>
      <c r="X46" s="17" t="str">
        <f t="shared" si="24"/>
        <v>Q2-2024</v>
      </c>
      <c r="Y46" t="str">
        <f t="shared" si="25"/>
        <v>Americas → Canada → Vancouver</v>
      </c>
      <c r="Z46" t="str">
        <f t="shared" si="26"/>
        <v>Low</v>
      </c>
      <c r="AA46">
        <f t="shared" si="9"/>
        <v>2024</v>
      </c>
      <c r="AB46">
        <f t="shared" si="10"/>
        <v>5</v>
      </c>
      <c r="AC46" t="str">
        <f t="shared" si="11"/>
        <v>No</v>
      </c>
      <c r="AD46" t="str">
        <f t="shared" si="12"/>
        <v>No</v>
      </c>
      <c r="AE46" s="36">
        <f>IF(Dashboard!$P$47&gt;'Staging Data'!R46,'Staging Data'!R46,Dashboard!$P$47)</f>
        <v>0.1</v>
      </c>
      <c r="AF46">
        <f>(100%+Dashboard!$P$48)*'Staging Data'!P46</f>
        <v>709.20150000000001</v>
      </c>
      <c r="AG46">
        <f>(100%+Dashboard!$P$49)*S46</f>
        <v>22.880000000000003</v>
      </c>
      <c r="AH46" s="13">
        <f t="shared" si="13"/>
        <v>20517.045120000002</v>
      </c>
      <c r="AI46" s="13">
        <f t="shared" si="14"/>
        <v>16226.530320000002</v>
      </c>
      <c r="AJ46" s="13">
        <f t="shared" si="15"/>
        <v>4290.5148000000008</v>
      </c>
    </row>
    <row r="47" spans="1:36" x14ac:dyDescent="0.45">
      <c r="A47" s="3" t="s">
        <v>60</v>
      </c>
      <c r="B47" s="5">
        <v>45035</v>
      </c>
      <c r="C47" s="5">
        <v>45046</v>
      </c>
      <c r="D47" s="5">
        <f t="shared" si="18"/>
        <v>45035</v>
      </c>
      <c r="E47" s="5">
        <f t="shared" si="19"/>
        <v>45046</v>
      </c>
      <c r="F47" s="7">
        <f t="shared" si="20"/>
        <v>11</v>
      </c>
      <c r="G47" s="23" t="str">
        <f t="shared" si="21"/>
        <v>4-2023</v>
      </c>
      <c r="H47" s="3" t="s">
        <v>647</v>
      </c>
      <c r="I47" s="3" t="s">
        <v>654</v>
      </c>
      <c r="J47" s="3" t="s">
        <v>680</v>
      </c>
      <c r="K47" s="3" t="s">
        <v>705</v>
      </c>
      <c r="L47" s="3" t="s">
        <v>707</v>
      </c>
      <c r="M47" s="3" t="s">
        <v>720</v>
      </c>
      <c r="N47" s="3" t="s">
        <v>729</v>
      </c>
      <c r="O47" s="3" t="s">
        <v>779</v>
      </c>
      <c r="P47" s="19">
        <v>826.55</v>
      </c>
      <c r="Q47" s="19">
        <v>1397.05</v>
      </c>
      <c r="R47" s="15">
        <v>0.16900000000000001</v>
      </c>
      <c r="S47" s="7">
        <v>28</v>
      </c>
      <c r="T47" s="13">
        <f t="shared" si="3"/>
        <v>32506.559399999998</v>
      </c>
      <c r="U47" s="13">
        <f t="shared" si="4"/>
        <v>23143.399999999998</v>
      </c>
      <c r="V47" s="13">
        <f t="shared" si="22"/>
        <v>9363.1594000000005</v>
      </c>
      <c r="W47" s="15">
        <f t="shared" si="23"/>
        <v>0.28803907804527601</v>
      </c>
      <c r="X47" s="17" t="str">
        <f t="shared" si="24"/>
        <v>Q2-2023</v>
      </c>
      <c r="Y47" t="str">
        <f t="shared" si="25"/>
        <v>Asia → India → Delhi</v>
      </c>
      <c r="Z47" t="str">
        <f t="shared" si="26"/>
        <v>Medium</v>
      </c>
      <c r="AA47">
        <f t="shared" si="9"/>
        <v>2023</v>
      </c>
      <c r="AB47">
        <f t="shared" si="10"/>
        <v>4</v>
      </c>
      <c r="AC47" t="str">
        <f t="shared" si="11"/>
        <v>No</v>
      </c>
      <c r="AD47" t="str">
        <f t="shared" si="12"/>
        <v>No</v>
      </c>
      <c r="AE47" s="36">
        <f>IF(Dashboard!$P$47&gt;'Staging Data'!R47,'Staging Data'!R47,Dashboard!$P$47)</f>
        <v>0.1</v>
      </c>
      <c r="AF47">
        <f>(100%+Dashboard!$P$48)*'Staging Data'!P47</f>
        <v>867.87749999999994</v>
      </c>
      <c r="AG47">
        <f>(100%+Dashboard!$P$49)*S47</f>
        <v>29.12</v>
      </c>
      <c r="AH47" s="13">
        <f t="shared" si="13"/>
        <v>36613.886399999996</v>
      </c>
      <c r="AI47" s="13">
        <f t="shared" si="14"/>
        <v>25272.592799999999</v>
      </c>
      <c r="AJ47" s="13">
        <f t="shared" si="15"/>
        <v>11341.293599999997</v>
      </c>
    </row>
    <row r="48" spans="1:36" x14ac:dyDescent="0.45">
      <c r="A48" s="3" t="s">
        <v>61</v>
      </c>
      <c r="B48" s="5">
        <v>45100</v>
      </c>
      <c r="C48" s="5">
        <v>45110</v>
      </c>
      <c r="D48" s="5">
        <f t="shared" si="18"/>
        <v>45100</v>
      </c>
      <c r="E48" s="5">
        <f t="shared" si="19"/>
        <v>45110</v>
      </c>
      <c r="F48" s="7">
        <f t="shared" si="20"/>
        <v>10</v>
      </c>
      <c r="G48" s="23" t="str">
        <f t="shared" si="21"/>
        <v>6-2023</v>
      </c>
      <c r="H48" s="3" t="s">
        <v>646</v>
      </c>
      <c r="I48" s="3" t="s">
        <v>651</v>
      </c>
      <c r="J48" s="3" t="s">
        <v>669</v>
      </c>
      <c r="K48" s="3" t="s">
        <v>704</v>
      </c>
      <c r="L48" s="3" t="s">
        <v>708</v>
      </c>
      <c r="M48" s="3" t="s">
        <v>713</v>
      </c>
      <c r="N48" s="3" t="s">
        <v>728</v>
      </c>
      <c r="O48" s="3" t="s">
        <v>780</v>
      </c>
      <c r="P48" s="19">
        <v>337.75</v>
      </c>
      <c r="Q48" s="19">
        <v>548.89</v>
      </c>
      <c r="R48" s="15">
        <v>0</v>
      </c>
      <c r="S48" s="7">
        <v>13</v>
      </c>
      <c r="T48" s="13">
        <f t="shared" si="3"/>
        <v>7135.57</v>
      </c>
      <c r="U48" s="13">
        <f t="shared" si="4"/>
        <v>4390.75</v>
      </c>
      <c r="V48" s="13">
        <f t="shared" si="22"/>
        <v>2744.8199999999997</v>
      </c>
      <c r="W48" s="15">
        <f t="shared" si="23"/>
        <v>0.38466723751571352</v>
      </c>
      <c r="X48" s="17" t="str">
        <f t="shared" si="24"/>
        <v>Q2-2023</v>
      </c>
      <c r="Y48" t="str">
        <f t="shared" si="25"/>
        <v>Africa → Nigeria → Abuja</v>
      </c>
      <c r="Z48" t="str">
        <f t="shared" si="26"/>
        <v>Low</v>
      </c>
      <c r="AA48">
        <f t="shared" si="9"/>
        <v>2023</v>
      </c>
      <c r="AB48">
        <f t="shared" si="10"/>
        <v>6</v>
      </c>
      <c r="AC48" t="str">
        <f t="shared" si="11"/>
        <v>No</v>
      </c>
      <c r="AD48" t="str">
        <f t="shared" si="12"/>
        <v>No</v>
      </c>
      <c r="AE48" s="36">
        <f>IF(Dashboard!$P$47&gt;'Staging Data'!R48,'Staging Data'!R48,Dashboard!$P$47)</f>
        <v>0</v>
      </c>
      <c r="AF48">
        <f>(100%+Dashboard!$P$48)*'Staging Data'!P48</f>
        <v>354.63749999999999</v>
      </c>
      <c r="AG48">
        <f>(100%+Dashboard!$P$49)*S48</f>
        <v>13.52</v>
      </c>
      <c r="AH48" s="13">
        <f t="shared" si="13"/>
        <v>7420.9928</v>
      </c>
      <c r="AI48" s="13">
        <f t="shared" si="14"/>
        <v>4794.6989999999996</v>
      </c>
      <c r="AJ48" s="13">
        <f t="shared" si="15"/>
        <v>2626.2938000000004</v>
      </c>
    </row>
    <row r="49" spans="1:36" x14ac:dyDescent="0.45">
      <c r="A49" s="3" t="s">
        <v>62</v>
      </c>
      <c r="B49" s="5">
        <v>45426</v>
      </c>
      <c r="C49" s="5">
        <v>45440</v>
      </c>
      <c r="D49" s="5">
        <f t="shared" si="18"/>
        <v>45426</v>
      </c>
      <c r="E49" s="5">
        <f t="shared" si="19"/>
        <v>45440</v>
      </c>
      <c r="F49" s="7">
        <f t="shared" si="20"/>
        <v>14</v>
      </c>
      <c r="G49" s="23" t="str">
        <f t="shared" si="21"/>
        <v>5-2024</v>
      </c>
      <c r="H49" s="3" t="s">
        <v>649</v>
      </c>
      <c r="I49" s="3" t="s">
        <v>658</v>
      </c>
      <c r="J49" s="3" t="s">
        <v>674</v>
      </c>
      <c r="K49" s="3" t="s">
        <v>704</v>
      </c>
      <c r="L49" s="3" t="s">
        <v>707</v>
      </c>
      <c r="M49" s="3" t="s">
        <v>717</v>
      </c>
      <c r="N49" s="3" t="s">
        <v>729</v>
      </c>
      <c r="O49" s="3" t="s">
        <v>781</v>
      </c>
      <c r="P49" s="19">
        <v>1421.14</v>
      </c>
      <c r="Q49" s="19">
        <v>3524</v>
      </c>
      <c r="R49" s="15">
        <v>0</v>
      </c>
      <c r="S49" s="7">
        <v>31</v>
      </c>
      <c r="T49" s="13">
        <f t="shared" si="3"/>
        <v>109244</v>
      </c>
      <c r="U49" s="13">
        <f t="shared" si="4"/>
        <v>44055.340000000004</v>
      </c>
      <c r="V49" s="13">
        <f t="shared" si="22"/>
        <v>65188.659999999996</v>
      </c>
      <c r="W49" s="15">
        <f t="shared" si="23"/>
        <v>0.59672531214528945</v>
      </c>
      <c r="X49" s="17" t="str">
        <f t="shared" si="24"/>
        <v>Q2-2024</v>
      </c>
      <c r="Y49" t="str">
        <f t="shared" si="25"/>
        <v>Europe → United Kingdom → Birmingham</v>
      </c>
      <c r="Z49" t="str">
        <f t="shared" si="26"/>
        <v>High</v>
      </c>
      <c r="AA49">
        <f t="shared" si="9"/>
        <v>2024</v>
      </c>
      <c r="AB49">
        <f t="shared" si="10"/>
        <v>5</v>
      </c>
      <c r="AC49" t="str">
        <f t="shared" si="11"/>
        <v>No</v>
      </c>
      <c r="AD49" t="str">
        <f t="shared" si="12"/>
        <v>No</v>
      </c>
      <c r="AE49" s="36">
        <f>IF(Dashboard!$P$47&gt;'Staging Data'!R49,'Staging Data'!R49,Dashboard!$P$47)</f>
        <v>0</v>
      </c>
      <c r="AF49">
        <f>(100%+Dashboard!$P$48)*'Staging Data'!P49</f>
        <v>1492.1970000000001</v>
      </c>
      <c r="AG49">
        <f>(100%+Dashboard!$P$49)*S49</f>
        <v>32.24</v>
      </c>
      <c r="AH49" s="13">
        <f t="shared" si="13"/>
        <v>113613.76000000001</v>
      </c>
      <c r="AI49" s="13">
        <f t="shared" si="14"/>
        <v>48108.431280000004</v>
      </c>
      <c r="AJ49" s="13">
        <f t="shared" si="15"/>
        <v>65505.328720000005</v>
      </c>
    </row>
    <row r="50" spans="1:36" x14ac:dyDescent="0.45">
      <c r="A50" s="3" t="s">
        <v>63</v>
      </c>
      <c r="B50" s="5">
        <v>45579</v>
      </c>
      <c r="C50" s="5">
        <v>45604</v>
      </c>
      <c r="D50" s="5">
        <f t="shared" si="18"/>
        <v>45579</v>
      </c>
      <c r="E50" s="5">
        <f t="shared" si="19"/>
        <v>45604</v>
      </c>
      <c r="F50" s="7">
        <f t="shared" si="20"/>
        <v>25</v>
      </c>
      <c r="G50" s="23" t="str">
        <f t="shared" si="21"/>
        <v>10-2024</v>
      </c>
      <c r="H50" s="3" t="s">
        <v>646</v>
      </c>
      <c r="I50" s="3" t="s">
        <v>651</v>
      </c>
      <c r="J50" s="3" t="s">
        <v>665</v>
      </c>
      <c r="K50" s="3" t="s">
        <v>706</v>
      </c>
      <c r="L50" s="3" t="s">
        <v>708</v>
      </c>
      <c r="M50" s="3" t="s">
        <v>719</v>
      </c>
      <c r="N50" s="3" t="s">
        <v>729</v>
      </c>
      <c r="O50" s="3" t="s">
        <v>782</v>
      </c>
      <c r="P50" s="19">
        <v>859.35</v>
      </c>
      <c r="Q50" s="19">
        <v>1825.61</v>
      </c>
      <c r="R50" s="15">
        <v>0.187</v>
      </c>
      <c r="S50" s="7">
        <v>24</v>
      </c>
      <c r="T50" s="13">
        <f t="shared" si="3"/>
        <v>35621.302319999995</v>
      </c>
      <c r="U50" s="13">
        <f t="shared" si="4"/>
        <v>20624.400000000001</v>
      </c>
      <c r="V50" s="13">
        <f t="shared" si="22"/>
        <v>14996.902319999994</v>
      </c>
      <c r="W50" s="15">
        <f t="shared" si="23"/>
        <v>0.42100937762681989</v>
      </c>
      <c r="X50" s="17" t="str">
        <f t="shared" si="24"/>
        <v>Q4-2024</v>
      </c>
      <c r="Y50" t="str">
        <f t="shared" si="25"/>
        <v>Africa → Nigeria → Lagos</v>
      </c>
      <c r="Z50" t="str">
        <f t="shared" si="26"/>
        <v>Medium</v>
      </c>
      <c r="AA50">
        <f t="shared" si="9"/>
        <v>2024</v>
      </c>
      <c r="AB50">
        <f t="shared" si="10"/>
        <v>10</v>
      </c>
      <c r="AC50" t="str">
        <f t="shared" si="11"/>
        <v>No</v>
      </c>
      <c r="AD50" t="str">
        <f t="shared" si="12"/>
        <v>No</v>
      </c>
      <c r="AE50" s="36">
        <f>IF(Dashboard!$P$47&gt;'Staging Data'!R50,'Staging Data'!R50,Dashboard!$P$47)</f>
        <v>0.1</v>
      </c>
      <c r="AF50">
        <f>(100%+Dashboard!$P$48)*'Staging Data'!P50</f>
        <v>902.31750000000011</v>
      </c>
      <c r="AG50">
        <f>(100%+Dashboard!$P$49)*S50</f>
        <v>24.96</v>
      </c>
      <c r="AH50" s="13">
        <f t="shared" si="13"/>
        <v>41010.503039999996</v>
      </c>
      <c r="AI50" s="13">
        <f t="shared" si="14"/>
        <v>22521.844800000003</v>
      </c>
      <c r="AJ50" s="13">
        <f t="shared" si="15"/>
        <v>18488.658239999993</v>
      </c>
    </row>
    <row r="51" spans="1:36" x14ac:dyDescent="0.45">
      <c r="A51" s="3" t="s">
        <v>64</v>
      </c>
      <c r="B51" s="5">
        <v>45117</v>
      </c>
      <c r="C51" s="5">
        <v>45139</v>
      </c>
      <c r="D51" s="5">
        <f t="shared" si="18"/>
        <v>45117</v>
      </c>
      <c r="E51" s="5">
        <f t="shared" si="19"/>
        <v>45139</v>
      </c>
      <c r="F51" s="7">
        <f t="shared" si="20"/>
        <v>22</v>
      </c>
      <c r="G51" s="23" t="str">
        <f t="shared" si="21"/>
        <v>7-2023</v>
      </c>
      <c r="H51" s="3" t="s">
        <v>649</v>
      </c>
      <c r="I51" s="3" t="s">
        <v>657</v>
      </c>
      <c r="J51" s="3" t="s">
        <v>673</v>
      </c>
      <c r="K51" s="3" t="s">
        <v>704</v>
      </c>
      <c r="L51" s="3" t="s">
        <v>709</v>
      </c>
      <c r="M51" s="3" t="s">
        <v>717</v>
      </c>
      <c r="N51" s="3" t="s">
        <v>728</v>
      </c>
      <c r="O51" s="3" t="s">
        <v>783</v>
      </c>
      <c r="P51" s="19">
        <v>1303.56</v>
      </c>
      <c r="Q51" s="19">
        <v>1791.37</v>
      </c>
      <c r="R51" s="15">
        <v>0.126</v>
      </c>
      <c r="S51" s="7">
        <v>22</v>
      </c>
      <c r="T51" s="13">
        <f t="shared" si="3"/>
        <v>34444.462359999998</v>
      </c>
      <c r="U51" s="13">
        <f t="shared" si="4"/>
        <v>28678.32</v>
      </c>
      <c r="V51" s="13">
        <f t="shared" si="22"/>
        <v>5766.142359999998</v>
      </c>
      <c r="W51" s="15">
        <f t="shared" si="23"/>
        <v>0.16740404596055358</v>
      </c>
      <c r="X51" s="17" t="str">
        <f t="shared" si="24"/>
        <v>Q3-2023</v>
      </c>
      <c r="Y51" t="str">
        <f t="shared" si="25"/>
        <v>Europe → France → Marseille</v>
      </c>
      <c r="Z51" t="str">
        <f t="shared" si="26"/>
        <v>Medium</v>
      </c>
      <c r="AA51">
        <f t="shared" si="9"/>
        <v>2023</v>
      </c>
      <c r="AB51">
        <f t="shared" si="10"/>
        <v>7</v>
      </c>
      <c r="AC51" t="str">
        <f t="shared" si="11"/>
        <v>No</v>
      </c>
      <c r="AD51" t="str">
        <f t="shared" si="12"/>
        <v>No</v>
      </c>
      <c r="AE51" s="36">
        <f>IF(Dashboard!$P$47&gt;'Staging Data'!R51,'Staging Data'!R51,Dashboard!$P$47)</f>
        <v>0.1</v>
      </c>
      <c r="AF51">
        <f>(100%+Dashboard!$P$48)*'Staging Data'!P51</f>
        <v>1368.7380000000001</v>
      </c>
      <c r="AG51">
        <f>(100%+Dashboard!$P$49)*S51</f>
        <v>22.880000000000003</v>
      </c>
      <c r="AH51" s="13">
        <f t="shared" si="13"/>
        <v>36887.891040000002</v>
      </c>
      <c r="AI51" s="13">
        <f t="shared" si="14"/>
        <v>31316.725440000006</v>
      </c>
      <c r="AJ51" s="13">
        <f t="shared" si="15"/>
        <v>5571.1655999999966</v>
      </c>
    </row>
    <row r="52" spans="1:36" x14ac:dyDescent="0.45">
      <c r="A52" s="3" t="s">
        <v>570</v>
      </c>
      <c r="B52" s="5">
        <v>45053</v>
      </c>
      <c r="C52" s="5">
        <v>45066</v>
      </c>
      <c r="D52" s="5">
        <f t="shared" si="18"/>
        <v>45053</v>
      </c>
      <c r="E52" s="5">
        <f t="shared" si="19"/>
        <v>45066</v>
      </c>
      <c r="F52" s="7">
        <f t="shared" si="20"/>
        <v>13</v>
      </c>
      <c r="G52" s="23" t="str">
        <f t="shared" si="21"/>
        <v>5-2023</v>
      </c>
      <c r="H52" s="3" t="s">
        <v>647</v>
      </c>
      <c r="I52" s="3" t="s">
        <v>654</v>
      </c>
      <c r="J52" s="3" t="s">
        <v>691</v>
      </c>
      <c r="K52" s="3" t="s">
        <v>706</v>
      </c>
      <c r="L52" s="3" t="s">
        <v>707</v>
      </c>
      <c r="M52" s="3" t="s">
        <v>726</v>
      </c>
      <c r="N52" s="3" t="s">
        <v>733</v>
      </c>
      <c r="O52" s="3" t="s">
        <v>1288</v>
      </c>
      <c r="P52" s="19">
        <v>1443.28</v>
      </c>
      <c r="Q52" s="19">
        <v>2580.5700000000002</v>
      </c>
      <c r="R52" s="15">
        <v>0</v>
      </c>
      <c r="S52" s="7">
        <v>18</v>
      </c>
      <c r="T52" s="13">
        <f t="shared" si="3"/>
        <v>46450.26</v>
      </c>
      <c r="U52" s="13">
        <f t="shared" si="4"/>
        <v>25979.040000000001</v>
      </c>
      <c r="V52" s="13">
        <f t="shared" si="22"/>
        <v>20471.22</v>
      </c>
      <c r="W52" s="15">
        <f t="shared" si="23"/>
        <v>0.4407127107577008</v>
      </c>
      <c r="X52" s="17" t="str">
        <f t="shared" si="24"/>
        <v>Q2-2023</v>
      </c>
      <c r="Y52" t="str">
        <f t="shared" si="25"/>
        <v>Asia → India → Mumbai</v>
      </c>
      <c r="Z52" t="str">
        <f t="shared" si="26"/>
        <v>High</v>
      </c>
      <c r="AA52">
        <f t="shared" si="9"/>
        <v>2023</v>
      </c>
      <c r="AB52">
        <f t="shared" si="10"/>
        <v>5</v>
      </c>
      <c r="AC52" t="str">
        <f t="shared" si="11"/>
        <v>No</v>
      </c>
      <c r="AD52" t="str">
        <f t="shared" si="12"/>
        <v>No</v>
      </c>
      <c r="AE52" s="36">
        <f>IF(Dashboard!$P$47&gt;'Staging Data'!R52,'Staging Data'!R52,Dashboard!$P$47)</f>
        <v>0</v>
      </c>
      <c r="AF52">
        <f>(100%+Dashboard!$P$48)*'Staging Data'!P52</f>
        <v>1515.444</v>
      </c>
      <c r="AG52">
        <f>(100%+Dashboard!$P$49)*S52</f>
        <v>18.72</v>
      </c>
      <c r="AH52" s="13">
        <f t="shared" si="13"/>
        <v>48308.270400000001</v>
      </c>
      <c r="AI52" s="13">
        <f t="shared" si="14"/>
        <v>28369.111679999998</v>
      </c>
      <c r="AJ52" s="13">
        <f t="shared" si="15"/>
        <v>19939.158720000003</v>
      </c>
    </row>
    <row r="53" spans="1:36" x14ac:dyDescent="0.45">
      <c r="A53" s="3" t="s">
        <v>66</v>
      </c>
      <c r="B53" s="5">
        <v>45582</v>
      </c>
      <c r="C53" s="5">
        <v>45602</v>
      </c>
      <c r="D53" s="5">
        <f t="shared" si="18"/>
        <v>45582</v>
      </c>
      <c r="E53" s="5">
        <f t="shared" si="19"/>
        <v>45602</v>
      </c>
      <c r="F53" s="7">
        <f t="shared" si="20"/>
        <v>20</v>
      </c>
      <c r="G53" s="23" t="str">
        <f t="shared" si="21"/>
        <v>10-2024</v>
      </c>
      <c r="H53" s="3" t="s">
        <v>647</v>
      </c>
      <c r="I53" s="3" t="s">
        <v>654</v>
      </c>
      <c r="J53" s="3" t="s">
        <v>668</v>
      </c>
      <c r="K53" s="3" t="s">
        <v>706</v>
      </c>
      <c r="L53" s="3" t="s">
        <v>710</v>
      </c>
      <c r="M53" s="3" t="s">
        <v>719</v>
      </c>
      <c r="N53" s="3" t="s">
        <v>732</v>
      </c>
      <c r="O53" s="3" t="s">
        <v>785</v>
      </c>
      <c r="P53" s="19">
        <v>72.94</v>
      </c>
      <c r="Q53" s="19">
        <v>106.3</v>
      </c>
      <c r="R53" s="15">
        <v>0.29499999999999998</v>
      </c>
      <c r="S53" s="7">
        <v>8</v>
      </c>
      <c r="T53" s="13">
        <f t="shared" si="3"/>
        <v>599.53200000000004</v>
      </c>
      <c r="U53" s="13">
        <f t="shared" si="4"/>
        <v>583.52</v>
      </c>
      <c r="V53" s="13">
        <f t="shared" si="22"/>
        <v>16.012000000000057</v>
      </c>
      <c r="W53" s="15">
        <f t="shared" si="23"/>
        <v>2.6707498515508857E-2</v>
      </c>
      <c r="X53" s="17" t="str">
        <f t="shared" si="24"/>
        <v>Q4-2024</v>
      </c>
      <c r="Y53" t="str">
        <f t="shared" si="25"/>
        <v>Asia → India → Bengaluru</v>
      </c>
      <c r="Z53" t="str">
        <f t="shared" si="26"/>
        <v>Low</v>
      </c>
      <c r="AA53">
        <f t="shared" si="9"/>
        <v>2024</v>
      </c>
      <c r="AB53">
        <f t="shared" si="10"/>
        <v>10</v>
      </c>
      <c r="AC53" t="str">
        <f t="shared" si="11"/>
        <v>No</v>
      </c>
      <c r="AD53" t="str">
        <f t="shared" si="12"/>
        <v>Yes</v>
      </c>
      <c r="AE53" s="36">
        <f>IF(Dashboard!$P$47&gt;'Staging Data'!R53,'Staging Data'!R53,Dashboard!$P$47)</f>
        <v>0.1</v>
      </c>
      <c r="AF53">
        <f>(100%+Dashboard!$P$48)*'Staging Data'!P53</f>
        <v>76.587000000000003</v>
      </c>
      <c r="AG53">
        <f>(100%+Dashboard!$P$49)*S53</f>
        <v>8.32</v>
      </c>
      <c r="AH53" s="13">
        <f t="shared" si="13"/>
        <v>795.97440000000006</v>
      </c>
      <c r="AI53" s="13">
        <f t="shared" si="14"/>
        <v>637.20384000000001</v>
      </c>
      <c r="AJ53" s="13">
        <f t="shared" si="15"/>
        <v>158.77056000000005</v>
      </c>
    </row>
    <row r="54" spans="1:36" x14ac:dyDescent="0.45">
      <c r="A54" s="3" t="s">
        <v>67</v>
      </c>
      <c r="B54" s="5">
        <v>45016</v>
      </c>
      <c r="C54" s="5">
        <v>45021</v>
      </c>
      <c r="D54" s="5">
        <f t="shared" si="18"/>
        <v>45016</v>
      </c>
      <c r="E54" s="5">
        <f t="shared" si="19"/>
        <v>45021</v>
      </c>
      <c r="F54" s="7">
        <f t="shared" si="20"/>
        <v>5</v>
      </c>
      <c r="G54" s="23" t="str">
        <f t="shared" si="21"/>
        <v>3-2023</v>
      </c>
      <c r="H54" s="3" t="s">
        <v>646</v>
      </c>
      <c r="I54" s="3" t="s">
        <v>650</v>
      </c>
      <c r="J54" s="3" t="s">
        <v>678</v>
      </c>
      <c r="K54" s="3" t="s">
        <v>702</v>
      </c>
      <c r="L54" s="3" t="s">
        <v>709</v>
      </c>
      <c r="M54" s="3" t="s">
        <v>717</v>
      </c>
      <c r="N54" s="3" t="s">
        <v>731</v>
      </c>
      <c r="O54" s="3" t="s">
        <v>786</v>
      </c>
      <c r="P54" s="19">
        <v>533.26</v>
      </c>
      <c r="Q54" s="19">
        <v>385.72</v>
      </c>
      <c r="R54" s="15">
        <v>0</v>
      </c>
      <c r="S54" s="7">
        <v>15</v>
      </c>
      <c r="T54" s="13">
        <f t="shared" si="3"/>
        <v>5785.8</v>
      </c>
      <c r="U54" s="13">
        <f t="shared" si="4"/>
        <v>7998.9</v>
      </c>
      <c r="V54" s="13">
        <f t="shared" si="22"/>
        <v>-2213.0999999999995</v>
      </c>
      <c r="W54" s="15">
        <f t="shared" si="23"/>
        <v>-0.38250544436378708</v>
      </c>
      <c r="X54" s="17" t="str">
        <f t="shared" si="24"/>
        <v>Q1-2023</v>
      </c>
      <c r="Y54" t="str">
        <f t="shared" si="25"/>
        <v>Africa → Kenya → Nakuru</v>
      </c>
      <c r="Z54" t="str">
        <f t="shared" si="26"/>
        <v>Low</v>
      </c>
      <c r="AA54">
        <f t="shared" si="9"/>
        <v>2023</v>
      </c>
      <c r="AB54">
        <f t="shared" si="10"/>
        <v>3</v>
      </c>
      <c r="AC54" t="str">
        <f t="shared" si="11"/>
        <v>Yes</v>
      </c>
      <c r="AD54" t="str">
        <f t="shared" si="12"/>
        <v>No</v>
      </c>
      <c r="AE54" s="36">
        <f>IF(Dashboard!$P$47&gt;'Staging Data'!R54,'Staging Data'!R54,Dashboard!$P$47)</f>
        <v>0</v>
      </c>
      <c r="AF54">
        <f>(100%+Dashboard!$P$48)*'Staging Data'!P54</f>
        <v>559.923</v>
      </c>
      <c r="AG54">
        <f>(100%+Dashboard!$P$49)*S54</f>
        <v>15.600000000000001</v>
      </c>
      <c r="AH54" s="13">
        <f t="shared" si="13"/>
        <v>6017.2320000000009</v>
      </c>
      <c r="AI54" s="13">
        <f t="shared" si="14"/>
        <v>8734.7988000000005</v>
      </c>
      <c r="AJ54" s="13">
        <f t="shared" si="15"/>
        <v>-2717.5667999999996</v>
      </c>
    </row>
    <row r="55" spans="1:36" x14ac:dyDescent="0.45">
      <c r="A55" s="3" t="s">
        <v>68</v>
      </c>
      <c r="B55" s="5">
        <v>45678</v>
      </c>
      <c r="C55" s="5">
        <v>45704</v>
      </c>
      <c r="D55" s="5">
        <f t="shared" si="18"/>
        <v>45678</v>
      </c>
      <c r="E55" s="5">
        <f t="shared" si="19"/>
        <v>45704</v>
      </c>
      <c r="F55" s="7">
        <f t="shared" si="20"/>
        <v>26</v>
      </c>
      <c r="G55" s="23" t="str">
        <f t="shared" si="21"/>
        <v>1-2025</v>
      </c>
      <c r="H55" s="3" t="s">
        <v>649</v>
      </c>
      <c r="I55" s="3" t="s">
        <v>657</v>
      </c>
      <c r="J55" s="3" t="s">
        <v>679</v>
      </c>
      <c r="K55" s="3" t="s">
        <v>701</v>
      </c>
      <c r="L55" s="3" t="s">
        <v>710</v>
      </c>
      <c r="M55" s="3" t="s">
        <v>719</v>
      </c>
      <c r="N55" s="3" t="s">
        <v>731</v>
      </c>
      <c r="O55" s="3" t="s">
        <v>787</v>
      </c>
      <c r="P55" s="19">
        <v>204.11</v>
      </c>
      <c r="Q55" s="19">
        <v>236.87</v>
      </c>
      <c r="R55" s="15">
        <v>0.182</v>
      </c>
      <c r="S55" s="7">
        <v>13</v>
      </c>
      <c r="T55" s="13">
        <f t="shared" si="3"/>
        <v>2518.8755800000004</v>
      </c>
      <c r="U55" s="13">
        <f t="shared" si="4"/>
        <v>2653.4300000000003</v>
      </c>
      <c r="V55" s="13">
        <f t="shared" si="22"/>
        <v>-134.55441999999994</v>
      </c>
      <c r="W55" s="15">
        <f t="shared" si="23"/>
        <v>-5.3418446337075494E-2</v>
      </c>
      <c r="X55" s="17" t="str">
        <f t="shared" si="24"/>
        <v>Q1-2025</v>
      </c>
      <c r="Y55" t="str">
        <f t="shared" si="25"/>
        <v>Europe → France → Lyon</v>
      </c>
      <c r="Z55" t="str">
        <f t="shared" si="26"/>
        <v>Low</v>
      </c>
      <c r="AA55">
        <f t="shared" si="9"/>
        <v>2025</v>
      </c>
      <c r="AB55">
        <f t="shared" si="10"/>
        <v>1</v>
      </c>
      <c r="AC55" t="str">
        <f t="shared" si="11"/>
        <v>No</v>
      </c>
      <c r="AD55" t="str">
        <f t="shared" si="12"/>
        <v>No</v>
      </c>
      <c r="AE55" s="36">
        <f>IF(Dashboard!$P$47&gt;'Staging Data'!R55,'Staging Data'!R55,Dashboard!$P$47)</f>
        <v>0.1</v>
      </c>
      <c r="AF55">
        <f>(100%+Dashboard!$P$48)*'Staging Data'!P55</f>
        <v>214.31550000000001</v>
      </c>
      <c r="AG55">
        <f>(100%+Dashboard!$P$49)*S55</f>
        <v>13.52</v>
      </c>
      <c r="AH55" s="13">
        <f t="shared" si="13"/>
        <v>2882.23416</v>
      </c>
      <c r="AI55" s="13">
        <f t="shared" si="14"/>
        <v>2897.54556</v>
      </c>
      <c r="AJ55" s="13">
        <f t="shared" si="15"/>
        <v>-15.311400000000049</v>
      </c>
    </row>
    <row r="56" spans="1:36" x14ac:dyDescent="0.45">
      <c r="A56" s="3" t="s">
        <v>69</v>
      </c>
      <c r="B56" s="5">
        <v>45168</v>
      </c>
      <c r="C56" s="5">
        <v>45170</v>
      </c>
      <c r="D56" s="5">
        <f t="shared" si="18"/>
        <v>45168</v>
      </c>
      <c r="E56" s="5">
        <f t="shared" si="19"/>
        <v>45170</v>
      </c>
      <c r="F56" s="7">
        <f t="shared" si="20"/>
        <v>2</v>
      </c>
      <c r="G56" s="23" t="str">
        <f t="shared" si="21"/>
        <v>8-2023</v>
      </c>
      <c r="H56" s="3" t="s">
        <v>649</v>
      </c>
      <c r="I56" s="3" t="s">
        <v>656</v>
      </c>
      <c r="J56" s="3" t="s">
        <v>684</v>
      </c>
      <c r="K56" s="3" t="s">
        <v>701</v>
      </c>
      <c r="L56" s="3" t="s">
        <v>711</v>
      </c>
      <c r="M56" s="3" t="s">
        <v>725</v>
      </c>
      <c r="N56" s="3" t="s">
        <v>729</v>
      </c>
      <c r="O56" s="3" t="s">
        <v>788</v>
      </c>
      <c r="P56" s="19">
        <v>44.42</v>
      </c>
      <c r="Q56" s="19">
        <v>41.9</v>
      </c>
      <c r="R56" s="15">
        <v>0.14399999999999999</v>
      </c>
      <c r="S56" s="7">
        <v>6</v>
      </c>
      <c r="T56" s="13">
        <f t="shared" si="3"/>
        <v>215.19839999999996</v>
      </c>
      <c r="U56" s="13">
        <f t="shared" si="4"/>
        <v>266.52</v>
      </c>
      <c r="V56" s="13">
        <f t="shared" si="22"/>
        <v>-51.321600000000018</v>
      </c>
      <c r="W56" s="15">
        <f t="shared" si="23"/>
        <v>-0.23848504449847224</v>
      </c>
      <c r="X56" s="17" t="str">
        <f t="shared" si="24"/>
        <v>Q3-2023</v>
      </c>
      <c r="Y56" t="str">
        <f t="shared" si="25"/>
        <v>Europe → Germany → Munich</v>
      </c>
      <c r="Z56" t="str">
        <f t="shared" si="26"/>
        <v>Low</v>
      </c>
      <c r="AA56">
        <f t="shared" si="9"/>
        <v>2023</v>
      </c>
      <c r="AB56">
        <f t="shared" si="10"/>
        <v>8</v>
      </c>
      <c r="AC56" t="str">
        <f t="shared" si="11"/>
        <v>Yes</v>
      </c>
      <c r="AD56" t="str">
        <f t="shared" si="12"/>
        <v>No</v>
      </c>
      <c r="AE56" s="36">
        <f>IF(Dashboard!$P$47&gt;'Staging Data'!R56,'Staging Data'!R56,Dashboard!$P$47)</f>
        <v>0.1</v>
      </c>
      <c r="AF56">
        <f>(100%+Dashboard!$P$48)*'Staging Data'!P56</f>
        <v>46.641000000000005</v>
      </c>
      <c r="AG56">
        <f>(100%+Dashboard!$P$49)*S56</f>
        <v>6.24</v>
      </c>
      <c r="AH56" s="13">
        <f t="shared" si="13"/>
        <v>235.31040000000002</v>
      </c>
      <c r="AI56" s="13">
        <f t="shared" si="14"/>
        <v>291.03984000000003</v>
      </c>
      <c r="AJ56" s="13">
        <f t="shared" si="15"/>
        <v>-55.729440000000011</v>
      </c>
    </row>
    <row r="57" spans="1:36" x14ac:dyDescent="0.45">
      <c r="A57" s="3" t="s">
        <v>510</v>
      </c>
      <c r="B57" s="5">
        <v>45097</v>
      </c>
      <c r="C57" s="5">
        <v>45111</v>
      </c>
      <c r="D57" s="5">
        <f t="shared" si="18"/>
        <v>45097</v>
      </c>
      <c r="E57" s="5">
        <f t="shared" si="19"/>
        <v>45111</v>
      </c>
      <c r="F57" s="7">
        <f t="shared" si="20"/>
        <v>14</v>
      </c>
      <c r="G57" s="23" t="str">
        <f t="shared" si="21"/>
        <v>6-2023</v>
      </c>
      <c r="H57" s="3" t="s">
        <v>648</v>
      </c>
      <c r="I57" s="3" t="s">
        <v>655</v>
      </c>
      <c r="J57" s="3" t="s">
        <v>672</v>
      </c>
      <c r="K57" s="3" t="s">
        <v>703</v>
      </c>
      <c r="L57" s="3" t="s">
        <v>711</v>
      </c>
      <c r="M57" s="3" t="s">
        <v>712</v>
      </c>
      <c r="N57" s="3" t="s">
        <v>729</v>
      </c>
      <c r="O57" s="3" t="s">
        <v>1229</v>
      </c>
      <c r="P57" s="19">
        <v>1292.8599999999999</v>
      </c>
      <c r="Q57" s="19">
        <v>2981.01</v>
      </c>
      <c r="R57" s="15">
        <v>0.14199999999999999</v>
      </c>
      <c r="S57" s="7">
        <v>12</v>
      </c>
      <c r="T57" s="13">
        <f t="shared" si="3"/>
        <v>30692.47896</v>
      </c>
      <c r="U57" s="13">
        <f t="shared" si="4"/>
        <v>15514.32</v>
      </c>
      <c r="V57" s="13">
        <f t="shared" si="22"/>
        <v>15178.158960000001</v>
      </c>
      <c r="W57" s="15">
        <f t="shared" si="23"/>
        <v>0.49452372288927687</v>
      </c>
      <c r="X57" s="17" t="str">
        <f t="shared" si="24"/>
        <v>Q2-2023</v>
      </c>
      <c r="Y57" t="str">
        <f t="shared" si="25"/>
        <v>Americas → Brazil → Brasília</v>
      </c>
      <c r="Z57" t="str">
        <f t="shared" si="26"/>
        <v>High</v>
      </c>
      <c r="AA57">
        <f t="shared" si="9"/>
        <v>2023</v>
      </c>
      <c r="AB57">
        <f t="shared" si="10"/>
        <v>6</v>
      </c>
      <c r="AC57" t="str">
        <f t="shared" si="11"/>
        <v>No</v>
      </c>
      <c r="AD57" t="str">
        <f t="shared" si="12"/>
        <v>No</v>
      </c>
      <c r="AE57" s="36">
        <f>IF(Dashboard!$P$47&gt;'Staging Data'!R57,'Staging Data'!R57,Dashboard!$P$47)</f>
        <v>0.1</v>
      </c>
      <c r="AF57">
        <f>(100%+Dashboard!$P$48)*'Staging Data'!P57</f>
        <v>1357.5029999999999</v>
      </c>
      <c r="AG57">
        <f>(100%+Dashboard!$P$49)*S57</f>
        <v>12.48</v>
      </c>
      <c r="AH57" s="13">
        <f t="shared" si="13"/>
        <v>33482.704320000004</v>
      </c>
      <c r="AI57" s="13">
        <f t="shared" si="14"/>
        <v>16941.637439999999</v>
      </c>
      <c r="AJ57" s="13">
        <f t="shared" si="15"/>
        <v>16541.066880000006</v>
      </c>
    </row>
    <row r="58" spans="1:36" x14ac:dyDescent="0.45">
      <c r="A58" s="3" t="s">
        <v>107</v>
      </c>
      <c r="B58" s="5">
        <v>45101</v>
      </c>
      <c r="C58" s="5">
        <v>45100</v>
      </c>
      <c r="D58" s="5">
        <f t="shared" si="18"/>
        <v>45100</v>
      </c>
      <c r="E58" s="5">
        <f t="shared" si="19"/>
        <v>45101</v>
      </c>
      <c r="F58" s="7">
        <f t="shared" si="20"/>
        <v>1</v>
      </c>
      <c r="G58" s="23" t="str">
        <f t="shared" si="21"/>
        <v>6-2023</v>
      </c>
      <c r="H58" s="3" t="s">
        <v>648</v>
      </c>
      <c r="I58" s="3" t="s">
        <v>655</v>
      </c>
      <c r="J58" s="3" t="s">
        <v>692</v>
      </c>
      <c r="K58" s="3" t="s">
        <v>703</v>
      </c>
      <c r="L58" s="3" t="s">
        <v>707</v>
      </c>
      <c r="M58" s="3" t="s">
        <v>718</v>
      </c>
      <c r="N58" s="3" t="s">
        <v>728</v>
      </c>
      <c r="O58" s="3" t="s">
        <v>826</v>
      </c>
      <c r="P58" s="19">
        <v>804.01</v>
      </c>
      <c r="Q58" s="19">
        <v>1405.07</v>
      </c>
      <c r="R58" s="15">
        <v>9.6000000000000002E-2</v>
      </c>
      <c r="S58" s="7">
        <v>8</v>
      </c>
      <c r="T58" s="13">
        <f t="shared" si="3"/>
        <v>10161.46624</v>
      </c>
      <c r="U58" s="13">
        <f t="shared" si="4"/>
        <v>6432.08</v>
      </c>
      <c r="V58" s="13">
        <f t="shared" si="22"/>
        <v>3729.3862399999998</v>
      </c>
      <c r="W58" s="15">
        <f t="shared" si="23"/>
        <v>0.36701260939287439</v>
      </c>
      <c r="X58" s="17" t="str">
        <f t="shared" si="24"/>
        <v>Q2-2023</v>
      </c>
      <c r="Y58" t="str">
        <f t="shared" si="25"/>
        <v>Americas → Brazil → Rio de Janeiro</v>
      </c>
      <c r="Z58" t="str">
        <f t="shared" si="26"/>
        <v>Medium</v>
      </c>
      <c r="AA58">
        <f t="shared" si="9"/>
        <v>2023</v>
      </c>
      <c r="AB58">
        <f t="shared" si="10"/>
        <v>6</v>
      </c>
      <c r="AC58" t="str">
        <f t="shared" si="11"/>
        <v>Yes</v>
      </c>
      <c r="AD58" t="str">
        <f t="shared" si="12"/>
        <v>No</v>
      </c>
      <c r="AE58" s="36">
        <f>IF(Dashboard!$P$47&gt;'Staging Data'!R58,'Staging Data'!R58,Dashboard!$P$47)</f>
        <v>9.6000000000000002E-2</v>
      </c>
      <c r="AF58">
        <f>(100%+Dashboard!$P$48)*'Staging Data'!P58</f>
        <v>844.21050000000002</v>
      </c>
      <c r="AG58">
        <f>(100%+Dashboard!$P$49)*S58</f>
        <v>8.32</v>
      </c>
      <c r="AH58" s="13">
        <f t="shared" si="13"/>
        <v>10567.924889600001</v>
      </c>
      <c r="AI58" s="13">
        <f t="shared" si="14"/>
        <v>7023.8313600000001</v>
      </c>
      <c r="AJ58" s="13">
        <f t="shared" si="15"/>
        <v>3544.0935296000007</v>
      </c>
    </row>
    <row r="59" spans="1:36" x14ac:dyDescent="0.45">
      <c r="A59" s="3" t="s">
        <v>320</v>
      </c>
      <c r="B59" s="5">
        <v>45741</v>
      </c>
      <c r="C59" s="5">
        <v>45742</v>
      </c>
      <c r="D59" s="5">
        <f t="shared" si="18"/>
        <v>45741</v>
      </c>
      <c r="E59" s="5">
        <f t="shared" si="19"/>
        <v>45742</v>
      </c>
      <c r="F59" s="7">
        <f t="shared" si="20"/>
        <v>1</v>
      </c>
      <c r="G59" s="23" t="str">
        <f t="shared" si="21"/>
        <v>3-2025</v>
      </c>
      <c r="H59" s="3" t="s">
        <v>646</v>
      </c>
      <c r="I59" s="3" t="s">
        <v>651</v>
      </c>
      <c r="J59" s="3" t="s">
        <v>665</v>
      </c>
      <c r="K59" s="3" t="s">
        <v>702</v>
      </c>
      <c r="L59" s="3" t="s">
        <v>710</v>
      </c>
      <c r="M59" s="3" t="s">
        <v>715</v>
      </c>
      <c r="N59" s="3" t="s">
        <v>733</v>
      </c>
      <c r="O59" s="3" t="s">
        <v>1040</v>
      </c>
      <c r="P59" s="19">
        <v>1450.43</v>
      </c>
      <c r="Q59" s="19">
        <v>1994.67</v>
      </c>
      <c r="R59" s="15">
        <v>0.1</v>
      </c>
      <c r="S59" s="7">
        <v>24</v>
      </c>
      <c r="T59" s="13">
        <f t="shared" si="3"/>
        <v>43084.872000000003</v>
      </c>
      <c r="U59" s="13">
        <f t="shared" si="4"/>
        <v>34810.32</v>
      </c>
      <c r="V59" s="13">
        <f t="shared" si="22"/>
        <v>8274.5520000000033</v>
      </c>
      <c r="W59" s="15">
        <f t="shared" si="23"/>
        <v>0.19205237513529116</v>
      </c>
      <c r="X59" s="17" t="str">
        <f t="shared" si="24"/>
        <v>Q1-2025</v>
      </c>
      <c r="Y59" t="str">
        <f t="shared" si="25"/>
        <v>Africa → Nigeria → Lagos</v>
      </c>
      <c r="Z59" t="str">
        <f t="shared" si="26"/>
        <v>High</v>
      </c>
      <c r="AA59">
        <f t="shared" si="9"/>
        <v>2025</v>
      </c>
      <c r="AB59">
        <f t="shared" si="10"/>
        <v>3</v>
      </c>
      <c r="AC59" t="str">
        <f t="shared" si="11"/>
        <v>Yes</v>
      </c>
      <c r="AD59" t="str">
        <f t="shared" si="12"/>
        <v>No</v>
      </c>
      <c r="AE59" s="36">
        <f>IF(Dashboard!$P$47&gt;'Staging Data'!R59,'Staging Data'!R59,Dashboard!$P$47)</f>
        <v>0.1</v>
      </c>
      <c r="AF59">
        <f>(100%+Dashboard!$P$48)*'Staging Data'!P59</f>
        <v>1522.9515000000001</v>
      </c>
      <c r="AG59">
        <f>(100%+Dashboard!$P$49)*S59</f>
        <v>24.96</v>
      </c>
      <c r="AH59" s="13">
        <f t="shared" si="13"/>
        <v>44808.266880000003</v>
      </c>
      <c r="AI59" s="13">
        <f t="shared" si="14"/>
        <v>38012.869440000002</v>
      </c>
      <c r="AJ59" s="13">
        <f t="shared" si="15"/>
        <v>6795.3974400000006</v>
      </c>
    </row>
    <row r="60" spans="1:36" x14ac:dyDescent="0.45">
      <c r="A60" s="3" t="s">
        <v>33</v>
      </c>
      <c r="B60" s="5">
        <v>45858</v>
      </c>
      <c r="C60" s="5">
        <v>45874</v>
      </c>
      <c r="D60" s="5">
        <f t="shared" si="18"/>
        <v>45858</v>
      </c>
      <c r="E60" s="5">
        <f t="shared" si="19"/>
        <v>45874</v>
      </c>
      <c r="F60" s="7">
        <f t="shared" si="20"/>
        <v>16</v>
      </c>
      <c r="G60" s="23" t="str">
        <f t="shared" si="21"/>
        <v>7-2025</v>
      </c>
      <c r="H60" s="3" t="s">
        <v>648</v>
      </c>
      <c r="I60" s="3" t="s">
        <v>655</v>
      </c>
      <c r="J60" s="3" t="s">
        <v>672</v>
      </c>
      <c r="K60" s="3" t="s">
        <v>706</v>
      </c>
      <c r="L60" s="3" t="s">
        <v>709</v>
      </c>
      <c r="M60" s="3" t="s">
        <v>715</v>
      </c>
      <c r="N60" s="3" t="s">
        <v>733</v>
      </c>
      <c r="O60" s="3" t="s">
        <v>752</v>
      </c>
      <c r="P60" s="19">
        <v>1068.17</v>
      </c>
      <c r="Q60" s="19">
        <v>2375.37</v>
      </c>
      <c r="R60" s="15">
        <v>0.109</v>
      </c>
      <c r="S60" s="7">
        <v>18</v>
      </c>
      <c r="T60" s="13">
        <f t="shared" si="3"/>
        <v>38096.18406</v>
      </c>
      <c r="U60" s="13">
        <f t="shared" si="4"/>
        <v>19227.060000000001</v>
      </c>
      <c r="V60" s="13">
        <f t="shared" si="22"/>
        <v>18869.124059999998</v>
      </c>
      <c r="W60" s="15">
        <f t="shared" si="23"/>
        <v>0.49530220744108822</v>
      </c>
      <c r="X60" s="17" t="str">
        <f t="shared" si="24"/>
        <v>Q3-2025</v>
      </c>
      <c r="Y60" t="str">
        <f t="shared" si="25"/>
        <v>Americas → Brazil → Brasília</v>
      </c>
      <c r="Z60" t="str">
        <f t="shared" si="26"/>
        <v>High</v>
      </c>
      <c r="AA60">
        <f t="shared" si="9"/>
        <v>2025</v>
      </c>
      <c r="AB60">
        <f t="shared" si="10"/>
        <v>7</v>
      </c>
      <c r="AC60" t="str">
        <f t="shared" si="11"/>
        <v>No</v>
      </c>
      <c r="AD60" t="str">
        <f t="shared" si="12"/>
        <v>No</v>
      </c>
      <c r="AE60" s="36">
        <f>IF(Dashboard!$P$47&gt;'Staging Data'!R60,'Staging Data'!R60,Dashboard!$P$47)</f>
        <v>0.1</v>
      </c>
      <c r="AF60">
        <f>(100%+Dashboard!$P$48)*'Staging Data'!P60</f>
        <v>1121.5785000000001</v>
      </c>
      <c r="AG60">
        <f>(100%+Dashboard!$P$49)*S60</f>
        <v>18.72</v>
      </c>
      <c r="AH60" s="13">
        <f t="shared" si="13"/>
        <v>40020.233759999996</v>
      </c>
      <c r="AI60" s="13">
        <f t="shared" si="14"/>
        <v>20995.949520000002</v>
      </c>
      <c r="AJ60" s="13">
        <f t="shared" si="15"/>
        <v>19024.284239999994</v>
      </c>
    </row>
    <row r="61" spans="1:36" x14ac:dyDescent="0.45">
      <c r="A61" s="3" t="s">
        <v>91</v>
      </c>
      <c r="B61" s="5">
        <v>45532</v>
      </c>
      <c r="C61" s="5">
        <v>45560</v>
      </c>
      <c r="D61" s="5">
        <f t="shared" si="18"/>
        <v>45532</v>
      </c>
      <c r="E61" s="5">
        <f t="shared" si="19"/>
        <v>45560</v>
      </c>
      <c r="F61" s="7">
        <f t="shared" si="20"/>
        <v>28</v>
      </c>
      <c r="G61" s="23" t="str">
        <f t="shared" si="21"/>
        <v>8-2024</v>
      </c>
      <c r="H61" s="3" t="s">
        <v>648</v>
      </c>
      <c r="I61" s="3" t="s">
        <v>655</v>
      </c>
      <c r="J61" s="3" t="s">
        <v>692</v>
      </c>
      <c r="K61" s="3" t="s">
        <v>703</v>
      </c>
      <c r="L61" s="3" t="s">
        <v>708</v>
      </c>
      <c r="M61" s="3" t="s">
        <v>1424</v>
      </c>
      <c r="N61" s="3" t="s">
        <v>733</v>
      </c>
      <c r="O61" s="3" t="s">
        <v>810</v>
      </c>
      <c r="P61" s="19">
        <v>1394.65</v>
      </c>
      <c r="Q61" s="19">
        <v>3144.1</v>
      </c>
      <c r="R61" s="15">
        <v>0.13400000000000001</v>
      </c>
      <c r="S61" s="7">
        <v>13</v>
      </c>
      <c r="T61" s="13">
        <f t="shared" si="3"/>
        <v>35396.277799999996</v>
      </c>
      <c r="U61" s="13">
        <f t="shared" si="4"/>
        <v>18130.45</v>
      </c>
      <c r="V61" s="13">
        <f t="shared" si="22"/>
        <v>17265.827799999995</v>
      </c>
      <c r="W61" s="15">
        <f t="shared" si="23"/>
        <v>0.4877865378263021</v>
      </c>
      <c r="X61" s="17" t="str">
        <f t="shared" si="24"/>
        <v>Q3-2024</v>
      </c>
      <c r="Y61" t="str">
        <f t="shared" si="25"/>
        <v>Americas → Brazil → Rio de Janeiro</v>
      </c>
      <c r="Z61" t="str">
        <f t="shared" si="26"/>
        <v>High</v>
      </c>
      <c r="AA61">
        <f t="shared" si="9"/>
        <v>2024</v>
      </c>
      <c r="AB61">
        <f t="shared" si="10"/>
        <v>8</v>
      </c>
      <c r="AC61" t="str">
        <f t="shared" si="11"/>
        <v>No</v>
      </c>
      <c r="AD61" t="str">
        <f t="shared" si="12"/>
        <v>No</v>
      </c>
      <c r="AE61" s="36">
        <f>IF(Dashboard!$P$47&gt;'Staging Data'!R61,'Staging Data'!R61,Dashboard!$P$47)</f>
        <v>0.1</v>
      </c>
      <c r="AF61">
        <f>(100%+Dashboard!$P$48)*'Staging Data'!P61</f>
        <v>1464.3825000000002</v>
      </c>
      <c r="AG61">
        <f>(100%+Dashboard!$P$49)*S61</f>
        <v>13.52</v>
      </c>
      <c r="AH61" s="13">
        <f t="shared" si="13"/>
        <v>38257.408799999997</v>
      </c>
      <c r="AI61" s="13">
        <f t="shared" si="14"/>
        <v>19798.451400000002</v>
      </c>
      <c r="AJ61" s="13">
        <f t="shared" si="15"/>
        <v>18458.957399999996</v>
      </c>
    </row>
    <row r="62" spans="1:36" x14ac:dyDescent="0.45">
      <c r="A62" s="3" t="s">
        <v>75</v>
      </c>
      <c r="B62" s="5">
        <v>45361</v>
      </c>
      <c r="C62" s="5">
        <v>45391</v>
      </c>
      <c r="D62" s="5">
        <f t="shared" si="18"/>
        <v>45361</v>
      </c>
      <c r="E62" s="5">
        <f t="shared" si="19"/>
        <v>45391</v>
      </c>
      <c r="F62" s="7">
        <f t="shared" si="20"/>
        <v>30</v>
      </c>
      <c r="G62" s="23" t="str">
        <f t="shared" si="21"/>
        <v>3-2024</v>
      </c>
      <c r="H62" s="3" t="s">
        <v>649</v>
      </c>
      <c r="I62" s="3" t="s">
        <v>657</v>
      </c>
      <c r="J62" s="3" t="s">
        <v>679</v>
      </c>
      <c r="K62" s="3" t="s">
        <v>701</v>
      </c>
      <c r="L62" s="3" t="s">
        <v>711</v>
      </c>
      <c r="M62" s="3" t="s">
        <v>714</v>
      </c>
      <c r="N62" s="3" t="s">
        <v>727</v>
      </c>
      <c r="O62" s="3" t="s">
        <v>794</v>
      </c>
      <c r="P62" s="19">
        <v>1176.56</v>
      </c>
      <c r="Q62" s="19">
        <v>1911.89</v>
      </c>
      <c r="R62" s="15">
        <v>0.11899999999999999</v>
      </c>
      <c r="S62" s="7">
        <v>20</v>
      </c>
      <c r="T62" s="13">
        <f t="shared" si="3"/>
        <v>33687.501800000005</v>
      </c>
      <c r="U62" s="13">
        <f t="shared" si="4"/>
        <v>23531.199999999997</v>
      </c>
      <c r="V62" s="13">
        <f t="shared" si="22"/>
        <v>10156.301800000008</v>
      </c>
      <c r="W62" s="15">
        <f t="shared" si="23"/>
        <v>0.30148575160892477</v>
      </c>
      <c r="X62" s="17" t="str">
        <f t="shared" si="24"/>
        <v>Q1-2024</v>
      </c>
      <c r="Y62" t="str">
        <f t="shared" si="25"/>
        <v>Europe → France → Lyon</v>
      </c>
      <c r="Z62" t="str">
        <f t="shared" si="26"/>
        <v>Medium</v>
      </c>
      <c r="AA62">
        <f t="shared" si="9"/>
        <v>2024</v>
      </c>
      <c r="AB62">
        <f t="shared" si="10"/>
        <v>3</v>
      </c>
      <c r="AC62" t="str">
        <f t="shared" si="11"/>
        <v>No</v>
      </c>
      <c r="AD62" t="str">
        <f t="shared" si="12"/>
        <v>No</v>
      </c>
      <c r="AE62" s="36">
        <f>IF(Dashboard!$P$47&gt;'Staging Data'!R62,'Staging Data'!R62,Dashboard!$P$47)</f>
        <v>0.1</v>
      </c>
      <c r="AF62">
        <f>(100%+Dashboard!$P$48)*'Staging Data'!P62</f>
        <v>1235.3879999999999</v>
      </c>
      <c r="AG62">
        <f>(100%+Dashboard!$P$49)*S62</f>
        <v>20.8</v>
      </c>
      <c r="AH62" s="13">
        <f t="shared" si="13"/>
        <v>35790.580800000003</v>
      </c>
      <c r="AI62" s="13">
        <f t="shared" si="14"/>
        <v>25696.070400000001</v>
      </c>
      <c r="AJ62" s="13">
        <f t="shared" si="15"/>
        <v>10094.510400000003</v>
      </c>
    </row>
    <row r="63" spans="1:36" x14ac:dyDescent="0.45">
      <c r="A63" s="3" t="s">
        <v>76</v>
      </c>
      <c r="B63" s="5">
        <v>45910</v>
      </c>
      <c r="C63" s="5">
        <v>45912</v>
      </c>
      <c r="D63" s="5">
        <f t="shared" si="18"/>
        <v>45910</v>
      </c>
      <c r="E63" s="5">
        <f t="shared" si="19"/>
        <v>45912</v>
      </c>
      <c r="F63" s="7">
        <f t="shared" si="20"/>
        <v>2</v>
      </c>
      <c r="G63" s="23" t="str">
        <f t="shared" si="21"/>
        <v>9-2025</v>
      </c>
      <c r="H63" s="3" t="s">
        <v>647</v>
      </c>
      <c r="I63" s="3" t="s">
        <v>652</v>
      </c>
      <c r="J63" s="3" t="s">
        <v>689</v>
      </c>
      <c r="K63" s="3" t="s">
        <v>704</v>
      </c>
      <c r="L63" s="3" t="s">
        <v>708</v>
      </c>
      <c r="M63" s="3" t="s">
        <v>719</v>
      </c>
      <c r="N63" s="3" t="s">
        <v>727</v>
      </c>
      <c r="O63" s="3" t="s">
        <v>795</v>
      </c>
      <c r="P63" s="19">
        <v>1470.15</v>
      </c>
      <c r="Q63" s="19">
        <v>2593.7800000000002</v>
      </c>
      <c r="R63" s="15">
        <v>0.11</v>
      </c>
      <c r="S63" s="7">
        <v>12</v>
      </c>
      <c r="T63" s="13">
        <f t="shared" si="3"/>
        <v>27701.570400000001</v>
      </c>
      <c r="U63" s="13">
        <f t="shared" si="4"/>
        <v>17641.800000000003</v>
      </c>
      <c r="V63" s="13">
        <f t="shared" si="22"/>
        <v>10059.770399999998</v>
      </c>
      <c r="W63" s="15">
        <f t="shared" si="23"/>
        <v>0.36314801849645306</v>
      </c>
      <c r="X63" s="17" t="str">
        <f t="shared" si="24"/>
        <v>Q3-2025</v>
      </c>
      <c r="Y63" t="str">
        <f t="shared" si="25"/>
        <v>Asia → Japan → Tokyo</v>
      </c>
      <c r="Z63" t="str">
        <f t="shared" si="26"/>
        <v>High</v>
      </c>
      <c r="AA63">
        <f t="shared" si="9"/>
        <v>2025</v>
      </c>
      <c r="AB63">
        <f t="shared" si="10"/>
        <v>9</v>
      </c>
      <c r="AC63" t="str">
        <f t="shared" si="11"/>
        <v>Yes</v>
      </c>
      <c r="AD63" t="str">
        <f t="shared" si="12"/>
        <v>No</v>
      </c>
      <c r="AE63" s="36">
        <f>IF(Dashboard!$P$47&gt;'Staging Data'!R63,'Staging Data'!R63,Dashboard!$P$47)</f>
        <v>0.1</v>
      </c>
      <c r="AF63">
        <f>(100%+Dashboard!$P$48)*'Staging Data'!P63</f>
        <v>1543.6575000000003</v>
      </c>
      <c r="AG63">
        <f>(100%+Dashboard!$P$49)*S63</f>
        <v>12.48</v>
      </c>
      <c r="AH63" s="13">
        <f t="shared" si="13"/>
        <v>29133.336960000004</v>
      </c>
      <c r="AI63" s="13">
        <f t="shared" si="14"/>
        <v>19264.845600000004</v>
      </c>
      <c r="AJ63" s="13">
        <f t="shared" si="15"/>
        <v>9868.49136</v>
      </c>
    </row>
    <row r="64" spans="1:36" x14ac:dyDescent="0.45">
      <c r="A64" s="3" t="s">
        <v>77</v>
      </c>
      <c r="B64" s="5">
        <v>45774</v>
      </c>
      <c r="C64" s="5">
        <v>45802</v>
      </c>
      <c r="D64" s="5">
        <f t="shared" si="18"/>
        <v>45774</v>
      </c>
      <c r="E64" s="5">
        <f t="shared" si="19"/>
        <v>45802</v>
      </c>
      <c r="F64" s="7">
        <f t="shared" si="20"/>
        <v>28</v>
      </c>
      <c r="G64" s="23" t="str">
        <f t="shared" si="21"/>
        <v>4-2025</v>
      </c>
      <c r="H64" s="3" t="s">
        <v>649</v>
      </c>
      <c r="I64" s="3" t="s">
        <v>657</v>
      </c>
      <c r="J64" s="3" t="s">
        <v>690</v>
      </c>
      <c r="K64" s="3" t="s">
        <v>705</v>
      </c>
      <c r="L64" s="3" t="s">
        <v>709</v>
      </c>
      <c r="M64" s="3" t="s">
        <v>714</v>
      </c>
      <c r="N64" s="3" t="s">
        <v>730</v>
      </c>
      <c r="O64" s="3" t="s">
        <v>796</v>
      </c>
      <c r="P64" s="19">
        <v>603.45000000000005</v>
      </c>
      <c r="Q64" s="19">
        <v>1244.08</v>
      </c>
      <c r="R64" s="15">
        <v>0.2</v>
      </c>
      <c r="S64" s="7">
        <v>11</v>
      </c>
      <c r="T64" s="13">
        <f t="shared" si="3"/>
        <v>10947.904</v>
      </c>
      <c r="U64" s="13">
        <f t="shared" si="4"/>
        <v>6637.9500000000007</v>
      </c>
      <c r="V64" s="13">
        <f t="shared" si="22"/>
        <v>4309.9539999999997</v>
      </c>
      <c r="W64" s="15">
        <f t="shared" si="23"/>
        <v>0.39367846119220623</v>
      </c>
      <c r="X64" s="17" t="str">
        <f t="shared" si="24"/>
        <v>Q2-2025</v>
      </c>
      <c r="Y64" t="str">
        <f t="shared" si="25"/>
        <v>Europe → France → Paris</v>
      </c>
      <c r="Z64" t="str">
        <f t="shared" si="26"/>
        <v>Medium</v>
      </c>
      <c r="AA64">
        <f t="shared" si="9"/>
        <v>2025</v>
      </c>
      <c r="AB64">
        <f t="shared" si="10"/>
        <v>4</v>
      </c>
      <c r="AC64" t="str">
        <f t="shared" si="11"/>
        <v>No</v>
      </c>
      <c r="AD64" t="str">
        <f t="shared" si="12"/>
        <v>No</v>
      </c>
      <c r="AE64" s="36">
        <f>IF(Dashboard!$P$47&gt;'Staging Data'!R64,'Staging Data'!R64,Dashboard!$P$47)</f>
        <v>0.1</v>
      </c>
      <c r="AF64">
        <f>(100%+Dashboard!$P$48)*'Staging Data'!P64</f>
        <v>633.62250000000006</v>
      </c>
      <c r="AG64">
        <f>(100%+Dashboard!$P$49)*S64</f>
        <v>11.440000000000001</v>
      </c>
      <c r="AH64" s="13">
        <f t="shared" si="13"/>
        <v>12809.04768</v>
      </c>
      <c r="AI64" s="13">
        <f t="shared" si="14"/>
        <v>7248.6414000000013</v>
      </c>
      <c r="AJ64" s="13">
        <f t="shared" si="15"/>
        <v>5560.4062799999983</v>
      </c>
    </row>
    <row r="65" spans="1:36" x14ac:dyDescent="0.45">
      <c r="A65" s="3" t="s">
        <v>78</v>
      </c>
      <c r="B65" s="5">
        <v>45598</v>
      </c>
      <c r="C65" s="5">
        <v>45614</v>
      </c>
      <c r="D65" s="5">
        <f t="shared" si="18"/>
        <v>45598</v>
      </c>
      <c r="E65" s="5">
        <f t="shared" si="19"/>
        <v>45614</v>
      </c>
      <c r="F65" s="7">
        <f t="shared" si="20"/>
        <v>16</v>
      </c>
      <c r="G65" s="23" t="str">
        <f t="shared" si="21"/>
        <v>11-2024</v>
      </c>
      <c r="H65" s="3" t="s">
        <v>647</v>
      </c>
      <c r="I65" s="3" t="s">
        <v>654</v>
      </c>
      <c r="J65" s="3" t="s">
        <v>691</v>
      </c>
      <c r="K65" s="3" t="s">
        <v>705</v>
      </c>
      <c r="L65" s="3" t="s">
        <v>710</v>
      </c>
      <c r="M65" s="3" t="s">
        <v>719</v>
      </c>
      <c r="N65" s="3" t="s">
        <v>732</v>
      </c>
      <c r="O65" s="3" t="s">
        <v>797</v>
      </c>
      <c r="P65" s="19">
        <v>1233.58</v>
      </c>
      <c r="Q65" s="19">
        <v>1912.51</v>
      </c>
      <c r="R65" s="15">
        <v>0.255</v>
      </c>
      <c r="S65" s="7">
        <v>51</v>
      </c>
      <c r="T65" s="13">
        <f t="shared" si="3"/>
        <v>72665.817450000002</v>
      </c>
      <c r="U65" s="13">
        <f t="shared" si="4"/>
        <v>62912.579999999994</v>
      </c>
      <c r="V65" s="13">
        <f t="shared" si="22"/>
        <v>9753.2374500000078</v>
      </c>
      <c r="W65" s="15">
        <f t="shared" si="23"/>
        <v>0.134220432553601</v>
      </c>
      <c r="X65" s="17" t="str">
        <f t="shared" si="24"/>
        <v>Q4-2024</v>
      </c>
      <c r="Y65" t="str">
        <f t="shared" si="25"/>
        <v>Asia → India → Mumbai</v>
      </c>
      <c r="Z65" t="str">
        <f t="shared" si="26"/>
        <v>High</v>
      </c>
      <c r="AA65">
        <f t="shared" si="9"/>
        <v>2024</v>
      </c>
      <c r="AB65">
        <f t="shared" si="10"/>
        <v>11</v>
      </c>
      <c r="AC65" t="str">
        <f t="shared" si="11"/>
        <v>No</v>
      </c>
      <c r="AD65" t="str">
        <f t="shared" si="12"/>
        <v>Yes</v>
      </c>
      <c r="AE65" s="36">
        <f>IF(Dashboard!$P$47&gt;'Staging Data'!R65,'Staging Data'!R65,Dashboard!$P$47)</f>
        <v>0.1</v>
      </c>
      <c r="AF65">
        <f>(100%+Dashboard!$P$48)*'Staging Data'!P65</f>
        <v>1295.259</v>
      </c>
      <c r="AG65">
        <f>(100%+Dashboard!$P$49)*S65</f>
        <v>53.04</v>
      </c>
      <c r="AH65" s="13">
        <f t="shared" si="13"/>
        <v>91295.57736000001</v>
      </c>
      <c r="AI65" s="13">
        <f t="shared" si="14"/>
        <v>68700.537360000002</v>
      </c>
      <c r="AJ65" s="13">
        <f t="shared" si="15"/>
        <v>22595.040000000008</v>
      </c>
    </row>
    <row r="66" spans="1:36" x14ac:dyDescent="0.45">
      <c r="A66" s="3" t="s">
        <v>79</v>
      </c>
      <c r="B66" s="5">
        <v>44972</v>
      </c>
      <c r="C66" s="5">
        <v>44983</v>
      </c>
      <c r="D66" s="5">
        <f t="shared" si="18"/>
        <v>44972</v>
      </c>
      <c r="E66" s="5">
        <f t="shared" si="19"/>
        <v>44983</v>
      </c>
      <c r="F66" s="7">
        <f t="shared" si="20"/>
        <v>11</v>
      </c>
      <c r="G66" s="23" t="str">
        <f t="shared" si="21"/>
        <v>2-2023</v>
      </c>
      <c r="H66" s="3" t="s">
        <v>646</v>
      </c>
      <c r="I66" s="3" t="s">
        <v>661</v>
      </c>
      <c r="J66" s="3" t="s">
        <v>682</v>
      </c>
      <c r="K66" s="3" t="s">
        <v>703</v>
      </c>
      <c r="L66" s="3" t="s">
        <v>707</v>
      </c>
      <c r="M66" s="3" t="s">
        <v>723</v>
      </c>
      <c r="N66" s="3" t="s">
        <v>731</v>
      </c>
      <c r="O66" s="3" t="s">
        <v>798</v>
      </c>
      <c r="P66" s="19">
        <v>498.5</v>
      </c>
      <c r="Q66" s="19">
        <v>755.87</v>
      </c>
      <c r="R66" s="15">
        <v>0.13</v>
      </c>
      <c r="S66" s="7">
        <v>40</v>
      </c>
      <c r="T66" s="13">
        <f t="shared" si="3"/>
        <v>26304.275999999998</v>
      </c>
      <c r="U66" s="13">
        <f t="shared" si="4"/>
        <v>19940</v>
      </c>
      <c r="V66" s="13">
        <f t="shared" si="22"/>
        <v>6364.275999999998</v>
      </c>
      <c r="W66" s="15">
        <f t="shared" si="23"/>
        <v>0.24194834330357537</v>
      </c>
      <c r="X66" s="17" t="str">
        <f t="shared" si="24"/>
        <v>Q1-2023</v>
      </c>
      <c r="Y66" t="str">
        <f t="shared" si="25"/>
        <v>Africa → South Africa → Johannesburg</v>
      </c>
      <c r="Z66" t="str">
        <f t="shared" si="26"/>
        <v>Low</v>
      </c>
      <c r="AA66">
        <f t="shared" si="9"/>
        <v>2023</v>
      </c>
      <c r="AB66">
        <f t="shared" si="10"/>
        <v>2</v>
      </c>
      <c r="AC66" t="str">
        <f t="shared" si="11"/>
        <v>No</v>
      </c>
      <c r="AD66" t="str">
        <f t="shared" si="12"/>
        <v>No</v>
      </c>
      <c r="AE66" s="36">
        <f>IF(Dashboard!$P$47&gt;'Staging Data'!R66,'Staging Data'!R66,Dashboard!$P$47)</f>
        <v>0.1</v>
      </c>
      <c r="AF66">
        <f>(100%+Dashboard!$P$48)*'Staging Data'!P66</f>
        <v>523.42500000000007</v>
      </c>
      <c r="AG66">
        <f>(100%+Dashboard!$P$49)*S66</f>
        <v>41.6</v>
      </c>
      <c r="AH66" s="13">
        <f t="shared" si="13"/>
        <v>28299.772800000002</v>
      </c>
      <c r="AI66" s="13">
        <f t="shared" si="14"/>
        <v>21774.480000000003</v>
      </c>
      <c r="AJ66" s="13">
        <f t="shared" si="15"/>
        <v>6525.2927999999993</v>
      </c>
    </row>
    <row r="67" spans="1:36" x14ac:dyDescent="0.45">
      <c r="A67" s="3" t="s">
        <v>159</v>
      </c>
      <c r="B67" s="5">
        <v>45112</v>
      </c>
      <c r="C67" s="5">
        <v>45121</v>
      </c>
      <c r="D67" s="5">
        <f t="shared" si="18"/>
        <v>45112</v>
      </c>
      <c r="E67" s="5">
        <f t="shared" si="19"/>
        <v>45121</v>
      </c>
      <c r="F67" s="7">
        <f t="shared" si="20"/>
        <v>9</v>
      </c>
      <c r="G67" s="23" t="str">
        <f t="shared" si="21"/>
        <v>7-2023</v>
      </c>
      <c r="H67" s="3" t="s">
        <v>648</v>
      </c>
      <c r="I67" s="3" t="s">
        <v>655</v>
      </c>
      <c r="J67" s="3" t="s">
        <v>672</v>
      </c>
      <c r="K67" s="3" t="s">
        <v>706</v>
      </c>
      <c r="L67" s="3" t="s">
        <v>711</v>
      </c>
      <c r="M67" s="3" t="s">
        <v>717</v>
      </c>
      <c r="N67" s="3" t="s">
        <v>729</v>
      </c>
      <c r="O67" s="3" t="s">
        <v>878</v>
      </c>
      <c r="P67" s="19">
        <v>578.85</v>
      </c>
      <c r="Q67" s="19">
        <v>998.76</v>
      </c>
      <c r="R67" s="15">
        <v>8.2000000000000003E-2</v>
      </c>
      <c r="S67" s="7">
        <v>28</v>
      </c>
      <c r="T67" s="13">
        <f t="shared" ref="T67:T130" si="27">(Q67*S67)*(1-R67)</f>
        <v>25672.127039999999</v>
      </c>
      <c r="U67" s="13">
        <f t="shared" ref="U67:U130" si="28">P67*S67</f>
        <v>16207.800000000001</v>
      </c>
      <c r="V67" s="13">
        <f t="shared" si="22"/>
        <v>9464.3270399999983</v>
      </c>
      <c r="W67" s="15">
        <f t="shared" si="23"/>
        <v>0.36866158480960831</v>
      </c>
      <c r="X67" s="17" t="str">
        <f t="shared" si="24"/>
        <v>Q3-2023</v>
      </c>
      <c r="Y67" t="str">
        <f t="shared" si="25"/>
        <v>Americas → Brazil → Brasília</v>
      </c>
      <c r="Z67" t="str">
        <f t="shared" si="26"/>
        <v>Low</v>
      </c>
      <c r="AA67">
        <f t="shared" ref="AA67:AA130" si="29">YEAR(D67)</f>
        <v>2023</v>
      </c>
      <c r="AB67">
        <f t="shared" ref="AB67:AB130" si="30">MONTH(D67)</f>
        <v>7</v>
      </c>
      <c r="AC67" t="str">
        <f t="shared" ref="AC67:AC130" si="31">IF(F67&lt;=7,"Yes", "No")</f>
        <v>No</v>
      </c>
      <c r="AD67" t="str">
        <f t="shared" ref="AD67:AD130" si="32">IF(R67&gt;20%,"Yes","No")</f>
        <v>No</v>
      </c>
      <c r="AE67" s="36">
        <f>IF(Dashboard!$P$47&gt;'Staging Data'!R67,'Staging Data'!R67,Dashboard!$P$47)</f>
        <v>8.2000000000000003E-2</v>
      </c>
      <c r="AF67">
        <f>(100%+Dashboard!$P$48)*'Staging Data'!P67</f>
        <v>607.79250000000002</v>
      </c>
      <c r="AG67">
        <f>(100%+Dashboard!$P$49)*S67</f>
        <v>29.12</v>
      </c>
      <c r="AH67" s="13">
        <f t="shared" ref="AH67:AH130" si="33">(Q67*AG67)*(1-AE67)</f>
        <v>26699.012121600004</v>
      </c>
      <c r="AI67" s="13">
        <f t="shared" ref="AI67:AI130" si="34">AF67*AG67</f>
        <v>17698.917600000001</v>
      </c>
      <c r="AJ67" s="13">
        <f t="shared" ref="AJ67:AJ130" si="35">AH67-AI67</f>
        <v>9000.0945216000036</v>
      </c>
    </row>
    <row r="68" spans="1:36" x14ac:dyDescent="0.45">
      <c r="A68" s="3" t="s">
        <v>374</v>
      </c>
      <c r="B68" s="5">
        <v>45466</v>
      </c>
      <c r="C68" s="5">
        <v>45468</v>
      </c>
      <c r="D68" s="5">
        <f t="shared" si="18"/>
        <v>45466</v>
      </c>
      <c r="E68" s="5">
        <f t="shared" si="19"/>
        <v>45468</v>
      </c>
      <c r="F68" s="7">
        <f t="shared" si="20"/>
        <v>2</v>
      </c>
      <c r="G68" s="23" t="str">
        <f t="shared" si="21"/>
        <v>6-2024</v>
      </c>
      <c r="H68" s="3" t="s">
        <v>649</v>
      </c>
      <c r="I68" s="3" t="s">
        <v>658</v>
      </c>
      <c r="J68" s="3" t="s">
        <v>674</v>
      </c>
      <c r="K68" s="3" t="s">
        <v>705</v>
      </c>
      <c r="L68" s="3" t="s">
        <v>709</v>
      </c>
      <c r="M68" s="3" t="s">
        <v>716</v>
      </c>
      <c r="N68" s="3" t="s">
        <v>733</v>
      </c>
      <c r="O68" s="3" t="s">
        <v>1094</v>
      </c>
      <c r="P68" s="19">
        <v>951.44</v>
      </c>
      <c r="Q68" s="19">
        <v>1646.43</v>
      </c>
      <c r="R68" s="15">
        <v>0.11</v>
      </c>
      <c r="S68" s="7">
        <v>24</v>
      </c>
      <c r="T68" s="13">
        <f t="shared" si="27"/>
        <v>35167.7448</v>
      </c>
      <c r="U68" s="13">
        <f t="shared" si="28"/>
        <v>22834.560000000001</v>
      </c>
      <c r="V68" s="13">
        <f t="shared" si="22"/>
        <v>12333.184799999999</v>
      </c>
      <c r="W68" s="15">
        <f t="shared" si="23"/>
        <v>0.35069592520473475</v>
      </c>
      <c r="X68" s="17" t="str">
        <f t="shared" si="24"/>
        <v>Q2-2024</v>
      </c>
      <c r="Y68" t="str">
        <f t="shared" si="25"/>
        <v>Europe → United Kingdom → Birmingham</v>
      </c>
      <c r="Z68" t="str">
        <f t="shared" si="26"/>
        <v>Medium</v>
      </c>
      <c r="AA68">
        <f t="shared" si="29"/>
        <v>2024</v>
      </c>
      <c r="AB68">
        <f t="shared" si="30"/>
        <v>6</v>
      </c>
      <c r="AC68" t="str">
        <f t="shared" si="31"/>
        <v>Yes</v>
      </c>
      <c r="AD68" t="str">
        <f t="shared" si="32"/>
        <v>No</v>
      </c>
      <c r="AE68" s="36">
        <f>IF(Dashboard!$P$47&gt;'Staging Data'!R68,'Staging Data'!R68,Dashboard!$P$47)</f>
        <v>0.1</v>
      </c>
      <c r="AF68">
        <f>(100%+Dashboard!$P$48)*'Staging Data'!P68</f>
        <v>999.01200000000006</v>
      </c>
      <c r="AG68">
        <f>(100%+Dashboard!$P$49)*S68</f>
        <v>24.96</v>
      </c>
      <c r="AH68" s="13">
        <f t="shared" si="33"/>
        <v>36985.40352</v>
      </c>
      <c r="AI68" s="13">
        <f t="shared" si="34"/>
        <v>24935.339520000001</v>
      </c>
      <c r="AJ68" s="13">
        <f t="shared" si="35"/>
        <v>12050.063999999998</v>
      </c>
    </row>
    <row r="69" spans="1:36" x14ac:dyDescent="0.45">
      <c r="A69" s="3" t="s">
        <v>82</v>
      </c>
      <c r="B69" s="5">
        <v>45434</v>
      </c>
      <c r="C69" s="5">
        <v>45449</v>
      </c>
      <c r="D69" s="5">
        <f t="shared" si="18"/>
        <v>45434</v>
      </c>
      <c r="E69" s="5">
        <f t="shared" si="19"/>
        <v>45449</v>
      </c>
      <c r="F69" s="7">
        <f t="shared" si="20"/>
        <v>15</v>
      </c>
      <c r="G69" s="23" t="str">
        <f t="shared" si="21"/>
        <v>5-2024</v>
      </c>
      <c r="H69" s="3" t="s">
        <v>647</v>
      </c>
      <c r="I69" s="3" t="s">
        <v>652</v>
      </c>
      <c r="J69" s="3" t="s">
        <v>694</v>
      </c>
      <c r="K69" s="3" t="s">
        <v>701</v>
      </c>
      <c r="L69" s="3" t="s">
        <v>710</v>
      </c>
      <c r="M69" s="3" t="s">
        <v>712</v>
      </c>
      <c r="N69" s="3" t="s">
        <v>732</v>
      </c>
      <c r="O69" s="3" t="s">
        <v>801</v>
      </c>
      <c r="P69" s="19">
        <v>673.88</v>
      </c>
      <c r="Q69" s="19">
        <v>1228.01</v>
      </c>
      <c r="R69" s="15">
        <v>0.105</v>
      </c>
      <c r="S69" s="7">
        <v>13</v>
      </c>
      <c r="T69" s="13">
        <f t="shared" si="27"/>
        <v>14287.896349999999</v>
      </c>
      <c r="U69" s="13">
        <f t="shared" si="28"/>
        <v>8760.44</v>
      </c>
      <c r="V69" s="13">
        <f t="shared" si="22"/>
        <v>5527.4563499999986</v>
      </c>
      <c r="W69" s="15">
        <f t="shared" si="23"/>
        <v>0.38686285332689996</v>
      </c>
      <c r="X69" s="17" t="str">
        <f t="shared" si="24"/>
        <v>Q2-2024</v>
      </c>
      <c r="Y69" t="str">
        <f t="shared" si="25"/>
        <v>Asia → Japan → Nagoya</v>
      </c>
      <c r="Z69" t="str">
        <f t="shared" si="26"/>
        <v>Medium</v>
      </c>
      <c r="AA69">
        <f t="shared" si="29"/>
        <v>2024</v>
      </c>
      <c r="AB69">
        <f t="shared" si="30"/>
        <v>5</v>
      </c>
      <c r="AC69" t="str">
        <f t="shared" si="31"/>
        <v>No</v>
      </c>
      <c r="AD69" t="str">
        <f t="shared" si="32"/>
        <v>No</v>
      </c>
      <c r="AE69" s="36">
        <f>IF(Dashboard!$P$47&gt;'Staging Data'!R69,'Staging Data'!R69,Dashboard!$P$47)</f>
        <v>0.1</v>
      </c>
      <c r="AF69">
        <f>(100%+Dashboard!$P$48)*'Staging Data'!P69</f>
        <v>707.57400000000007</v>
      </c>
      <c r="AG69">
        <f>(100%+Dashboard!$P$49)*S69</f>
        <v>13.52</v>
      </c>
      <c r="AH69" s="13">
        <f t="shared" si="33"/>
        <v>14942.425679999998</v>
      </c>
      <c r="AI69" s="13">
        <f t="shared" si="34"/>
        <v>9566.4004800000002</v>
      </c>
      <c r="AJ69" s="13">
        <f t="shared" si="35"/>
        <v>5376.0251999999982</v>
      </c>
    </row>
    <row r="70" spans="1:36" x14ac:dyDescent="0.45">
      <c r="A70" s="3" t="s">
        <v>83</v>
      </c>
      <c r="B70" s="5">
        <v>45157</v>
      </c>
      <c r="C70" s="5">
        <v>45176</v>
      </c>
      <c r="D70" s="5">
        <f t="shared" si="18"/>
        <v>45157</v>
      </c>
      <c r="E70" s="5">
        <f t="shared" si="19"/>
        <v>45176</v>
      </c>
      <c r="F70" s="7">
        <f t="shared" si="20"/>
        <v>19</v>
      </c>
      <c r="G70" s="23" t="str">
        <f t="shared" si="21"/>
        <v>8-2023</v>
      </c>
      <c r="H70" s="3" t="s">
        <v>646</v>
      </c>
      <c r="I70" s="3" t="s">
        <v>661</v>
      </c>
      <c r="J70" s="3" t="s">
        <v>682</v>
      </c>
      <c r="K70" s="3" t="s">
        <v>706</v>
      </c>
      <c r="L70" s="3" t="s">
        <v>707</v>
      </c>
      <c r="M70" s="3" t="s">
        <v>726</v>
      </c>
      <c r="N70" s="3" t="s">
        <v>732</v>
      </c>
      <c r="O70" s="3" t="s">
        <v>802</v>
      </c>
      <c r="P70" s="19">
        <v>494.61</v>
      </c>
      <c r="Q70" s="19">
        <v>605.23</v>
      </c>
      <c r="R70" s="15">
        <v>0.20399999999999999</v>
      </c>
      <c r="S70" s="7">
        <v>18</v>
      </c>
      <c r="T70" s="13">
        <f t="shared" si="27"/>
        <v>8671.7354400000004</v>
      </c>
      <c r="U70" s="13">
        <f t="shared" si="28"/>
        <v>8902.98</v>
      </c>
      <c r="V70" s="13">
        <f t="shared" si="22"/>
        <v>-231.24455999999918</v>
      </c>
      <c r="W70" s="15">
        <f t="shared" si="23"/>
        <v>-2.6666468505639647E-2</v>
      </c>
      <c r="X70" s="17" t="str">
        <f t="shared" si="24"/>
        <v>Q3-2023</v>
      </c>
      <c r="Y70" t="str">
        <f t="shared" si="25"/>
        <v>Africa → South Africa → Johannesburg</v>
      </c>
      <c r="Z70" t="str">
        <f t="shared" si="26"/>
        <v>Low</v>
      </c>
      <c r="AA70">
        <f t="shared" si="29"/>
        <v>2023</v>
      </c>
      <c r="AB70">
        <f t="shared" si="30"/>
        <v>8</v>
      </c>
      <c r="AC70" t="str">
        <f t="shared" si="31"/>
        <v>No</v>
      </c>
      <c r="AD70" t="str">
        <f t="shared" si="32"/>
        <v>Yes</v>
      </c>
      <c r="AE70" s="36">
        <f>IF(Dashboard!$P$47&gt;'Staging Data'!R70,'Staging Data'!R70,Dashboard!$P$47)</f>
        <v>0.1</v>
      </c>
      <c r="AF70">
        <f>(100%+Dashboard!$P$48)*'Staging Data'!P70</f>
        <v>519.34050000000002</v>
      </c>
      <c r="AG70">
        <f>(100%+Dashboard!$P$49)*S70</f>
        <v>18.72</v>
      </c>
      <c r="AH70" s="13">
        <f t="shared" si="33"/>
        <v>10196.91504</v>
      </c>
      <c r="AI70" s="13">
        <f t="shared" si="34"/>
        <v>9722.0541599999997</v>
      </c>
      <c r="AJ70" s="13">
        <f t="shared" si="35"/>
        <v>474.86088000000018</v>
      </c>
    </row>
    <row r="71" spans="1:36" x14ac:dyDescent="0.45">
      <c r="A71" s="3" t="s">
        <v>84</v>
      </c>
      <c r="B71" s="5">
        <v>45037</v>
      </c>
      <c r="C71" s="5">
        <v>45056</v>
      </c>
      <c r="D71" s="5">
        <f t="shared" si="18"/>
        <v>45037</v>
      </c>
      <c r="E71" s="5">
        <f t="shared" si="19"/>
        <v>45056</v>
      </c>
      <c r="F71" s="7">
        <f t="shared" si="20"/>
        <v>19</v>
      </c>
      <c r="G71" s="23" t="str">
        <f t="shared" si="21"/>
        <v>4-2023</v>
      </c>
      <c r="H71" s="3" t="s">
        <v>647</v>
      </c>
      <c r="I71" s="3" t="s">
        <v>659</v>
      </c>
      <c r="J71" s="3" t="s">
        <v>685</v>
      </c>
      <c r="K71" s="3" t="s">
        <v>701</v>
      </c>
      <c r="L71" s="3" t="s">
        <v>707</v>
      </c>
      <c r="M71" s="3" t="s">
        <v>720</v>
      </c>
      <c r="N71" s="3" t="s">
        <v>727</v>
      </c>
      <c r="O71" s="3" t="s">
        <v>803</v>
      </c>
      <c r="P71" s="19">
        <v>882.33</v>
      </c>
      <c r="Q71" s="19">
        <v>1880.15</v>
      </c>
      <c r="R71" s="15">
        <v>0.05</v>
      </c>
      <c r="S71" s="7">
        <v>5</v>
      </c>
      <c r="T71" s="13">
        <f t="shared" si="27"/>
        <v>8930.7124999999996</v>
      </c>
      <c r="U71" s="13">
        <f t="shared" si="28"/>
        <v>4411.6500000000005</v>
      </c>
      <c r="V71" s="13">
        <f t="shared" si="22"/>
        <v>4519.0624999999991</v>
      </c>
      <c r="W71" s="15">
        <f t="shared" si="23"/>
        <v>0.50601365792482955</v>
      </c>
      <c r="X71" s="17" t="str">
        <f t="shared" si="24"/>
        <v>Q2-2023</v>
      </c>
      <c r="Y71" t="str">
        <f t="shared" si="25"/>
        <v>Asia → China → Shanghai</v>
      </c>
      <c r="Z71" t="str">
        <f t="shared" si="26"/>
        <v>Medium</v>
      </c>
      <c r="AA71">
        <f t="shared" si="29"/>
        <v>2023</v>
      </c>
      <c r="AB71">
        <f t="shared" si="30"/>
        <v>4</v>
      </c>
      <c r="AC71" t="str">
        <f t="shared" si="31"/>
        <v>No</v>
      </c>
      <c r="AD71" t="str">
        <f t="shared" si="32"/>
        <v>No</v>
      </c>
      <c r="AE71" s="36">
        <f>IF(Dashboard!$P$47&gt;'Staging Data'!R71,'Staging Data'!R71,Dashboard!$P$47)</f>
        <v>0.05</v>
      </c>
      <c r="AF71">
        <f>(100%+Dashboard!$P$48)*'Staging Data'!P71</f>
        <v>926.44650000000013</v>
      </c>
      <c r="AG71">
        <f>(100%+Dashboard!$P$49)*S71</f>
        <v>5.2</v>
      </c>
      <c r="AH71" s="13">
        <f t="shared" si="33"/>
        <v>9287.9410000000007</v>
      </c>
      <c r="AI71" s="13">
        <f t="shared" si="34"/>
        <v>4817.5218000000004</v>
      </c>
      <c r="AJ71" s="13">
        <f t="shared" si="35"/>
        <v>4470.4192000000003</v>
      </c>
    </row>
    <row r="72" spans="1:36" x14ac:dyDescent="0.45">
      <c r="A72" s="3" t="s">
        <v>354</v>
      </c>
      <c r="B72" s="5">
        <v>45131</v>
      </c>
      <c r="C72" s="5">
        <v>45157</v>
      </c>
      <c r="D72" s="5">
        <f t="shared" si="18"/>
        <v>45131</v>
      </c>
      <c r="E72" s="5">
        <f t="shared" si="19"/>
        <v>45157</v>
      </c>
      <c r="F72" s="7">
        <f t="shared" si="20"/>
        <v>26</v>
      </c>
      <c r="G72" s="23" t="str">
        <f t="shared" si="21"/>
        <v>7-2023</v>
      </c>
      <c r="H72" s="3" t="s">
        <v>646</v>
      </c>
      <c r="I72" s="3" t="s">
        <v>650</v>
      </c>
      <c r="J72" s="3" t="s">
        <v>664</v>
      </c>
      <c r="K72" s="3" t="s">
        <v>706</v>
      </c>
      <c r="L72" s="3" t="s">
        <v>710</v>
      </c>
      <c r="M72" s="3" t="s">
        <v>724</v>
      </c>
      <c r="N72" s="3" t="s">
        <v>733</v>
      </c>
      <c r="O72" s="3" t="s">
        <v>1074</v>
      </c>
      <c r="P72" s="19">
        <v>661.45</v>
      </c>
      <c r="Q72" s="19">
        <v>1634.86</v>
      </c>
      <c r="R72" s="15">
        <v>0.1186</v>
      </c>
      <c r="S72" s="7">
        <v>24</v>
      </c>
      <c r="T72" s="13">
        <f t="shared" si="27"/>
        <v>34583.174496</v>
      </c>
      <c r="U72" s="13">
        <f t="shared" si="28"/>
        <v>15874.800000000001</v>
      </c>
      <c r="V72" s="13">
        <f t="shared" si="22"/>
        <v>18708.374495999997</v>
      </c>
      <c r="W72" s="15">
        <f t="shared" si="23"/>
        <v>0.54096753027007016</v>
      </c>
      <c r="X72" s="17" t="str">
        <f t="shared" si="24"/>
        <v>Q3-2023</v>
      </c>
      <c r="Y72" t="str">
        <f t="shared" si="25"/>
        <v>Africa → Kenya → Nairobi</v>
      </c>
      <c r="Z72" t="str">
        <f t="shared" si="26"/>
        <v>Medium</v>
      </c>
      <c r="AA72">
        <f t="shared" si="29"/>
        <v>2023</v>
      </c>
      <c r="AB72">
        <f t="shared" si="30"/>
        <v>7</v>
      </c>
      <c r="AC72" t="str">
        <f t="shared" si="31"/>
        <v>No</v>
      </c>
      <c r="AD72" t="str">
        <f t="shared" si="32"/>
        <v>No</v>
      </c>
      <c r="AE72" s="36">
        <f>IF(Dashboard!$P$47&gt;'Staging Data'!R72,'Staging Data'!R72,Dashboard!$P$47)</f>
        <v>0.1</v>
      </c>
      <c r="AF72">
        <f>(100%+Dashboard!$P$48)*'Staging Data'!P72</f>
        <v>694.52250000000004</v>
      </c>
      <c r="AG72">
        <f>(100%+Dashboard!$P$49)*S72</f>
        <v>24.96</v>
      </c>
      <c r="AH72" s="13">
        <f t="shared" si="33"/>
        <v>36725.495039999994</v>
      </c>
      <c r="AI72" s="13">
        <f t="shared" si="34"/>
        <v>17335.281600000002</v>
      </c>
      <c r="AJ72" s="13">
        <f t="shared" si="35"/>
        <v>19390.213439999992</v>
      </c>
    </row>
    <row r="73" spans="1:36" x14ac:dyDescent="0.45">
      <c r="A73" s="3" t="s">
        <v>316</v>
      </c>
      <c r="B73" s="5">
        <v>45125</v>
      </c>
      <c r="C73" s="5">
        <v>45129</v>
      </c>
      <c r="D73" s="5">
        <f t="shared" si="18"/>
        <v>45125</v>
      </c>
      <c r="E73" s="5">
        <f t="shared" si="19"/>
        <v>45129</v>
      </c>
      <c r="F73" s="7">
        <f t="shared" si="20"/>
        <v>4</v>
      </c>
      <c r="G73" s="23" t="str">
        <f t="shared" si="21"/>
        <v>7-2023</v>
      </c>
      <c r="H73" s="3" t="s">
        <v>648</v>
      </c>
      <c r="I73" s="3" t="s">
        <v>655</v>
      </c>
      <c r="J73" s="3" t="s">
        <v>670</v>
      </c>
      <c r="K73" s="3" t="s">
        <v>704</v>
      </c>
      <c r="L73" s="3" t="s">
        <v>711</v>
      </c>
      <c r="M73" s="3" t="s">
        <v>721</v>
      </c>
      <c r="N73" s="3" t="s">
        <v>729</v>
      </c>
      <c r="O73" s="3" t="s">
        <v>1036</v>
      </c>
      <c r="P73" s="19">
        <v>1269.55</v>
      </c>
      <c r="Q73" s="19">
        <v>2071.1</v>
      </c>
      <c r="R73" s="15">
        <v>0.129</v>
      </c>
      <c r="S73" s="7">
        <v>22</v>
      </c>
      <c r="T73" s="13">
        <f t="shared" si="27"/>
        <v>39686.4182</v>
      </c>
      <c r="U73" s="13">
        <f t="shared" si="28"/>
        <v>27930.1</v>
      </c>
      <c r="V73" s="13">
        <f t="shared" si="22"/>
        <v>11756.318200000002</v>
      </c>
      <c r="W73" s="15">
        <f t="shared" si="23"/>
        <v>0.29623026549672354</v>
      </c>
      <c r="X73" s="17" t="str">
        <f t="shared" si="24"/>
        <v>Q3-2023</v>
      </c>
      <c r="Y73" t="str">
        <f t="shared" si="25"/>
        <v>Americas → Brazil → São Paulo</v>
      </c>
      <c r="Z73" t="str">
        <f t="shared" si="26"/>
        <v>High</v>
      </c>
      <c r="AA73">
        <f t="shared" si="29"/>
        <v>2023</v>
      </c>
      <c r="AB73">
        <f t="shared" si="30"/>
        <v>7</v>
      </c>
      <c r="AC73" t="str">
        <f t="shared" si="31"/>
        <v>Yes</v>
      </c>
      <c r="AD73" t="str">
        <f t="shared" si="32"/>
        <v>No</v>
      </c>
      <c r="AE73" s="36">
        <f>IF(Dashboard!$P$47&gt;'Staging Data'!R73,'Staging Data'!R73,Dashboard!$P$47)</f>
        <v>0.1</v>
      </c>
      <c r="AF73">
        <f>(100%+Dashboard!$P$48)*'Staging Data'!P73</f>
        <v>1333.0274999999999</v>
      </c>
      <c r="AG73">
        <f>(100%+Dashboard!$P$49)*S73</f>
        <v>22.880000000000003</v>
      </c>
      <c r="AH73" s="13">
        <f t="shared" si="33"/>
        <v>42648.091200000003</v>
      </c>
      <c r="AI73" s="13">
        <f t="shared" si="34"/>
        <v>30499.6692</v>
      </c>
      <c r="AJ73" s="13">
        <f t="shared" si="35"/>
        <v>12148.422000000002</v>
      </c>
    </row>
    <row r="74" spans="1:36" x14ac:dyDescent="0.45">
      <c r="A74" s="3" t="s">
        <v>87</v>
      </c>
      <c r="B74" s="5">
        <v>45394</v>
      </c>
      <c r="C74" s="5">
        <v>45419</v>
      </c>
      <c r="D74" s="5">
        <f t="shared" si="18"/>
        <v>45394</v>
      </c>
      <c r="E74" s="5">
        <f t="shared" si="19"/>
        <v>45419</v>
      </c>
      <c r="F74" s="7">
        <f t="shared" si="20"/>
        <v>25</v>
      </c>
      <c r="G74" s="23" t="str">
        <f t="shared" si="21"/>
        <v>4-2024</v>
      </c>
      <c r="H74" s="3" t="s">
        <v>646</v>
      </c>
      <c r="I74" s="3" t="s">
        <v>661</v>
      </c>
      <c r="J74" s="3" t="s">
        <v>682</v>
      </c>
      <c r="K74" s="3" t="s">
        <v>702</v>
      </c>
      <c r="L74" s="3" t="s">
        <v>710</v>
      </c>
      <c r="M74" s="3" t="s">
        <v>720</v>
      </c>
      <c r="N74" s="3" t="s">
        <v>731</v>
      </c>
      <c r="O74" s="3" t="s">
        <v>806</v>
      </c>
      <c r="P74" s="19">
        <v>1376.51</v>
      </c>
      <c r="Q74" s="19">
        <v>1455.91</v>
      </c>
      <c r="R74" s="15">
        <v>0.185</v>
      </c>
      <c r="S74" s="7">
        <v>17</v>
      </c>
      <c r="T74" s="13">
        <f t="shared" si="27"/>
        <v>20171.63305</v>
      </c>
      <c r="U74" s="13">
        <f t="shared" si="28"/>
        <v>23400.67</v>
      </c>
      <c r="V74" s="13">
        <f t="shared" si="22"/>
        <v>-3229.0369499999979</v>
      </c>
      <c r="W74" s="15">
        <f t="shared" si="23"/>
        <v>-0.1600781127634085</v>
      </c>
      <c r="X74" s="17" t="str">
        <f t="shared" si="24"/>
        <v>Q2-2024</v>
      </c>
      <c r="Y74" t="str">
        <f t="shared" si="25"/>
        <v>Africa → South Africa → Johannesburg</v>
      </c>
      <c r="Z74" t="str">
        <f t="shared" si="26"/>
        <v>Medium</v>
      </c>
      <c r="AA74">
        <f t="shared" si="29"/>
        <v>2024</v>
      </c>
      <c r="AB74">
        <f t="shared" si="30"/>
        <v>4</v>
      </c>
      <c r="AC74" t="str">
        <f t="shared" si="31"/>
        <v>No</v>
      </c>
      <c r="AD74" t="str">
        <f t="shared" si="32"/>
        <v>No</v>
      </c>
      <c r="AE74" s="36">
        <f>IF(Dashboard!$P$47&gt;'Staging Data'!R74,'Staging Data'!R74,Dashboard!$P$47)</f>
        <v>0.1</v>
      </c>
      <c r="AF74">
        <f>(100%+Dashboard!$P$48)*'Staging Data'!P74</f>
        <v>1445.3355000000001</v>
      </c>
      <c r="AG74">
        <f>(100%+Dashboard!$P$49)*S74</f>
        <v>17.68</v>
      </c>
      <c r="AH74" s="13">
        <f t="shared" si="33"/>
        <v>23166.439920000004</v>
      </c>
      <c r="AI74" s="13">
        <f t="shared" si="34"/>
        <v>25553.531640000001</v>
      </c>
      <c r="AJ74" s="13">
        <f t="shared" si="35"/>
        <v>-2387.0917199999967</v>
      </c>
    </row>
    <row r="75" spans="1:36" x14ac:dyDescent="0.45">
      <c r="A75" s="3" t="s">
        <v>88</v>
      </c>
      <c r="B75" s="5">
        <v>45641</v>
      </c>
      <c r="C75" s="5">
        <v>45646</v>
      </c>
      <c r="D75" s="5">
        <f t="shared" ref="D75:D138" si="36">IF(C75&gt;B75,B75,C75)</f>
        <v>45641</v>
      </c>
      <c r="E75" s="5">
        <f t="shared" ref="E75:E138" si="37">IF(C75&gt;B75,C75,B75)</f>
        <v>45646</v>
      </c>
      <c r="F75" s="7">
        <f t="shared" ref="F75:F138" si="38">DATEDIF(D75,E75,"D")</f>
        <v>5</v>
      </c>
      <c r="G75" s="23" t="str">
        <f t="shared" ref="G75:G138" si="39">CONCATENATE(MONTH(D75), "-",YEAR(D75))</f>
        <v>12-2024</v>
      </c>
      <c r="H75" s="3" t="s">
        <v>647</v>
      </c>
      <c r="I75" s="3" t="s">
        <v>659</v>
      </c>
      <c r="J75" s="3" t="s">
        <v>676</v>
      </c>
      <c r="K75" s="3" t="s">
        <v>705</v>
      </c>
      <c r="L75" s="3" t="s">
        <v>711</v>
      </c>
      <c r="M75" s="3" t="s">
        <v>713</v>
      </c>
      <c r="N75" s="3" t="s">
        <v>729</v>
      </c>
      <c r="O75" s="3" t="s">
        <v>807</v>
      </c>
      <c r="P75" s="19">
        <v>717.55</v>
      </c>
      <c r="Q75" s="19">
        <v>546.42999999999995</v>
      </c>
      <c r="R75" s="15">
        <v>4.7E-2</v>
      </c>
      <c r="S75" s="7">
        <v>18</v>
      </c>
      <c r="T75" s="13">
        <f t="shared" si="27"/>
        <v>9373.460219999999</v>
      </c>
      <c r="U75" s="13">
        <f t="shared" si="28"/>
        <v>12915.9</v>
      </c>
      <c r="V75" s="13">
        <f t="shared" ref="V75:V138" si="40">T75-U75</f>
        <v>-3542.4397800000006</v>
      </c>
      <c r="W75" s="15">
        <f t="shared" ref="W75:W138" si="41">IF(T75=0, 0,V75/T75)</f>
        <v>-0.37792231437026369</v>
      </c>
      <c r="X75" s="17" t="str">
        <f t="shared" ref="X75:X138" si="42">CONCATENATE(IF(MONTH(D75)&lt;=3,"Q1", IF(MONTH(D75)&lt;=6, "Q2", IF(MONTH(D75)&lt;= 9, "Q3", "Q4"))), "-", YEAR(D75))</f>
        <v>Q4-2024</v>
      </c>
      <c r="Y75" t="str">
        <f t="shared" ref="Y75:Y138" si="43">CONCATENATE(H75," → ",I75," → ",J75)</f>
        <v>Asia → China → Shenzhen</v>
      </c>
      <c r="Z75" t="str">
        <f t="shared" ref="Z75:Z138" si="44">IF(Q75&lt;=1193.97, "Low",IF(Q75&lt;1912.05,"Medium", "High"))</f>
        <v>Low</v>
      </c>
      <c r="AA75">
        <f t="shared" si="29"/>
        <v>2024</v>
      </c>
      <c r="AB75">
        <f t="shared" si="30"/>
        <v>12</v>
      </c>
      <c r="AC75" t="str">
        <f t="shared" si="31"/>
        <v>Yes</v>
      </c>
      <c r="AD75" t="str">
        <f t="shared" si="32"/>
        <v>No</v>
      </c>
      <c r="AE75" s="36">
        <f>IF(Dashboard!$P$47&gt;'Staging Data'!R75,'Staging Data'!R75,Dashboard!$P$47)</f>
        <v>4.7E-2</v>
      </c>
      <c r="AF75">
        <f>(100%+Dashboard!$P$48)*'Staging Data'!P75</f>
        <v>753.42750000000001</v>
      </c>
      <c r="AG75">
        <f>(100%+Dashboard!$P$49)*S75</f>
        <v>18.72</v>
      </c>
      <c r="AH75" s="13">
        <f t="shared" si="33"/>
        <v>9748.3986287999996</v>
      </c>
      <c r="AI75" s="13">
        <f t="shared" si="34"/>
        <v>14104.1628</v>
      </c>
      <c r="AJ75" s="13">
        <f t="shared" si="35"/>
        <v>-4355.7641712000004</v>
      </c>
    </row>
    <row r="76" spans="1:36" x14ac:dyDescent="0.45">
      <c r="A76" s="3" t="s">
        <v>89</v>
      </c>
      <c r="B76" s="5">
        <v>45066</v>
      </c>
      <c r="C76" s="5">
        <v>45064</v>
      </c>
      <c r="D76" s="5">
        <f t="shared" si="36"/>
        <v>45064</v>
      </c>
      <c r="E76" s="5">
        <f t="shared" si="37"/>
        <v>45066</v>
      </c>
      <c r="F76" s="7">
        <f t="shared" si="38"/>
        <v>2</v>
      </c>
      <c r="G76" s="23" t="str">
        <f t="shared" si="39"/>
        <v>5-2023</v>
      </c>
      <c r="H76" s="3" t="s">
        <v>646</v>
      </c>
      <c r="I76" s="3" t="s">
        <v>661</v>
      </c>
      <c r="J76" s="3" t="s">
        <v>687</v>
      </c>
      <c r="K76" s="3" t="s">
        <v>701</v>
      </c>
      <c r="L76" s="3" t="s">
        <v>710</v>
      </c>
      <c r="M76" s="3" t="s">
        <v>720</v>
      </c>
      <c r="N76" s="3" t="s">
        <v>727</v>
      </c>
      <c r="O76" s="3" t="s">
        <v>808</v>
      </c>
      <c r="P76" s="19">
        <v>917.88</v>
      </c>
      <c r="Q76" s="19">
        <v>1347.92</v>
      </c>
      <c r="R76" s="15">
        <v>0.1186</v>
      </c>
      <c r="S76" s="7">
        <v>5</v>
      </c>
      <c r="T76" s="13">
        <f t="shared" si="27"/>
        <v>5940.2834400000002</v>
      </c>
      <c r="U76" s="13">
        <f t="shared" si="28"/>
        <v>4589.3999999999996</v>
      </c>
      <c r="V76" s="13">
        <f t="shared" si="40"/>
        <v>1350.8834400000005</v>
      </c>
      <c r="W76" s="15">
        <f t="shared" si="41"/>
        <v>0.22741060315465358</v>
      </c>
      <c r="X76" s="17" t="str">
        <f t="shared" si="42"/>
        <v>Q2-2023</v>
      </c>
      <c r="Y76" t="str">
        <f t="shared" si="43"/>
        <v>Africa → South Africa → Durban</v>
      </c>
      <c r="Z76" t="str">
        <f t="shared" si="44"/>
        <v>Medium</v>
      </c>
      <c r="AA76">
        <f t="shared" si="29"/>
        <v>2023</v>
      </c>
      <c r="AB76">
        <f t="shared" si="30"/>
        <v>5</v>
      </c>
      <c r="AC76" t="str">
        <f t="shared" si="31"/>
        <v>Yes</v>
      </c>
      <c r="AD76" t="str">
        <f t="shared" si="32"/>
        <v>No</v>
      </c>
      <c r="AE76" s="36">
        <f>IF(Dashboard!$P$47&gt;'Staging Data'!R76,'Staging Data'!R76,Dashboard!$P$47)</f>
        <v>0.1</v>
      </c>
      <c r="AF76">
        <f>(100%+Dashboard!$P$48)*'Staging Data'!P76</f>
        <v>963.774</v>
      </c>
      <c r="AG76">
        <f>(100%+Dashboard!$P$49)*S76</f>
        <v>5.2</v>
      </c>
      <c r="AH76" s="13">
        <f t="shared" si="33"/>
        <v>6308.2656000000006</v>
      </c>
      <c r="AI76" s="13">
        <f t="shared" si="34"/>
        <v>5011.6248000000005</v>
      </c>
      <c r="AJ76" s="13">
        <f t="shared" si="35"/>
        <v>1296.6408000000001</v>
      </c>
    </row>
    <row r="77" spans="1:36" x14ac:dyDescent="0.45">
      <c r="A77" s="3" t="s">
        <v>90</v>
      </c>
      <c r="B77" s="5">
        <v>45187</v>
      </c>
      <c r="C77" s="5">
        <v>45207</v>
      </c>
      <c r="D77" s="5">
        <f t="shared" si="36"/>
        <v>45187</v>
      </c>
      <c r="E77" s="5">
        <f t="shared" si="37"/>
        <v>45207</v>
      </c>
      <c r="F77" s="7">
        <f t="shared" si="38"/>
        <v>20</v>
      </c>
      <c r="G77" s="23" t="str">
        <f t="shared" si="39"/>
        <v>9-2023</v>
      </c>
      <c r="H77" s="3" t="s">
        <v>647</v>
      </c>
      <c r="I77" s="3" t="s">
        <v>654</v>
      </c>
      <c r="J77" s="3" t="s">
        <v>680</v>
      </c>
      <c r="K77" s="3" t="s">
        <v>705</v>
      </c>
      <c r="L77" s="3" t="s">
        <v>711</v>
      </c>
      <c r="M77" s="3" t="s">
        <v>717</v>
      </c>
      <c r="N77" s="3" t="s">
        <v>727</v>
      </c>
      <c r="O77" s="3" t="s">
        <v>809</v>
      </c>
      <c r="P77" s="19">
        <v>825.64</v>
      </c>
      <c r="Q77" s="19">
        <v>1108.43</v>
      </c>
      <c r="R77" s="15">
        <v>0.114</v>
      </c>
      <c r="S77" s="7">
        <v>7</v>
      </c>
      <c r="T77" s="13">
        <f t="shared" si="27"/>
        <v>6874.4828600000001</v>
      </c>
      <c r="U77" s="13">
        <f t="shared" si="28"/>
        <v>5779.48</v>
      </c>
      <c r="V77" s="13">
        <f t="shared" si="40"/>
        <v>1095.0028600000005</v>
      </c>
      <c r="W77" s="15">
        <f t="shared" si="41"/>
        <v>0.15928512475773349</v>
      </c>
      <c r="X77" s="17" t="str">
        <f t="shared" si="42"/>
        <v>Q3-2023</v>
      </c>
      <c r="Y77" t="str">
        <f t="shared" si="43"/>
        <v>Asia → India → Delhi</v>
      </c>
      <c r="Z77" t="str">
        <f t="shared" si="44"/>
        <v>Low</v>
      </c>
      <c r="AA77">
        <f t="shared" si="29"/>
        <v>2023</v>
      </c>
      <c r="AB77">
        <f t="shared" si="30"/>
        <v>9</v>
      </c>
      <c r="AC77" t="str">
        <f t="shared" si="31"/>
        <v>No</v>
      </c>
      <c r="AD77" t="str">
        <f t="shared" si="32"/>
        <v>No</v>
      </c>
      <c r="AE77" s="36">
        <f>IF(Dashboard!$P$47&gt;'Staging Data'!R77,'Staging Data'!R77,Dashboard!$P$47)</f>
        <v>0.1</v>
      </c>
      <c r="AF77">
        <f>(100%+Dashboard!$P$48)*'Staging Data'!P77</f>
        <v>866.92200000000003</v>
      </c>
      <c r="AG77">
        <f>(100%+Dashboard!$P$49)*S77</f>
        <v>7.28</v>
      </c>
      <c r="AH77" s="13">
        <f t="shared" si="33"/>
        <v>7262.4333600000009</v>
      </c>
      <c r="AI77" s="13">
        <f t="shared" si="34"/>
        <v>6311.1921600000005</v>
      </c>
      <c r="AJ77" s="13">
        <f t="shared" si="35"/>
        <v>951.24120000000039</v>
      </c>
    </row>
    <row r="78" spans="1:36" x14ac:dyDescent="0.45">
      <c r="A78" s="3" t="s">
        <v>202</v>
      </c>
      <c r="B78" s="5">
        <v>45126</v>
      </c>
      <c r="C78" s="5">
        <v>45138</v>
      </c>
      <c r="D78" s="5">
        <f t="shared" si="36"/>
        <v>45126</v>
      </c>
      <c r="E78" s="5">
        <f t="shared" si="37"/>
        <v>45138</v>
      </c>
      <c r="F78" s="7">
        <f t="shared" si="38"/>
        <v>12</v>
      </c>
      <c r="G78" s="23" t="str">
        <f t="shared" si="39"/>
        <v>7-2023</v>
      </c>
      <c r="H78" s="3" t="s">
        <v>648</v>
      </c>
      <c r="I78" s="3" t="s">
        <v>655</v>
      </c>
      <c r="J78" s="3" t="s">
        <v>692</v>
      </c>
      <c r="K78" s="3" t="s">
        <v>701</v>
      </c>
      <c r="L78" s="3" t="s">
        <v>707</v>
      </c>
      <c r="M78" s="3" t="s">
        <v>712</v>
      </c>
      <c r="N78" s="3" t="s">
        <v>732</v>
      </c>
      <c r="O78" s="3" t="s">
        <v>922</v>
      </c>
      <c r="P78" s="19">
        <v>1334.64</v>
      </c>
      <c r="Q78" s="19">
        <v>2273.42</v>
      </c>
      <c r="R78" s="15">
        <v>0.11799999999999999</v>
      </c>
      <c r="S78" s="7">
        <v>14</v>
      </c>
      <c r="T78" s="13">
        <f t="shared" si="27"/>
        <v>28072.190160000002</v>
      </c>
      <c r="U78" s="13">
        <f t="shared" si="28"/>
        <v>18684.960000000003</v>
      </c>
      <c r="V78" s="13">
        <f t="shared" si="40"/>
        <v>9387.2301599999992</v>
      </c>
      <c r="W78" s="15">
        <f t="shared" si="41"/>
        <v>0.33439607335575267</v>
      </c>
      <c r="X78" s="17" t="str">
        <f t="shared" si="42"/>
        <v>Q3-2023</v>
      </c>
      <c r="Y78" t="str">
        <f t="shared" si="43"/>
        <v>Americas → Brazil → Rio de Janeiro</v>
      </c>
      <c r="Z78" t="str">
        <f t="shared" si="44"/>
        <v>High</v>
      </c>
      <c r="AA78">
        <f t="shared" si="29"/>
        <v>2023</v>
      </c>
      <c r="AB78">
        <f t="shared" si="30"/>
        <v>7</v>
      </c>
      <c r="AC78" t="str">
        <f t="shared" si="31"/>
        <v>No</v>
      </c>
      <c r="AD78" t="str">
        <f t="shared" si="32"/>
        <v>No</v>
      </c>
      <c r="AE78" s="36">
        <f>IF(Dashboard!$P$47&gt;'Staging Data'!R78,'Staging Data'!R78,Dashboard!$P$47)</f>
        <v>0.1</v>
      </c>
      <c r="AF78">
        <f>(100%+Dashboard!$P$48)*'Staging Data'!P78</f>
        <v>1401.3720000000001</v>
      </c>
      <c r="AG78">
        <f>(100%+Dashboard!$P$49)*S78</f>
        <v>14.56</v>
      </c>
      <c r="AH78" s="13">
        <f t="shared" si="33"/>
        <v>29790.895680000005</v>
      </c>
      <c r="AI78" s="13">
        <f t="shared" si="34"/>
        <v>20403.976320000002</v>
      </c>
      <c r="AJ78" s="13">
        <f t="shared" si="35"/>
        <v>9386.9193600000035</v>
      </c>
    </row>
    <row r="79" spans="1:36" x14ac:dyDescent="0.45">
      <c r="A79" s="3" t="s">
        <v>112</v>
      </c>
      <c r="B79" s="5">
        <v>45440</v>
      </c>
      <c r="C79" s="5">
        <v>45438</v>
      </c>
      <c r="D79" s="5">
        <f t="shared" si="36"/>
        <v>45438</v>
      </c>
      <c r="E79" s="5">
        <f t="shared" si="37"/>
        <v>45440</v>
      </c>
      <c r="F79" s="7">
        <f t="shared" si="38"/>
        <v>2</v>
      </c>
      <c r="G79" s="23" t="str">
        <f t="shared" si="39"/>
        <v>5-2024</v>
      </c>
      <c r="H79" s="3" t="s">
        <v>646</v>
      </c>
      <c r="I79" s="3" t="s">
        <v>651</v>
      </c>
      <c r="J79" s="3" t="s">
        <v>669</v>
      </c>
      <c r="K79" s="3" t="s">
        <v>706</v>
      </c>
      <c r="L79" s="3" t="s">
        <v>708</v>
      </c>
      <c r="M79" s="3" t="s">
        <v>721</v>
      </c>
      <c r="N79" s="3" t="s">
        <v>733</v>
      </c>
      <c r="O79" s="3" t="s">
        <v>831</v>
      </c>
      <c r="P79" s="19">
        <v>1227.08</v>
      </c>
      <c r="Q79" s="19">
        <v>1896.62</v>
      </c>
      <c r="R79" s="15">
        <v>0</v>
      </c>
      <c r="S79" s="7">
        <v>18</v>
      </c>
      <c r="T79" s="13">
        <f t="shared" si="27"/>
        <v>34139.159999999996</v>
      </c>
      <c r="U79" s="13">
        <f t="shared" si="28"/>
        <v>22087.439999999999</v>
      </c>
      <c r="V79" s="13">
        <f t="shared" si="40"/>
        <v>12051.719999999998</v>
      </c>
      <c r="W79" s="15">
        <f t="shared" si="41"/>
        <v>0.353017473189147</v>
      </c>
      <c r="X79" s="17" t="str">
        <f t="shared" si="42"/>
        <v>Q2-2024</v>
      </c>
      <c r="Y79" t="str">
        <f t="shared" si="43"/>
        <v>Africa → Nigeria → Abuja</v>
      </c>
      <c r="Z79" t="str">
        <f t="shared" si="44"/>
        <v>Medium</v>
      </c>
      <c r="AA79">
        <f t="shared" si="29"/>
        <v>2024</v>
      </c>
      <c r="AB79">
        <f t="shared" si="30"/>
        <v>5</v>
      </c>
      <c r="AC79" t="str">
        <f t="shared" si="31"/>
        <v>Yes</v>
      </c>
      <c r="AD79" t="str">
        <f t="shared" si="32"/>
        <v>No</v>
      </c>
      <c r="AE79" s="36">
        <f>IF(Dashboard!$P$47&gt;'Staging Data'!R79,'Staging Data'!R79,Dashboard!$P$47)</f>
        <v>0</v>
      </c>
      <c r="AF79">
        <f>(100%+Dashboard!$P$48)*'Staging Data'!P79</f>
        <v>1288.434</v>
      </c>
      <c r="AG79">
        <f>(100%+Dashboard!$P$49)*S79</f>
        <v>18.72</v>
      </c>
      <c r="AH79" s="13">
        <f t="shared" si="33"/>
        <v>35504.726399999992</v>
      </c>
      <c r="AI79" s="13">
        <f t="shared" si="34"/>
        <v>24119.484479999999</v>
      </c>
      <c r="AJ79" s="13">
        <f t="shared" si="35"/>
        <v>11385.241919999993</v>
      </c>
    </row>
    <row r="80" spans="1:36" x14ac:dyDescent="0.45">
      <c r="A80" s="3" t="s">
        <v>93</v>
      </c>
      <c r="B80" s="5">
        <v>45091</v>
      </c>
      <c r="C80" s="5">
        <v>45093</v>
      </c>
      <c r="D80" s="5">
        <f t="shared" si="36"/>
        <v>45091</v>
      </c>
      <c r="E80" s="5">
        <f t="shared" si="37"/>
        <v>45093</v>
      </c>
      <c r="F80" s="7">
        <f t="shared" si="38"/>
        <v>2</v>
      </c>
      <c r="G80" s="23" t="str">
        <f t="shared" si="39"/>
        <v>6-2023</v>
      </c>
      <c r="H80" s="3" t="s">
        <v>649</v>
      </c>
      <c r="I80" s="3" t="s">
        <v>658</v>
      </c>
      <c r="J80" s="3" t="s">
        <v>693</v>
      </c>
      <c r="K80" s="3" t="s">
        <v>703</v>
      </c>
      <c r="L80" s="3" t="s">
        <v>711</v>
      </c>
      <c r="M80" s="3" t="s">
        <v>723</v>
      </c>
      <c r="N80" s="3" t="s">
        <v>727</v>
      </c>
      <c r="O80" s="3" t="s">
        <v>812</v>
      </c>
      <c r="P80" s="19">
        <v>357.36</v>
      </c>
      <c r="Q80" s="19">
        <v>703.62</v>
      </c>
      <c r="R80" s="15">
        <v>0.25700000000000001</v>
      </c>
      <c r="S80" s="7">
        <v>20</v>
      </c>
      <c r="T80" s="13">
        <f t="shared" si="27"/>
        <v>10455.7932</v>
      </c>
      <c r="U80" s="13">
        <f t="shared" si="28"/>
        <v>7147.2000000000007</v>
      </c>
      <c r="V80" s="13">
        <f t="shared" si="40"/>
        <v>3308.5931999999993</v>
      </c>
      <c r="W80" s="15">
        <f t="shared" si="41"/>
        <v>0.31643636563125593</v>
      </c>
      <c r="X80" s="17" t="str">
        <f t="shared" si="42"/>
        <v>Q2-2023</v>
      </c>
      <c r="Y80" t="str">
        <f t="shared" si="43"/>
        <v>Europe → United Kingdom → Manchester</v>
      </c>
      <c r="Z80" t="str">
        <f t="shared" si="44"/>
        <v>Low</v>
      </c>
      <c r="AA80">
        <f t="shared" si="29"/>
        <v>2023</v>
      </c>
      <c r="AB80">
        <f t="shared" si="30"/>
        <v>6</v>
      </c>
      <c r="AC80" t="str">
        <f t="shared" si="31"/>
        <v>Yes</v>
      </c>
      <c r="AD80" t="str">
        <f t="shared" si="32"/>
        <v>Yes</v>
      </c>
      <c r="AE80" s="36">
        <f>IF(Dashboard!$P$47&gt;'Staging Data'!R80,'Staging Data'!R80,Dashboard!$P$47)</f>
        <v>0.1</v>
      </c>
      <c r="AF80">
        <f>(100%+Dashboard!$P$48)*'Staging Data'!P80</f>
        <v>375.22800000000001</v>
      </c>
      <c r="AG80">
        <f>(100%+Dashboard!$P$49)*S80</f>
        <v>20.8</v>
      </c>
      <c r="AH80" s="13">
        <f t="shared" si="33"/>
        <v>13171.7664</v>
      </c>
      <c r="AI80" s="13">
        <f t="shared" si="34"/>
        <v>7804.7424000000001</v>
      </c>
      <c r="AJ80" s="13">
        <f t="shared" si="35"/>
        <v>5367.0240000000003</v>
      </c>
    </row>
    <row r="81" spans="1:36" x14ac:dyDescent="0.45">
      <c r="A81" s="3" t="s">
        <v>94</v>
      </c>
      <c r="B81" s="5">
        <v>45617</v>
      </c>
      <c r="C81" s="5">
        <v>45647</v>
      </c>
      <c r="D81" s="5">
        <f t="shared" si="36"/>
        <v>45617</v>
      </c>
      <c r="E81" s="5">
        <f t="shared" si="37"/>
        <v>45647</v>
      </c>
      <c r="F81" s="7">
        <f t="shared" si="38"/>
        <v>30</v>
      </c>
      <c r="G81" s="23" t="str">
        <f t="shared" si="39"/>
        <v>11-2024</v>
      </c>
      <c r="H81" s="3" t="s">
        <v>649</v>
      </c>
      <c r="I81" s="3" t="s">
        <v>657</v>
      </c>
      <c r="J81" s="3" t="s">
        <v>673</v>
      </c>
      <c r="K81" s="3" t="s">
        <v>705</v>
      </c>
      <c r="L81" s="3" t="s">
        <v>711</v>
      </c>
      <c r="M81" s="3" t="s">
        <v>714</v>
      </c>
      <c r="N81" s="3" t="s">
        <v>732</v>
      </c>
      <c r="O81" s="3" t="s">
        <v>813</v>
      </c>
      <c r="P81" s="19">
        <v>1122.68</v>
      </c>
      <c r="Q81" s="19">
        <v>1997.19</v>
      </c>
      <c r="R81" s="15">
        <v>0.186</v>
      </c>
      <c r="S81" s="7">
        <v>3</v>
      </c>
      <c r="T81" s="13">
        <f t="shared" si="27"/>
        <v>4877.1379800000004</v>
      </c>
      <c r="U81" s="13">
        <f t="shared" si="28"/>
        <v>3368.04</v>
      </c>
      <c r="V81" s="13">
        <f t="shared" si="40"/>
        <v>1509.0979800000005</v>
      </c>
      <c r="W81" s="15">
        <f t="shared" si="41"/>
        <v>0.30942285951073306</v>
      </c>
      <c r="X81" s="17" t="str">
        <f t="shared" si="42"/>
        <v>Q4-2024</v>
      </c>
      <c r="Y81" t="str">
        <f t="shared" si="43"/>
        <v>Europe → France → Marseille</v>
      </c>
      <c r="Z81" t="str">
        <f t="shared" si="44"/>
        <v>High</v>
      </c>
      <c r="AA81">
        <f t="shared" si="29"/>
        <v>2024</v>
      </c>
      <c r="AB81">
        <f t="shared" si="30"/>
        <v>11</v>
      </c>
      <c r="AC81" t="str">
        <f t="shared" si="31"/>
        <v>No</v>
      </c>
      <c r="AD81" t="str">
        <f t="shared" si="32"/>
        <v>No</v>
      </c>
      <c r="AE81" s="36">
        <f>IF(Dashboard!$P$47&gt;'Staging Data'!R81,'Staging Data'!R81,Dashboard!$P$47)</f>
        <v>0.1</v>
      </c>
      <c r="AF81">
        <f>(100%+Dashboard!$P$48)*'Staging Data'!P81</f>
        <v>1178.8140000000001</v>
      </c>
      <c r="AG81">
        <f>(100%+Dashboard!$P$49)*S81</f>
        <v>3.12</v>
      </c>
      <c r="AH81" s="13">
        <f t="shared" si="33"/>
        <v>5608.1095200000009</v>
      </c>
      <c r="AI81" s="13">
        <f t="shared" si="34"/>
        <v>3677.8996800000004</v>
      </c>
      <c r="AJ81" s="13">
        <f t="shared" si="35"/>
        <v>1930.2098400000004</v>
      </c>
    </row>
    <row r="82" spans="1:36" x14ac:dyDescent="0.45">
      <c r="A82" s="3" t="s">
        <v>95</v>
      </c>
      <c r="B82" s="5">
        <v>44965</v>
      </c>
      <c r="C82" s="5">
        <v>44968</v>
      </c>
      <c r="D82" s="5">
        <f t="shared" si="36"/>
        <v>44965</v>
      </c>
      <c r="E82" s="5">
        <f t="shared" si="37"/>
        <v>44968</v>
      </c>
      <c r="F82" s="7">
        <f t="shared" si="38"/>
        <v>3</v>
      </c>
      <c r="G82" s="23" t="str">
        <f t="shared" si="39"/>
        <v>2-2023</v>
      </c>
      <c r="H82" s="3" t="s">
        <v>646</v>
      </c>
      <c r="I82" s="3" t="s">
        <v>661</v>
      </c>
      <c r="J82" s="3" t="s">
        <v>695</v>
      </c>
      <c r="K82" s="3" t="s">
        <v>701</v>
      </c>
      <c r="L82" s="3" t="s">
        <v>711</v>
      </c>
      <c r="M82" s="3" t="s">
        <v>724</v>
      </c>
      <c r="N82" s="3" t="s">
        <v>729</v>
      </c>
      <c r="O82" s="3" t="s">
        <v>814</v>
      </c>
      <c r="P82" s="19">
        <v>1410.05</v>
      </c>
      <c r="Q82" s="19">
        <v>2763.95</v>
      </c>
      <c r="R82" s="15">
        <v>0.161</v>
      </c>
      <c r="S82" s="7">
        <v>26</v>
      </c>
      <c r="T82" s="13">
        <f t="shared" si="27"/>
        <v>60292.805299999993</v>
      </c>
      <c r="U82" s="13">
        <f t="shared" si="28"/>
        <v>36661.299999999996</v>
      </c>
      <c r="V82" s="13">
        <f t="shared" si="40"/>
        <v>23631.505299999997</v>
      </c>
      <c r="W82" s="15">
        <f t="shared" si="41"/>
        <v>0.39194569206750779</v>
      </c>
      <c r="X82" s="17" t="str">
        <f t="shared" si="42"/>
        <v>Q1-2023</v>
      </c>
      <c r="Y82" t="str">
        <f t="shared" si="43"/>
        <v>Africa → South Africa → Cape Town</v>
      </c>
      <c r="Z82" t="str">
        <f t="shared" si="44"/>
        <v>High</v>
      </c>
      <c r="AA82">
        <f t="shared" si="29"/>
        <v>2023</v>
      </c>
      <c r="AB82">
        <f t="shared" si="30"/>
        <v>2</v>
      </c>
      <c r="AC82" t="str">
        <f t="shared" si="31"/>
        <v>Yes</v>
      </c>
      <c r="AD82" t="str">
        <f t="shared" si="32"/>
        <v>No</v>
      </c>
      <c r="AE82" s="36">
        <f>IF(Dashboard!$P$47&gt;'Staging Data'!R82,'Staging Data'!R82,Dashboard!$P$47)</f>
        <v>0.1</v>
      </c>
      <c r="AF82">
        <f>(100%+Dashboard!$P$48)*'Staging Data'!P82</f>
        <v>1480.5525</v>
      </c>
      <c r="AG82">
        <f>(100%+Dashboard!$P$49)*S82</f>
        <v>27.04</v>
      </c>
      <c r="AH82" s="13">
        <f t="shared" si="33"/>
        <v>67263.487200000003</v>
      </c>
      <c r="AI82" s="13">
        <f t="shared" si="34"/>
        <v>40034.139600000002</v>
      </c>
      <c r="AJ82" s="13">
        <f t="shared" si="35"/>
        <v>27229.347600000001</v>
      </c>
    </row>
    <row r="83" spans="1:36" x14ac:dyDescent="0.45">
      <c r="A83" s="3" t="s">
        <v>96</v>
      </c>
      <c r="B83" s="5">
        <v>45157</v>
      </c>
      <c r="C83" s="5">
        <v>45181</v>
      </c>
      <c r="D83" s="5">
        <f t="shared" si="36"/>
        <v>45157</v>
      </c>
      <c r="E83" s="5">
        <f t="shared" si="37"/>
        <v>45181</v>
      </c>
      <c r="F83" s="7">
        <f t="shared" si="38"/>
        <v>24</v>
      </c>
      <c r="G83" s="23" t="str">
        <f t="shared" si="39"/>
        <v>8-2023</v>
      </c>
      <c r="H83" s="3" t="s">
        <v>648</v>
      </c>
      <c r="I83" s="3" t="s">
        <v>653</v>
      </c>
      <c r="J83" s="3" t="s">
        <v>688</v>
      </c>
      <c r="K83" s="3" t="s">
        <v>706</v>
      </c>
      <c r="L83" s="3" t="s">
        <v>707</v>
      </c>
      <c r="M83" s="3" t="s">
        <v>714</v>
      </c>
      <c r="N83" s="3" t="s">
        <v>728</v>
      </c>
      <c r="O83" s="3" t="s">
        <v>815</v>
      </c>
      <c r="P83" s="19">
        <v>1183.95</v>
      </c>
      <c r="Q83" s="19">
        <v>1503.53</v>
      </c>
      <c r="R83" s="15">
        <v>0.24099999999999999</v>
      </c>
      <c r="S83" s="7">
        <v>16</v>
      </c>
      <c r="T83" s="13">
        <f t="shared" si="27"/>
        <v>18258.868320000001</v>
      </c>
      <c r="U83" s="13">
        <f t="shared" si="28"/>
        <v>18943.2</v>
      </c>
      <c r="V83" s="13">
        <f t="shared" si="40"/>
        <v>-684.33167999999932</v>
      </c>
      <c r="W83" s="15">
        <f t="shared" si="41"/>
        <v>-3.7479413729623705E-2</v>
      </c>
      <c r="X83" s="17" t="str">
        <f t="shared" si="42"/>
        <v>Q3-2023</v>
      </c>
      <c r="Y83" t="str">
        <f t="shared" si="43"/>
        <v>Americas → Canada → Vancouver</v>
      </c>
      <c r="Z83" t="str">
        <f t="shared" si="44"/>
        <v>Medium</v>
      </c>
      <c r="AA83">
        <f t="shared" si="29"/>
        <v>2023</v>
      </c>
      <c r="AB83">
        <f t="shared" si="30"/>
        <v>8</v>
      </c>
      <c r="AC83" t="str">
        <f t="shared" si="31"/>
        <v>No</v>
      </c>
      <c r="AD83" t="str">
        <f t="shared" si="32"/>
        <v>Yes</v>
      </c>
      <c r="AE83" s="36">
        <f>IF(Dashboard!$P$47&gt;'Staging Data'!R83,'Staging Data'!R83,Dashboard!$P$47)</f>
        <v>0.1</v>
      </c>
      <c r="AF83">
        <f>(100%+Dashboard!$P$48)*'Staging Data'!P83</f>
        <v>1243.1475</v>
      </c>
      <c r="AG83">
        <f>(100%+Dashboard!$P$49)*S83</f>
        <v>16.64</v>
      </c>
      <c r="AH83" s="13">
        <f t="shared" si="33"/>
        <v>22516.865280000002</v>
      </c>
      <c r="AI83" s="13">
        <f t="shared" si="34"/>
        <v>20685.974400000003</v>
      </c>
      <c r="AJ83" s="13">
        <f t="shared" si="35"/>
        <v>1830.890879999999</v>
      </c>
    </row>
    <row r="84" spans="1:36" x14ac:dyDescent="0.45">
      <c r="A84" s="3" t="s">
        <v>97</v>
      </c>
      <c r="B84" s="5">
        <v>45791</v>
      </c>
      <c r="C84" s="5">
        <v>45801</v>
      </c>
      <c r="D84" s="5">
        <f t="shared" si="36"/>
        <v>45791</v>
      </c>
      <c r="E84" s="5">
        <f t="shared" si="37"/>
        <v>45801</v>
      </c>
      <c r="F84" s="7">
        <f t="shared" si="38"/>
        <v>10</v>
      </c>
      <c r="G84" s="23" t="str">
        <f t="shared" si="39"/>
        <v>5-2025</v>
      </c>
      <c r="H84" s="3" t="s">
        <v>649</v>
      </c>
      <c r="I84" s="3" t="s">
        <v>657</v>
      </c>
      <c r="J84" s="3" t="s">
        <v>690</v>
      </c>
      <c r="K84" s="3" t="s">
        <v>705</v>
      </c>
      <c r="L84" s="3" t="s">
        <v>709</v>
      </c>
      <c r="M84" s="3" t="s">
        <v>723</v>
      </c>
      <c r="N84" s="3" t="s">
        <v>727</v>
      </c>
      <c r="O84" s="3" t="s">
        <v>816</v>
      </c>
      <c r="P84" s="19">
        <v>170.39</v>
      </c>
      <c r="Q84" s="19">
        <v>388.04</v>
      </c>
      <c r="R84" s="15">
        <v>8.4000000000000005E-2</v>
      </c>
      <c r="S84" s="7">
        <v>15</v>
      </c>
      <c r="T84" s="13">
        <f t="shared" si="27"/>
        <v>5331.6696000000002</v>
      </c>
      <c r="U84" s="13">
        <f t="shared" si="28"/>
        <v>2555.85</v>
      </c>
      <c r="V84" s="13">
        <f t="shared" si="40"/>
        <v>2775.8196000000003</v>
      </c>
      <c r="W84" s="15">
        <f t="shared" si="41"/>
        <v>0.52062858508711796</v>
      </c>
      <c r="X84" s="17" t="str">
        <f t="shared" si="42"/>
        <v>Q2-2025</v>
      </c>
      <c r="Y84" t="str">
        <f t="shared" si="43"/>
        <v>Europe → France → Paris</v>
      </c>
      <c r="Z84" t="str">
        <f t="shared" si="44"/>
        <v>Low</v>
      </c>
      <c r="AA84">
        <f t="shared" si="29"/>
        <v>2025</v>
      </c>
      <c r="AB84">
        <f t="shared" si="30"/>
        <v>5</v>
      </c>
      <c r="AC84" t="str">
        <f t="shared" si="31"/>
        <v>No</v>
      </c>
      <c r="AD84" t="str">
        <f t="shared" si="32"/>
        <v>No</v>
      </c>
      <c r="AE84" s="36">
        <f>IF(Dashboard!$P$47&gt;'Staging Data'!R84,'Staging Data'!R84,Dashboard!$P$47)</f>
        <v>8.4000000000000005E-2</v>
      </c>
      <c r="AF84">
        <f>(100%+Dashboard!$P$48)*'Staging Data'!P84</f>
        <v>178.90949999999998</v>
      </c>
      <c r="AG84">
        <f>(100%+Dashboard!$P$49)*S84</f>
        <v>15.600000000000001</v>
      </c>
      <c r="AH84" s="13">
        <f t="shared" si="33"/>
        <v>5544.9363840000015</v>
      </c>
      <c r="AI84" s="13">
        <f t="shared" si="34"/>
        <v>2790.9881999999998</v>
      </c>
      <c r="AJ84" s="13">
        <f t="shared" si="35"/>
        <v>2753.9481840000017</v>
      </c>
    </row>
    <row r="85" spans="1:36" x14ac:dyDescent="0.45">
      <c r="A85" s="3" t="s">
        <v>98</v>
      </c>
      <c r="B85" s="5">
        <v>45770</v>
      </c>
      <c r="C85" s="5">
        <v>45769</v>
      </c>
      <c r="D85" s="5">
        <f t="shared" si="36"/>
        <v>45769</v>
      </c>
      <c r="E85" s="5">
        <f t="shared" si="37"/>
        <v>45770</v>
      </c>
      <c r="F85" s="7">
        <f t="shared" si="38"/>
        <v>1</v>
      </c>
      <c r="G85" s="23" t="str">
        <f t="shared" si="39"/>
        <v>4-2025</v>
      </c>
      <c r="H85" s="3" t="s">
        <v>648</v>
      </c>
      <c r="I85" s="3" t="s">
        <v>660</v>
      </c>
      <c r="J85" s="3" t="s">
        <v>686</v>
      </c>
      <c r="K85" s="3" t="s">
        <v>703</v>
      </c>
      <c r="L85" s="3" t="s">
        <v>710</v>
      </c>
      <c r="M85" s="3" t="s">
        <v>726</v>
      </c>
      <c r="N85" s="3" t="s">
        <v>732</v>
      </c>
      <c r="O85" s="3" t="s">
        <v>817</v>
      </c>
      <c r="P85" s="19">
        <v>23.24</v>
      </c>
      <c r="Q85" s="19">
        <v>44.57</v>
      </c>
      <c r="R85" s="15">
        <v>0.215</v>
      </c>
      <c r="S85" s="7">
        <v>15</v>
      </c>
      <c r="T85" s="13">
        <f t="shared" si="27"/>
        <v>524.81174999999996</v>
      </c>
      <c r="U85" s="13">
        <f t="shared" si="28"/>
        <v>348.59999999999997</v>
      </c>
      <c r="V85" s="13">
        <f t="shared" si="40"/>
        <v>176.21174999999999</v>
      </c>
      <c r="W85" s="15">
        <f t="shared" si="41"/>
        <v>0.33576182316802167</v>
      </c>
      <c r="X85" s="17" t="str">
        <f t="shared" si="42"/>
        <v>Q2-2025</v>
      </c>
      <c r="Y85" t="str">
        <f t="shared" si="43"/>
        <v>Americas → USA → San Francisco</v>
      </c>
      <c r="Z85" t="str">
        <f t="shared" si="44"/>
        <v>Low</v>
      </c>
      <c r="AA85">
        <f t="shared" si="29"/>
        <v>2025</v>
      </c>
      <c r="AB85">
        <f t="shared" si="30"/>
        <v>4</v>
      </c>
      <c r="AC85" t="str">
        <f t="shared" si="31"/>
        <v>Yes</v>
      </c>
      <c r="AD85" t="str">
        <f t="shared" si="32"/>
        <v>Yes</v>
      </c>
      <c r="AE85" s="36">
        <f>IF(Dashboard!$P$47&gt;'Staging Data'!R85,'Staging Data'!R85,Dashboard!$P$47)</f>
        <v>0.1</v>
      </c>
      <c r="AF85">
        <f>(100%+Dashboard!$P$48)*'Staging Data'!P85</f>
        <v>24.402000000000001</v>
      </c>
      <c r="AG85">
        <f>(100%+Dashboard!$P$49)*S85</f>
        <v>15.600000000000001</v>
      </c>
      <c r="AH85" s="13">
        <f t="shared" si="33"/>
        <v>625.76280000000008</v>
      </c>
      <c r="AI85" s="13">
        <f t="shared" si="34"/>
        <v>380.67120000000006</v>
      </c>
      <c r="AJ85" s="13">
        <f t="shared" si="35"/>
        <v>245.09160000000003</v>
      </c>
    </row>
    <row r="86" spans="1:36" x14ac:dyDescent="0.45">
      <c r="A86" s="3" t="s">
        <v>99</v>
      </c>
      <c r="B86" s="5">
        <v>45741</v>
      </c>
      <c r="C86" s="5">
        <v>45764</v>
      </c>
      <c r="D86" s="5">
        <f t="shared" si="36"/>
        <v>45741</v>
      </c>
      <c r="E86" s="5">
        <f t="shared" si="37"/>
        <v>45764</v>
      </c>
      <c r="F86" s="7">
        <f t="shared" si="38"/>
        <v>23</v>
      </c>
      <c r="G86" s="23" t="str">
        <f t="shared" si="39"/>
        <v>3-2025</v>
      </c>
      <c r="H86" s="3" t="s">
        <v>649</v>
      </c>
      <c r="I86" s="3" t="s">
        <v>658</v>
      </c>
      <c r="J86" s="3" t="s">
        <v>683</v>
      </c>
      <c r="K86" s="3" t="s">
        <v>704</v>
      </c>
      <c r="L86" s="3" t="s">
        <v>707</v>
      </c>
      <c r="M86" s="3" t="s">
        <v>722</v>
      </c>
      <c r="N86" s="3" t="s">
        <v>729</v>
      </c>
      <c r="O86" s="3" t="s">
        <v>818</v>
      </c>
      <c r="P86" s="19">
        <v>1421.19</v>
      </c>
      <c r="Q86" s="19">
        <v>1808.26</v>
      </c>
      <c r="R86" s="15">
        <v>0.104</v>
      </c>
      <c r="S86" s="7">
        <v>13</v>
      </c>
      <c r="T86" s="13">
        <f t="shared" si="27"/>
        <v>21062.61248</v>
      </c>
      <c r="U86" s="13">
        <f t="shared" si="28"/>
        <v>18475.47</v>
      </c>
      <c r="V86" s="13">
        <f t="shared" si="40"/>
        <v>2587.1424799999986</v>
      </c>
      <c r="W86" s="15">
        <f t="shared" si="41"/>
        <v>0.12283103449093123</v>
      </c>
      <c r="X86" s="17" t="str">
        <f t="shared" si="42"/>
        <v>Q1-2025</v>
      </c>
      <c r="Y86" t="str">
        <f t="shared" si="43"/>
        <v>Europe → United Kingdom → London</v>
      </c>
      <c r="Z86" t="str">
        <f t="shared" si="44"/>
        <v>Medium</v>
      </c>
      <c r="AA86">
        <f t="shared" si="29"/>
        <v>2025</v>
      </c>
      <c r="AB86">
        <f t="shared" si="30"/>
        <v>3</v>
      </c>
      <c r="AC86" t="str">
        <f t="shared" si="31"/>
        <v>No</v>
      </c>
      <c r="AD86" t="str">
        <f t="shared" si="32"/>
        <v>No</v>
      </c>
      <c r="AE86" s="36">
        <f>IF(Dashboard!$P$47&gt;'Staging Data'!R86,'Staging Data'!R86,Dashboard!$P$47)</f>
        <v>0.1</v>
      </c>
      <c r="AF86">
        <f>(100%+Dashboard!$P$48)*'Staging Data'!P86</f>
        <v>1492.2495000000001</v>
      </c>
      <c r="AG86">
        <f>(100%+Dashboard!$P$49)*S86</f>
        <v>13.52</v>
      </c>
      <c r="AH86" s="13">
        <f t="shared" si="33"/>
        <v>22002.90768</v>
      </c>
      <c r="AI86" s="13">
        <f t="shared" si="34"/>
        <v>20175.213240000001</v>
      </c>
      <c r="AJ86" s="13">
        <f t="shared" si="35"/>
        <v>1827.6944399999993</v>
      </c>
    </row>
    <row r="87" spans="1:36" x14ac:dyDescent="0.45">
      <c r="A87" s="3" t="s">
        <v>100</v>
      </c>
      <c r="B87" s="5">
        <v>45282</v>
      </c>
      <c r="C87" s="5">
        <v>45283</v>
      </c>
      <c r="D87" s="5">
        <f t="shared" si="36"/>
        <v>45282</v>
      </c>
      <c r="E87" s="5">
        <f t="shared" si="37"/>
        <v>45283</v>
      </c>
      <c r="F87" s="7">
        <f t="shared" si="38"/>
        <v>1</v>
      </c>
      <c r="G87" s="23" t="str">
        <f t="shared" si="39"/>
        <v>12-2023</v>
      </c>
      <c r="H87" s="3" t="s">
        <v>646</v>
      </c>
      <c r="I87" s="3" t="s">
        <v>661</v>
      </c>
      <c r="J87" s="3" t="s">
        <v>695</v>
      </c>
      <c r="K87" s="3" t="s">
        <v>703</v>
      </c>
      <c r="L87" s="3" t="s">
        <v>709</v>
      </c>
      <c r="M87" s="3" t="s">
        <v>726</v>
      </c>
      <c r="N87" s="3" t="s">
        <v>727</v>
      </c>
      <c r="O87" s="3" t="s">
        <v>819</v>
      </c>
      <c r="P87" s="19">
        <v>1186.18</v>
      </c>
      <c r="Q87" s="19">
        <v>1285.0899999999999</v>
      </c>
      <c r="R87" s="15">
        <v>7.0000000000000007E-2</v>
      </c>
      <c r="S87" s="7">
        <v>11</v>
      </c>
      <c r="T87" s="13">
        <f t="shared" si="27"/>
        <v>13146.470699999998</v>
      </c>
      <c r="U87" s="13">
        <f t="shared" si="28"/>
        <v>13047.980000000001</v>
      </c>
      <c r="V87" s="13">
        <f t="shared" si="40"/>
        <v>98.49069999999665</v>
      </c>
      <c r="W87" s="15">
        <f t="shared" si="41"/>
        <v>7.4917977796121861E-3</v>
      </c>
      <c r="X87" s="17" t="str">
        <f t="shared" si="42"/>
        <v>Q4-2023</v>
      </c>
      <c r="Y87" t="str">
        <f t="shared" si="43"/>
        <v>Africa → South Africa → Cape Town</v>
      </c>
      <c r="Z87" t="str">
        <f t="shared" si="44"/>
        <v>Medium</v>
      </c>
      <c r="AA87">
        <f t="shared" si="29"/>
        <v>2023</v>
      </c>
      <c r="AB87">
        <f t="shared" si="30"/>
        <v>12</v>
      </c>
      <c r="AC87" t="str">
        <f t="shared" si="31"/>
        <v>Yes</v>
      </c>
      <c r="AD87" t="str">
        <f t="shared" si="32"/>
        <v>No</v>
      </c>
      <c r="AE87" s="36">
        <f>IF(Dashboard!$P$47&gt;'Staging Data'!R87,'Staging Data'!R87,Dashboard!$P$47)</f>
        <v>7.0000000000000007E-2</v>
      </c>
      <c r="AF87">
        <f>(100%+Dashboard!$P$48)*'Staging Data'!P87</f>
        <v>1245.489</v>
      </c>
      <c r="AG87">
        <f>(100%+Dashboard!$P$49)*S87</f>
        <v>11.440000000000001</v>
      </c>
      <c r="AH87" s="13">
        <f t="shared" si="33"/>
        <v>13672.329528</v>
      </c>
      <c r="AI87" s="13">
        <f t="shared" si="34"/>
        <v>14248.394160000002</v>
      </c>
      <c r="AJ87" s="13">
        <f t="shared" si="35"/>
        <v>-576.06463200000144</v>
      </c>
    </row>
    <row r="88" spans="1:36" x14ac:dyDescent="0.45">
      <c r="A88" s="3" t="s">
        <v>101</v>
      </c>
      <c r="B88" s="5">
        <v>45388</v>
      </c>
      <c r="C88" s="5">
        <v>45407</v>
      </c>
      <c r="D88" s="5">
        <f t="shared" si="36"/>
        <v>45388</v>
      </c>
      <c r="E88" s="5">
        <f t="shared" si="37"/>
        <v>45407</v>
      </c>
      <c r="F88" s="7">
        <f t="shared" si="38"/>
        <v>19</v>
      </c>
      <c r="G88" s="23" t="str">
        <f t="shared" si="39"/>
        <v>4-2024</v>
      </c>
      <c r="H88" s="3" t="s">
        <v>647</v>
      </c>
      <c r="I88" s="3" t="s">
        <v>659</v>
      </c>
      <c r="J88" s="3" t="s">
        <v>685</v>
      </c>
      <c r="K88" s="3" t="s">
        <v>701</v>
      </c>
      <c r="L88" s="3" t="s">
        <v>707</v>
      </c>
      <c r="M88" s="3" t="s">
        <v>723</v>
      </c>
      <c r="N88" s="3" t="s">
        <v>727</v>
      </c>
      <c r="O88" s="3" t="s">
        <v>820</v>
      </c>
      <c r="P88" s="19">
        <v>1366.48</v>
      </c>
      <c r="Q88" s="19">
        <v>1678.14</v>
      </c>
      <c r="R88" s="15">
        <v>0.154</v>
      </c>
      <c r="S88" s="7">
        <v>10</v>
      </c>
      <c r="T88" s="13">
        <f t="shared" si="27"/>
        <v>14197.064400000001</v>
      </c>
      <c r="U88" s="13">
        <f t="shared" si="28"/>
        <v>13664.8</v>
      </c>
      <c r="V88" s="13">
        <f t="shared" si="40"/>
        <v>532.26440000000184</v>
      </c>
      <c r="W88" s="15">
        <f t="shared" si="41"/>
        <v>3.7491159087790132E-2</v>
      </c>
      <c r="X88" s="17" t="str">
        <f t="shared" si="42"/>
        <v>Q2-2024</v>
      </c>
      <c r="Y88" t="str">
        <f t="shared" si="43"/>
        <v>Asia → China → Shanghai</v>
      </c>
      <c r="Z88" t="str">
        <f t="shared" si="44"/>
        <v>Medium</v>
      </c>
      <c r="AA88">
        <f t="shared" si="29"/>
        <v>2024</v>
      </c>
      <c r="AB88">
        <f t="shared" si="30"/>
        <v>4</v>
      </c>
      <c r="AC88" t="str">
        <f t="shared" si="31"/>
        <v>No</v>
      </c>
      <c r="AD88" t="str">
        <f t="shared" si="32"/>
        <v>No</v>
      </c>
      <c r="AE88" s="36">
        <f>IF(Dashboard!$P$47&gt;'Staging Data'!R88,'Staging Data'!R88,Dashboard!$P$47)</f>
        <v>0.1</v>
      </c>
      <c r="AF88">
        <f>(100%+Dashboard!$P$48)*'Staging Data'!P88</f>
        <v>1434.8040000000001</v>
      </c>
      <c r="AG88">
        <f>(100%+Dashboard!$P$49)*S88</f>
        <v>10.4</v>
      </c>
      <c r="AH88" s="13">
        <f t="shared" si="33"/>
        <v>15707.390400000002</v>
      </c>
      <c r="AI88" s="13">
        <f t="shared" si="34"/>
        <v>14921.961600000001</v>
      </c>
      <c r="AJ88" s="13">
        <f t="shared" si="35"/>
        <v>785.4288000000015</v>
      </c>
    </row>
    <row r="89" spans="1:36" x14ac:dyDescent="0.45">
      <c r="A89" s="3" t="s">
        <v>102</v>
      </c>
      <c r="B89" s="5">
        <v>45876</v>
      </c>
      <c r="C89" s="5">
        <v>45888</v>
      </c>
      <c r="D89" s="5">
        <f t="shared" si="36"/>
        <v>45876</v>
      </c>
      <c r="E89" s="5">
        <f t="shared" si="37"/>
        <v>45888</v>
      </c>
      <c r="F89" s="7">
        <f t="shared" si="38"/>
        <v>12</v>
      </c>
      <c r="G89" s="23" t="str">
        <f t="shared" si="39"/>
        <v>8-2025</v>
      </c>
      <c r="H89" s="3" t="s">
        <v>646</v>
      </c>
      <c r="I89" s="3" t="s">
        <v>650</v>
      </c>
      <c r="J89" s="3" t="s">
        <v>678</v>
      </c>
      <c r="K89" s="3" t="s">
        <v>701</v>
      </c>
      <c r="L89" s="3" t="s">
        <v>1423</v>
      </c>
      <c r="M89" s="3" t="s">
        <v>724</v>
      </c>
      <c r="N89" s="3" t="s">
        <v>727</v>
      </c>
      <c r="O89" s="3" t="s">
        <v>821</v>
      </c>
      <c r="P89" s="19">
        <v>601.51</v>
      </c>
      <c r="Q89" s="19">
        <v>679.35</v>
      </c>
      <c r="R89" s="15">
        <v>0.188</v>
      </c>
      <c r="S89" s="7">
        <v>3</v>
      </c>
      <c r="T89" s="13">
        <f t="shared" si="27"/>
        <v>1654.8966000000003</v>
      </c>
      <c r="U89" s="13">
        <f t="shared" si="28"/>
        <v>1804.53</v>
      </c>
      <c r="V89" s="13">
        <f t="shared" si="40"/>
        <v>-149.63339999999971</v>
      </c>
      <c r="W89" s="15">
        <f t="shared" si="41"/>
        <v>-9.0418579626062243E-2</v>
      </c>
      <c r="X89" s="17" t="str">
        <f t="shared" si="42"/>
        <v>Q3-2025</v>
      </c>
      <c r="Y89" t="str">
        <f t="shared" si="43"/>
        <v>Africa → Kenya → Nakuru</v>
      </c>
      <c r="Z89" t="str">
        <f t="shared" si="44"/>
        <v>Low</v>
      </c>
      <c r="AA89">
        <f t="shared" si="29"/>
        <v>2025</v>
      </c>
      <c r="AB89">
        <f t="shared" si="30"/>
        <v>8</v>
      </c>
      <c r="AC89" t="str">
        <f t="shared" si="31"/>
        <v>No</v>
      </c>
      <c r="AD89" t="str">
        <f t="shared" si="32"/>
        <v>No</v>
      </c>
      <c r="AE89" s="36">
        <f>IF(Dashboard!$P$47&gt;'Staging Data'!R89,'Staging Data'!R89,Dashboard!$P$47)</f>
        <v>0.1</v>
      </c>
      <c r="AF89">
        <f>(100%+Dashboard!$P$48)*'Staging Data'!P89</f>
        <v>631.58550000000002</v>
      </c>
      <c r="AG89">
        <f>(100%+Dashboard!$P$49)*S89</f>
        <v>3.12</v>
      </c>
      <c r="AH89" s="13">
        <f t="shared" si="33"/>
        <v>1907.6148000000001</v>
      </c>
      <c r="AI89" s="13">
        <f t="shared" si="34"/>
        <v>1970.5467600000002</v>
      </c>
      <c r="AJ89" s="13">
        <f t="shared" si="35"/>
        <v>-62.931960000000117</v>
      </c>
    </row>
    <row r="90" spans="1:36" x14ac:dyDescent="0.45">
      <c r="A90" s="3" t="s">
        <v>103</v>
      </c>
      <c r="B90" s="5">
        <v>45312</v>
      </c>
      <c r="C90" s="5">
        <v>45316</v>
      </c>
      <c r="D90" s="5">
        <f t="shared" si="36"/>
        <v>45312</v>
      </c>
      <c r="E90" s="5">
        <f t="shared" si="37"/>
        <v>45316</v>
      </c>
      <c r="F90" s="7">
        <f t="shared" si="38"/>
        <v>4</v>
      </c>
      <c r="G90" s="23" t="str">
        <f t="shared" si="39"/>
        <v>1-2024</v>
      </c>
      <c r="H90" s="3" t="s">
        <v>647</v>
      </c>
      <c r="I90" s="3" t="s">
        <v>654</v>
      </c>
      <c r="J90" s="3" t="s">
        <v>680</v>
      </c>
      <c r="K90" s="3" t="s">
        <v>704</v>
      </c>
      <c r="L90" s="3" t="s">
        <v>711</v>
      </c>
      <c r="M90" s="3" t="s">
        <v>712</v>
      </c>
      <c r="N90" s="3" t="s">
        <v>732</v>
      </c>
      <c r="O90" s="3" t="s">
        <v>822</v>
      </c>
      <c r="P90" s="19">
        <v>523.70000000000005</v>
      </c>
      <c r="Q90" s="19">
        <v>1109.92</v>
      </c>
      <c r="R90" s="15">
        <v>0.03</v>
      </c>
      <c r="S90" s="7">
        <v>11</v>
      </c>
      <c r="T90" s="13">
        <f t="shared" si="27"/>
        <v>11842.8464</v>
      </c>
      <c r="U90" s="13">
        <f t="shared" si="28"/>
        <v>5760.7000000000007</v>
      </c>
      <c r="V90" s="13">
        <f t="shared" si="40"/>
        <v>6082.1463999999996</v>
      </c>
      <c r="W90" s="15">
        <f t="shared" si="41"/>
        <v>0.51357133197302973</v>
      </c>
      <c r="X90" s="17" t="str">
        <f t="shared" si="42"/>
        <v>Q1-2024</v>
      </c>
      <c r="Y90" t="str">
        <f t="shared" si="43"/>
        <v>Asia → India → Delhi</v>
      </c>
      <c r="Z90" t="str">
        <f t="shared" si="44"/>
        <v>Low</v>
      </c>
      <c r="AA90">
        <f t="shared" si="29"/>
        <v>2024</v>
      </c>
      <c r="AB90">
        <f t="shared" si="30"/>
        <v>1</v>
      </c>
      <c r="AC90" t="str">
        <f t="shared" si="31"/>
        <v>Yes</v>
      </c>
      <c r="AD90" t="str">
        <f t="shared" si="32"/>
        <v>No</v>
      </c>
      <c r="AE90" s="36">
        <f>IF(Dashboard!$P$47&gt;'Staging Data'!R90,'Staging Data'!R90,Dashboard!$P$47)</f>
        <v>0.03</v>
      </c>
      <c r="AF90">
        <f>(100%+Dashboard!$P$48)*'Staging Data'!P90</f>
        <v>549.8850000000001</v>
      </c>
      <c r="AG90">
        <f>(100%+Dashboard!$P$49)*S90</f>
        <v>11.440000000000001</v>
      </c>
      <c r="AH90" s="13">
        <f t="shared" si="33"/>
        <v>12316.560256000002</v>
      </c>
      <c r="AI90" s="13">
        <f t="shared" si="34"/>
        <v>6290.6844000000019</v>
      </c>
      <c r="AJ90" s="13">
        <f t="shared" si="35"/>
        <v>6025.8758560000006</v>
      </c>
    </row>
    <row r="91" spans="1:36" x14ac:dyDescent="0.45">
      <c r="A91" s="3" t="s">
        <v>104</v>
      </c>
      <c r="B91" s="5">
        <v>45106</v>
      </c>
      <c r="C91" s="5">
        <v>45109</v>
      </c>
      <c r="D91" s="5">
        <f t="shared" si="36"/>
        <v>45106</v>
      </c>
      <c r="E91" s="5">
        <f t="shared" si="37"/>
        <v>45109</v>
      </c>
      <c r="F91" s="7">
        <f t="shared" si="38"/>
        <v>3</v>
      </c>
      <c r="G91" s="23" t="str">
        <f t="shared" si="39"/>
        <v>6-2023</v>
      </c>
      <c r="H91" s="3" t="s">
        <v>647</v>
      </c>
      <c r="I91" s="3" t="s">
        <v>652</v>
      </c>
      <c r="J91" s="3" t="s">
        <v>694</v>
      </c>
      <c r="K91" s="3" t="s">
        <v>702</v>
      </c>
      <c r="L91" s="3" t="s">
        <v>709</v>
      </c>
      <c r="M91" s="3" t="s">
        <v>721</v>
      </c>
      <c r="N91" s="3" t="s">
        <v>732</v>
      </c>
      <c r="O91" s="3" t="s">
        <v>823</v>
      </c>
      <c r="P91" s="19">
        <v>55.65</v>
      </c>
      <c r="Q91" s="19">
        <v>83.57</v>
      </c>
      <c r="R91" s="15">
        <v>6.6000000000000003E-2</v>
      </c>
      <c r="S91" s="7">
        <v>8</v>
      </c>
      <c r="T91" s="13">
        <f t="shared" si="27"/>
        <v>624.43503999999996</v>
      </c>
      <c r="U91" s="13">
        <f t="shared" si="28"/>
        <v>445.2</v>
      </c>
      <c r="V91" s="13">
        <f t="shared" si="40"/>
        <v>179.23503999999997</v>
      </c>
      <c r="W91" s="15">
        <f t="shared" si="41"/>
        <v>0.2870355257449998</v>
      </c>
      <c r="X91" s="17" t="str">
        <f t="shared" si="42"/>
        <v>Q2-2023</v>
      </c>
      <c r="Y91" t="str">
        <f t="shared" si="43"/>
        <v>Asia → Japan → Nagoya</v>
      </c>
      <c r="Z91" t="str">
        <f t="shared" si="44"/>
        <v>Low</v>
      </c>
      <c r="AA91">
        <f t="shared" si="29"/>
        <v>2023</v>
      </c>
      <c r="AB91">
        <f t="shared" si="30"/>
        <v>6</v>
      </c>
      <c r="AC91" t="str">
        <f t="shared" si="31"/>
        <v>Yes</v>
      </c>
      <c r="AD91" t="str">
        <f t="shared" si="32"/>
        <v>No</v>
      </c>
      <c r="AE91" s="36">
        <f>IF(Dashboard!$P$47&gt;'Staging Data'!R91,'Staging Data'!R91,Dashboard!$P$47)</f>
        <v>6.6000000000000003E-2</v>
      </c>
      <c r="AF91">
        <f>(100%+Dashboard!$P$48)*'Staging Data'!P91</f>
        <v>58.432499999999997</v>
      </c>
      <c r="AG91">
        <f>(100%+Dashboard!$P$49)*S91</f>
        <v>8.32</v>
      </c>
      <c r="AH91" s="13">
        <f t="shared" si="33"/>
        <v>649.41244159999985</v>
      </c>
      <c r="AI91" s="13">
        <f t="shared" si="34"/>
        <v>486.15839999999997</v>
      </c>
      <c r="AJ91" s="13">
        <f t="shared" si="35"/>
        <v>163.25404159999988</v>
      </c>
    </row>
    <row r="92" spans="1:36" x14ac:dyDescent="0.45">
      <c r="A92" s="3" t="s">
        <v>105</v>
      </c>
      <c r="B92" s="5">
        <v>45775</v>
      </c>
      <c r="C92" s="5">
        <v>45792</v>
      </c>
      <c r="D92" s="5">
        <f t="shared" si="36"/>
        <v>45775</v>
      </c>
      <c r="E92" s="5">
        <f t="shared" si="37"/>
        <v>45792</v>
      </c>
      <c r="F92" s="7">
        <f t="shared" si="38"/>
        <v>17</v>
      </c>
      <c r="G92" s="23" t="str">
        <f t="shared" si="39"/>
        <v>4-2025</v>
      </c>
      <c r="H92" s="3" t="s">
        <v>647</v>
      </c>
      <c r="I92" s="3" t="s">
        <v>652</v>
      </c>
      <c r="J92" s="3" t="s">
        <v>694</v>
      </c>
      <c r="K92" s="3" t="s">
        <v>702</v>
      </c>
      <c r="L92" s="3" t="s">
        <v>711</v>
      </c>
      <c r="M92" s="3" t="s">
        <v>725</v>
      </c>
      <c r="N92" s="3" t="s">
        <v>729</v>
      </c>
      <c r="O92" s="3" t="s">
        <v>824</v>
      </c>
      <c r="P92" s="19">
        <v>691.19</v>
      </c>
      <c r="Q92" s="19">
        <v>1284.3</v>
      </c>
      <c r="R92" s="15">
        <v>7.3999999999999996E-2</v>
      </c>
      <c r="S92" s="7">
        <v>7</v>
      </c>
      <c r="T92" s="13">
        <f t="shared" si="27"/>
        <v>8324.8326000000015</v>
      </c>
      <c r="U92" s="13">
        <f t="shared" si="28"/>
        <v>4838.33</v>
      </c>
      <c r="V92" s="13">
        <f t="shared" si="40"/>
        <v>3486.5026000000016</v>
      </c>
      <c r="W92" s="15">
        <f t="shared" si="41"/>
        <v>0.41880753253825198</v>
      </c>
      <c r="X92" s="17" t="str">
        <f t="shared" si="42"/>
        <v>Q2-2025</v>
      </c>
      <c r="Y92" t="str">
        <f t="shared" si="43"/>
        <v>Asia → Japan → Nagoya</v>
      </c>
      <c r="Z92" t="str">
        <f t="shared" si="44"/>
        <v>Medium</v>
      </c>
      <c r="AA92">
        <f t="shared" si="29"/>
        <v>2025</v>
      </c>
      <c r="AB92">
        <f t="shared" si="30"/>
        <v>4</v>
      </c>
      <c r="AC92" t="str">
        <f t="shared" si="31"/>
        <v>No</v>
      </c>
      <c r="AD92" t="str">
        <f t="shared" si="32"/>
        <v>No</v>
      </c>
      <c r="AE92" s="36">
        <f>IF(Dashboard!$P$47&gt;'Staging Data'!R92,'Staging Data'!R92,Dashboard!$P$47)</f>
        <v>7.3999999999999996E-2</v>
      </c>
      <c r="AF92">
        <f>(100%+Dashboard!$P$48)*'Staging Data'!P92</f>
        <v>725.74950000000013</v>
      </c>
      <c r="AG92">
        <f>(100%+Dashboard!$P$49)*S92</f>
        <v>7.28</v>
      </c>
      <c r="AH92" s="13">
        <f t="shared" si="33"/>
        <v>8657.8259039999994</v>
      </c>
      <c r="AI92" s="13">
        <f t="shared" si="34"/>
        <v>5283.456360000001</v>
      </c>
      <c r="AJ92" s="13">
        <f t="shared" si="35"/>
        <v>3374.3695439999983</v>
      </c>
    </row>
    <row r="93" spans="1:36" x14ac:dyDescent="0.45">
      <c r="A93" s="3" t="s">
        <v>106</v>
      </c>
      <c r="B93" s="5">
        <v>45817</v>
      </c>
      <c r="C93" s="5">
        <v>45833</v>
      </c>
      <c r="D93" s="5">
        <f t="shared" si="36"/>
        <v>45817</v>
      </c>
      <c r="E93" s="5">
        <f t="shared" si="37"/>
        <v>45833</v>
      </c>
      <c r="F93" s="7">
        <f t="shared" si="38"/>
        <v>16</v>
      </c>
      <c r="G93" s="23" t="str">
        <f t="shared" si="39"/>
        <v>6-2025</v>
      </c>
      <c r="H93" s="3" t="s">
        <v>647</v>
      </c>
      <c r="I93" s="3" t="s">
        <v>654</v>
      </c>
      <c r="J93" s="3" t="s">
        <v>696</v>
      </c>
      <c r="K93" s="3" t="s">
        <v>706</v>
      </c>
      <c r="L93" s="3" t="s">
        <v>710</v>
      </c>
      <c r="M93" s="3" t="s">
        <v>724</v>
      </c>
      <c r="N93" s="3" t="s">
        <v>730</v>
      </c>
      <c r="O93" s="3" t="s">
        <v>825</v>
      </c>
      <c r="P93" s="19">
        <v>527.33000000000004</v>
      </c>
      <c r="Q93" s="19">
        <v>911.72</v>
      </c>
      <c r="R93" s="15">
        <v>0.14399999999999999</v>
      </c>
      <c r="S93" s="7">
        <v>25</v>
      </c>
      <c r="T93" s="13">
        <f t="shared" si="27"/>
        <v>19510.808000000001</v>
      </c>
      <c r="U93" s="13">
        <f t="shared" si="28"/>
        <v>13183.250000000002</v>
      </c>
      <c r="V93" s="13">
        <f t="shared" si="40"/>
        <v>6327.5579999999991</v>
      </c>
      <c r="W93" s="15">
        <f t="shared" si="41"/>
        <v>0.32431040272652978</v>
      </c>
      <c r="X93" s="17" t="str">
        <f t="shared" si="42"/>
        <v>Q2-2025</v>
      </c>
      <c r="Y93" t="str">
        <f t="shared" si="43"/>
        <v>Asia → India → Hyderabad</v>
      </c>
      <c r="Z93" t="str">
        <f t="shared" si="44"/>
        <v>Low</v>
      </c>
      <c r="AA93">
        <f t="shared" si="29"/>
        <v>2025</v>
      </c>
      <c r="AB93">
        <f t="shared" si="30"/>
        <v>6</v>
      </c>
      <c r="AC93" t="str">
        <f t="shared" si="31"/>
        <v>No</v>
      </c>
      <c r="AD93" t="str">
        <f t="shared" si="32"/>
        <v>No</v>
      </c>
      <c r="AE93" s="36">
        <f>IF(Dashboard!$P$47&gt;'Staging Data'!R93,'Staging Data'!R93,Dashboard!$P$47)</f>
        <v>0.1</v>
      </c>
      <c r="AF93">
        <f>(100%+Dashboard!$P$48)*'Staging Data'!P93</f>
        <v>553.69650000000001</v>
      </c>
      <c r="AG93">
        <f>(100%+Dashboard!$P$49)*S93</f>
        <v>26</v>
      </c>
      <c r="AH93" s="13">
        <f t="shared" si="33"/>
        <v>21334.248000000003</v>
      </c>
      <c r="AI93" s="13">
        <f t="shared" si="34"/>
        <v>14396.109</v>
      </c>
      <c r="AJ93" s="13">
        <f t="shared" si="35"/>
        <v>6938.1390000000029</v>
      </c>
    </row>
    <row r="94" spans="1:36" x14ac:dyDescent="0.45">
      <c r="A94" s="3" t="s">
        <v>276</v>
      </c>
      <c r="B94" s="5">
        <v>45142</v>
      </c>
      <c r="C94" s="5">
        <v>45162</v>
      </c>
      <c r="D94" s="5">
        <f t="shared" si="36"/>
        <v>45142</v>
      </c>
      <c r="E94" s="5">
        <f t="shared" si="37"/>
        <v>45162</v>
      </c>
      <c r="F94" s="7">
        <f t="shared" si="38"/>
        <v>20</v>
      </c>
      <c r="G94" s="23" t="str">
        <f t="shared" si="39"/>
        <v>8-2023</v>
      </c>
      <c r="H94" s="3" t="s">
        <v>648</v>
      </c>
      <c r="I94" s="3" t="s">
        <v>655</v>
      </c>
      <c r="J94" s="3" t="s">
        <v>672</v>
      </c>
      <c r="K94" s="3" t="s">
        <v>703</v>
      </c>
      <c r="L94" s="3" t="s">
        <v>711</v>
      </c>
      <c r="M94" s="3" t="s">
        <v>1424</v>
      </c>
      <c r="N94" s="3" t="s">
        <v>729</v>
      </c>
      <c r="O94" s="3" t="s">
        <v>996</v>
      </c>
      <c r="P94" s="19">
        <v>582.88</v>
      </c>
      <c r="Q94" s="19">
        <v>1044.1400000000001</v>
      </c>
      <c r="R94" s="15">
        <v>0.216</v>
      </c>
      <c r="S94" s="7">
        <v>10</v>
      </c>
      <c r="T94" s="13">
        <f t="shared" si="27"/>
        <v>8186.057600000001</v>
      </c>
      <c r="U94" s="13">
        <f t="shared" si="28"/>
        <v>5828.8</v>
      </c>
      <c r="V94" s="13">
        <f t="shared" si="40"/>
        <v>2357.2576000000008</v>
      </c>
      <c r="W94" s="15">
        <f t="shared" si="41"/>
        <v>0.28796005539956138</v>
      </c>
      <c r="X94" s="17" t="str">
        <f t="shared" si="42"/>
        <v>Q3-2023</v>
      </c>
      <c r="Y94" t="str">
        <f t="shared" si="43"/>
        <v>Americas → Brazil → Brasília</v>
      </c>
      <c r="Z94" t="str">
        <f t="shared" si="44"/>
        <v>Low</v>
      </c>
      <c r="AA94">
        <f t="shared" si="29"/>
        <v>2023</v>
      </c>
      <c r="AB94">
        <f t="shared" si="30"/>
        <v>8</v>
      </c>
      <c r="AC94" t="str">
        <f t="shared" si="31"/>
        <v>No</v>
      </c>
      <c r="AD94" t="str">
        <f t="shared" si="32"/>
        <v>Yes</v>
      </c>
      <c r="AE94" s="36">
        <f>IF(Dashboard!$P$47&gt;'Staging Data'!R94,'Staging Data'!R94,Dashboard!$P$47)</f>
        <v>0.1</v>
      </c>
      <c r="AF94">
        <f>(100%+Dashboard!$P$48)*'Staging Data'!P94</f>
        <v>612.024</v>
      </c>
      <c r="AG94">
        <f>(100%+Dashboard!$P$49)*S94</f>
        <v>10.4</v>
      </c>
      <c r="AH94" s="13">
        <f t="shared" si="33"/>
        <v>9773.1504000000023</v>
      </c>
      <c r="AI94" s="13">
        <f t="shared" si="34"/>
        <v>6365.0496000000003</v>
      </c>
      <c r="AJ94" s="13">
        <f t="shared" si="35"/>
        <v>3408.100800000002</v>
      </c>
    </row>
    <row r="95" spans="1:36" x14ac:dyDescent="0.45">
      <c r="A95" s="3" t="s">
        <v>92</v>
      </c>
      <c r="B95" s="5">
        <v>45473</v>
      </c>
      <c r="C95" s="5">
        <v>45471</v>
      </c>
      <c r="D95" s="5">
        <f t="shared" si="36"/>
        <v>45471</v>
      </c>
      <c r="E95" s="5">
        <f t="shared" si="37"/>
        <v>45473</v>
      </c>
      <c r="F95" s="7">
        <f t="shared" si="38"/>
        <v>2</v>
      </c>
      <c r="G95" s="23" t="str">
        <f t="shared" si="39"/>
        <v>6-2024</v>
      </c>
      <c r="H95" s="3" t="s">
        <v>648</v>
      </c>
      <c r="I95" s="3" t="s">
        <v>655</v>
      </c>
      <c r="J95" s="3" t="s">
        <v>692</v>
      </c>
      <c r="K95" s="3" t="s">
        <v>705</v>
      </c>
      <c r="L95" s="3" t="s">
        <v>711</v>
      </c>
      <c r="M95" s="3" t="s">
        <v>716</v>
      </c>
      <c r="N95" s="3" t="s">
        <v>733</v>
      </c>
      <c r="O95" s="3" t="s">
        <v>811</v>
      </c>
      <c r="P95" s="19">
        <v>1112.98</v>
      </c>
      <c r="Q95" s="19">
        <v>2095.73</v>
      </c>
      <c r="R95" s="15">
        <v>7.1999999999999995E-2</v>
      </c>
      <c r="S95" s="7">
        <v>17</v>
      </c>
      <c r="T95" s="13">
        <f t="shared" si="27"/>
        <v>33062.236480000007</v>
      </c>
      <c r="U95" s="13">
        <f t="shared" si="28"/>
        <v>18920.66</v>
      </c>
      <c r="V95" s="13">
        <f t="shared" si="40"/>
        <v>14141.576480000007</v>
      </c>
      <c r="W95" s="15">
        <f t="shared" si="41"/>
        <v>0.42772594916724777</v>
      </c>
      <c r="X95" s="17" t="str">
        <f t="shared" si="42"/>
        <v>Q2-2024</v>
      </c>
      <c r="Y95" t="str">
        <f t="shared" si="43"/>
        <v>Americas → Brazil → Rio de Janeiro</v>
      </c>
      <c r="Z95" t="str">
        <f t="shared" si="44"/>
        <v>High</v>
      </c>
      <c r="AA95">
        <f t="shared" si="29"/>
        <v>2024</v>
      </c>
      <c r="AB95">
        <f t="shared" si="30"/>
        <v>6</v>
      </c>
      <c r="AC95" t="str">
        <f t="shared" si="31"/>
        <v>Yes</v>
      </c>
      <c r="AD95" t="str">
        <f t="shared" si="32"/>
        <v>No</v>
      </c>
      <c r="AE95" s="36">
        <f>IF(Dashboard!$P$47&gt;'Staging Data'!R95,'Staging Data'!R95,Dashboard!$P$47)</f>
        <v>7.1999999999999995E-2</v>
      </c>
      <c r="AF95">
        <f>(100%+Dashboard!$P$48)*'Staging Data'!P95</f>
        <v>1168.6290000000001</v>
      </c>
      <c r="AG95">
        <f>(100%+Dashboard!$P$49)*S95</f>
        <v>17.68</v>
      </c>
      <c r="AH95" s="13">
        <f t="shared" si="33"/>
        <v>34384.725939199998</v>
      </c>
      <c r="AI95" s="13">
        <f t="shared" si="34"/>
        <v>20661.360720000001</v>
      </c>
      <c r="AJ95" s="13">
        <f t="shared" si="35"/>
        <v>13723.365219199997</v>
      </c>
    </row>
    <row r="96" spans="1:36" x14ac:dyDescent="0.45">
      <c r="A96" s="3" t="s">
        <v>109</v>
      </c>
      <c r="B96" s="5">
        <v>45910</v>
      </c>
      <c r="C96" s="5">
        <v>45930</v>
      </c>
      <c r="D96" s="5">
        <f t="shared" si="36"/>
        <v>45910</v>
      </c>
      <c r="E96" s="5">
        <f t="shared" si="37"/>
        <v>45930</v>
      </c>
      <c r="F96" s="7">
        <f t="shared" si="38"/>
        <v>20</v>
      </c>
      <c r="G96" s="23" t="str">
        <f t="shared" si="39"/>
        <v>9-2025</v>
      </c>
      <c r="H96" s="3" t="s">
        <v>646</v>
      </c>
      <c r="I96" s="3" t="s">
        <v>650</v>
      </c>
      <c r="J96" s="3" t="s">
        <v>675</v>
      </c>
      <c r="K96" s="3" t="s">
        <v>701</v>
      </c>
      <c r="L96" s="3" t="s">
        <v>711</v>
      </c>
      <c r="M96" s="3" t="s">
        <v>716</v>
      </c>
      <c r="N96" s="3" t="s">
        <v>730</v>
      </c>
      <c r="O96" s="3" t="s">
        <v>828</v>
      </c>
      <c r="P96" s="19">
        <v>1009.48</v>
      </c>
      <c r="Q96" s="19">
        <v>1088.81</v>
      </c>
      <c r="R96" s="15">
        <v>0.16</v>
      </c>
      <c r="S96" s="7">
        <v>6</v>
      </c>
      <c r="T96" s="13">
        <f t="shared" si="27"/>
        <v>5487.6023999999998</v>
      </c>
      <c r="U96" s="13">
        <f t="shared" si="28"/>
        <v>6056.88</v>
      </c>
      <c r="V96" s="13">
        <f t="shared" si="40"/>
        <v>-569.27760000000035</v>
      </c>
      <c r="W96" s="15">
        <f t="shared" si="41"/>
        <v>-0.10373885688219693</v>
      </c>
      <c r="X96" s="17" t="str">
        <f t="shared" si="42"/>
        <v>Q3-2025</v>
      </c>
      <c r="Y96" t="str">
        <f t="shared" si="43"/>
        <v>Africa → Kenya → Mombasa</v>
      </c>
      <c r="Z96" t="str">
        <f t="shared" si="44"/>
        <v>Low</v>
      </c>
      <c r="AA96">
        <f t="shared" si="29"/>
        <v>2025</v>
      </c>
      <c r="AB96">
        <f t="shared" si="30"/>
        <v>9</v>
      </c>
      <c r="AC96" t="str">
        <f t="shared" si="31"/>
        <v>No</v>
      </c>
      <c r="AD96" t="str">
        <f t="shared" si="32"/>
        <v>No</v>
      </c>
      <c r="AE96" s="36">
        <f>IF(Dashboard!$P$47&gt;'Staging Data'!R96,'Staging Data'!R96,Dashboard!$P$47)</f>
        <v>0.1</v>
      </c>
      <c r="AF96">
        <f>(100%+Dashboard!$P$48)*'Staging Data'!P96</f>
        <v>1059.954</v>
      </c>
      <c r="AG96">
        <f>(100%+Dashboard!$P$49)*S96</f>
        <v>6.24</v>
      </c>
      <c r="AH96" s="13">
        <f t="shared" si="33"/>
        <v>6114.7569599999997</v>
      </c>
      <c r="AI96" s="13">
        <f t="shared" si="34"/>
        <v>6614.1129599999995</v>
      </c>
      <c r="AJ96" s="13">
        <f t="shared" si="35"/>
        <v>-499.35599999999977</v>
      </c>
    </row>
    <row r="97" spans="1:36" x14ac:dyDescent="0.45">
      <c r="A97" s="3" t="s">
        <v>110</v>
      </c>
      <c r="B97" s="5">
        <v>45022</v>
      </c>
      <c r="C97" s="5">
        <v>45043</v>
      </c>
      <c r="D97" s="5">
        <f t="shared" si="36"/>
        <v>45022</v>
      </c>
      <c r="E97" s="5">
        <f t="shared" si="37"/>
        <v>45043</v>
      </c>
      <c r="F97" s="7">
        <f t="shared" si="38"/>
        <v>21</v>
      </c>
      <c r="G97" s="23" t="str">
        <f t="shared" si="39"/>
        <v>4-2023</v>
      </c>
      <c r="H97" s="3" t="s">
        <v>649</v>
      </c>
      <c r="I97" s="3" t="s">
        <v>658</v>
      </c>
      <c r="J97" s="3" t="s">
        <v>693</v>
      </c>
      <c r="K97" s="3" t="s">
        <v>706</v>
      </c>
      <c r="L97" s="3" t="s">
        <v>710</v>
      </c>
      <c r="M97" s="3" t="s">
        <v>714</v>
      </c>
      <c r="N97" s="3" t="s">
        <v>728</v>
      </c>
      <c r="O97" s="3" t="s">
        <v>829</v>
      </c>
      <c r="P97" s="19">
        <v>1084.79</v>
      </c>
      <c r="Q97" s="19">
        <v>2484.9899999999998</v>
      </c>
      <c r="R97" s="15">
        <v>3.4000000000000002E-2</v>
      </c>
      <c r="S97" s="7">
        <v>18</v>
      </c>
      <c r="T97" s="13">
        <f t="shared" si="27"/>
        <v>43209.006119999991</v>
      </c>
      <c r="U97" s="13">
        <f t="shared" si="28"/>
        <v>19526.22</v>
      </c>
      <c r="V97" s="13">
        <f t="shared" si="40"/>
        <v>23682.78611999999</v>
      </c>
      <c r="W97" s="15">
        <f t="shared" si="41"/>
        <v>0.54809837685755114</v>
      </c>
      <c r="X97" s="17" t="str">
        <f t="shared" si="42"/>
        <v>Q2-2023</v>
      </c>
      <c r="Y97" t="str">
        <f t="shared" si="43"/>
        <v>Europe → United Kingdom → Manchester</v>
      </c>
      <c r="Z97" t="str">
        <f t="shared" si="44"/>
        <v>High</v>
      </c>
      <c r="AA97">
        <f t="shared" si="29"/>
        <v>2023</v>
      </c>
      <c r="AB97">
        <f t="shared" si="30"/>
        <v>4</v>
      </c>
      <c r="AC97" t="str">
        <f t="shared" si="31"/>
        <v>No</v>
      </c>
      <c r="AD97" t="str">
        <f t="shared" si="32"/>
        <v>No</v>
      </c>
      <c r="AE97" s="36">
        <f>IF(Dashboard!$P$47&gt;'Staging Data'!R97,'Staging Data'!R97,Dashboard!$P$47)</f>
        <v>3.4000000000000002E-2</v>
      </c>
      <c r="AF97">
        <f>(100%+Dashboard!$P$48)*'Staging Data'!P97</f>
        <v>1139.0295000000001</v>
      </c>
      <c r="AG97">
        <f>(100%+Dashboard!$P$49)*S97</f>
        <v>18.72</v>
      </c>
      <c r="AH97" s="13">
        <f t="shared" si="33"/>
        <v>44937.366364799986</v>
      </c>
      <c r="AI97" s="13">
        <f t="shared" si="34"/>
        <v>21322.632239999999</v>
      </c>
      <c r="AJ97" s="13">
        <f t="shared" si="35"/>
        <v>23614.734124799987</v>
      </c>
    </row>
    <row r="98" spans="1:36" x14ac:dyDescent="0.45">
      <c r="A98" s="3" t="s">
        <v>111</v>
      </c>
      <c r="B98" s="5">
        <v>45870</v>
      </c>
      <c r="C98" s="5">
        <v>45885</v>
      </c>
      <c r="D98" s="5">
        <f t="shared" si="36"/>
        <v>45870</v>
      </c>
      <c r="E98" s="5">
        <f t="shared" si="37"/>
        <v>45885</v>
      </c>
      <c r="F98" s="7">
        <f t="shared" si="38"/>
        <v>15</v>
      </c>
      <c r="G98" s="23" t="str">
        <f t="shared" si="39"/>
        <v>8-2025</v>
      </c>
      <c r="H98" s="3" t="s">
        <v>647</v>
      </c>
      <c r="I98" s="3" t="s">
        <v>654</v>
      </c>
      <c r="J98" s="3" t="s">
        <v>1422</v>
      </c>
      <c r="K98" s="3" t="s">
        <v>706</v>
      </c>
      <c r="L98" s="3" t="s">
        <v>711</v>
      </c>
      <c r="M98" s="3" t="s">
        <v>719</v>
      </c>
      <c r="N98" s="3" t="s">
        <v>732</v>
      </c>
      <c r="O98" s="3" t="s">
        <v>830</v>
      </c>
      <c r="P98" s="19">
        <v>24.44</v>
      </c>
      <c r="Q98" s="19">
        <v>28.69</v>
      </c>
      <c r="R98" s="15">
        <v>0.14599999999999999</v>
      </c>
      <c r="S98" s="7">
        <v>6</v>
      </c>
      <c r="T98" s="13">
        <f t="shared" si="27"/>
        <v>147.00756000000001</v>
      </c>
      <c r="U98" s="13">
        <f t="shared" si="28"/>
        <v>146.64000000000001</v>
      </c>
      <c r="V98" s="13">
        <f t="shared" si="40"/>
        <v>0.36755999999999744</v>
      </c>
      <c r="W98" s="15">
        <f t="shared" si="41"/>
        <v>2.5002795774584476E-3</v>
      </c>
      <c r="X98" s="17" t="str">
        <f t="shared" si="42"/>
        <v>Q3-2025</v>
      </c>
      <c r="Y98" t="str">
        <f t="shared" si="43"/>
        <v>Asia → India → Unknown City</v>
      </c>
      <c r="Z98" t="str">
        <f t="shared" si="44"/>
        <v>Low</v>
      </c>
      <c r="AA98">
        <f t="shared" si="29"/>
        <v>2025</v>
      </c>
      <c r="AB98">
        <f t="shared" si="30"/>
        <v>8</v>
      </c>
      <c r="AC98" t="str">
        <f t="shared" si="31"/>
        <v>No</v>
      </c>
      <c r="AD98" t="str">
        <f t="shared" si="32"/>
        <v>No</v>
      </c>
      <c r="AE98" s="36">
        <f>IF(Dashboard!$P$47&gt;'Staging Data'!R98,'Staging Data'!R98,Dashboard!$P$47)</f>
        <v>0.1</v>
      </c>
      <c r="AF98">
        <f>(100%+Dashboard!$P$48)*'Staging Data'!P98</f>
        <v>25.662000000000003</v>
      </c>
      <c r="AG98">
        <f>(100%+Dashboard!$P$49)*S98</f>
        <v>6.24</v>
      </c>
      <c r="AH98" s="13">
        <f t="shared" si="33"/>
        <v>161.12304000000003</v>
      </c>
      <c r="AI98" s="13">
        <f t="shared" si="34"/>
        <v>160.13088000000002</v>
      </c>
      <c r="AJ98" s="13">
        <f t="shared" si="35"/>
        <v>0.99216000000001259</v>
      </c>
    </row>
    <row r="99" spans="1:36" x14ac:dyDescent="0.45">
      <c r="A99" s="3" t="s">
        <v>157</v>
      </c>
      <c r="B99" s="5">
        <v>45133</v>
      </c>
      <c r="C99" s="5">
        <v>45163</v>
      </c>
      <c r="D99" s="5">
        <f t="shared" si="36"/>
        <v>45133</v>
      </c>
      <c r="E99" s="5">
        <f t="shared" si="37"/>
        <v>45163</v>
      </c>
      <c r="F99" s="7">
        <f t="shared" si="38"/>
        <v>30</v>
      </c>
      <c r="G99" s="23" t="str">
        <f t="shared" si="39"/>
        <v>7-2023</v>
      </c>
      <c r="H99" s="3" t="s">
        <v>648</v>
      </c>
      <c r="I99" s="3" t="s">
        <v>660</v>
      </c>
      <c r="J99" s="3" t="s">
        <v>700</v>
      </c>
      <c r="K99" s="3" t="s">
        <v>704</v>
      </c>
      <c r="L99" s="3" t="s">
        <v>707</v>
      </c>
      <c r="M99" s="3" t="s">
        <v>724</v>
      </c>
      <c r="N99" s="3" t="s">
        <v>733</v>
      </c>
      <c r="O99" s="3" t="s">
        <v>876</v>
      </c>
      <c r="P99" s="19">
        <v>1261.48</v>
      </c>
      <c r="Q99" s="19">
        <v>1643.18</v>
      </c>
      <c r="R99" s="15">
        <v>0.151</v>
      </c>
      <c r="S99" s="7">
        <v>23</v>
      </c>
      <c r="T99" s="13">
        <f t="shared" si="27"/>
        <v>32086.37586</v>
      </c>
      <c r="U99" s="13">
        <f t="shared" si="28"/>
        <v>29014.04</v>
      </c>
      <c r="V99" s="13">
        <f t="shared" si="40"/>
        <v>3072.3358599999992</v>
      </c>
      <c r="W99" s="15">
        <f t="shared" si="41"/>
        <v>9.5752037357079045E-2</v>
      </c>
      <c r="X99" s="17" t="str">
        <f t="shared" si="42"/>
        <v>Q3-2023</v>
      </c>
      <c r="Y99" t="str">
        <f t="shared" si="43"/>
        <v>Americas → USA → New York</v>
      </c>
      <c r="Z99" t="str">
        <f t="shared" si="44"/>
        <v>Medium</v>
      </c>
      <c r="AA99">
        <f t="shared" si="29"/>
        <v>2023</v>
      </c>
      <c r="AB99">
        <f t="shared" si="30"/>
        <v>7</v>
      </c>
      <c r="AC99" t="str">
        <f t="shared" si="31"/>
        <v>No</v>
      </c>
      <c r="AD99" t="str">
        <f t="shared" si="32"/>
        <v>No</v>
      </c>
      <c r="AE99" s="36">
        <f>IF(Dashboard!$P$47&gt;'Staging Data'!R99,'Staging Data'!R99,Dashboard!$P$47)</f>
        <v>0.1</v>
      </c>
      <c r="AF99">
        <f>(100%+Dashboard!$P$48)*'Staging Data'!P99</f>
        <v>1324.5540000000001</v>
      </c>
      <c r="AG99">
        <f>(100%+Dashboard!$P$49)*S99</f>
        <v>23.92</v>
      </c>
      <c r="AH99" s="13">
        <f t="shared" si="33"/>
        <v>35374.379040000007</v>
      </c>
      <c r="AI99" s="13">
        <f t="shared" si="34"/>
        <v>31683.331680000003</v>
      </c>
      <c r="AJ99" s="13">
        <f t="shared" si="35"/>
        <v>3691.0473600000041</v>
      </c>
    </row>
    <row r="100" spans="1:36" x14ac:dyDescent="0.45">
      <c r="A100" s="3" t="s">
        <v>113</v>
      </c>
      <c r="B100" s="5">
        <v>45860</v>
      </c>
      <c r="C100" s="5">
        <v>45887</v>
      </c>
      <c r="D100" s="5">
        <f t="shared" si="36"/>
        <v>45860</v>
      </c>
      <c r="E100" s="5">
        <f t="shared" si="37"/>
        <v>45887</v>
      </c>
      <c r="F100" s="7">
        <f t="shared" si="38"/>
        <v>27</v>
      </c>
      <c r="G100" s="23" t="str">
        <f t="shared" si="39"/>
        <v>7-2025</v>
      </c>
      <c r="H100" s="3" t="s">
        <v>647</v>
      </c>
      <c r="I100" s="3" t="s">
        <v>659</v>
      </c>
      <c r="J100" s="3" t="s">
        <v>676</v>
      </c>
      <c r="K100" s="3" t="s">
        <v>703</v>
      </c>
      <c r="L100" s="3" t="s">
        <v>709</v>
      </c>
      <c r="M100" s="3" t="s">
        <v>724</v>
      </c>
      <c r="N100" s="3" t="s">
        <v>729</v>
      </c>
      <c r="O100" s="3" t="s">
        <v>832</v>
      </c>
      <c r="P100" s="19">
        <v>547.32000000000005</v>
      </c>
      <c r="Q100" s="19">
        <v>419.17</v>
      </c>
      <c r="R100" s="15">
        <v>9.1999999999999998E-2</v>
      </c>
      <c r="S100" s="7">
        <v>14</v>
      </c>
      <c r="T100" s="13">
        <f t="shared" si="27"/>
        <v>5328.4890400000004</v>
      </c>
      <c r="U100" s="13">
        <f t="shared" si="28"/>
        <v>7662.4800000000005</v>
      </c>
      <c r="V100" s="13">
        <f t="shared" si="40"/>
        <v>-2333.9909600000001</v>
      </c>
      <c r="W100" s="15">
        <f t="shared" si="41"/>
        <v>-0.43802116181137907</v>
      </c>
      <c r="X100" s="17" t="str">
        <f t="shared" si="42"/>
        <v>Q3-2025</v>
      </c>
      <c r="Y100" t="str">
        <f t="shared" si="43"/>
        <v>Asia → China → Shenzhen</v>
      </c>
      <c r="Z100" t="str">
        <f t="shared" si="44"/>
        <v>Low</v>
      </c>
      <c r="AA100">
        <f t="shared" si="29"/>
        <v>2025</v>
      </c>
      <c r="AB100">
        <f t="shared" si="30"/>
        <v>7</v>
      </c>
      <c r="AC100" t="str">
        <f t="shared" si="31"/>
        <v>No</v>
      </c>
      <c r="AD100" t="str">
        <f t="shared" si="32"/>
        <v>No</v>
      </c>
      <c r="AE100" s="36">
        <f>IF(Dashboard!$P$47&gt;'Staging Data'!R100,'Staging Data'!R100,Dashboard!$P$47)</f>
        <v>9.1999999999999998E-2</v>
      </c>
      <c r="AF100">
        <f>(100%+Dashboard!$P$48)*'Staging Data'!P100</f>
        <v>574.68600000000004</v>
      </c>
      <c r="AG100">
        <f>(100%+Dashboard!$P$49)*S100</f>
        <v>14.56</v>
      </c>
      <c r="AH100" s="13">
        <f t="shared" si="33"/>
        <v>5541.6286016000004</v>
      </c>
      <c r="AI100" s="13">
        <f t="shared" si="34"/>
        <v>8367.4281600000013</v>
      </c>
      <c r="AJ100" s="13">
        <f t="shared" si="35"/>
        <v>-2825.7995584000009</v>
      </c>
    </row>
    <row r="101" spans="1:36" x14ac:dyDescent="0.45">
      <c r="A101" s="3" t="s">
        <v>114</v>
      </c>
      <c r="B101" s="5">
        <v>44985</v>
      </c>
      <c r="C101" s="5">
        <v>45005</v>
      </c>
      <c r="D101" s="5">
        <f t="shared" si="36"/>
        <v>44985</v>
      </c>
      <c r="E101" s="5">
        <f t="shared" si="37"/>
        <v>45005</v>
      </c>
      <c r="F101" s="7">
        <f t="shared" si="38"/>
        <v>20</v>
      </c>
      <c r="G101" s="23" t="str">
        <f t="shared" si="39"/>
        <v>2-2023</v>
      </c>
      <c r="H101" s="3" t="s">
        <v>649</v>
      </c>
      <c r="I101" s="3" t="s">
        <v>656</v>
      </c>
      <c r="J101" s="3" t="s">
        <v>671</v>
      </c>
      <c r="K101" s="3" t="s">
        <v>705</v>
      </c>
      <c r="L101" s="3" t="s">
        <v>711</v>
      </c>
      <c r="M101" s="3" t="s">
        <v>722</v>
      </c>
      <c r="N101" s="3" t="s">
        <v>731</v>
      </c>
      <c r="O101" s="3" t="s">
        <v>833</v>
      </c>
      <c r="P101" s="19">
        <v>1200.78</v>
      </c>
      <c r="Q101" s="19">
        <v>2001.17</v>
      </c>
      <c r="R101" s="15">
        <v>0.29199999999999998</v>
      </c>
      <c r="S101" s="7">
        <v>18</v>
      </c>
      <c r="T101" s="13">
        <f t="shared" si="27"/>
        <v>25502.910479999999</v>
      </c>
      <c r="U101" s="13">
        <f t="shared" si="28"/>
        <v>21614.04</v>
      </c>
      <c r="V101" s="13">
        <f t="shared" si="40"/>
        <v>3888.8704799999978</v>
      </c>
      <c r="W101" s="15">
        <f t="shared" si="41"/>
        <v>0.15248732034132906</v>
      </c>
      <c r="X101" s="17" t="str">
        <f t="shared" si="42"/>
        <v>Q1-2023</v>
      </c>
      <c r="Y101" t="str">
        <f t="shared" si="43"/>
        <v>Europe → Germany → Berlin</v>
      </c>
      <c r="Z101" t="str">
        <f t="shared" si="44"/>
        <v>High</v>
      </c>
      <c r="AA101">
        <f t="shared" si="29"/>
        <v>2023</v>
      </c>
      <c r="AB101">
        <f t="shared" si="30"/>
        <v>2</v>
      </c>
      <c r="AC101" t="str">
        <f t="shared" si="31"/>
        <v>No</v>
      </c>
      <c r="AD101" t="str">
        <f t="shared" si="32"/>
        <v>Yes</v>
      </c>
      <c r="AE101" s="36">
        <f>IF(Dashboard!$P$47&gt;'Staging Data'!R101,'Staging Data'!R101,Dashboard!$P$47)</f>
        <v>0.1</v>
      </c>
      <c r="AF101">
        <f>(100%+Dashboard!$P$48)*'Staging Data'!P101</f>
        <v>1260.819</v>
      </c>
      <c r="AG101">
        <f>(100%+Dashboard!$P$49)*S101</f>
        <v>18.72</v>
      </c>
      <c r="AH101" s="13">
        <f t="shared" si="33"/>
        <v>33715.712160000003</v>
      </c>
      <c r="AI101" s="13">
        <f t="shared" si="34"/>
        <v>23602.531679999996</v>
      </c>
      <c r="AJ101" s="13">
        <f t="shared" si="35"/>
        <v>10113.180480000006</v>
      </c>
    </row>
    <row r="102" spans="1:36" x14ac:dyDescent="0.45">
      <c r="A102" s="3" t="s">
        <v>115</v>
      </c>
      <c r="B102" s="5">
        <v>45684</v>
      </c>
      <c r="C102" s="5">
        <v>45703</v>
      </c>
      <c r="D102" s="5">
        <f t="shared" si="36"/>
        <v>45684</v>
      </c>
      <c r="E102" s="5">
        <f t="shared" si="37"/>
        <v>45703</v>
      </c>
      <c r="F102" s="7">
        <f t="shared" si="38"/>
        <v>19</v>
      </c>
      <c r="G102" s="23" t="str">
        <f t="shared" si="39"/>
        <v>1-2025</v>
      </c>
      <c r="H102" s="3" t="s">
        <v>647</v>
      </c>
      <c r="I102" s="3" t="s">
        <v>659</v>
      </c>
      <c r="J102" s="3" t="s">
        <v>676</v>
      </c>
      <c r="K102" s="3" t="s">
        <v>703</v>
      </c>
      <c r="L102" s="3" t="s">
        <v>711</v>
      </c>
      <c r="M102" s="3" t="s">
        <v>716</v>
      </c>
      <c r="N102" s="3" t="s">
        <v>730</v>
      </c>
      <c r="O102" s="3" t="s">
        <v>834</v>
      </c>
      <c r="P102" s="19">
        <v>1253.22</v>
      </c>
      <c r="Q102" s="19">
        <v>3104.71</v>
      </c>
      <c r="R102" s="15">
        <v>0</v>
      </c>
      <c r="S102" s="7">
        <v>17</v>
      </c>
      <c r="T102" s="13">
        <f t="shared" si="27"/>
        <v>52780.07</v>
      </c>
      <c r="U102" s="13">
        <f t="shared" si="28"/>
        <v>21304.74</v>
      </c>
      <c r="V102" s="13">
        <f t="shared" si="40"/>
        <v>31475.329999999998</v>
      </c>
      <c r="W102" s="15">
        <f t="shared" si="41"/>
        <v>0.59634877331538205</v>
      </c>
      <c r="X102" s="17" t="str">
        <f t="shared" si="42"/>
        <v>Q1-2025</v>
      </c>
      <c r="Y102" t="str">
        <f t="shared" si="43"/>
        <v>Asia → China → Shenzhen</v>
      </c>
      <c r="Z102" t="str">
        <f t="shared" si="44"/>
        <v>High</v>
      </c>
      <c r="AA102">
        <f t="shared" si="29"/>
        <v>2025</v>
      </c>
      <c r="AB102">
        <f t="shared" si="30"/>
        <v>1</v>
      </c>
      <c r="AC102" t="str">
        <f t="shared" si="31"/>
        <v>No</v>
      </c>
      <c r="AD102" t="str">
        <f t="shared" si="32"/>
        <v>No</v>
      </c>
      <c r="AE102" s="36">
        <f>IF(Dashboard!$P$47&gt;'Staging Data'!R102,'Staging Data'!R102,Dashboard!$P$47)</f>
        <v>0</v>
      </c>
      <c r="AF102">
        <f>(100%+Dashboard!$P$48)*'Staging Data'!P102</f>
        <v>1315.8810000000001</v>
      </c>
      <c r="AG102">
        <f>(100%+Dashboard!$P$49)*S102</f>
        <v>17.68</v>
      </c>
      <c r="AH102" s="13">
        <f t="shared" si="33"/>
        <v>54891.272799999999</v>
      </c>
      <c r="AI102" s="13">
        <f t="shared" si="34"/>
        <v>23264.77608</v>
      </c>
      <c r="AJ102" s="13">
        <f t="shared" si="35"/>
        <v>31626.496719999999</v>
      </c>
    </row>
    <row r="103" spans="1:36" x14ac:dyDescent="0.45">
      <c r="A103" s="3" t="s">
        <v>116</v>
      </c>
      <c r="B103" s="5">
        <v>45304</v>
      </c>
      <c r="C103" s="5">
        <v>45313</v>
      </c>
      <c r="D103" s="5">
        <f t="shared" si="36"/>
        <v>45304</v>
      </c>
      <c r="E103" s="5">
        <f t="shared" si="37"/>
        <v>45313</v>
      </c>
      <c r="F103" s="7">
        <f t="shared" si="38"/>
        <v>9</v>
      </c>
      <c r="G103" s="23" t="str">
        <f t="shared" si="39"/>
        <v>1-2024</v>
      </c>
      <c r="H103" s="3" t="s">
        <v>647</v>
      </c>
      <c r="I103" s="3" t="s">
        <v>654</v>
      </c>
      <c r="J103" s="3" t="s">
        <v>691</v>
      </c>
      <c r="K103" s="3" t="s">
        <v>706</v>
      </c>
      <c r="L103" s="3" t="s">
        <v>709</v>
      </c>
      <c r="M103" s="3" t="s">
        <v>713</v>
      </c>
      <c r="N103" s="3" t="s">
        <v>727</v>
      </c>
      <c r="O103" s="3" t="s">
        <v>835</v>
      </c>
      <c r="P103" s="19">
        <v>313.60000000000002</v>
      </c>
      <c r="Q103" s="19">
        <v>334.28</v>
      </c>
      <c r="R103" s="15">
        <v>0.14000000000000001</v>
      </c>
      <c r="S103" s="7">
        <v>22</v>
      </c>
      <c r="T103" s="13">
        <f t="shared" si="27"/>
        <v>6324.5775999999996</v>
      </c>
      <c r="U103" s="13">
        <f t="shared" si="28"/>
        <v>6899.2000000000007</v>
      </c>
      <c r="V103" s="13">
        <f t="shared" si="40"/>
        <v>-574.62240000000111</v>
      </c>
      <c r="W103" s="15">
        <f t="shared" si="41"/>
        <v>-9.0855458868905517E-2</v>
      </c>
      <c r="X103" s="17" t="str">
        <f t="shared" si="42"/>
        <v>Q1-2024</v>
      </c>
      <c r="Y103" t="str">
        <f t="shared" si="43"/>
        <v>Asia → India → Mumbai</v>
      </c>
      <c r="Z103" t="str">
        <f t="shared" si="44"/>
        <v>Low</v>
      </c>
      <c r="AA103">
        <f t="shared" si="29"/>
        <v>2024</v>
      </c>
      <c r="AB103">
        <f t="shared" si="30"/>
        <v>1</v>
      </c>
      <c r="AC103" t="str">
        <f t="shared" si="31"/>
        <v>No</v>
      </c>
      <c r="AD103" t="str">
        <f t="shared" si="32"/>
        <v>No</v>
      </c>
      <c r="AE103" s="36">
        <f>IF(Dashboard!$P$47&gt;'Staging Data'!R103,'Staging Data'!R103,Dashboard!$P$47)</f>
        <v>0.1</v>
      </c>
      <c r="AF103">
        <f>(100%+Dashboard!$P$48)*'Staging Data'!P103</f>
        <v>329.28000000000003</v>
      </c>
      <c r="AG103">
        <f>(100%+Dashboard!$P$49)*S103</f>
        <v>22.880000000000003</v>
      </c>
      <c r="AH103" s="13">
        <f t="shared" si="33"/>
        <v>6883.4937600000003</v>
      </c>
      <c r="AI103" s="13">
        <f t="shared" si="34"/>
        <v>7533.9264000000012</v>
      </c>
      <c r="AJ103" s="13">
        <f t="shared" si="35"/>
        <v>-650.4326400000009</v>
      </c>
    </row>
    <row r="104" spans="1:36" x14ac:dyDescent="0.45">
      <c r="A104" s="3" t="s">
        <v>117</v>
      </c>
      <c r="B104" s="5">
        <v>45747</v>
      </c>
      <c r="C104" s="5">
        <v>45751</v>
      </c>
      <c r="D104" s="5">
        <f t="shared" si="36"/>
        <v>45747</v>
      </c>
      <c r="E104" s="5">
        <f t="shared" si="37"/>
        <v>45751</v>
      </c>
      <c r="F104" s="7">
        <f t="shared" si="38"/>
        <v>4</v>
      </c>
      <c r="G104" s="23" t="str">
        <f t="shared" si="39"/>
        <v>3-2025</v>
      </c>
      <c r="H104" s="3" t="s">
        <v>646</v>
      </c>
      <c r="I104" s="3" t="s">
        <v>650</v>
      </c>
      <c r="J104" s="3" t="s">
        <v>678</v>
      </c>
      <c r="K104" s="3" t="s">
        <v>701</v>
      </c>
      <c r="L104" s="3" t="s">
        <v>711</v>
      </c>
      <c r="M104" s="3" t="s">
        <v>712</v>
      </c>
      <c r="N104" s="3" t="s">
        <v>731</v>
      </c>
      <c r="O104" s="3" t="s">
        <v>836</v>
      </c>
      <c r="P104" s="19">
        <v>862.08</v>
      </c>
      <c r="Q104" s="19">
        <v>1952.83</v>
      </c>
      <c r="R104" s="15">
        <v>0</v>
      </c>
      <c r="S104" s="7">
        <v>7</v>
      </c>
      <c r="T104" s="13">
        <f t="shared" si="27"/>
        <v>13669.81</v>
      </c>
      <c r="U104" s="13">
        <f t="shared" si="28"/>
        <v>6034.56</v>
      </c>
      <c r="V104" s="13">
        <f t="shared" si="40"/>
        <v>7635.2499999999991</v>
      </c>
      <c r="W104" s="15">
        <f t="shared" si="41"/>
        <v>0.5585483631447693</v>
      </c>
      <c r="X104" s="17" t="str">
        <f t="shared" si="42"/>
        <v>Q1-2025</v>
      </c>
      <c r="Y104" t="str">
        <f t="shared" si="43"/>
        <v>Africa → Kenya → Nakuru</v>
      </c>
      <c r="Z104" t="str">
        <f t="shared" si="44"/>
        <v>High</v>
      </c>
      <c r="AA104">
        <f t="shared" si="29"/>
        <v>2025</v>
      </c>
      <c r="AB104">
        <f t="shared" si="30"/>
        <v>3</v>
      </c>
      <c r="AC104" t="str">
        <f t="shared" si="31"/>
        <v>Yes</v>
      </c>
      <c r="AD104" t="str">
        <f t="shared" si="32"/>
        <v>No</v>
      </c>
      <c r="AE104" s="36">
        <f>IF(Dashboard!$P$47&gt;'Staging Data'!R104,'Staging Data'!R104,Dashboard!$P$47)</f>
        <v>0</v>
      </c>
      <c r="AF104">
        <f>(100%+Dashboard!$P$48)*'Staging Data'!P104</f>
        <v>905.18400000000008</v>
      </c>
      <c r="AG104">
        <f>(100%+Dashboard!$P$49)*S104</f>
        <v>7.28</v>
      </c>
      <c r="AH104" s="13">
        <f t="shared" si="33"/>
        <v>14216.6024</v>
      </c>
      <c r="AI104" s="13">
        <f t="shared" si="34"/>
        <v>6589.739520000001</v>
      </c>
      <c r="AJ104" s="13">
        <f t="shared" si="35"/>
        <v>7626.8628799999988</v>
      </c>
    </row>
    <row r="105" spans="1:36" x14ac:dyDescent="0.45">
      <c r="A105" s="3" t="s">
        <v>456</v>
      </c>
      <c r="B105" s="5">
        <v>45189</v>
      </c>
      <c r="C105" s="5">
        <v>45197</v>
      </c>
      <c r="D105" s="5">
        <f t="shared" si="36"/>
        <v>45189</v>
      </c>
      <c r="E105" s="5">
        <f t="shared" si="37"/>
        <v>45197</v>
      </c>
      <c r="F105" s="7">
        <f t="shared" si="38"/>
        <v>8</v>
      </c>
      <c r="G105" s="23" t="str">
        <f t="shared" si="39"/>
        <v>9-2023</v>
      </c>
      <c r="H105" s="3" t="s">
        <v>647</v>
      </c>
      <c r="I105" s="3" t="s">
        <v>654</v>
      </c>
      <c r="J105" s="3" t="s">
        <v>1422</v>
      </c>
      <c r="K105" s="3" t="s">
        <v>701</v>
      </c>
      <c r="L105" s="3" t="s">
        <v>1423</v>
      </c>
      <c r="M105" s="3" t="s">
        <v>717</v>
      </c>
      <c r="N105" s="3" t="s">
        <v>733</v>
      </c>
      <c r="O105" s="3" t="s">
        <v>1175</v>
      </c>
      <c r="P105" s="19">
        <v>1362.06</v>
      </c>
      <c r="Q105" s="19">
        <v>3398.37</v>
      </c>
      <c r="R105" s="15">
        <v>0.157</v>
      </c>
      <c r="S105" s="7">
        <v>11</v>
      </c>
      <c r="T105" s="13">
        <f t="shared" si="27"/>
        <v>31513.085009999999</v>
      </c>
      <c r="U105" s="13">
        <f t="shared" si="28"/>
        <v>14982.66</v>
      </c>
      <c r="V105" s="13">
        <f t="shared" si="40"/>
        <v>16530.425009999999</v>
      </c>
      <c r="W105" s="15">
        <f t="shared" si="41"/>
        <v>0.52455749745714919</v>
      </c>
      <c r="X105" s="17" t="str">
        <f t="shared" si="42"/>
        <v>Q3-2023</v>
      </c>
      <c r="Y105" t="str">
        <f t="shared" si="43"/>
        <v>Asia → India → Unknown City</v>
      </c>
      <c r="Z105" t="str">
        <f t="shared" si="44"/>
        <v>High</v>
      </c>
      <c r="AA105">
        <f t="shared" si="29"/>
        <v>2023</v>
      </c>
      <c r="AB105">
        <f t="shared" si="30"/>
        <v>9</v>
      </c>
      <c r="AC105" t="str">
        <f t="shared" si="31"/>
        <v>No</v>
      </c>
      <c r="AD105" t="str">
        <f t="shared" si="32"/>
        <v>No</v>
      </c>
      <c r="AE105" s="36">
        <f>IF(Dashboard!$P$47&gt;'Staging Data'!R105,'Staging Data'!R105,Dashboard!$P$47)</f>
        <v>0.1</v>
      </c>
      <c r="AF105">
        <f>(100%+Dashboard!$P$48)*'Staging Data'!P105</f>
        <v>1430.163</v>
      </c>
      <c r="AG105">
        <f>(100%+Dashboard!$P$49)*S105</f>
        <v>11.440000000000001</v>
      </c>
      <c r="AH105" s="13">
        <f t="shared" si="33"/>
        <v>34989.61752</v>
      </c>
      <c r="AI105" s="13">
        <f t="shared" si="34"/>
        <v>16361.064720000002</v>
      </c>
      <c r="AJ105" s="13">
        <f t="shared" si="35"/>
        <v>18628.552799999998</v>
      </c>
    </row>
    <row r="106" spans="1:36" x14ac:dyDescent="0.45">
      <c r="A106" s="3" t="s">
        <v>119</v>
      </c>
      <c r="B106" s="5">
        <v>45549</v>
      </c>
      <c r="C106" s="5">
        <v>45570</v>
      </c>
      <c r="D106" s="5">
        <f t="shared" si="36"/>
        <v>45549</v>
      </c>
      <c r="E106" s="5">
        <f t="shared" si="37"/>
        <v>45570</v>
      </c>
      <c r="F106" s="7">
        <f t="shared" si="38"/>
        <v>21</v>
      </c>
      <c r="G106" s="23" t="str">
        <f t="shared" si="39"/>
        <v>9-2024</v>
      </c>
      <c r="H106" s="3" t="s">
        <v>647</v>
      </c>
      <c r="I106" s="3" t="s">
        <v>659</v>
      </c>
      <c r="J106" s="3" t="s">
        <v>685</v>
      </c>
      <c r="K106" s="3" t="s">
        <v>705</v>
      </c>
      <c r="L106" s="3" t="s">
        <v>708</v>
      </c>
      <c r="M106" s="3" t="s">
        <v>722</v>
      </c>
      <c r="N106" s="3" t="s">
        <v>731</v>
      </c>
      <c r="O106" s="3" t="s">
        <v>838</v>
      </c>
      <c r="P106" s="19">
        <v>1405.56</v>
      </c>
      <c r="Q106" s="19">
        <v>2968.87</v>
      </c>
      <c r="R106" s="15">
        <v>0.16900000000000001</v>
      </c>
      <c r="S106" s="7">
        <v>5</v>
      </c>
      <c r="T106" s="13">
        <f t="shared" si="27"/>
        <v>12335.654849999999</v>
      </c>
      <c r="U106" s="13">
        <f t="shared" si="28"/>
        <v>7027.7999999999993</v>
      </c>
      <c r="V106" s="13">
        <f t="shared" si="40"/>
        <v>5307.8548499999997</v>
      </c>
      <c r="W106" s="15">
        <f t="shared" si="41"/>
        <v>0.4302856163327235</v>
      </c>
      <c r="X106" s="17" t="str">
        <f t="shared" si="42"/>
        <v>Q3-2024</v>
      </c>
      <c r="Y106" t="str">
        <f t="shared" si="43"/>
        <v>Asia → China → Shanghai</v>
      </c>
      <c r="Z106" t="str">
        <f t="shared" si="44"/>
        <v>High</v>
      </c>
      <c r="AA106">
        <f t="shared" si="29"/>
        <v>2024</v>
      </c>
      <c r="AB106">
        <f t="shared" si="30"/>
        <v>9</v>
      </c>
      <c r="AC106" t="str">
        <f t="shared" si="31"/>
        <v>No</v>
      </c>
      <c r="AD106" t="str">
        <f t="shared" si="32"/>
        <v>No</v>
      </c>
      <c r="AE106" s="36">
        <f>IF(Dashboard!$P$47&gt;'Staging Data'!R106,'Staging Data'!R106,Dashboard!$P$47)</f>
        <v>0.1</v>
      </c>
      <c r="AF106">
        <f>(100%+Dashboard!$P$48)*'Staging Data'!P106</f>
        <v>1475.838</v>
      </c>
      <c r="AG106">
        <f>(100%+Dashboard!$P$49)*S106</f>
        <v>5.2</v>
      </c>
      <c r="AH106" s="13">
        <f t="shared" si="33"/>
        <v>13894.311600000001</v>
      </c>
      <c r="AI106" s="13">
        <f t="shared" si="34"/>
        <v>7674.3576000000003</v>
      </c>
      <c r="AJ106" s="13">
        <f t="shared" si="35"/>
        <v>6219.9540000000006</v>
      </c>
    </row>
    <row r="107" spans="1:36" x14ac:dyDescent="0.45">
      <c r="A107" s="3" t="s">
        <v>120</v>
      </c>
      <c r="B107" s="5">
        <v>45433</v>
      </c>
      <c r="C107" s="5">
        <v>45439</v>
      </c>
      <c r="D107" s="5">
        <f t="shared" si="36"/>
        <v>45433</v>
      </c>
      <c r="E107" s="5">
        <f t="shared" si="37"/>
        <v>45439</v>
      </c>
      <c r="F107" s="7">
        <f t="shared" si="38"/>
        <v>6</v>
      </c>
      <c r="G107" s="23" t="str">
        <f t="shared" si="39"/>
        <v>5-2024</v>
      </c>
      <c r="H107" s="3" t="s">
        <v>646</v>
      </c>
      <c r="I107" s="3" t="s">
        <v>661</v>
      </c>
      <c r="J107" s="3" t="s">
        <v>682</v>
      </c>
      <c r="K107" s="3" t="s">
        <v>703</v>
      </c>
      <c r="L107" s="3" t="s">
        <v>708</v>
      </c>
      <c r="M107" s="3" t="s">
        <v>724</v>
      </c>
      <c r="N107" s="3" t="s">
        <v>727</v>
      </c>
      <c r="O107" s="3" t="s">
        <v>839</v>
      </c>
      <c r="P107" s="19">
        <v>1157.51</v>
      </c>
      <c r="Q107" s="19">
        <v>1394.3</v>
      </c>
      <c r="R107" s="15">
        <v>0.27800000000000002</v>
      </c>
      <c r="S107" s="7">
        <v>12</v>
      </c>
      <c r="T107" s="13">
        <f t="shared" si="27"/>
        <v>12080.215199999999</v>
      </c>
      <c r="U107" s="13">
        <f t="shared" si="28"/>
        <v>13890.119999999999</v>
      </c>
      <c r="V107" s="13">
        <f t="shared" si="40"/>
        <v>-1809.9048000000003</v>
      </c>
      <c r="W107" s="15">
        <f t="shared" si="41"/>
        <v>-0.14982388724333326</v>
      </c>
      <c r="X107" s="17" t="str">
        <f t="shared" si="42"/>
        <v>Q2-2024</v>
      </c>
      <c r="Y107" t="str">
        <f t="shared" si="43"/>
        <v>Africa → South Africa → Johannesburg</v>
      </c>
      <c r="Z107" t="str">
        <f t="shared" si="44"/>
        <v>Medium</v>
      </c>
      <c r="AA107">
        <f t="shared" si="29"/>
        <v>2024</v>
      </c>
      <c r="AB107">
        <f t="shared" si="30"/>
        <v>5</v>
      </c>
      <c r="AC107" t="str">
        <f t="shared" si="31"/>
        <v>Yes</v>
      </c>
      <c r="AD107" t="str">
        <f t="shared" si="32"/>
        <v>Yes</v>
      </c>
      <c r="AE107" s="36">
        <f>IF(Dashboard!$P$47&gt;'Staging Data'!R107,'Staging Data'!R107,Dashboard!$P$47)</f>
        <v>0.1</v>
      </c>
      <c r="AF107">
        <f>(100%+Dashboard!$P$48)*'Staging Data'!P107</f>
        <v>1215.3855000000001</v>
      </c>
      <c r="AG107">
        <f>(100%+Dashboard!$P$49)*S107</f>
        <v>12.48</v>
      </c>
      <c r="AH107" s="13">
        <f t="shared" si="33"/>
        <v>15660.777600000001</v>
      </c>
      <c r="AI107" s="13">
        <f t="shared" si="34"/>
        <v>15168.011040000001</v>
      </c>
      <c r="AJ107" s="13">
        <f t="shared" si="35"/>
        <v>492.76656000000003</v>
      </c>
    </row>
    <row r="108" spans="1:36" x14ac:dyDescent="0.45">
      <c r="A108" s="3" t="s">
        <v>121</v>
      </c>
      <c r="B108" s="5">
        <v>45057</v>
      </c>
      <c r="C108" s="5">
        <v>45084</v>
      </c>
      <c r="D108" s="5">
        <f t="shared" si="36"/>
        <v>45057</v>
      </c>
      <c r="E108" s="5">
        <f t="shared" si="37"/>
        <v>45084</v>
      </c>
      <c r="F108" s="7">
        <f t="shared" si="38"/>
        <v>27</v>
      </c>
      <c r="G108" s="23" t="str">
        <f t="shared" si="39"/>
        <v>5-2023</v>
      </c>
      <c r="H108" s="3" t="s">
        <v>646</v>
      </c>
      <c r="I108" s="3" t="s">
        <v>650</v>
      </c>
      <c r="J108" s="3" t="s">
        <v>675</v>
      </c>
      <c r="K108" s="3" t="s">
        <v>701</v>
      </c>
      <c r="L108" s="3" t="s">
        <v>708</v>
      </c>
      <c r="M108" s="3" t="s">
        <v>713</v>
      </c>
      <c r="N108" s="3" t="s">
        <v>730</v>
      </c>
      <c r="O108" s="3" t="s">
        <v>840</v>
      </c>
      <c r="P108" s="19">
        <v>12.85</v>
      </c>
      <c r="Q108" s="19">
        <v>15.41</v>
      </c>
      <c r="R108" s="15">
        <v>0.13700000000000001</v>
      </c>
      <c r="S108" s="7">
        <v>39</v>
      </c>
      <c r="T108" s="13">
        <f t="shared" si="27"/>
        <v>518.65436999999997</v>
      </c>
      <c r="U108" s="13">
        <f t="shared" si="28"/>
        <v>501.15</v>
      </c>
      <c r="V108" s="13">
        <f t="shared" si="40"/>
        <v>17.504369999999994</v>
      </c>
      <c r="W108" s="15">
        <f t="shared" si="41"/>
        <v>3.3749585489851353E-2</v>
      </c>
      <c r="X108" s="17" t="str">
        <f t="shared" si="42"/>
        <v>Q2-2023</v>
      </c>
      <c r="Y108" t="str">
        <f t="shared" si="43"/>
        <v>Africa → Kenya → Mombasa</v>
      </c>
      <c r="Z108" t="str">
        <f t="shared" si="44"/>
        <v>Low</v>
      </c>
      <c r="AA108">
        <f t="shared" si="29"/>
        <v>2023</v>
      </c>
      <c r="AB108">
        <f t="shared" si="30"/>
        <v>5</v>
      </c>
      <c r="AC108" t="str">
        <f t="shared" si="31"/>
        <v>No</v>
      </c>
      <c r="AD108" t="str">
        <f t="shared" si="32"/>
        <v>No</v>
      </c>
      <c r="AE108" s="36">
        <f>IF(Dashboard!$P$47&gt;'Staging Data'!R108,'Staging Data'!R108,Dashboard!$P$47)</f>
        <v>0.1</v>
      </c>
      <c r="AF108">
        <f>(100%+Dashboard!$P$48)*'Staging Data'!P108</f>
        <v>13.4925</v>
      </c>
      <c r="AG108">
        <f>(100%+Dashboard!$P$49)*S108</f>
        <v>40.56</v>
      </c>
      <c r="AH108" s="13">
        <f t="shared" si="33"/>
        <v>562.52664000000004</v>
      </c>
      <c r="AI108" s="13">
        <f t="shared" si="34"/>
        <v>547.25580000000002</v>
      </c>
      <c r="AJ108" s="13">
        <f t="shared" si="35"/>
        <v>15.270840000000021</v>
      </c>
    </row>
    <row r="109" spans="1:36" x14ac:dyDescent="0.45">
      <c r="A109" s="3" t="s">
        <v>122</v>
      </c>
      <c r="B109" s="5">
        <v>45518</v>
      </c>
      <c r="C109" s="5">
        <v>45539</v>
      </c>
      <c r="D109" s="5">
        <f t="shared" si="36"/>
        <v>45518</v>
      </c>
      <c r="E109" s="5">
        <f t="shared" si="37"/>
        <v>45539</v>
      </c>
      <c r="F109" s="7">
        <f t="shared" si="38"/>
        <v>21</v>
      </c>
      <c r="G109" s="23" t="str">
        <f t="shared" si="39"/>
        <v>8-2024</v>
      </c>
      <c r="H109" s="3" t="s">
        <v>649</v>
      </c>
      <c r="I109" s="3" t="s">
        <v>658</v>
      </c>
      <c r="J109" s="3" t="s">
        <v>693</v>
      </c>
      <c r="K109" s="3" t="s">
        <v>703</v>
      </c>
      <c r="L109" s="3" t="s">
        <v>708</v>
      </c>
      <c r="M109" s="3" t="s">
        <v>713</v>
      </c>
      <c r="N109" s="3" t="s">
        <v>730</v>
      </c>
      <c r="O109" s="3" t="s">
        <v>841</v>
      </c>
      <c r="P109" s="19">
        <v>1138.8</v>
      </c>
      <c r="Q109" s="19">
        <v>2250.81</v>
      </c>
      <c r="R109" s="15">
        <v>0.123</v>
      </c>
      <c r="S109" s="7">
        <v>12</v>
      </c>
      <c r="T109" s="13">
        <f t="shared" si="27"/>
        <v>23687.524440000001</v>
      </c>
      <c r="U109" s="13">
        <f t="shared" si="28"/>
        <v>13665.599999999999</v>
      </c>
      <c r="V109" s="13">
        <f t="shared" si="40"/>
        <v>10021.924440000003</v>
      </c>
      <c r="W109" s="15">
        <f t="shared" si="41"/>
        <v>0.42308872188756258</v>
      </c>
      <c r="X109" s="17" t="str">
        <f t="shared" si="42"/>
        <v>Q3-2024</v>
      </c>
      <c r="Y109" t="str">
        <f t="shared" si="43"/>
        <v>Europe → United Kingdom → Manchester</v>
      </c>
      <c r="Z109" t="str">
        <f t="shared" si="44"/>
        <v>High</v>
      </c>
      <c r="AA109">
        <f t="shared" si="29"/>
        <v>2024</v>
      </c>
      <c r="AB109">
        <f t="shared" si="30"/>
        <v>8</v>
      </c>
      <c r="AC109" t="str">
        <f t="shared" si="31"/>
        <v>No</v>
      </c>
      <c r="AD109" t="str">
        <f t="shared" si="32"/>
        <v>No</v>
      </c>
      <c r="AE109" s="36">
        <f>IF(Dashboard!$P$47&gt;'Staging Data'!R109,'Staging Data'!R109,Dashboard!$P$47)</f>
        <v>0.1</v>
      </c>
      <c r="AF109">
        <f>(100%+Dashboard!$P$48)*'Staging Data'!P109</f>
        <v>1195.74</v>
      </c>
      <c r="AG109">
        <f>(100%+Dashboard!$P$49)*S109</f>
        <v>12.48</v>
      </c>
      <c r="AH109" s="13">
        <f t="shared" si="33"/>
        <v>25281.097920000004</v>
      </c>
      <c r="AI109" s="13">
        <f t="shared" si="34"/>
        <v>14922.835200000001</v>
      </c>
      <c r="AJ109" s="13">
        <f t="shared" si="35"/>
        <v>10358.262720000002</v>
      </c>
    </row>
    <row r="110" spans="1:36" x14ac:dyDescent="0.45">
      <c r="A110" s="3" t="s">
        <v>123</v>
      </c>
      <c r="B110" s="5">
        <v>45581</v>
      </c>
      <c r="C110" s="5">
        <v>45604</v>
      </c>
      <c r="D110" s="5">
        <f t="shared" si="36"/>
        <v>45581</v>
      </c>
      <c r="E110" s="5">
        <f t="shared" si="37"/>
        <v>45604</v>
      </c>
      <c r="F110" s="7">
        <f t="shared" si="38"/>
        <v>23</v>
      </c>
      <c r="G110" s="23" t="str">
        <f t="shared" si="39"/>
        <v>10-2024</v>
      </c>
      <c r="H110" s="3" t="s">
        <v>647</v>
      </c>
      <c r="I110" s="3" t="s">
        <v>652</v>
      </c>
      <c r="J110" s="3" t="s">
        <v>666</v>
      </c>
      <c r="K110" s="3" t="s">
        <v>705</v>
      </c>
      <c r="L110" s="3" t="s">
        <v>707</v>
      </c>
      <c r="M110" s="3" t="s">
        <v>713</v>
      </c>
      <c r="N110" s="3" t="s">
        <v>729</v>
      </c>
      <c r="O110" s="3" t="s">
        <v>842</v>
      </c>
      <c r="P110" s="19">
        <v>82.14</v>
      </c>
      <c r="Q110" s="19">
        <v>166.04</v>
      </c>
      <c r="R110" s="15">
        <v>0</v>
      </c>
      <c r="S110" s="7">
        <v>10</v>
      </c>
      <c r="T110" s="13">
        <f t="shared" si="27"/>
        <v>1660.3999999999999</v>
      </c>
      <c r="U110" s="13">
        <f t="shared" si="28"/>
        <v>821.4</v>
      </c>
      <c r="V110" s="13">
        <f t="shared" si="40"/>
        <v>838.99999999999989</v>
      </c>
      <c r="W110" s="15">
        <f t="shared" si="41"/>
        <v>0.50529992772825827</v>
      </c>
      <c r="X110" s="17" t="str">
        <f t="shared" si="42"/>
        <v>Q4-2024</v>
      </c>
      <c r="Y110" t="str">
        <f t="shared" si="43"/>
        <v>Asia → Japan → Osaka</v>
      </c>
      <c r="Z110" t="str">
        <f t="shared" si="44"/>
        <v>Low</v>
      </c>
      <c r="AA110">
        <f t="shared" si="29"/>
        <v>2024</v>
      </c>
      <c r="AB110">
        <f t="shared" si="30"/>
        <v>10</v>
      </c>
      <c r="AC110" t="str">
        <f t="shared" si="31"/>
        <v>No</v>
      </c>
      <c r="AD110" t="str">
        <f t="shared" si="32"/>
        <v>No</v>
      </c>
      <c r="AE110" s="36">
        <f>IF(Dashboard!$P$47&gt;'Staging Data'!R110,'Staging Data'!R110,Dashboard!$P$47)</f>
        <v>0</v>
      </c>
      <c r="AF110">
        <f>(100%+Dashboard!$P$48)*'Staging Data'!P110</f>
        <v>86.247</v>
      </c>
      <c r="AG110">
        <f>(100%+Dashboard!$P$49)*S110</f>
        <v>10.4</v>
      </c>
      <c r="AH110" s="13">
        <f t="shared" si="33"/>
        <v>1726.816</v>
      </c>
      <c r="AI110" s="13">
        <f t="shared" si="34"/>
        <v>896.96879999999999</v>
      </c>
      <c r="AJ110" s="13">
        <f t="shared" si="35"/>
        <v>829.84720000000004</v>
      </c>
    </row>
    <row r="111" spans="1:36" x14ac:dyDescent="0.45">
      <c r="A111" s="3" t="s">
        <v>221</v>
      </c>
      <c r="B111" s="5">
        <v>45678</v>
      </c>
      <c r="C111" s="5">
        <v>45702</v>
      </c>
      <c r="D111" s="5">
        <f t="shared" si="36"/>
        <v>45678</v>
      </c>
      <c r="E111" s="5">
        <f t="shared" si="37"/>
        <v>45702</v>
      </c>
      <c r="F111" s="7">
        <f t="shared" si="38"/>
        <v>24</v>
      </c>
      <c r="G111" s="23" t="str">
        <f t="shared" si="39"/>
        <v>1-2025</v>
      </c>
      <c r="H111" s="3" t="s">
        <v>646</v>
      </c>
      <c r="I111" s="3" t="s">
        <v>650</v>
      </c>
      <c r="J111" s="3" t="s">
        <v>664</v>
      </c>
      <c r="K111" s="3" t="s">
        <v>705</v>
      </c>
      <c r="L111" s="3" t="s">
        <v>707</v>
      </c>
      <c r="M111" s="3" t="s">
        <v>713</v>
      </c>
      <c r="N111" s="3" t="s">
        <v>733</v>
      </c>
      <c r="O111" s="3" t="s">
        <v>941</v>
      </c>
      <c r="P111" s="19">
        <v>1030.44</v>
      </c>
      <c r="Q111" s="19">
        <v>2562.84</v>
      </c>
      <c r="R111" s="15">
        <v>0.14799999999999999</v>
      </c>
      <c r="S111" s="7">
        <v>13</v>
      </c>
      <c r="T111" s="13">
        <f t="shared" si="27"/>
        <v>28386.015839999996</v>
      </c>
      <c r="U111" s="13">
        <f t="shared" si="28"/>
        <v>13395.720000000001</v>
      </c>
      <c r="V111" s="13">
        <f t="shared" si="40"/>
        <v>14990.295839999995</v>
      </c>
      <c r="W111" s="15">
        <f t="shared" si="41"/>
        <v>0.52808734852027039</v>
      </c>
      <c r="X111" s="17" t="str">
        <f t="shared" si="42"/>
        <v>Q1-2025</v>
      </c>
      <c r="Y111" t="str">
        <f t="shared" si="43"/>
        <v>Africa → Kenya → Nairobi</v>
      </c>
      <c r="Z111" t="str">
        <f t="shared" si="44"/>
        <v>High</v>
      </c>
      <c r="AA111">
        <f t="shared" si="29"/>
        <v>2025</v>
      </c>
      <c r="AB111">
        <f t="shared" si="30"/>
        <v>1</v>
      </c>
      <c r="AC111" t="str">
        <f t="shared" si="31"/>
        <v>No</v>
      </c>
      <c r="AD111" t="str">
        <f t="shared" si="32"/>
        <v>No</v>
      </c>
      <c r="AE111" s="36">
        <f>IF(Dashboard!$P$47&gt;'Staging Data'!R111,'Staging Data'!R111,Dashboard!$P$47)</f>
        <v>0.1</v>
      </c>
      <c r="AF111">
        <f>(100%+Dashboard!$P$48)*'Staging Data'!P111</f>
        <v>1081.9620000000002</v>
      </c>
      <c r="AG111">
        <f>(100%+Dashboard!$P$49)*S111</f>
        <v>13.52</v>
      </c>
      <c r="AH111" s="13">
        <f t="shared" si="33"/>
        <v>31184.637119999999</v>
      </c>
      <c r="AI111" s="13">
        <f t="shared" si="34"/>
        <v>14628.126240000003</v>
      </c>
      <c r="AJ111" s="13">
        <f t="shared" si="35"/>
        <v>16556.510879999994</v>
      </c>
    </row>
    <row r="112" spans="1:36" x14ac:dyDescent="0.45">
      <c r="A112" s="3" t="s">
        <v>125</v>
      </c>
      <c r="B112" s="5">
        <v>45452</v>
      </c>
      <c r="C112" s="5">
        <v>45480</v>
      </c>
      <c r="D112" s="5">
        <f t="shared" si="36"/>
        <v>45452</v>
      </c>
      <c r="E112" s="5">
        <f t="shared" si="37"/>
        <v>45480</v>
      </c>
      <c r="F112" s="7">
        <f t="shared" si="38"/>
        <v>28</v>
      </c>
      <c r="G112" s="23" t="str">
        <f t="shared" si="39"/>
        <v>6-2024</v>
      </c>
      <c r="H112" s="3" t="s">
        <v>647</v>
      </c>
      <c r="I112" s="3" t="s">
        <v>659</v>
      </c>
      <c r="J112" s="3" t="s">
        <v>676</v>
      </c>
      <c r="K112" s="3" t="s">
        <v>701</v>
      </c>
      <c r="L112" s="3" t="s">
        <v>708</v>
      </c>
      <c r="M112" s="3" t="s">
        <v>713</v>
      </c>
      <c r="N112" s="3" t="s">
        <v>727</v>
      </c>
      <c r="O112" s="3" t="s">
        <v>844</v>
      </c>
      <c r="P112" s="19">
        <v>550.22</v>
      </c>
      <c r="Q112" s="19">
        <v>1025.05</v>
      </c>
      <c r="R112" s="15">
        <v>0</v>
      </c>
      <c r="S112" s="7">
        <v>27</v>
      </c>
      <c r="T112" s="13">
        <f t="shared" si="27"/>
        <v>27676.35</v>
      </c>
      <c r="U112" s="13">
        <f t="shared" si="28"/>
        <v>14855.94</v>
      </c>
      <c r="V112" s="13">
        <f t="shared" si="40"/>
        <v>12820.409999999998</v>
      </c>
      <c r="W112" s="15">
        <f t="shared" si="41"/>
        <v>0.46322618408858102</v>
      </c>
      <c r="X112" s="17" t="str">
        <f t="shared" si="42"/>
        <v>Q2-2024</v>
      </c>
      <c r="Y112" t="str">
        <f t="shared" si="43"/>
        <v>Asia → China → Shenzhen</v>
      </c>
      <c r="Z112" t="str">
        <f t="shared" si="44"/>
        <v>Low</v>
      </c>
      <c r="AA112">
        <f t="shared" si="29"/>
        <v>2024</v>
      </c>
      <c r="AB112">
        <f t="shared" si="30"/>
        <v>6</v>
      </c>
      <c r="AC112" t="str">
        <f t="shared" si="31"/>
        <v>No</v>
      </c>
      <c r="AD112" t="str">
        <f t="shared" si="32"/>
        <v>No</v>
      </c>
      <c r="AE112" s="36">
        <f>IF(Dashboard!$P$47&gt;'Staging Data'!R112,'Staging Data'!R112,Dashboard!$P$47)</f>
        <v>0</v>
      </c>
      <c r="AF112">
        <f>(100%+Dashboard!$P$48)*'Staging Data'!P112</f>
        <v>577.73100000000011</v>
      </c>
      <c r="AG112">
        <f>(100%+Dashboard!$P$49)*S112</f>
        <v>28.080000000000002</v>
      </c>
      <c r="AH112" s="13">
        <f t="shared" si="33"/>
        <v>28783.404000000002</v>
      </c>
      <c r="AI112" s="13">
        <f t="shared" si="34"/>
        <v>16222.686480000004</v>
      </c>
      <c r="AJ112" s="13">
        <f t="shared" si="35"/>
        <v>12560.717519999998</v>
      </c>
    </row>
    <row r="113" spans="1:36" x14ac:dyDescent="0.45">
      <c r="A113" s="3" t="s">
        <v>126</v>
      </c>
      <c r="B113" s="5">
        <v>45453</v>
      </c>
      <c r="C113" s="5">
        <v>45454</v>
      </c>
      <c r="D113" s="5">
        <f t="shared" si="36"/>
        <v>45453</v>
      </c>
      <c r="E113" s="5">
        <f t="shared" si="37"/>
        <v>45454</v>
      </c>
      <c r="F113" s="7">
        <f t="shared" si="38"/>
        <v>1</v>
      </c>
      <c r="G113" s="23" t="str">
        <f t="shared" si="39"/>
        <v>6-2024</v>
      </c>
      <c r="H113" s="3" t="s">
        <v>649</v>
      </c>
      <c r="I113" s="3" t="s">
        <v>658</v>
      </c>
      <c r="J113" s="3" t="s">
        <v>674</v>
      </c>
      <c r="K113" s="3" t="s">
        <v>705</v>
      </c>
      <c r="L113" s="3" t="s">
        <v>709</v>
      </c>
      <c r="M113" s="3" t="s">
        <v>724</v>
      </c>
      <c r="N113" s="3" t="s">
        <v>731</v>
      </c>
      <c r="O113" s="3" t="s">
        <v>845</v>
      </c>
      <c r="P113" s="19">
        <v>1187.1300000000001</v>
      </c>
      <c r="Q113" s="19">
        <v>1795.17</v>
      </c>
      <c r="R113" s="15">
        <v>1.2E-2</v>
      </c>
      <c r="S113" s="7">
        <v>17</v>
      </c>
      <c r="T113" s="13">
        <f t="shared" si="27"/>
        <v>30151.675319999998</v>
      </c>
      <c r="U113" s="13">
        <f t="shared" si="28"/>
        <v>20181.210000000003</v>
      </c>
      <c r="V113" s="13">
        <f t="shared" si="40"/>
        <v>9970.4653199999957</v>
      </c>
      <c r="W113" s="15">
        <f t="shared" si="41"/>
        <v>0.33067699271046663</v>
      </c>
      <c r="X113" s="17" t="str">
        <f t="shared" si="42"/>
        <v>Q2-2024</v>
      </c>
      <c r="Y113" t="str">
        <f t="shared" si="43"/>
        <v>Europe → United Kingdom → Birmingham</v>
      </c>
      <c r="Z113" t="str">
        <f t="shared" si="44"/>
        <v>Medium</v>
      </c>
      <c r="AA113">
        <f t="shared" si="29"/>
        <v>2024</v>
      </c>
      <c r="AB113">
        <f t="shared" si="30"/>
        <v>6</v>
      </c>
      <c r="AC113" t="str">
        <f t="shared" si="31"/>
        <v>Yes</v>
      </c>
      <c r="AD113" t="str">
        <f t="shared" si="32"/>
        <v>No</v>
      </c>
      <c r="AE113" s="36">
        <f>IF(Dashboard!$P$47&gt;'Staging Data'!R113,'Staging Data'!R113,Dashboard!$P$47)</f>
        <v>1.2E-2</v>
      </c>
      <c r="AF113">
        <f>(100%+Dashboard!$P$48)*'Staging Data'!P113</f>
        <v>1246.4865000000002</v>
      </c>
      <c r="AG113">
        <f>(100%+Dashboard!$P$49)*S113</f>
        <v>17.68</v>
      </c>
      <c r="AH113" s="13">
        <f t="shared" si="33"/>
        <v>31357.7423328</v>
      </c>
      <c r="AI113" s="13">
        <f t="shared" si="34"/>
        <v>22037.881320000004</v>
      </c>
      <c r="AJ113" s="13">
        <f t="shared" si="35"/>
        <v>9319.8610127999964</v>
      </c>
    </row>
    <row r="114" spans="1:36" x14ac:dyDescent="0.45">
      <c r="A114" s="3" t="s">
        <v>127</v>
      </c>
      <c r="B114" s="5">
        <v>45472</v>
      </c>
      <c r="C114" s="5">
        <v>45499</v>
      </c>
      <c r="D114" s="5">
        <f t="shared" si="36"/>
        <v>45472</v>
      </c>
      <c r="E114" s="5">
        <f t="shared" si="37"/>
        <v>45499</v>
      </c>
      <c r="F114" s="7">
        <f t="shared" si="38"/>
        <v>27</v>
      </c>
      <c r="G114" s="23" t="str">
        <f t="shared" si="39"/>
        <v>6-2024</v>
      </c>
      <c r="H114" s="3" t="s">
        <v>646</v>
      </c>
      <c r="I114" s="3" t="s">
        <v>661</v>
      </c>
      <c r="J114" s="3" t="s">
        <v>687</v>
      </c>
      <c r="K114" s="3" t="s">
        <v>706</v>
      </c>
      <c r="L114" s="3" t="s">
        <v>710</v>
      </c>
      <c r="M114" s="3" t="s">
        <v>717</v>
      </c>
      <c r="N114" s="3" t="s">
        <v>729</v>
      </c>
      <c r="O114" s="3" t="s">
        <v>846</v>
      </c>
      <c r="P114" s="19">
        <v>5.36</v>
      </c>
      <c r="Q114" s="19">
        <v>4.37</v>
      </c>
      <c r="R114" s="15">
        <v>0.11799999999999999</v>
      </c>
      <c r="S114" s="7">
        <v>9</v>
      </c>
      <c r="T114" s="13">
        <f t="shared" si="27"/>
        <v>34.689059999999998</v>
      </c>
      <c r="U114" s="13">
        <f t="shared" si="28"/>
        <v>48.24</v>
      </c>
      <c r="V114" s="13">
        <f t="shared" si="40"/>
        <v>-13.550940000000004</v>
      </c>
      <c r="W114" s="15">
        <f t="shared" si="41"/>
        <v>-0.39064016148030545</v>
      </c>
      <c r="X114" s="17" t="str">
        <f t="shared" si="42"/>
        <v>Q2-2024</v>
      </c>
      <c r="Y114" t="str">
        <f t="shared" si="43"/>
        <v>Africa → South Africa → Durban</v>
      </c>
      <c r="Z114" t="str">
        <f t="shared" si="44"/>
        <v>Low</v>
      </c>
      <c r="AA114">
        <f t="shared" si="29"/>
        <v>2024</v>
      </c>
      <c r="AB114">
        <f t="shared" si="30"/>
        <v>6</v>
      </c>
      <c r="AC114" t="str">
        <f t="shared" si="31"/>
        <v>No</v>
      </c>
      <c r="AD114" t="str">
        <f t="shared" si="32"/>
        <v>No</v>
      </c>
      <c r="AE114" s="36">
        <f>IF(Dashboard!$P$47&gt;'Staging Data'!R114,'Staging Data'!R114,Dashboard!$P$47)</f>
        <v>0.1</v>
      </c>
      <c r="AF114">
        <f>(100%+Dashboard!$P$48)*'Staging Data'!P114</f>
        <v>5.628000000000001</v>
      </c>
      <c r="AG114">
        <f>(100%+Dashboard!$P$49)*S114</f>
        <v>9.36</v>
      </c>
      <c r="AH114" s="13">
        <f t="shared" si="33"/>
        <v>36.81288</v>
      </c>
      <c r="AI114" s="13">
        <f t="shared" si="34"/>
        <v>52.678080000000008</v>
      </c>
      <c r="AJ114" s="13">
        <f t="shared" si="35"/>
        <v>-15.865200000000009</v>
      </c>
    </row>
    <row r="115" spans="1:36" x14ac:dyDescent="0.45">
      <c r="A115" s="3" t="s">
        <v>302</v>
      </c>
      <c r="B115" s="5">
        <v>45319</v>
      </c>
      <c r="C115" s="5">
        <v>45321</v>
      </c>
      <c r="D115" s="5">
        <f t="shared" si="36"/>
        <v>45319</v>
      </c>
      <c r="E115" s="5">
        <f t="shared" si="37"/>
        <v>45321</v>
      </c>
      <c r="F115" s="7">
        <f t="shared" si="38"/>
        <v>2</v>
      </c>
      <c r="G115" s="23" t="str">
        <f t="shared" si="39"/>
        <v>1-2024</v>
      </c>
      <c r="H115" s="3" t="s">
        <v>646</v>
      </c>
      <c r="I115" s="3" t="s">
        <v>661</v>
      </c>
      <c r="J115" s="3" t="s">
        <v>695</v>
      </c>
      <c r="K115" s="3" t="s">
        <v>704</v>
      </c>
      <c r="L115" s="3" t="s">
        <v>711</v>
      </c>
      <c r="M115" s="3" t="s">
        <v>721</v>
      </c>
      <c r="N115" s="3" t="s">
        <v>733</v>
      </c>
      <c r="O115" s="3" t="s">
        <v>1022</v>
      </c>
      <c r="P115" s="19">
        <v>798.45</v>
      </c>
      <c r="Q115" s="19">
        <v>1592.02</v>
      </c>
      <c r="R115" s="15">
        <v>6.6000000000000003E-2</v>
      </c>
      <c r="S115" s="7">
        <v>18</v>
      </c>
      <c r="T115" s="13">
        <f t="shared" si="27"/>
        <v>26765.040239999998</v>
      </c>
      <c r="U115" s="13">
        <f t="shared" si="28"/>
        <v>14372.1</v>
      </c>
      <c r="V115" s="13">
        <f t="shared" si="40"/>
        <v>12392.940239999998</v>
      </c>
      <c r="W115" s="15">
        <f t="shared" si="41"/>
        <v>0.46302714768494585</v>
      </c>
      <c r="X115" s="17" t="str">
        <f t="shared" si="42"/>
        <v>Q1-2024</v>
      </c>
      <c r="Y115" t="str">
        <f t="shared" si="43"/>
        <v>Africa → South Africa → Cape Town</v>
      </c>
      <c r="Z115" t="str">
        <f t="shared" si="44"/>
        <v>Medium</v>
      </c>
      <c r="AA115">
        <f t="shared" si="29"/>
        <v>2024</v>
      </c>
      <c r="AB115">
        <f t="shared" si="30"/>
        <v>1</v>
      </c>
      <c r="AC115" t="str">
        <f t="shared" si="31"/>
        <v>Yes</v>
      </c>
      <c r="AD115" t="str">
        <f t="shared" si="32"/>
        <v>No</v>
      </c>
      <c r="AE115" s="36">
        <f>IF(Dashboard!$P$47&gt;'Staging Data'!R115,'Staging Data'!R115,Dashboard!$P$47)</f>
        <v>6.6000000000000003E-2</v>
      </c>
      <c r="AF115">
        <f>(100%+Dashboard!$P$48)*'Staging Data'!P115</f>
        <v>838.37250000000006</v>
      </c>
      <c r="AG115">
        <f>(100%+Dashboard!$P$49)*S115</f>
        <v>18.72</v>
      </c>
      <c r="AH115" s="13">
        <f t="shared" si="33"/>
        <v>27835.641849599997</v>
      </c>
      <c r="AI115" s="13">
        <f t="shared" si="34"/>
        <v>15694.333200000001</v>
      </c>
      <c r="AJ115" s="13">
        <f t="shared" si="35"/>
        <v>12141.308649599996</v>
      </c>
    </row>
    <row r="116" spans="1:36" x14ac:dyDescent="0.45">
      <c r="A116" s="3" t="s">
        <v>129</v>
      </c>
      <c r="B116" s="5">
        <v>45250</v>
      </c>
      <c r="C116" s="5">
        <v>45265</v>
      </c>
      <c r="D116" s="5">
        <f t="shared" si="36"/>
        <v>45250</v>
      </c>
      <c r="E116" s="5">
        <f t="shared" si="37"/>
        <v>45265</v>
      </c>
      <c r="F116" s="7">
        <f t="shared" si="38"/>
        <v>15</v>
      </c>
      <c r="G116" s="23" t="str">
        <f t="shared" si="39"/>
        <v>11-2023</v>
      </c>
      <c r="H116" s="3" t="s">
        <v>647</v>
      </c>
      <c r="I116" s="3" t="s">
        <v>652</v>
      </c>
      <c r="J116" s="3" t="s">
        <v>689</v>
      </c>
      <c r="K116" s="3" t="s">
        <v>706</v>
      </c>
      <c r="L116" s="3" t="s">
        <v>707</v>
      </c>
      <c r="M116" s="3" t="s">
        <v>716</v>
      </c>
      <c r="N116" s="3" t="s">
        <v>729</v>
      </c>
      <c r="O116" s="3" t="s">
        <v>848</v>
      </c>
      <c r="P116" s="19">
        <v>354.24</v>
      </c>
      <c r="Q116" s="19">
        <v>249.87</v>
      </c>
      <c r="R116" s="15">
        <v>0</v>
      </c>
      <c r="S116" s="7">
        <v>6</v>
      </c>
      <c r="T116" s="13">
        <f t="shared" si="27"/>
        <v>1499.22</v>
      </c>
      <c r="U116" s="13">
        <f t="shared" si="28"/>
        <v>2125.44</v>
      </c>
      <c r="V116" s="13">
        <f t="shared" si="40"/>
        <v>-626.22</v>
      </c>
      <c r="W116" s="15">
        <f t="shared" si="41"/>
        <v>-0.41769720254532355</v>
      </c>
      <c r="X116" s="17" t="str">
        <f t="shared" si="42"/>
        <v>Q4-2023</v>
      </c>
      <c r="Y116" t="str">
        <f t="shared" si="43"/>
        <v>Asia → Japan → Tokyo</v>
      </c>
      <c r="Z116" t="str">
        <f t="shared" si="44"/>
        <v>Low</v>
      </c>
      <c r="AA116">
        <f t="shared" si="29"/>
        <v>2023</v>
      </c>
      <c r="AB116">
        <f t="shared" si="30"/>
        <v>11</v>
      </c>
      <c r="AC116" t="str">
        <f t="shared" si="31"/>
        <v>No</v>
      </c>
      <c r="AD116" t="str">
        <f t="shared" si="32"/>
        <v>No</v>
      </c>
      <c r="AE116" s="36">
        <f>IF(Dashboard!$P$47&gt;'Staging Data'!R116,'Staging Data'!R116,Dashboard!$P$47)</f>
        <v>0</v>
      </c>
      <c r="AF116">
        <f>(100%+Dashboard!$P$48)*'Staging Data'!P116</f>
        <v>371.952</v>
      </c>
      <c r="AG116">
        <f>(100%+Dashboard!$P$49)*S116</f>
        <v>6.24</v>
      </c>
      <c r="AH116" s="13">
        <f t="shared" si="33"/>
        <v>1559.1888000000001</v>
      </c>
      <c r="AI116" s="13">
        <f t="shared" si="34"/>
        <v>2320.9804800000002</v>
      </c>
      <c r="AJ116" s="13">
        <f t="shared" si="35"/>
        <v>-761.79168000000004</v>
      </c>
    </row>
    <row r="117" spans="1:36" x14ac:dyDescent="0.45">
      <c r="A117" s="3" t="s">
        <v>498</v>
      </c>
      <c r="B117" s="5">
        <v>45148</v>
      </c>
      <c r="C117" s="5">
        <v>45153</v>
      </c>
      <c r="D117" s="5">
        <f t="shared" si="36"/>
        <v>45148</v>
      </c>
      <c r="E117" s="5">
        <f t="shared" si="37"/>
        <v>45153</v>
      </c>
      <c r="F117" s="7">
        <f t="shared" si="38"/>
        <v>5</v>
      </c>
      <c r="G117" s="23" t="str">
        <f t="shared" si="39"/>
        <v>8-2023</v>
      </c>
      <c r="H117" s="3" t="s">
        <v>648</v>
      </c>
      <c r="I117" s="3" t="s">
        <v>655</v>
      </c>
      <c r="J117" s="3" t="s">
        <v>670</v>
      </c>
      <c r="K117" s="3" t="s">
        <v>702</v>
      </c>
      <c r="L117" s="3" t="s">
        <v>711</v>
      </c>
      <c r="M117" s="3" t="s">
        <v>715</v>
      </c>
      <c r="N117" s="3" t="s">
        <v>729</v>
      </c>
      <c r="O117" s="3" t="s">
        <v>1217</v>
      </c>
      <c r="P117" s="19">
        <v>1307.52</v>
      </c>
      <c r="Q117" s="19">
        <v>1921.65</v>
      </c>
      <c r="R117" s="15">
        <v>0.123</v>
      </c>
      <c r="S117" s="7">
        <v>13</v>
      </c>
      <c r="T117" s="13">
        <f t="shared" si="27"/>
        <v>21908.731650000002</v>
      </c>
      <c r="U117" s="13">
        <f t="shared" si="28"/>
        <v>16997.759999999998</v>
      </c>
      <c r="V117" s="13">
        <f t="shared" si="40"/>
        <v>4910.9716500000031</v>
      </c>
      <c r="W117" s="15">
        <f t="shared" si="41"/>
        <v>0.22415590863289445</v>
      </c>
      <c r="X117" s="17" t="str">
        <f t="shared" si="42"/>
        <v>Q3-2023</v>
      </c>
      <c r="Y117" t="str">
        <f t="shared" si="43"/>
        <v>Americas → Brazil → São Paulo</v>
      </c>
      <c r="Z117" t="str">
        <f t="shared" si="44"/>
        <v>High</v>
      </c>
      <c r="AA117">
        <f t="shared" si="29"/>
        <v>2023</v>
      </c>
      <c r="AB117">
        <f t="shared" si="30"/>
        <v>8</v>
      </c>
      <c r="AC117" t="str">
        <f t="shared" si="31"/>
        <v>Yes</v>
      </c>
      <c r="AD117" t="str">
        <f t="shared" si="32"/>
        <v>No</v>
      </c>
      <c r="AE117" s="36">
        <f>IF(Dashboard!$P$47&gt;'Staging Data'!R117,'Staging Data'!R117,Dashboard!$P$47)</f>
        <v>0.1</v>
      </c>
      <c r="AF117">
        <f>(100%+Dashboard!$P$48)*'Staging Data'!P117</f>
        <v>1372.896</v>
      </c>
      <c r="AG117">
        <f>(100%+Dashboard!$P$49)*S117</f>
        <v>13.52</v>
      </c>
      <c r="AH117" s="13">
        <f t="shared" si="33"/>
        <v>23382.637200000001</v>
      </c>
      <c r="AI117" s="13">
        <f t="shared" si="34"/>
        <v>18561.553919999998</v>
      </c>
      <c r="AJ117" s="13">
        <f t="shared" si="35"/>
        <v>4821.0832800000026</v>
      </c>
    </row>
    <row r="118" spans="1:36" x14ac:dyDescent="0.45">
      <c r="A118" s="3" t="s">
        <v>131</v>
      </c>
      <c r="B118" s="5">
        <v>45811</v>
      </c>
      <c r="C118" s="5">
        <v>45818</v>
      </c>
      <c r="D118" s="5">
        <f t="shared" si="36"/>
        <v>45811</v>
      </c>
      <c r="E118" s="5">
        <f t="shared" si="37"/>
        <v>45818</v>
      </c>
      <c r="F118" s="7">
        <f t="shared" si="38"/>
        <v>7</v>
      </c>
      <c r="G118" s="23" t="str">
        <f t="shared" si="39"/>
        <v>6-2025</v>
      </c>
      <c r="H118" s="3" t="s">
        <v>648</v>
      </c>
      <c r="I118" s="3" t="s">
        <v>653</v>
      </c>
      <c r="J118" s="3" t="s">
        <v>667</v>
      </c>
      <c r="K118" s="3" t="s">
        <v>704</v>
      </c>
      <c r="L118" s="3" t="s">
        <v>710</v>
      </c>
      <c r="M118" s="3" t="s">
        <v>719</v>
      </c>
      <c r="N118" s="3" t="s">
        <v>728</v>
      </c>
      <c r="O118" s="3" t="s">
        <v>850</v>
      </c>
      <c r="P118" s="19">
        <v>75.180000000000007</v>
      </c>
      <c r="Q118" s="19">
        <v>53.45</v>
      </c>
      <c r="R118" s="15">
        <v>0.157</v>
      </c>
      <c r="S118" s="7">
        <v>17</v>
      </c>
      <c r="T118" s="13">
        <f t="shared" si="27"/>
        <v>765.99195000000009</v>
      </c>
      <c r="U118" s="13">
        <f t="shared" si="28"/>
        <v>1278.0600000000002</v>
      </c>
      <c r="V118" s="13">
        <f t="shared" si="40"/>
        <v>-512.06805000000008</v>
      </c>
      <c r="W118" s="15">
        <f t="shared" si="41"/>
        <v>-0.66850317421743144</v>
      </c>
      <c r="X118" s="17" t="str">
        <f t="shared" si="42"/>
        <v>Q2-2025</v>
      </c>
      <c r="Y118" t="str">
        <f t="shared" si="43"/>
        <v>Americas → Canada → Toronto</v>
      </c>
      <c r="Z118" t="str">
        <f t="shared" si="44"/>
        <v>Low</v>
      </c>
      <c r="AA118">
        <f t="shared" si="29"/>
        <v>2025</v>
      </c>
      <c r="AB118">
        <f t="shared" si="30"/>
        <v>6</v>
      </c>
      <c r="AC118" t="str">
        <f t="shared" si="31"/>
        <v>Yes</v>
      </c>
      <c r="AD118" t="str">
        <f t="shared" si="32"/>
        <v>No</v>
      </c>
      <c r="AE118" s="36">
        <f>IF(Dashboard!$P$47&gt;'Staging Data'!R118,'Staging Data'!R118,Dashboard!$P$47)</f>
        <v>0.1</v>
      </c>
      <c r="AF118">
        <f>(100%+Dashboard!$P$48)*'Staging Data'!P118</f>
        <v>78.939000000000007</v>
      </c>
      <c r="AG118">
        <f>(100%+Dashboard!$P$49)*S118</f>
        <v>17.68</v>
      </c>
      <c r="AH118" s="13">
        <f t="shared" si="33"/>
        <v>850.49639999999999</v>
      </c>
      <c r="AI118" s="13">
        <f t="shared" si="34"/>
        <v>1395.6415200000001</v>
      </c>
      <c r="AJ118" s="13">
        <f t="shared" si="35"/>
        <v>-545.14512000000013</v>
      </c>
    </row>
    <row r="119" spans="1:36" x14ac:dyDescent="0.45">
      <c r="A119" s="3" t="s">
        <v>132</v>
      </c>
      <c r="B119" s="5">
        <v>45653</v>
      </c>
      <c r="C119" s="5">
        <v>45659</v>
      </c>
      <c r="D119" s="5">
        <f t="shared" si="36"/>
        <v>45653</v>
      </c>
      <c r="E119" s="5">
        <f t="shared" si="37"/>
        <v>45659</v>
      </c>
      <c r="F119" s="7">
        <f t="shared" si="38"/>
        <v>6</v>
      </c>
      <c r="G119" s="23" t="str">
        <f t="shared" si="39"/>
        <v>12-2024</v>
      </c>
      <c r="H119" s="3" t="s">
        <v>649</v>
      </c>
      <c r="I119" s="3" t="s">
        <v>656</v>
      </c>
      <c r="J119" s="3" t="s">
        <v>698</v>
      </c>
      <c r="K119" s="3" t="s">
        <v>702</v>
      </c>
      <c r="L119" s="3" t="s">
        <v>711</v>
      </c>
      <c r="M119" s="3" t="s">
        <v>721</v>
      </c>
      <c r="N119" s="3" t="s">
        <v>731</v>
      </c>
      <c r="O119" s="3" t="s">
        <v>851</v>
      </c>
      <c r="P119" s="19">
        <v>1391.99</v>
      </c>
      <c r="Q119" s="19">
        <v>3469.7</v>
      </c>
      <c r="R119" s="15">
        <v>0.184</v>
      </c>
      <c r="S119" s="7">
        <v>23</v>
      </c>
      <c r="T119" s="13">
        <f t="shared" si="27"/>
        <v>65119.329599999997</v>
      </c>
      <c r="U119" s="13">
        <f t="shared" si="28"/>
        <v>32015.77</v>
      </c>
      <c r="V119" s="13">
        <f t="shared" si="40"/>
        <v>33103.559599999993</v>
      </c>
      <c r="W119" s="15">
        <f t="shared" si="41"/>
        <v>0.50835227886006973</v>
      </c>
      <c r="X119" s="17" t="str">
        <f t="shared" si="42"/>
        <v>Q4-2024</v>
      </c>
      <c r="Y119" t="str">
        <f t="shared" si="43"/>
        <v>Europe → Germany → Frankfurt</v>
      </c>
      <c r="Z119" t="str">
        <f t="shared" si="44"/>
        <v>High</v>
      </c>
      <c r="AA119">
        <f t="shared" si="29"/>
        <v>2024</v>
      </c>
      <c r="AB119">
        <f t="shared" si="30"/>
        <v>12</v>
      </c>
      <c r="AC119" t="str">
        <f t="shared" si="31"/>
        <v>Yes</v>
      </c>
      <c r="AD119" t="str">
        <f t="shared" si="32"/>
        <v>No</v>
      </c>
      <c r="AE119" s="36">
        <f>IF(Dashboard!$P$47&gt;'Staging Data'!R119,'Staging Data'!R119,Dashboard!$P$47)</f>
        <v>0.1</v>
      </c>
      <c r="AF119">
        <f>(100%+Dashboard!$P$48)*'Staging Data'!P119</f>
        <v>1461.5895</v>
      </c>
      <c r="AG119">
        <f>(100%+Dashboard!$P$49)*S119</f>
        <v>23.92</v>
      </c>
      <c r="AH119" s="13">
        <f t="shared" si="33"/>
        <v>74695.7016</v>
      </c>
      <c r="AI119" s="13">
        <f t="shared" si="34"/>
        <v>34961.220840000002</v>
      </c>
      <c r="AJ119" s="13">
        <f t="shared" si="35"/>
        <v>39734.480759999999</v>
      </c>
    </row>
    <row r="120" spans="1:36" x14ac:dyDescent="0.45">
      <c r="A120" s="3" t="s">
        <v>133</v>
      </c>
      <c r="B120" s="5">
        <v>45086</v>
      </c>
      <c r="C120" s="5">
        <v>45096</v>
      </c>
      <c r="D120" s="5">
        <f t="shared" si="36"/>
        <v>45086</v>
      </c>
      <c r="E120" s="5">
        <f t="shared" si="37"/>
        <v>45096</v>
      </c>
      <c r="F120" s="7">
        <f t="shared" si="38"/>
        <v>10</v>
      </c>
      <c r="G120" s="23" t="str">
        <f t="shared" si="39"/>
        <v>6-2023</v>
      </c>
      <c r="H120" s="3" t="s">
        <v>647</v>
      </c>
      <c r="I120" s="3" t="s">
        <v>659</v>
      </c>
      <c r="J120" s="3" t="s">
        <v>699</v>
      </c>
      <c r="K120" s="3" t="s">
        <v>706</v>
      </c>
      <c r="L120" s="3" t="s">
        <v>707</v>
      </c>
      <c r="M120" s="3" t="s">
        <v>721</v>
      </c>
      <c r="N120" s="3" t="s">
        <v>732</v>
      </c>
      <c r="O120" s="3" t="s">
        <v>852</v>
      </c>
      <c r="P120" s="19">
        <v>339.61</v>
      </c>
      <c r="Q120" s="19">
        <v>621.02</v>
      </c>
      <c r="R120" s="15">
        <v>7.0999999999999994E-2</v>
      </c>
      <c r="S120" s="7">
        <v>10</v>
      </c>
      <c r="T120" s="13">
        <f t="shared" si="27"/>
        <v>5769.2758000000003</v>
      </c>
      <c r="U120" s="13">
        <f t="shared" si="28"/>
        <v>3396.1000000000004</v>
      </c>
      <c r="V120" s="13">
        <f t="shared" si="40"/>
        <v>2373.1758</v>
      </c>
      <c r="W120" s="15">
        <f t="shared" si="41"/>
        <v>0.41134726129750981</v>
      </c>
      <c r="X120" s="17" t="str">
        <f t="shared" si="42"/>
        <v>Q2-2023</v>
      </c>
      <c r="Y120" t="str">
        <f t="shared" si="43"/>
        <v>Asia → China → Beijing</v>
      </c>
      <c r="Z120" t="str">
        <f t="shared" si="44"/>
        <v>Low</v>
      </c>
      <c r="AA120">
        <f t="shared" si="29"/>
        <v>2023</v>
      </c>
      <c r="AB120">
        <f t="shared" si="30"/>
        <v>6</v>
      </c>
      <c r="AC120" t="str">
        <f t="shared" si="31"/>
        <v>No</v>
      </c>
      <c r="AD120" t="str">
        <f t="shared" si="32"/>
        <v>No</v>
      </c>
      <c r="AE120" s="36">
        <f>IF(Dashboard!$P$47&gt;'Staging Data'!R120,'Staging Data'!R120,Dashboard!$P$47)</f>
        <v>7.0999999999999994E-2</v>
      </c>
      <c r="AF120">
        <f>(100%+Dashboard!$P$48)*'Staging Data'!P120</f>
        <v>356.59050000000002</v>
      </c>
      <c r="AG120">
        <f>(100%+Dashboard!$P$49)*S120</f>
        <v>10.4</v>
      </c>
      <c r="AH120" s="13">
        <f t="shared" si="33"/>
        <v>6000.0468320000009</v>
      </c>
      <c r="AI120" s="13">
        <f t="shared" si="34"/>
        <v>3708.5412000000001</v>
      </c>
      <c r="AJ120" s="13">
        <f t="shared" si="35"/>
        <v>2291.5056320000008</v>
      </c>
    </row>
    <row r="121" spans="1:36" x14ac:dyDescent="0.45">
      <c r="A121" s="3" t="s">
        <v>134</v>
      </c>
      <c r="B121" s="5">
        <v>45847</v>
      </c>
      <c r="C121" s="5">
        <v>45856</v>
      </c>
      <c r="D121" s="5">
        <f t="shared" si="36"/>
        <v>45847</v>
      </c>
      <c r="E121" s="5">
        <f t="shared" si="37"/>
        <v>45856</v>
      </c>
      <c r="F121" s="7">
        <f t="shared" si="38"/>
        <v>9</v>
      </c>
      <c r="G121" s="23" t="str">
        <f t="shared" si="39"/>
        <v>7-2025</v>
      </c>
      <c r="H121" s="3" t="s">
        <v>648</v>
      </c>
      <c r="I121" s="3" t="s">
        <v>653</v>
      </c>
      <c r="J121" s="3" t="s">
        <v>688</v>
      </c>
      <c r="K121" s="3" t="s">
        <v>702</v>
      </c>
      <c r="L121" s="3" t="s">
        <v>710</v>
      </c>
      <c r="M121" s="3" t="s">
        <v>714</v>
      </c>
      <c r="N121" s="3" t="s">
        <v>731</v>
      </c>
      <c r="O121" s="3" t="s">
        <v>853</v>
      </c>
      <c r="P121" s="19">
        <v>57.96</v>
      </c>
      <c r="Q121" s="19">
        <v>88.51</v>
      </c>
      <c r="R121" s="15">
        <v>4.2999999999999997E-2</v>
      </c>
      <c r="S121" s="7">
        <v>7</v>
      </c>
      <c r="T121" s="13">
        <f t="shared" si="27"/>
        <v>592.92849000000001</v>
      </c>
      <c r="U121" s="13">
        <f t="shared" si="28"/>
        <v>405.72</v>
      </c>
      <c r="V121" s="13">
        <f t="shared" si="40"/>
        <v>187.20848999999998</v>
      </c>
      <c r="W121" s="15">
        <f t="shared" si="41"/>
        <v>0.3157353595877978</v>
      </c>
      <c r="X121" s="17" t="str">
        <f t="shared" si="42"/>
        <v>Q3-2025</v>
      </c>
      <c r="Y121" t="str">
        <f t="shared" si="43"/>
        <v>Americas → Canada → Vancouver</v>
      </c>
      <c r="Z121" t="str">
        <f t="shared" si="44"/>
        <v>Low</v>
      </c>
      <c r="AA121">
        <f t="shared" si="29"/>
        <v>2025</v>
      </c>
      <c r="AB121">
        <f t="shared" si="30"/>
        <v>7</v>
      </c>
      <c r="AC121" t="str">
        <f t="shared" si="31"/>
        <v>No</v>
      </c>
      <c r="AD121" t="str">
        <f t="shared" si="32"/>
        <v>No</v>
      </c>
      <c r="AE121" s="36">
        <f>IF(Dashboard!$P$47&gt;'Staging Data'!R121,'Staging Data'!R121,Dashboard!$P$47)</f>
        <v>4.2999999999999997E-2</v>
      </c>
      <c r="AF121">
        <f>(100%+Dashboard!$P$48)*'Staging Data'!P121</f>
        <v>60.858000000000004</v>
      </c>
      <c r="AG121">
        <f>(100%+Dashboard!$P$49)*S121</f>
        <v>7.28</v>
      </c>
      <c r="AH121" s="13">
        <f t="shared" si="33"/>
        <v>616.64562960000012</v>
      </c>
      <c r="AI121" s="13">
        <f t="shared" si="34"/>
        <v>443.04624000000007</v>
      </c>
      <c r="AJ121" s="13">
        <f t="shared" si="35"/>
        <v>173.59938960000005</v>
      </c>
    </row>
    <row r="122" spans="1:36" x14ac:dyDescent="0.45">
      <c r="A122" s="3" t="s">
        <v>135</v>
      </c>
      <c r="B122" s="5">
        <v>45827</v>
      </c>
      <c r="C122" s="5">
        <v>45850</v>
      </c>
      <c r="D122" s="5">
        <f t="shared" si="36"/>
        <v>45827</v>
      </c>
      <c r="E122" s="5">
        <f t="shared" si="37"/>
        <v>45850</v>
      </c>
      <c r="F122" s="7">
        <f t="shared" si="38"/>
        <v>23</v>
      </c>
      <c r="G122" s="23" t="str">
        <f t="shared" si="39"/>
        <v>6-2025</v>
      </c>
      <c r="H122" s="3" t="s">
        <v>649</v>
      </c>
      <c r="I122" s="3" t="s">
        <v>658</v>
      </c>
      <c r="J122" s="3" t="s">
        <v>1422</v>
      </c>
      <c r="K122" s="3" t="s">
        <v>703</v>
      </c>
      <c r="L122" s="3" t="s">
        <v>711</v>
      </c>
      <c r="M122" s="3" t="s">
        <v>1424</v>
      </c>
      <c r="N122" s="3" t="s">
        <v>729</v>
      </c>
      <c r="O122" s="3" t="s">
        <v>854</v>
      </c>
      <c r="P122" s="19">
        <v>801.24</v>
      </c>
      <c r="Q122" s="19">
        <v>1959.09</v>
      </c>
      <c r="R122" s="15">
        <v>0.123</v>
      </c>
      <c r="S122" s="7">
        <v>23</v>
      </c>
      <c r="T122" s="13">
        <f t="shared" si="27"/>
        <v>39516.804389999998</v>
      </c>
      <c r="U122" s="13">
        <f t="shared" si="28"/>
        <v>18428.52</v>
      </c>
      <c r="V122" s="13">
        <f t="shared" si="40"/>
        <v>21088.284389999997</v>
      </c>
      <c r="W122" s="15">
        <f t="shared" si="41"/>
        <v>0.53365358650651762</v>
      </c>
      <c r="X122" s="17" t="str">
        <f t="shared" si="42"/>
        <v>Q2-2025</v>
      </c>
      <c r="Y122" t="str">
        <f t="shared" si="43"/>
        <v>Europe → United Kingdom → Unknown City</v>
      </c>
      <c r="Z122" t="str">
        <f t="shared" si="44"/>
        <v>High</v>
      </c>
      <c r="AA122">
        <f t="shared" si="29"/>
        <v>2025</v>
      </c>
      <c r="AB122">
        <f t="shared" si="30"/>
        <v>6</v>
      </c>
      <c r="AC122" t="str">
        <f t="shared" si="31"/>
        <v>No</v>
      </c>
      <c r="AD122" t="str">
        <f t="shared" si="32"/>
        <v>No</v>
      </c>
      <c r="AE122" s="36">
        <f>IF(Dashboard!$P$47&gt;'Staging Data'!R122,'Staging Data'!R122,Dashboard!$P$47)</f>
        <v>0.1</v>
      </c>
      <c r="AF122">
        <f>(100%+Dashboard!$P$48)*'Staging Data'!P122</f>
        <v>841.30200000000002</v>
      </c>
      <c r="AG122">
        <f>(100%+Dashboard!$P$49)*S122</f>
        <v>23.92</v>
      </c>
      <c r="AH122" s="13">
        <f t="shared" si="33"/>
        <v>42175.289520000006</v>
      </c>
      <c r="AI122" s="13">
        <f t="shared" si="34"/>
        <v>20123.943840000004</v>
      </c>
      <c r="AJ122" s="13">
        <f t="shared" si="35"/>
        <v>22051.345680000002</v>
      </c>
    </row>
    <row r="123" spans="1:36" x14ac:dyDescent="0.45">
      <c r="A123" s="3" t="s">
        <v>136</v>
      </c>
      <c r="B123" s="5">
        <v>45249</v>
      </c>
      <c r="C123" s="5">
        <v>45273</v>
      </c>
      <c r="D123" s="5">
        <f t="shared" si="36"/>
        <v>45249</v>
      </c>
      <c r="E123" s="5">
        <f t="shared" si="37"/>
        <v>45273</v>
      </c>
      <c r="F123" s="7">
        <f t="shared" si="38"/>
        <v>24</v>
      </c>
      <c r="G123" s="23" t="str">
        <f t="shared" si="39"/>
        <v>11-2023</v>
      </c>
      <c r="H123" s="3" t="s">
        <v>649</v>
      </c>
      <c r="I123" s="3" t="s">
        <v>657</v>
      </c>
      <c r="J123" s="3" t="s">
        <v>679</v>
      </c>
      <c r="K123" s="3" t="s">
        <v>703</v>
      </c>
      <c r="L123" s="3" t="s">
        <v>711</v>
      </c>
      <c r="M123" s="3" t="s">
        <v>722</v>
      </c>
      <c r="N123" s="3" t="s">
        <v>732</v>
      </c>
      <c r="O123" s="3" t="s">
        <v>855</v>
      </c>
      <c r="P123" s="19">
        <v>1297.42</v>
      </c>
      <c r="Q123" s="19">
        <v>2742.97</v>
      </c>
      <c r="R123" s="15">
        <v>6.9000000000000006E-2</v>
      </c>
      <c r="S123" s="7">
        <v>9</v>
      </c>
      <c r="T123" s="13">
        <f t="shared" si="27"/>
        <v>22983.34563</v>
      </c>
      <c r="U123" s="13">
        <f t="shared" si="28"/>
        <v>11676.78</v>
      </c>
      <c r="V123" s="13">
        <f t="shared" si="40"/>
        <v>11306.565629999999</v>
      </c>
      <c r="W123" s="15">
        <f t="shared" si="41"/>
        <v>0.49194602961727291</v>
      </c>
      <c r="X123" s="17" t="str">
        <f t="shared" si="42"/>
        <v>Q4-2023</v>
      </c>
      <c r="Y123" t="str">
        <f t="shared" si="43"/>
        <v>Europe → France → Lyon</v>
      </c>
      <c r="Z123" t="str">
        <f t="shared" si="44"/>
        <v>High</v>
      </c>
      <c r="AA123">
        <f t="shared" si="29"/>
        <v>2023</v>
      </c>
      <c r="AB123">
        <f t="shared" si="30"/>
        <v>11</v>
      </c>
      <c r="AC123" t="str">
        <f t="shared" si="31"/>
        <v>No</v>
      </c>
      <c r="AD123" t="str">
        <f t="shared" si="32"/>
        <v>No</v>
      </c>
      <c r="AE123" s="36">
        <f>IF(Dashboard!$P$47&gt;'Staging Data'!R123,'Staging Data'!R123,Dashboard!$P$47)</f>
        <v>6.9000000000000006E-2</v>
      </c>
      <c r="AF123">
        <f>(100%+Dashboard!$P$48)*'Staging Data'!P123</f>
        <v>1362.2910000000002</v>
      </c>
      <c r="AG123">
        <f>(100%+Dashboard!$P$49)*S123</f>
        <v>9.36</v>
      </c>
      <c r="AH123" s="13">
        <f t="shared" si="33"/>
        <v>23902.679455199996</v>
      </c>
      <c r="AI123" s="13">
        <f t="shared" si="34"/>
        <v>12751.04376</v>
      </c>
      <c r="AJ123" s="13">
        <f t="shared" si="35"/>
        <v>11151.635695199995</v>
      </c>
    </row>
    <row r="124" spans="1:36" x14ac:dyDescent="0.45">
      <c r="A124" s="3" t="s">
        <v>137</v>
      </c>
      <c r="B124" s="5">
        <v>45289</v>
      </c>
      <c r="C124" s="5">
        <v>45311</v>
      </c>
      <c r="D124" s="5">
        <f t="shared" si="36"/>
        <v>45289</v>
      </c>
      <c r="E124" s="5">
        <f t="shared" si="37"/>
        <v>45311</v>
      </c>
      <c r="F124" s="7">
        <f t="shared" si="38"/>
        <v>22</v>
      </c>
      <c r="G124" s="23" t="str">
        <f t="shared" si="39"/>
        <v>12-2023</v>
      </c>
      <c r="H124" s="3" t="s">
        <v>646</v>
      </c>
      <c r="I124" s="3" t="s">
        <v>650</v>
      </c>
      <c r="J124" s="3" t="s">
        <v>662</v>
      </c>
      <c r="K124" s="3" t="s">
        <v>701</v>
      </c>
      <c r="L124" s="3" t="s">
        <v>711</v>
      </c>
      <c r="M124" s="3" t="s">
        <v>716</v>
      </c>
      <c r="N124" s="3" t="s">
        <v>730</v>
      </c>
      <c r="O124" s="3" t="s">
        <v>856</v>
      </c>
      <c r="P124" s="19">
        <v>1395.49</v>
      </c>
      <c r="Q124" s="19">
        <v>1679.42</v>
      </c>
      <c r="R124" s="15">
        <v>0.20300000000000001</v>
      </c>
      <c r="S124" s="7">
        <v>12</v>
      </c>
      <c r="T124" s="13">
        <f t="shared" si="27"/>
        <v>16061.972879999999</v>
      </c>
      <c r="U124" s="13">
        <f t="shared" si="28"/>
        <v>16745.88</v>
      </c>
      <c r="V124" s="13">
        <f t="shared" si="40"/>
        <v>-683.90712000000167</v>
      </c>
      <c r="W124" s="15">
        <f t="shared" si="41"/>
        <v>-4.2579272490964493E-2</v>
      </c>
      <c r="X124" s="17" t="str">
        <f t="shared" si="42"/>
        <v>Q4-2023</v>
      </c>
      <c r="Y124" t="str">
        <f t="shared" si="43"/>
        <v>Africa → Kenya → Kisumu</v>
      </c>
      <c r="Z124" t="str">
        <f t="shared" si="44"/>
        <v>Medium</v>
      </c>
      <c r="AA124">
        <f t="shared" si="29"/>
        <v>2023</v>
      </c>
      <c r="AB124">
        <f t="shared" si="30"/>
        <v>12</v>
      </c>
      <c r="AC124" t="str">
        <f t="shared" si="31"/>
        <v>No</v>
      </c>
      <c r="AD124" t="str">
        <f t="shared" si="32"/>
        <v>Yes</v>
      </c>
      <c r="AE124" s="36">
        <f>IF(Dashboard!$P$47&gt;'Staging Data'!R124,'Staging Data'!R124,Dashboard!$P$47)</f>
        <v>0.1</v>
      </c>
      <c r="AF124">
        <f>(100%+Dashboard!$P$48)*'Staging Data'!P124</f>
        <v>1465.2645</v>
      </c>
      <c r="AG124">
        <f>(100%+Dashboard!$P$49)*S124</f>
        <v>12.48</v>
      </c>
      <c r="AH124" s="13">
        <f t="shared" si="33"/>
        <v>18863.245440000002</v>
      </c>
      <c r="AI124" s="13">
        <f t="shared" si="34"/>
        <v>18286.500960000001</v>
      </c>
      <c r="AJ124" s="13">
        <f t="shared" si="35"/>
        <v>576.7444800000012</v>
      </c>
    </row>
    <row r="125" spans="1:36" x14ac:dyDescent="0.45">
      <c r="A125" s="3" t="s">
        <v>619</v>
      </c>
      <c r="B125" s="5">
        <v>45186</v>
      </c>
      <c r="C125" s="5">
        <v>45201</v>
      </c>
      <c r="D125" s="5">
        <f t="shared" si="36"/>
        <v>45186</v>
      </c>
      <c r="E125" s="5">
        <f t="shared" si="37"/>
        <v>45201</v>
      </c>
      <c r="F125" s="7">
        <f t="shared" si="38"/>
        <v>15</v>
      </c>
      <c r="G125" s="23" t="str">
        <f t="shared" si="39"/>
        <v>9-2023</v>
      </c>
      <c r="H125" s="3" t="s">
        <v>648</v>
      </c>
      <c r="I125" s="3" t="s">
        <v>655</v>
      </c>
      <c r="J125" s="3" t="s">
        <v>692</v>
      </c>
      <c r="K125" s="3" t="s">
        <v>705</v>
      </c>
      <c r="L125" s="3" t="s">
        <v>707</v>
      </c>
      <c r="M125" s="3" t="s">
        <v>717</v>
      </c>
      <c r="N125" s="3" t="s">
        <v>731</v>
      </c>
      <c r="O125" s="3" t="s">
        <v>1337</v>
      </c>
      <c r="P125" s="19">
        <v>689.33</v>
      </c>
      <c r="Q125" s="19">
        <v>668.27</v>
      </c>
      <c r="R125" s="15">
        <v>0.186</v>
      </c>
      <c r="S125" s="7">
        <v>13</v>
      </c>
      <c r="T125" s="13">
        <f t="shared" si="27"/>
        <v>7071.6331400000008</v>
      </c>
      <c r="U125" s="13">
        <f t="shared" si="28"/>
        <v>8961.2900000000009</v>
      </c>
      <c r="V125" s="13">
        <f t="shared" si="40"/>
        <v>-1889.6568600000001</v>
      </c>
      <c r="W125" s="15">
        <f t="shared" si="41"/>
        <v>-0.26721647214861033</v>
      </c>
      <c r="X125" s="17" t="str">
        <f t="shared" si="42"/>
        <v>Q3-2023</v>
      </c>
      <c r="Y125" t="str">
        <f t="shared" si="43"/>
        <v>Americas → Brazil → Rio de Janeiro</v>
      </c>
      <c r="Z125" t="str">
        <f t="shared" si="44"/>
        <v>Low</v>
      </c>
      <c r="AA125">
        <f t="shared" si="29"/>
        <v>2023</v>
      </c>
      <c r="AB125">
        <f t="shared" si="30"/>
        <v>9</v>
      </c>
      <c r="AC125" t="str">
        <f t="shared" si="31"/>
        <v>No</v>
      </c>
      <c r="AD125" t="str">
        <f t="shared" si="32"/>
        <v>No</v>
      </c>
      <c r="AE125" s="36">
        <f>IF(Dashboard!$P$47&gt;'Staging Data'!R125,'Staging Data'!R125,Dashboard!$P$47)</f>
        <v>0.1</v>
      </c>
      <c r="AF125">
        <f>(100%+Dashboard!$P$48)*'Staging Data'!P125</f>
        <v>723.79650000000004</v>
      </c>
      <c r="AG125">
        <f>(100%+Dashboard!$P$49)*S125</f>
        <v>13.52</v>
      </c>
      <c r="AH125" s="13">
        <f t="shared" si="33"/>
        <v>8131.5093599999991</v>
      </c>
      <c r="AI125" s="13">
        <f t="shared" si="34"/>
        <v>9785.7286800000002</v>
      </c>
      <c r="AJ125" s="13">
        <f t="shared" si="35"/>
        <v>-1654.2193200000011</v>
      </c>
    </row>
    <row r="126" spans="1:36" x14ac:dyDescent="0.45">
      <c r="A126" s="3" t="s">
        <v>139</v>
      </c>
      <c r="B126" s="5">
        <v>45159</v>
      </c>
      <c r="C126" s="5">
        <v>45173</v>
      </c>
      <c r="D126" s="5">
        <f t="shared" si="36"/>
        <v>45159</v>
      </c>
      <c r="E126" s="5">
        <f t="shared" si="37"/>
        <v>45173</v>
      </c>
      <c r="F126" s="7">
        <f t="shared" si="38"/>
        <v>14</v>
      </c>
      <c r="G126" s="23" t="str">
        <f t="shared" si="39"/>
        <v>8-2023</v>
      </c>
      <c r="H126" s="3" t="s">
        <v>648</v>
      </c>
      <c r="I126" s="3" t="s">
        <v>653</v>
      </c>
      <c r="J126" s="3" t="s">
        <v>681</v>
      </c>
      <c r="K126" s="3" t="s">
        <v>702</v>
      </c>
      <c r="L126" s="3" t="s">
        <v>710</v>
      </c>
      <c r="M126" s="3" t="s">
        <v>721</v>
      </c>
      <c r="N126" s="3" t="s">
        <v>727</v>
      </c>
      <c r="O126" s="3" t="s">
        <v>858</v>
      </c>
      <c r="P126" s="19">
        <v>178.19</v>
      </c>
      <c r="Q126" s="19">
        <v>284.43</v>
      </c>
      <c r="R126" s="15">
        <v>8.8999999999999996E-2</v>
      </c>
      <c r="S126" s="7">
        <v>8</v>
      </c>
      <c r="T126" s="13">
        <f t="shared" si="27"/>
        <v>2072.9258400000003</v>
      </c>
      <c r="U126" s="13">
        <f t="shared" si="28"/>
        <v>1425.52</v>
      </c>
      <c r="V126" s="13">
        <f t="shared" si="40"/>
        <v>647.40584000000035</v>
      </c>
      <c r="W126" s="15">
        <f t="shared" si="41"/>
        <v>0.31231500302972742</v>
      </c>
      <c r="X126" s="17" t="str">
        <f t="shared" si="42"/>
        <v>Q3-2023</v>
      </c>
      <c r="Y126" t="str">
        <f t="shared" si="43"/>
        <v>Americas → Canada → Montreal</v>
      </c>
      <c r="Z126" t="str">
        <f t="shared" si="44"/>
        <v>Low</v>
      </c>
      <c r="AA126">
        <f t="shared" si="29"/>
        <v>2023</v>
      </c>
      <c r="AB126">
        <f t="shared" si="30"/>
        <v>8</v>
      </c>
      <c r="AC126" t="str">
        <f t="shared" si="31"/>
        <v>No</v>
      </c>
      <c r="AD126" t="str">
        <f t="shared" si="32"/>
        <v>No</v>
      </c>
      <c r="AE126" s="36">
        <f>IF(Dashboard!$P$47&gt;'Staging Data'!R126,'Staging Data'!R126,Dashboard!$P$47)</f>
        <v>8.8999999999999996E-2</v>
      </c>
      <c r="AF126">
        <f>(100%+Dashboard!$P$48)*'Staging Data'!P126</f>
        <v>187.09950000000001</v>
      </c>
      <c r="AG126">
        <f>(100%+Dashboard!$P$49)*S126</f>
        <v>8.32</v>
      </c>
      <c r="AH126" s="13">
        <f t="shared" si="33"/>
        <v>2155.8428736000001</v>
      </c>
      <c r="AI126" s="13">
        <f t="shared" si="34"/>
        <v>1556.6678400000001</v>
      </c>
      <c r="AJ126" s="13">
        <f t="shared" si="35"/>
        <v>599.17503360000001</v>
      </c>
    </row>
    <row r="127" spans="1:36" x14ac:dyDescent="0.45">
      <c r="A127" s="3" t="s">
        <v>140</v>
      </c>
      <c r="B127" s="5">
        <v>45150</v>
      </c>
      <c r="C127" s="5">
        <v>45175</v>
      </c>
      <c r="D127" s="5">
        <f t="shared" si="36"/>
        <v>45150</v>
      </c>
      <c r="E127" s="5">
        <f t="shared" si="37"/>
        <v>45175</v>
      </c>
      <c r="F127" s="7">
        <f t="shared" si="38"/>
        <v>25</v>
      </c>
      <c r="G127" s="23" t="str">
        <f t="shared" si="39"/>
        <v>8-2023</v>
      </c>
      <c r="H127" s="3" t="s">
        <v>647</v>
      </c>
      <c r="I127" s="3" t="s">
        <v>659</v>
      </c>
      <c r="J127" s="3" t="s">
        <v>685</v>
      </c>
      <c r="K127" s="3" t="s">
        <v>705</v>
      </c>
      <c r="L127" s="3" t="s">
        <v>707</v>
      </c>
      <c r="M127" s="3" t="s">
        <v>717</v>
      </c>
      <c r="N127" s="3" t="s">
        <v>727</v>
      </c>
      <c r="O127" s="3" t="s">
        <v>859</v>
      </c>
      <c r="P127" s="19">
        <v>950.77</v>
      </c>
      <c r="Q127" s="19">
        <v>694.78</v>
      </c>
      <c r="R127" s="15">
        <v>8.4000000000000005E-2</v>
      </c>
      <c r="S127" s="7">
        <v>14</v>
      </c>
      <c r="T127" s="13">
        <f t="shared" si="27"/>
        <v>8909.8587200000002</v>
      </c>
      <c r="U127" s="13">
        <f t="shared" si="28"/>
        <v>13310.779999999999</v>
      </c>
      <c r="V127" s="13">
        <f t="shared" si="40"/>
        <v>-4400.9212799999987</v>
      </c>
      <c r="W127" s="15">
        <f t="shared" si="41"/>
        <v>-0.49393839097821279</v>
      </c>
      <c r="X127" s="17" t="str">
        <f t="shared" si="42"/>
        <v>Q3-2023</v>
      </c>
      <c r="Y127" t="str">
        <f t="shared" si="43"/>
        <v>Asia → China → Shanghai</v>
      </c>
      <c r="Z127" t="str">
        <f t="shared" si="44"/>
        <v>Low</v>
      </c>
      <c r="AA127">
        <f t="shared" si="29"/>
        <v>2023</v>
      </c>
      <c r="AB127">
        <f t="shared" si="30"/>
        <v>8</v>
      </c>
      <c r="AC127" t="str">
        <f t="shared" si="31"/>
        <v>No</v>
      </c>
      <c r="AD127" t="str">
        <f t="shared" si="32"/>
        <v>No</v>
      </c>
      <c r="AE127" s="36">
        <f>IF(Dashboard!$P$47&gt;'Staging Data'!R127,'Staging Data'!R127,Dashboard!$P$47)</f>
        <v>8.4000000000000005E-2</v>
      </c>
      <c r="AF127">
        <f>(100%+Dashboard!$P$48)*'Staging Data'!P127</f>
        <v>998.30849999999998</v>
      </c>
      <c r="AG127">
        <f>(100%+Dashboard!$P$49)*S127</f>
        <v>14.56</v>
      </c>
      <c r="AH127" s="13">
        <f t="shared" si="33"/>
        <v>9266.2530688000006</v>
      </c>
      <c r="AI127" s="13">
        <f t="shared" si="34"/>
        <v>14535.37176</v>
      </c>
      <c r="AJ127" s="13">
        <f t="shared" si="35"/>
        <v>-5269.1186911999994</v>
      </c>
    </row>
    <row r="128" spans="1:36" x14ac:dyDescent="0.45">
      <c r="A128" s="3" t="s">
        <v>141</v>
      </c>
      <c r="B128" s="5">
        <v>45450</v>
      </c>
      <c r="C128" s="5">
        <v>45469</v>
      </c>
      <c r="D128" s="5">
        <f t="shared" si="36"/>
        <v>45450</v>
      </c>
      <c r="E128" s="5">
        <f t="shared" si="37"/>
        <v>45469</v>
      </c>
      <c r="F128" s="7">
        <f t="shared" si="38"/>
        <v>19</v>
      </c>
      <c r="G128" s="23" t="str">
        <f t="shared" si="39"/>
        <v>6-2024</v>
      </c>
      <c r="H128" s="3" t="s">
        <v>649</v>
      </c>
      <c r="I128" s="3" t="s">
        <v>656</v>
      </c>
      <c r="J128" s="3" t="s">
        <v>671</v>
      </c>
      <c r="K128" s="3" t="s">
        <v>703</v>
      </c>
      <c r="L128" s="3" t="s">
        <v>709</v>
      </c>
      <c r="M128" s="3" t="s">
        <v>724</v>
      </c>
      <c r="N128" s="3" t="s">
        <v>727</v>
      </c>
      <c r="O128" s="3" t="s">
        <v>860</v>
      </c>
      <c r="P128" s="19">
        <v>1064.32</v>
      </c>
      <c r="Q128" s="19">
        <v>1848.39</v>
      </c>
      <c r="R128" s="15">
        <v>7.2999999999999995E-2</v>
      </c>
      <c r="S128" s="7">
        <v>38</v>
      </c>
      <c r="T128" s="13">
        <f t="shared" si="27"/>
        <v>65111.38614000001</v>
      </c>
      <c r="U128" s="13">
        <f t="shared" si="28"/>
        <v>40444.159999999996</v>
      </c>
      <c r="V128" s="13">
        <f t="shared" si="40"/>
        <v>24667.226140000013</v>
      </c>
      <c r="W128" s="15">
        <f t="shared" si="41"/>
        <v>0.3788465827921631</v>
      </c>
      <c r="X128" s="17" t="str">
        <f t="shared" si="42"/>
        <v>Q2-2024</v>
      </c>
      <c r="Y128" t="str">
        <f t="shared" si="43"/>
        <v>Europe → Germany → Berlin</v>
      </c>
      <c r="Z128" t="str">
        <f t="shared" si="44"/>
        <v>Medium</v>
      </c>
      <c r="AA128">
        <f t="shared" si="29"/>
        <v>2024</v>
      </c>
      <c r="AB128">
        <f t="shared" si="30"/>
        <v>6</v>
      </c>
      <c r="AC128" t="str">
        <f t="shared" si="31"/>
        <v>No</v>
      </c>
      <c r="AD128" t="str">
        <f t="shared" si="32"/>
        <v>No</v>
      </c>
      <c r="AE128" s="36">
        <f>IF(Dashboard!$P$47&gt;'Staging Data'!R128,'Staging Data'!R128,Dashboard!$P$47)</f>
        <v>7.2999999999999995E-2</v>
      </c>
      <c r="AF128">
        <f>(100%+Dashboard!$P$48)*'Staging Data'!P128</f>
        <v>1117.5360000000001</v>
      </c>
      <c r="AG128">
        <f>(100%+Dashboard!$P$49)*S128</f>
        <v>39.520000000000003</v>
      </c>
      <c r="AH128" s="13">
        <f t="shared" si="33"/>
        <v>67715.841585600021</v>
      </c>
      <c r="AI128" s="13">
        <f t="shared" si="34"/>
        <v>44165.022720000008</v>
      </c>
      <c r="AJ128" s="13">
        <f t="shared" si="35"/>
        <v>23550.818865600013</v>
      </c>
    </row>
    <row r="129" spans="1:36" x14ac:dyDescent="0.45">
      <c r="A129" s="3" t="s">
        <v>142</v>
      </c>
      <c r="B129" s="5">
        <v>45874</v>
      </c>
      <c r="C129" s="5">
        <v>45883</v>
      </c>
      <c r="D129" s="5">
        <f t="shared" si="36"/>
        <v>45874</v>
      </c>
      <c r="E129" s="5">
        <f t="shared" si="37"/>
        <v>45883</v>
      </c>
      <c r="F129" s="7">
        <f t="shared" si="38"/>
        <v>9</v>
      </c>
      <c r="G129" s="23" t="str">
        <f t="shared" si="39"/>
        <v>8-2025</v>
      </c>
      <c r="H129" s="3" t="s">
        <v>649</v>
      </c>
      <c r="I129" s="3" t="s">
        <v>658</v>
      </c>
      <c r="J129" s="3" t="s">
        <v>683</v>
      </c>
      <c r="K129" s="3" t="s">
        <v>703</v>
      </c>
      <c r="L129" s="3" t="s">
        <v>711</v>
      </c>
      <c r="M129" s="3" t="s">
        <v>718</v>
      </c>
      <c r="N129" s="3" t="s">
        <v>727</v>
      </c>
      <c r="O129" s="3" t="s">
        <v>861</v>
      </c>
      <c r="P129" s="19">
        <v>41.76</v>
      </c>
      <c r="Q129" s="19">
        <v>45.19</v>
      </c>
      <c r="R129" s="15">
        <v>0.17899999999999999</v>
      </c>
      <c r="S129" s="7">
        <v>23</v>
      </c>
      <c r="T129" s="13">
        <f t="shared" si="27"/>
        <v>853.32276999999988</v>
      </c>
      <c r="U129" s="13">
        <f t="shared" si="28"/>
        <v>960.4799999999999</v>
      </c>
      <c r="V129" s="13">
        <f t="shared" si="40"/>
        <v>-107.15723000000003</v>
      </c>
      <c r="W129" s="15">
        <f t="shared" si="41"/>
        <v>-0.12557643340514638</v>
      </c>
      <c r="X129" s="17" t="str">
        <f t="shared" si="42"/>
        <v>Q3-2025</v>
      </c>
      <c r="Y129" t="str">
        <f t="shared" si="43"/>
        <v>Europe → United Kingdom → London</v>
      </c>
      <c r="Z129" t="str">
        <f t="shared" si="44"/>
        <v>Low</v>
      </c>
      <c r="AA129">
        <f t="shared" si="29"/>
        <v>2025</v>
      </c>
      <c r="AB129">
        <f t="shared" si="30"/>
        <v>8</v>
      </c>
      <c r="AC129" t="str">
        <f t="shared" si="31"/>
        <v>No</v>
      </c>
      <c r="AD129" t="str">
        <f t="shared" si="32"/>
        <v>No</v>
      </c>
      <c r="AE129" s="36">
        <f>IF(Dashboard!$P$47&gt;'Staging Data'!R129,'Staging Data'!R129,Dashboard!$P$47)</f>
        <v>0.1</v>
      </c>
      <c r="AF129">
        <f>(100%+Dashboard!$P$48)*'Staging Data'!P129</f>
        <v>43.847999999999999</v>
      </c>
      <c r="AG129">
        <f>(100%+Dashboard!$P$49)*S129</f>
        <v>23.92</v>
      </c>
      <c r="AH129" s="13">
        <f t="shared" si="33"/>
        <v>972.85032000000001</v>
      </c>
      <c r="AI129" s="13">
        <f t="shared" si="34"/>
        <v>1048.8441600000001</v>
      </c>
      <c r="AJ129" s="13">
        <f t="shared" si="35"/>
        <v>-75.993840000000091</v>
      </c>
    </row>
    <row r="130" spans="1:36" x14ac:dyDescent="0.45">
      <c r="A130" s="3" t="s">
        <v>143</v>
      </c>
      <c r="B130" s="5">
        <v>45442</v>
      </c>
      <c r="C130" s="5">
        <v>45456</v>
      </c>
      <c r="D130" s="5">
        <f t="shared" si="36"/>
        <v>45442</v>
      </c>
      <c r="E130" s="5">
        <f t="shared" si="37"/>
        <v>45456</v>
      </c>
      <c r="F130" s="7">
        <f t="shared" si="38"/>
        <v>14</v>
      </c>
      <c r="G130" s="23" t="str">
        <f t="shared" si="39"/>
        <v>5-2024</v>
      </c>
      <c r="H130" s="3" t="s">
        <v>648</v>
      </c>
      <c r="I130" s="3" t="s">
        <v>660</v>
      </c>
      <c r="J130" s="3" t="s">
        <v>686</v>
      </c>
      <c r="K130" s="3" t="s">
        <v>705</v>
      </c>
      <c r="L130" s="3" t="s">
        <v>707</v>
      </c>
      <c r="M130" s="3" t="s">
        <v>721</v>
      </c>
      <c r="N130" s="3" t="s">
        <v>730</v>
      </c>
      <c r="O130" s="3" t="s">
        <v>862</v>
      </c>
      <c r="P130" s="19">
        <v>157.78</v>
      </c>
      <c r="Q130" s="19">
        <v>361.1</v>
      </c>
      <c r="R130" s="15">
        <v>0.187</v>
      </c>
      <c r="S130" s="7">
        <v>9</v>
      </c>
      <c r="T130" s="13">
        <f t="shared" si="27"/>
        <v>2642.1686999999997</v>
      </c>
      <c r="U130" s="13">
        <f t="shared" si="28"/>
        <v>1420.02</v>
      </c>
      <c r="V130" s="13">
        <f t="shared" si="40"/>
        <v>1222.1486999999997</v>
      </c>
      <c r="W130" s="15">
        <f t="shared" si="41"/>
        <v>0.46255513510549112</v>
      </c>
      <c r="X130" s="17" t="str">
        <f t="shared" si="42"/>
        <v>Q2-2024</v>
      </c>
      <c r="Y130" t="str">
        <f t="shared" si="43"/>
        <v>Americas → USA → San Francisco</v>
      </c>
      <c r="Z130" t="str">
        <f t="shared" si="44"/>
        <v>Low</v>
      </c>
      <c r="AA130">
        <f t="shared" si="29"/>
        <v>2024</v>
      </c>
      <c r="AB130">
        <f t="shared" si="30"/>
        <v>5</v>
      </c>
      <c r="AC130" t="str">
        <f t="shared" si="31"/>
        <v>No</v>
      </c>
      <c r="AD130" t="str">
        <f t="shared" si="32"/>
        <v>No</v>
      </c>
      <c r="AE130" s="36">
        <f>IF(Dashboard!$P$47&gt;'Staging Data'!R130,'Staging Data'!R130,Dashboard!$P$47)</f>
        <v>0.1</v>
      </c>
      <c r="AF130">
        <f>(100%+Dashboard!$P$48)*'Staging Data'!P130</f>
        <v>165.66900000000001</v>
      </c>
      <c r="AG130">
        <f>(100%+Dashboard!$P$49)*S130</f>
        <v>9.36</v>
      </c>
      <c r="AH130" s="13">
        <f t="shared" si="33"/>
        <v>3041.9064000000003</v>
      </c>
      <c r="AI130" s="13">
        <f t="shared" si="34"/>
        <v>1550.66184</v>
      </c>
      <c r="AJ130" s="13">
        <f t="shared" si="35"/>
        <v>1491.2445600000003</v>
      </c>
    </row>
    <row r="131" spans="1:36" s="11" customFormat="1" x14ac:dyDescent="0.45">
      <c r="A131" s="8" t="s">
        <v>144</v>
      </c>
      <c r="B131" s="9">
        <v>44948</v>
      </c>
      <c r="C131" s="9">
        <v>44956</v>
      </c>
      <c r="D131" s="5">
        <f t="shared" si="36"/>
        <v>44948</v>
      </c>
      <c r="E131" s="5">
        <f t="shared" si="37"/>
        <v>44956</v>
      </c>
      <c r="F131" s="7">
        <f t="shared" si="38"/>
        <v>8</v>
      </c>
      <c r="G131" s="23" t="str">
        <f t="shared" si="39"/>
        <v>1-2023</v>
      </c>
      <c r="H131" s="8" t="s">
        <v>648</v>
      </c>
      <c r="I131" s="8" t="s">
        <v>660</v>
      </c>
      <c r="J131" s="8" t="s">
        <v>686</v>
      </c>
      <c r="K131" s="8" t="s">
        <v>705</v>
      </c>
      <c r="L131" s="8" t="s">
        <v>708</v>
      </c>
      <c r="M131" s="8" t="s">
        <v>720</v>
      </c>
      <c r="N131" s="8" t="s">
        <v>729</v>
      </c>
      <c r="O131" s="8" t="s">
        <v>863</v>
      </c>
      <c r="P131" s="20">
        <v>413.52</v>
      </c>
      <c r="Q131" s="20">
        <v>1004.34</v>
      </c>
      <c r="R131" s="16">
        <v>0.111</v>
      </c>
      <c r="S131" s="10">
        <v>18</v>
      </c>
      <c r="T131" s="13">
        <f t="shared" ref="T131:T194" si="45">(Q131*S131)*(1-R131)</f>
        <v>16071.44868</v>
      </c>
      <c r="U131" s="13">
        <f t="shared" ref="U131:U194" si="46">P131*S131</f>
        <v>7443.36</v>
      </c>
      <c r="V131" s="13">
        <f t="shared" si="40"/>
        <v>8628.0886800000007</v>
      </c>
      <c r="W131" s="15">
        <f t="shared" si="41"/>
        <v>0.53685817948304593</v>
      </c>
      <c r="X131" s="17" t="str">
        <f t="shared" si="42"/>
        <v>Q1-2023</v>
      </c>
      <c r="Y131" t="str">
        <f t="shared" si="43"/>
        <v>Americas → USA → San Francisco</v>
      </c>
      <c r="Z131" t="str">
        <f t="shared" si="44"/>
        <v>Low</v>
      </c>
      <c r="AA131">
        <f t="shared" ref="AA131:AA194" si="47">YEAR(D131)</f>
        <v>2023</v>
      </c>
      <c r="AB131">
        <f t="shared" ref="AB131:AB194" si="48">MONTH(D131)</f>
        <v>1</v>
      </c>
      <c r="AC131" t="str">
        <f t="shared" ref="AC131:AC194" si="49">IF(F131&lt;=7,"Yes", "No")</f>
        <v>No</v>
      </c>
      <c r="AD131" t="str">
        <f t="shared" ref="AD131:AD194" si="50">IF(R131&gt;20%,"Yes","No")</f>
        <v>No</v>
      </c>
      <c r="AE131" s="36">
        <f>IF(Dashboard!$P$47&gt;'Staging Data'!R131,'Staging Data'!R131,Dashboard!$P$47)</f>
        <v>0.1</v>
      </c>
      <c r="AF131">
        <f>(100%+Dashboard!$P$48)*'Staging Data'!P131</f>
        <v>434.19600000000003</v>
      </c>
      <c r="AG131">
        <f>(100%+Dashboard!$P$49)*S131</f>
        <v>18.72</v>
      </c>
      <c r="AH131" s="13">
        <f t="shared" ref="AH131:AH194" si="51">(Q131*AG131)*(1-AE131)</f>
        <v>16921.120320000002</v>
      </c>
      <c r="AI131" s="13">
        <f t="shared" ref="AI131:AI194" si="52">AF131*AG131</f>
        <v>8128.14912</v>
      </c>
      <c r="AJ131" s="13">
        <f t="shared" ref="AJ131:AJ194" si="53">AH131-AI131</f>
        <v>8792.9712000000018</v>
      </c>
    </row>
    <row r="132" spans="1:36" x14ac:dyDescent="0.45">
      <c r="A132" s="8" t="s">
        <v>144</v>
      </c>
      <c r="B132" s="9">
        <v>44955</v>
      </c>
      <c r="C132" s="9">
        <v>44985</v>
      </c>
      <c r="D132" s="5">
        <f t="shared" si="36"/>
        <v>44955</v>
      </c>
      <c r="E132" s="5">
        <f t="shared" si="37"/>
        <v>44985</v>
      </c>
      <c r="F132" s="7">
        <f t="shared" si="38"/>
        <v>30</v>
      </c>
      <c r="G132" s="23" t="str">
        <f t="shared" si="39"/>
        <v>1-2023</v>
      </c>
      <c r="H132" s="8" t="s">
        <v>647</v>
      </c>
      <c r="I132" s="8" t="s">
        <v>654</v>
      </c>
      <c r="J132" s="8" t="s">
        <v>668</v>
      </c>
      <c r="K132" s="8" t="s">
        <v>703</v>
      </c>
      <c r="L132" s="8" t="s">
        <v>707</v>
      </c>
      <c r="M132" s="8" t="s">
        <v>717</v>
      </c>
      <c r="N132" s="8" t="s">
        <v>733</v>
      </c>
      <c r="O132" s="8" t="s">
        <v>921</v>
      </c>
      <c r="P132" s="20">
        <v>1262.0999999999999</v>
      </c>
      <c r="Q132" s="20">
        <v>1395.53</v>
      </c>
      <c r="R132" s="16">
        <v>0.23300000000000001</v>
      </c>
      <c r="S132" s="10">
        <v>25</v>
      </c>
      <c r="T132" s="13">
        <f t="shared" si="45"/>
        <v>26759.28775</v>
      </c>
      <c r="U132" s="13">
        <f t="shared" si="46"/>
        <v>31552.499999999996</v>
      </c>
      <c r="V132" s="13">
        <f t="shared" si="40"/>
        <v>-4793.2122499999969</v>
      </c>
      <c r="W132" s="15">
        <f t="shared" si="41"/>
        <v>-0.17912331205452198</v>
      </c>
      <c r="X132" s="17" t="str">
        <f t="shared" si="42"/>
        <v>Q1-2023</v>
      </c>
      <c r="Y132" t="str">
        <f t="shared" si="43"/>
        <v>Asia → India → Bengaluru</v>
      </c>
      <c r="Z132" t="str">
        <f t="shared" si="44"/>
        <v>Medium</v>
      </c>
      <c r="AA132">
        <f t="shared" si="47"/>
        <v>2023</v>
      </c>
      <c r="AB132">
        <f t="shared" si="48"/>
        <v>1</v>
      </c>
      <c r="AC132" t="str">
        <f t="shared" si="49"/>
        <v>No</v>
      </c>
      <c r="AD132" t="str">
        <f t="shared" si="50"/>
        <v>Yes</v>
      </c>
      <c r="AE132" s="36">
        <f>IF(Dashboard!$P$47&gt;'Staging Data'!R132,'Staging Data'!R132,Dashboard!$P$47)</f>
        <v>0.1</v>
      </c>
      <c r="AF132">
        <f>(100%+Dashboard!$P$48)*'Staging Data'!P132</f>
        <v>1325.2049999999999</v>
      </c>
      <c r="AG132">
        <f>(100%+Dashboard!$P$49)*S132</f>
        <v>26</v>
      </c>
      <c r="AH132" s="13">
        <f t="shared" si="51"/>
        <v>32655.401999999998</v>
      </c>
      <c r="AI132" s="13">
        <f t="shared" si="52"/>
        <v>34455.33</v>
      </c>
      <c r="AJ132" s="13">
        <f t="shared" si="53"/>
        <v>-1799.9280000000035</v>
      </c>
    </row>
    <row r="133" spans="1:36" x14ac:dyDescent="0.45">
      <c r="A133" s="3" t="s">
        <v>366</v>
      </c>
      <c r="B133" s="5">
        <v>45121</v>
      </c>
      <c r="C133" s="5">
        <v>45121</v>
      </c>
      <c r="D133" s="5">
        <f t="shared" si="36"/>
        <v>45121</v>
      </c>
      <c r="E133" s="5">
        <f t="shared" si="37"/>
        <v>45121</v>
      </c>
      <c r="F133" s="7">
        <f t="shared" si="38"/>
        <v>0</v>
      </c>
      <c r="G133" s="23" t="str">
        <f t="shared" si="39"/>
        <v>7-2023</v>
      </c>
      <c r="H133" s="3" t="s">
        <v>646</v>
      </c>
      <c r="I133" s="3" t="s">
        <v>651</v>
      </c>
      <c r="J133" s="3" t="s">
        <v>665</v>
      </c>
      <c r="K133" s="3" t="s">
        <v>702</v>
      </c>
      <c r="L133" s="3" t="s">
        <v>707</v>
      </c>
      <c r="M133" s="3" t="s">
        <v>714</v>
      </c>
      <c r="N133" s="3" t="s">
        <v>733</v>
      </c>
      <c r="O133" s="3" t="s">
        <v>1086</v>
      </c>
      <c r="P133" s="19">
        <v>956.38</v>
      </c>
      <c r="Q133" s="19">
        <v>1454.22</v>
      </c>
      <c r="R133" s="15">
        <v>3.9E-2</v>
      </c>
      <c r="S133" s="7">
        <v>19</v>
      </c>
      <c r="T133" s="13">
        <f t="shared" si="45"/>
        <v>26552.60298</v>
      </c>
      <c r="U133" s="13">
        <f t="shared" si="46"/>
        <v>18171.22</v>
      </c>
      <c r="V133" s="13">
        <f t="shared" si="40"/>
        <v>8381.3829799999985</v>
      </c>
      <c r="W133" s="15">
        <f t="shared" si="41"/>
        <v>0.31565202802576603</v>
      </c>
      <c r="X133" s="17" t="str">
        <f t="shared" si="42"/>
        <v>Q3-2023</v>
      </c>
      <c r="Y133" t="str">
        <f t="shared" si="43"/>
        <v>Africa → Nigeria → Lagos</v>
      </c>
      <c r="Z133" t="str">
        <f t="shared" si="44"/>
        <v>Medium</v>
      </c>
      <c r="AA133">
        <f t="shared" si="47"/>
        <v>2023</v>
      </c>
      <c r="AB133">
        <f t="shared" si="48"/>
        <v>7</v>
      </c>
      <c r="AC133" t="str">
        <f t="shared" si="49"/>
        <v>Yes</v>
      </c>
      <c r="AD133" t="str">
        <f t="shared" si="50"/>
        <v>No</v>
      </c>
      <c r="AE133" s="36">
        <f>IF(Dashboard!$P$47&gt;'Staging Data'!R133,'Staging Data'!R133,Dashboard!$P$47)</f>
        <v>3.9E-2</v>
      </c>
      <c r="AF133">
        <f>(100%+Dashboard!$P$48)*'Staging Data'!P133</f>
        <v>1004.1990000000001</v>
      </c>
      <c r="AG133">
        <f>(100%+Dashboard!$P$49)*S133</f>
        <v>19.760000000000002</v>
      </c>
      <c r="AH133" s="13">
        <f t="shared" si="51"/>
        <v>27614.707099200001</v>
      </c>
      <c r="AI133" s="13">
        <f t="shared" si="52"/>
        <v>19842.972240000003</v>
      </c>
      <c r="AJ133" s="13">
        <f t="shared" si="53"/>
        <v>7771.734859199998</v>
      </c>
    </row>
    <row r="134" spans="1:36" x14ac:dyDescent="0.45">
      <c r="A134" s="3" t="s">
        <v>147</v>
      </c>
      <c r="B134" s="5">
        <v>44953</v>
      </c>
      <c r="C134" s="5">
        <v>44957</v>
      </c>
      <c r="D134" s="5">
        <f t="shared" si="36"/>
        <v>44953</v>
      </c>
      <c r="E134" s="5">
        <f t="shared" si="37"/>
        <v>44957</v>
      </c>
      <c r="F134" s="7">
        <f t="shared" si="38"/>
        <v>4</v>
      </c>
      <c r="G134" s="23" t="str">
        <f t="shared" si="39"/>
        <v>1-2023</v>
      </c>
      <c r="H134" s="3" t="s">
        <v>649</v>
      </c>
      <c r="I134" s="3" t="s">
        <v>658</v>
      </c>
      <c r="J134" s="3" t="s">
        <v>693</v>
      </c>
      <c r="K134" s="3" t="s">
        <v>706</v>
      </c>
      <c r="L134" s="3" t="s">
        <v>708</v>
      </c>
      <c r="M134" s="3" t="s">
        <v>725</v>
      </c>
      <c r="N134" s="3" t="s">
        <v>731</v>
      </c>
      <c r="O134" s="3" t="s">
        <v>866</v>
      </c>
      <c r="P134" s="19">
        <v>941.2</v>
      </c>
      <c r="Q134" s="19">
        <v>668.02</v>
      </c>
      <c r="R134" s="15">
        <v>0.22</v>
      </c>
      <c r="S134" s="7">
        <v>16</v>
      </c>
      <c r="T134" s="13">
        <f t="shared" si="45"/>
        <v>8336.8896000000004</v>
      </c>
      <c r="U134" s="13">
        <f t="shared" si="46"/>
        <v>15059.2</v>
      </c>
      <c r="V134" s="13">
        <f t="shared" si="40"/>
        <v>-6722.3104000000003</v>
      </c>
      <c r="W134" s="15">
        <f t="shared" si="41"/>
        <v>-0.80633314371825193</v>
      </c>
      <c r="X134" s="17" t="str">
        <f t="shared" si="42"/>
        <v>Q1-2023</v>
      </c>
      <c r="Y134" t="str">
        <f t="shared" si="43"/>
        <v>Europe → United Kingdom → Manchester</v>
      </c>
      <c r="Z134" t="str">
        <f t="shared" si="44"/>
        <v>Low</v>
      </c>
      <c r="AA134">
        <f t="shared" si="47"/>
        <v>2023</v>
      </c>
      <c r="AB134">
        <f t="shared" si="48"/>
        <v>1</v>
      </c>
      <c r="AC134" t="str">
        <f t="shared" si="49"/>
        <v>Yes</v>
      </c>
      <c r="AD134" t="str">
        <f t="shared" si="50"/>
        <v>Yes</v>
      </c>
      <c r="AE134" s="36">
        <f>IF(Dashboard!$P$47&gt;'Staging Data'!R134,'Staging Data'!R134,Dashboard!$P$47)</f>
        <v>0.1</v>
      </c>
      <c r="AF134">
        <f>(100%+Dashboard!$P$48)*'Staging Data'!P134</f>
        <v>988.2600000000001</v>
      </c>
      <c r="AG134">
        <f>(100%+Dashboard!$P$49)*S134</f>
        <v>16.64</v>
      </c>
      <c r="AH134" s="13">
        <f t="shared" si="51"/>
        <v>10004.267520000001</v>
      </c>
      <c r="AI134" s="13">
        <f t="shared" si="52"/>
        <v>16444.646400000001</v>
      </c>
      <c r="AJ134" s="13">
        <f t="shared" si="53"/>
        <v>-6440.3788800000002</v>
      </c>
    </row>
    <row r="135" spans="1:36" x14ac:dyDescent="0.45">
      <c r="A135" s="3" t="s">
        <v>148</v>
      </c>
      <c r="B135" s="5">
        <v>45666</v>
      </c>
      <c r="C135" s="5">
        <v>45672</v>
      </c>
      <c r="D135" s="5">
        <f t="shared" si="36"/>
        <v>45666</v>
      </c>
      <c r="E135" s="5">
        <f t="shared" si="37"/>
        <v>45672</v>
      </c>
      <c r="F135" s="7">
        <f t="shared" si="38"/>
        <v>6</v>
      </c>
      <c r="G135" s="23" t="str">
        <f t="shared" si="39"/>
        <v>1-2025</v>
      </c>
      <c r="H135" s="3" t="s">
        <v>647</v>
      </c>
      <c r="I135" s="3" t="s">
        <v>659</v>
      </c>
      <c r="J135" s="3" t="s">
        <v>699</v>
      </c>
      <c r="K135" s="3" t="s">
        <v>702</v>
      </c>
      <c r="L135" s="3" t="s">
        <v>708</v>
      </c>
      <c r="M135" s="3" t="s">
        <v>712</v>
      </c>
      <c r="N135" s="3" t="s">
        <v>730</v>
      </c>
      <c r="O135" s="3" t="s">
        <v>867</v>
      </c>
      <c r="P135" s="19">
        <v>304.77999999999997</v>
      </c>
      <c r="Q135" s="19">
        <v>537.27</v>
      </c>
      <c r="R135" s="15">
        <v>0.187</v>
      </c>
      <c r="S135" s="7">
        <v>8</v>
      </c>
      <c r="T135" s="13">
        <f t="shared" si="45"/>
        <v>3494.4040799999998</v>
      </c>
      <c r="U135" s="13">
        <f t="shared" si="46"/>
        <v>2438.2399999999998</v>
      </c>
      <c r="V135" s="13">
        <f t="shared" si="40"/>
        <v>1056.16408</v>
      </c>
      <c r="W135" s="15">
        <f t="shared" si="41"/>
        <v>0.3022444044307549</v>
      </c>
      <c r="X135" s="17" t="str">
        <f t="shared" si="42"/>
        <v>Q1-2025</v>
      </c>
      <c r="Y135" t="str">
        <f t="shared" si="43"/>
        <v>Asia → China → Beijing</v>
      </c>
      <c r="Z135" t="str">
        <f t="shared" si="44"/>
        <v>Low</v>
      </c>
      <c r="AA135">
        <f t="shared" si="47"/>
        <v>2025</v>
      </c>
      <c r="AB135">
        <f t="shared" si="48"/>
        <v>1</v>
      </c>
      <c r="AC135" t="str">
        <f t="shared" si="49"/>
        <v>Yes</v>
      </c>
      <c r="AD135" t="str">
        <f t="shared" si="50"/>
        <v>No</v>
      </c>
      <c r="AE135" s="36">
        <f>IF(Dashboard!$P$47&gt;'Staging Data'!R135,'Staging Data'!R135,Dashboard!$P$47)</f>
        <v>0.1</v>
      </c>
      <c r="AF135">
        <f>(100%+Dashboard!$P$48)*'Staging Data'!P135</f>
        <v>320.01900000000001</v>
      </c>
      <c r="AG135">
        <f>(100%+Dashboard!$P$49)*S135</f>
        <v>8.32</v>
      </c>
      <c r="AH135" s="13">
        <f t="shared" si="51"/>
        <v>4023.0777600000001</v>
      </c>
      <c r="AI135" s="13">
        <f t="shared" si="52"/>
        <v>2662.5580800000002</v>
      </c>
      <c r="AJ135" s="13">
        <f t="shared" si="53"/>
        <v>1360.5196799999999</v>
      </c>
    </row>
    <row r="136" spans="1:36" x14ac:dyDescent="0.45">
      <c r="A136" s="3" t="s">
        <v>149</v>
      </c>
      <c r="B136" s="5">
        <v>45647</v>
      </c>
      <c r="C136" s="5">
        <v>45652</v>
      </c>
      <c r="D136" s="5">
        <f t="shared" si="36"/>
        <v>45647</v>
      </c>
      <c r="E136" s="5">
        <f t="shared" si="37"/>
        <v>45652</v>
      </c>
      <c r="F136" s="7">
        <f t="shared" si="38"/>
        <v>5</v>
      </c>
      <c r="G136" s="23" t="str">
        <f t="shared" si="39"/>
        <v>12-2024</v>
      </c>
      <c r="H136" s="3" t="s">
        <v>648</v>
      </c>
      <c r="I136" s="3" t="s">
        <v>660</v>
      </c>
      <c r="J136" s="3" t="s">
        <v>686</v>
      </c>
      <c r="K136" s="3" t="s">
        <v>704</v>
      </c>
      <c r="L136" s="3" t="s">
        <v>709</v>
      </c>
      <c r="M136" s="3" t="s">
        <v>724</v>
      </c>
      <c r="N136" s="3" t="s">
        <v>728</v>
      </c>
      <c r="O136" s="3" t="s">
        <v>868</v>
      </c>
      <c r="P136" s="19">
        <v>699.57</v>
      </c>
      <c r="Q136" s="19">
        <v>572.71</v>
      </c>
      <c r="R136" s="15">
        <v>0.192</v>
      </c>
      <c r="S136" s="7">
        <v>26</v>
      </c>
      <c r="T136" s="13">
        <f t="shared" si="45"/>
        <v>12031.491680000001</v>
      </c>
      <c r="U136" s="13">
        <f t="shared" si="46"/>
        <v>18188.82</v>
      </c>
      <c r="V136" s="13">
        <f t="shared" si="40"/>
        <v>-6157.3283199999987</v>
      </c>
      <c r="W136" s="15">
        <f t="shared" si="41"/>
        <v>-0.51176765805651114</v>
      </c>
      <c r="X136" s="17" t="str">
        <f t="shared" si="42"/>
        <v>Q4-2024</v>
      </c>
      <c r="Y136" t="str">
        <f t="shared" si="43"/>
        <v>Americas → USA → San Francisco</v>
      </c>
      <c r="Z136" t="str">
        <f t="shared" si="44"/>
        <v>Low</v>
      </c>
      <c r="AA136">
        <f t="shared" si="47"/>
        <v>2024</v>
      </c>
      <c r="AB136">
        <f t="shared" si="48"/>
        <v>12</v>
      </c>
      <c r="AC136" t="str">
        <f t="shared" si="49"/>
        <v>Yes</v>
      </c>
      <c r="AD136" t="str">
        <f t="shared" si="50"/>
        <v>No</v>
      </c>
      <c r="AE136" s="36">
        <f>IF(Dashboard!$P$47&gt;'Staging Data'!R136,'Staging Data'!R136,Dashboard!$P$47)</f>
        <v>0.1</v>
      </c>
      <c r="AF136">
        <f>(100%+Dashboard!$P$48)*'Staging Data'!P136</f>
        <v>734.5485000000001</v>
      </c>
      <c r="AG136">
        <f>(100%+Dashboard!$P$49)*S136</f>
        <v>27.04</v>
      </c>
      <c r="AH136" s="13">
        <f t="shared" si="51"/>
        <v>13937.47056</v>
      </c>
      <c r="AI136" s="13">
        <f t="shared" si="52"/>
        <v>19862.191440000002</v>
      </c>
      <c r="AJ136" s="13">
        <f t="shared" si="53"/>
        <v>-5924.7208800000026</v>
      </c>
    </row>
    <row r="137" spans="1:36" x14ac:dyDescent="0.45">
      <c r="A137" s="3" t="s">
        <v>150</v>
      </c>
      <c r="B137" s="5">
        <v>45028</v>
      </c>
      <c r="C137" s="5">
        <v>45033</v>
      </c>
      <c r="D137" s="5">
        <f t="shared" si="36"/>
        <v>45028</v>
      </c>
      <c r="E137" s="5">
        <f t="shared" si="37"/>
        <v>45033</v>
      </c>
      <c r="F137" s="7">
        <f t="shared" si="38"/>
        <v>5</v>
      </c>
      <c r="G137" s="23" t="str">
        <f t="shared" si="39"/>
        <v>4-2023</v>
      </c>
      <c r="H137" s="3" t="s">
        <v>649</v>
      </c>
      <c r="I137" s="3" t="s">
        <v>657</v>
      </c>
      <c r="J137" s="3" t="s">
        <v>679</v>
      </c>
      <c r="K137" s="3" t="s">
        <v>706</v>
      </c>
      <c r="L137" s="3" t="s">
        <v>711</v>
      </c>
      <c r="M137" s="3" t="s">
        <v>718</v>
      </c>
      <c r="N137" s="3" t="s">
        <v>732</v>
      </c>
      <c r="O137" s="3" t="s">
        <v>869</v>
      </c>
      <c r="P137" s="19">
        <v>1087.81</v>
      </c>
      <c r="Q137" s="19">
        <v>2323.87</v>
      </c>
      <c r="R137" s="15">
        <v>9.4E-2</v>
      </c>
      <c r="S137" s="7">
        <v>13</v>
      </c>
      <c r="T137" s="13">
        <f t="shared" si="45"/>
        <v>27370.540859999997</v>
      </c>
      <c r="U137" s="13">
        <f t="shared" si="46"/>
        <v>14141.529999999999</v>
      </c>
      <c r="V137" s="13">
        <f t="shared" si="40"/>
        <v>13229.010859999999</v>
      </c>
      <c r="W137" s="15">
        <f t="shared" si="41"/>
        <v>0.48333026839572651</v>
      </c>
      <c r="X137" s="17" t="str">
        <f t="shared" si="42"/>
        <v>Q2-2023</v>
      </c>
      <c r="Y137" t="str">
        <f t="shared" si="43"/>
        <v>Europe → France → Lyon</v>
      </c>
      <c r="Z137" t="str">
        <f t="shared" si="44"/>
        <v>High</v>
      </c>
      <c r="AA137">
        <f t="shared" si="47"/>
        <v>2023</v>
      </c>
      <c r="AB137">
        <f t="shared" si="48"/>
        <v>4</v>
      </c>
      <c r="AC137" t="str">
        <f t="shared" si="49"/>
        <v>Yes</v>
      </c>
      <c r="AD137" t="str">
        <f t="shared" si="50"/>
        <v>No</v>
      </c>
      <c r="AE137" s="36">
        <f>IF(Dashboard!$P$47&gt;'Staging Data'!R137,'Staging Data'!R137,Dashboard!$P$47)</f>
        <v>9.4E-2</v>
      </c>
      <c r="AF137">
        <f>(100%+Dashboard!$P$48)*'Staging Data'!P137</f>
        <v>1142.2004999999999</v>
      </c>
      <c r="AG137">
        <f>(100%+Dashboard!$P$49)*S137</f>
        <v>13.52</v>
      </c>
      <c r="AH137" s="13">
        <f t="shared" si="51"/>
        <v>28465.3624944</v>
      </c>
      <c r="AI137" s="13">
        <f t="shared" si="52"/>
        <v>15442.550759999998</v>
      </c>
      <c r="AJ137" s="13">
        <f t="shared" si="53"/>
        <v>13022.811734400002</v>
      </c>
    </row>
    <row r="138" spans="1:36" x14ac:dyDescent="0.45">
      <c r="A138" s="3" t="s">
        <v>151</v>
      </c>
      <c r="B138" s="5">
        <v>45640</v>
      </c>
      <c r="C138" s="5">
        <v>45669</v>
      </c>
      <c r="D138" s="5">
        <f t="shared" si="36"/>
        <v>45640</v>
      </c>
      <c r="E138" s="5">
        <f t="shared" si="37"/>
        <v>45669</v>
      </c>
      <c r="F138" s="7">
        <f t="shared" si="38"/>
        <v>29</v>
      </c>
      <c r="G138" s="23" t="str">
        <f t="shared" si="39"/>
        <v>12-2024</v>
      </c>
      <c r="H138" s="3" t="s">
        <v>647</v>
      </c>
      <c r="I138" s="3" t="s">
        <v>659</v>
      </c>
      <c r="J138" s="3" t="s">
        <v>676</v>
      </c>
      <c r="K138" s="3" t="s">
        <v>702</v>
      </c>
      <c r="L138" s="3" t="s">
        <v>708</v>
      </c>
      <c r="M138" s="3" t="s">
        <v>713</v>
      </c>
      <c r="N138" s="3" t="s">
        <v>727</v>
      </c>
      <c r="O138" s="3" t="s">
        <v>870</v>
      </c>
      <c r="P138" s="19">
        <v>1412.15</v>
      </c>
      <c r="Q138" s="19">
        <v>1631.04</v>
      </c>
      <c r="R138" s="15">
        <v>8.9999999999999993E-3</v>
      </c>
      <c r="S138" s="7">
        <v>6</v>
      </c>
      <c r="T138" s="13">
        <f t="shared" si="45"/>
        <v>9698.1638399999993</v>
      </c>
      <c r="U138" s="13">
        <f t="shared" si="46"/>
        <v>8472.9000000000015</v>
      </c>
      <c r="V138" s="13">
        <f t="shared" si="40"/>
        <v>1225.2638399999978</v>
      </c>
      <c r="W138" s="15">
        <f t="shared" si="41"/>
        <v>0.12633977526203535</v>
      </c>
      <c r="X138" s="17" t="str">
        <f t="shared" si="42"/>
        <v>Q4-2024</v>
      </c>
      <c r="Y138" t="str">
        <f t="shared" si="43"/>
        <v>Asia → China → Shenzhen</v>
      </c>
      <c r="Z138" t="str">
        <f t="shared" si="44"/>
        <v>Medium</v>
      </c>
      <c r="AA138">
        <f t="shared" si="47"/>
        <v>2024</v>
      </c>
      <c r="AB138">
        <f t="shared" si="48"/>
        <v>12</v>
      </c>
      <c r="AC138" t="str">
        <f t="shared" si="49"/>
        <v>No</v>
      </c>
      <c r="AD138" t="str">
        <f t="shared" si="50"/>
        <v>No</v>
      </c>
      <c r="AE138" s="36">
        <f>IF(Dashboard!$P$47&gt;'Staging Data'!R138,'Staging Data'!R138,Dashboard!$P$47)</f>
        <v>8.9999999999999993E-3</v>
      </c>
      <c r="AF138">
        <f>(100%+Dashboard!$P$48)*'Staging Data'!P138</f>
        <v>1482.7575000000002</v>
      </c>
      <c r="AG138">
        <f>(100%+Dashboard!$P$49)*S138</f>
        <v>6.24</v>
      </c>
      <c r="AH138" s="13">
        <f t="shared" si="51"/>
        <v>10086.0903936</v>
      </c>
      <c r="AI138" s="13">
        <f t="shared" si="52"/>
        <v>9252.4068000000007</v>
      </c>
      <c r="AJ138" s="13">
        <f t="shared" si="53"/>
        <v>833.68359359999886</v>
      </c>
    </row>
    <row r="139" spans="1:36" x14ac:dyDescent="0.45">
      <c r="A139" s="3" t="s">
        <v>152</v>
      </c>
      <c r="B139" s="5">
        <v>45016</v>
      </c>
      <c r="C139" s="5">
        <v>45028</v>
      </c>
      <c r="D139" s="5">
        <f t="shared" ref="D139:D202" si="54">IF(C139&gt;B139,B139,C139)</f>
        <v>45016</v>
      </c>
      <c r="E139" s="5">
        <f t="shared" ref="E139:E202" si="55">IF(C139&gt;B139,C139,B139)</f>
        <v>45028</v>
      </c>
      <c r="F139" s="7">
        <f t="shared" ref="F139:F202" si="56">DATEDIF(D139,E139,"D")</f>
        <v>12</v>
      </c>
      <c r="G139" s="23" t="str">
        <f t="shared" ref="G139:G202" si="57">CONCATENATE(MONTH(D139), "-",YEAR(D139))</f>
        <v>3-2023</v>
      </c>
      <c r="H139" s="3" t="s">
        <v>646</v>
      </c>
      <c r="I139" s="3" t="s">
        <v>650</v>
      </c>
      <c r="J139" s="3" t="s">
        <v>675</v>
      </c>
      <c r="K139" s="3" t="s">
        <v>705</v>
      </c>
      <c r="L139" s="3" t="s">
        <v>708</v>
      </c>
      <c r="M139" s="3" t="s">
        <v>712</v>
      </c>
      <c r="N139" s="3" t="s">
        <v>730</v>
      </c>
      <c r="O139" s="3" t="s">
        <v>871</v>
      </c>
      <c r="P139" s="19">
        <v>304.22000000000003</v>
      </c>
      <c r="Q139" s="19">
        <v>393.31</v>
      </c>
      <c r="R139" s="15">
        <v>0.26500000000000001</v>
      </c>
      <c r="S139" s="7">
        <v>15</v>
      </c>
      <c r="T139" s="13">
        <f t="shared" si="45"/>
        <v>4336.2427499999994</v>
      </c>
      <c r="U139" s="13">
        <f t="shared" si="46"/>
        <v>4563.3</v>
      </c>
      <c r="V139" s="13">
        <f t="shared" ref="V139:V202" si="58">T139-U139</f>
        <v>-227.05725000000075</v>
      </c>
      <c r="W139" s="15">
        <f t="shared" ref="W139:W202" si="59">IF(T139=0, 0,V139/T139)</f>
        <v>-5.2362670424759034E-2</v>
      </c>
      <c r="X139" s="17" t="str">
        <f t="shared" ref="X139:X202" si="60">CONCATENATE(IF(MONTH(D139)&lt;=3,"Q1", IF(MONTH(D139)&lt;=6, "Q2", IF(MONTH(D139)&lt;= 9, "Q3", "Q4"))), "-", YEAR(D139))</f>
        <v>Q1-2023</v>
      </c>
      <c r="Y139" t="str">
        <f t="shared" ref="Y139:Y202" si="61">CONCATENATE(H139," → ",I139," → ",J139)</f>
        <v>Africa → Kenya → Mombasa</v>
      </c>
      <c r="Z139" t="str">
        <f t="shared" ref="Z139:Z202" si="62">IF(Q139&lt;=1193.97, "Low",IF(Q139&lt;1912.05,"Medium", "High"))</f>
        <v>Low</v>
      </c>
      <c r="AA139">
        <f t="shared" si="47"/>
        <v>2023</v>
      </c>
      <c r="AB139">
        <f t="shared" si="48"/>
        <v>3</v>
      </c>
      <c r="AC139" t="str">
        <f t="shared" si="49"/>
        <v>No</v>
      </c>
      <c r="AD139" t="str">
        <f t="shared" si="50"/>
        <v>Yes</v>
      </c>
      <c r="AE139" s="36">
        <f>IF(Dashboard!$P$47&gt;'Staging Data'!R139,'Staging Data'!R139,Dashboard!$P$47)</f>
        <v>0.1</v>
      </c>
      <c r="AF139">
        <f>(100%+Dashboard!$P$48)*'Staging Data'!P139</f>
        <v>319.43100000000004</v>
      </c>
      <c r="AG139">
        <f>(100%+Dashboard!$P$49)*S139</f>
        <v>15.600000000000001</v>
      </c>
      <c r="AH139" s="13">
        <f t="shared" si="51"/>
        <v>5522.0724000000009</v>
      </c>
      <c r="AI139" s="13">
        <f t="shared" si="52"/>
        <v>4983.1236000000008</v>
      </c>
      <c r="AJ139" s="13">
        <f t="shared" si="53"/>
        <v>538.94880000000012</v>
      </c>
    </row>
    <row r="140" spans="1:36" x14ac:dyDescent="0.45">
      <c r="A140" s="3" t="s">
        <v>153</v>
      </c>
      <c r="B140" s="5">
        <v>45616</v>
      </c>
      <c r="C140" s="5">
        <v>45641</v>
      </c>
      <c r="D140" s="5">
        <f t="shared" si="54"/>
        <v>45616</v>
      </c>
      <c r="E140" s="5">
        <f t="shared" si="55"/>
        <v>45641</v>
      </c>
      <c r="F140" s="7">
        <f t="shared" si="56"/>
        <v>25</v>
      </c>
      <c r="G140" s="23" t="str">
        <f t="shared" si="57"/>
        <v>11-2024</v>
      </c>
      <c r="H140" s="3" t="s">
        <v>649</v>
      </c>
      <c r="I140" s="3" t="s">
        <v>657</v>
      </c>
      <c r="J140" s="3" t="s">
        <v>690</v>
      </c>
      <c r="K140" s="3" t="s">
        <v>701</v>
      </c>
      <c r="L140" s="3" t="s">
        <v>708</v>
      </c>
      <c r="M140" s="3" t="s">
        <v>715</v>
      </c>
      <c r="N140" s="3" t="s">
        <v>728</v>
      </c>
      <c r="O140" s="3" t="s">
        <v>872</v>
      </c>
      <c r="P140" s="19">
        <v>1203.58</v>
      </c>
      <c r="Q140" s="19">
        <v>1856.16</v>
      </c>
      <c r="R140" s="15">
        <v>0.129</v>
      </c>
      <c r="S140" s="7">
        <v>22</v>
      </c>
      <c r="T140" s="13">
        <f t="shared" si="45"/>
        <v>35567.737920000007</v>
      </c>
      <c r="U140" s="13">
        <f t="shared" si="46"/>
        <v>26478.76</v>
      </c>
      <c r="V140" s="13">
        <f t="shared" si="58"/>
        <v>9088.9779200000085</v>
      </c>
      <c r="W140" s="15">
        <f t="shared" si="59"/>
        <v>0.25553994860295032</v>
      </c>
      <c r="X140" s="17" t="str">
        <f t="shared" si="60"/>
        <v>Q4-2024</v>
      </c>
      <c r="Y140" t="str">
        <f t="shared" si="61"/>
        <v>Europe → France → Paris</v>
      </c>
      <c r="Z140" t="str">
        <f t="shared" si="62"/>
        <v>Medium</v>
      </c>
      <c r="AA140">
        <f t="shared" si="47"/>
        <v>2024</v>
      </c>
      <c r="AB140">
        <f t="shared" si="48"/>
        <v>11</v>
      </c>
      <c r="AC140" t="str">
        <f t="shared" si="49"/>
        <v>No</v>
      </c>
      <c r="AD140" t="str">
        <f t="shared" si="50"/>
        <v>No</v>
      </c>
      <c r="AE140" s="36">
        <f>IF(Dashboard!$P$47&gt;'Staging Data'!R140,'Staging Data'!R140,Dashboard!$P$47)</f>
        <v>0.1</v>
      </c>
      <c r="AF140">
        <f>(100%+Dashboard!$P$48)*'Staging Data'!P140</f>
        <v>1263.759</v>
      </c>
      <c r="AG140">
        <f>(100%+Dashboard!$P$49)*S140</f>
        <v>22.880000000000003</v>
      </c>
      <c r="AH140" s="13">
        <f t="shared" si="51"/>
        <v>38222.046720000006</v>
      </c>
      <c r="AI140" s="13">
        <f t="shared" si="52"/>
        <v>28914.805920000003</v>
      </c>
      <c r="AJ140" s="13">
        <f t="shared" si="53"/>
        <v>9307.2408000000032</v>
      </c>
    </row>
    <row r="141" spans="1:36" x14ac:dyDescent="0.45">
      <c r="A141" s="3" t="s">
        <v>452</v>
      </c>
      <c r="B141" s="5">
        <v>45290</v>
      </c>
      <c r="C141" s="5">
        <v>45299</v>
      </c>
      <c r="D141" s="5">
        <f t="shared" si="54"/>
        <v>45290</v>
      </c>
      <c r="E141" s="5">
        <f t="shared" si="55"/>
        <v>45299</v>
      </c>
      <c r="F141" s="7">
        <f t="shared" si="56"/>
        <v>9</v>
      </c>
      <c r="G141" s="23" t="str">
        <f t="shared" si="57"/>
        <v>12-2023</v>
      </c>
      <c r="H141" s="3" t="s">
        <v>649</v>
      </c>
      <c r="I141" s="3" t="s">
        <v>657</v>
      </c>
      <c r="J141" s="3" t="s">
        <v>673</v>
      </c>
      <c r="K141" s="3" t="s">
        <v>704</v>
      </c>
      <c r="L141" s="3" t="s">
        <v>709</v>
      </c>
      <c r="M141" s="3" t="s">
        <v>716</v>
      </c>
      <c r="N141" s="3" t="s">
        <v>733</v>
      </c>
      <c r="O141" s="3" t="s">
        <v>1171</v>
      </c>
      <c r="P141" s="19">
        <v>861.1</v>
      </c>
      <c r="Q141" s="19">
        <v>1224.72</v>
      </c>
      <c r="R141" s="15">
        <v>0.17399999999999999</v>
      </c>
      <c r="S141" s="7">
        <v>24</v>
      </c>
      <c r="T141" s="13">
        <f t="shared" si="45"/>
        <v>24278.849280000002</v>
      </c>
      <c r="U141" s="13">
        <f t="shared" si="46"/>
        <v>20666.400000000001</v>
      </c>
      <c r="V141" s="13">
        <f t="shared" si="58"/>
        <v>3612.4492800000007</v>
      </c>
      <c r="W141" s="15">
        <f t="shared" si="59"/>
        <v>0.14878997098827909</v>
      </c>
      <c r="X141" s="17" t="str">
        <f t="shared" si="60"/>
        <v>Q4-2023</v>
      </c>
      <c r="Y141" t="str">
        <f t="shared" si="61"/>
        <v>Europe → France → Marseille</v>
      </c>
      <c r="Z141" t="str">
        <f t="shared" si="62"/>
        <v>Medium</v>
      </c>
      <c r="AA141">
        <f t="shared" si="47"/>
        <v>2023</v>
      </c>
      <c r="AB141">
        <f t="shared" si="48"/>
        <v>12</v>
      </c>
      <c r="AC141" t="str">
        <f t="shared" si="49"/>
        <v>No</v>
      </c>
      <c r="AD141" t="str">
        <f t="shared" si="50"/>
        <v>No</v>
      </c>
      <c r="AE141" s="36">
        <f>IF(Dashboard!$P$47&gt;'Staging Data'!R141,'Staging Data'!R141,Dashboard!$P$47)</f>
        <v>0.1</v>
      </c>
      <c r="AF141">
        <f>(100%+Dashboard!$P$48)*'Staging Data'!P141</f>
        <v>904.15500000000009</v>
      </c>
      <c r="AG141">
        <f>(100%+Dashboard!$P$49)*S141</f>
        <v>24.96</v>
      </c>
      <c r="AH141" s="13">
        <f t="shared" si="51"/>
        <v>27512.110080000002</v>
      </c>
      <c r="AI141" s="13">
        <f t="shared" si="52"/>
        <v>22567.708800000004</v>
      </c>
      <c r="AJ141" s="13">
        <f t="shared" si="53"/>
        <v>4944.4012799999982</v>
      </c>
    </row>
    <row r="142" spans="1:36" x14ac:dyDescent="0.45">
      <c r="A142" s="3" t="s">
        <v>155</v>
      </c>
      <c r="B142" s="5">
        <v>45048</v>
      </c>
      <c r="C142" s="5">
        <v>45064</v>
      </c>
      <c r="D142" s="5">
        <f t="shared" si="54"/>
        <v>45048</v>
      </c>
      <c r="E142" s="5">
        <f t="shared" si="55"/>
        <v>45064</v>
      </c>
      <c r="F142" s="7">
        <f t="shared" si="56"/>
        <v>16</v>
      </c>
      <c r="G142" s="23" t="str">
        <f t="shared" si="57"/>
        <v>5-2023</v>
      </c>
      <c r="H142" s="3" t="s">
        <v>647</v>
      </c>
      <c r="I142" s="3" t="s">
        <v>654</v>
      </c>
      <c r="J142" s="3" t="s">
        <v>680</v>
      </c>
      <c r="K142" s="3" t="s">
        <v>705</v>
      </c>
      <c r="L142" s="3" t="s">
        <v>709</v>
      </c>
      <c r="M142" s="3" t="s">
        <v>723</v>
      </c>
      <c r="N142" s="3" t="s">
        <v>732</v>
      </c>
      <c r="O142" s="3" t="s">
        <v>874</v>
      </c>
      <c r="P142" s="19">
        <v>1463.92</v>
      </c>
      <c r="Q142" s="19">
        <v>2252.2399999999998</v>
      </c>
      <c r="R142" s="15">
        <v>0.11799999999999999</v>
      </c>
      <c r="S142" s="7">
        <v>44</v>
      </c>
      <c r="T142" s="13">
        <f t="shared" si="45"/>
        <v>87404.929919999995</v>
      </c>
      <c r="U142" s="13">
        <f t="shared" si="46"/>
        <v>64412.480000000003</v>
      </c>
      <c r="V142" s="13">
        <f t="shared" si="58"/>
        <v>22992.449919999992</v>
      </c>
      <c r="W142" s="15">
        <f t="shared" si="59"/>
        <v>0.26305667130040061</v>
      </c>
      <c r="X142" s="17" t="str">
        <f t="shared" si="60"/>
        <v>Q2-2023</v>
      </c>
      <c r="Y142" t="str">
        <f t="shared" si="61"/>
        <v>Asia → India → Delhi</v>
      </c>
      <c r="Z142" t="str">
        <f t="shared" si="62"/>
        <v>High</v>
      </c>
      <c r="AA142">
        <f t="shared" si="47"/>
        <v>2023</v>
      </c>
      <c r="AB142">
        <f t="shared" si="48"/>
        <v>5</v>
      </c>
      <c r="AC142" t="str">
        <f t="shared" si="49"/>
        <v>No</v>
      </c>
      <c r="AD142" t="str">
        <f t="shared" si="50"/>
        <v>No</v>
      </c>
      <c r="AE142" s="36">
        <f>IF(Dashboard!$P$47&gt;'Staging Data'!R142,'Staging Data'!R142,Dashboard!$P$47)</f>
        <v>0.1</v>
      </c>
      <c r="AF142">
        <f>(100%+Dashboard!$P$48)*'Staging Data'!P142</f>
        <v>1537.1160000000002</v>
      </c>
      <c r="AG142">
        <f>(100%+Dashboard!$P$49)*S142</f>
        <v>45.760000000000005</v>
      </c>
      <c r="AH142" s="13">
        <f t="shared" si="51"/>
        <v>92756.252160000004</v>
      </c>
      <c r="AI142" s="13">
        <f t="shared" si="52"/>
        <v>70338.42816000001</v>
      </c>
      <c r="AJ142" s="13">
        <f t="shared" si="53"/>
        <v>22417.823999999993</v>
      </c>
    </row>
    <row r="143" spans="1:36" x14ac:dyDescent="0.45">
      <c r="A143" s="3" t="s">
        <v>156</v>
      </c>
      <c r="B143" s="5">
        <v>45649</v>
      </c>
      <c r="C143" s="5">
        <v>45668</v>
      </c>
      <c r="D143" s="5">
        <f t="shared" si="54"/>
        <v>45649</v>
      </c>
      <c r="E143" s="5">
        <f t="shared" si="55"/>
        <v>45668</v>
      </c>
      <c r="F143" s="7">
        <f t="shared" si="56"/>
        <v>19</v>
      </c>
      <c r="G143" s="23" t="str">
        <f t="shared" si="57"/>
        <v>12-2024</v>
      </c>
      <c r="H143" s="3" t="s">
        <v>649</v>
      </c>
      <c r="I143" s="3" t="s">
        <v>656</v>
      </c>
      <c r="J143" s="3" t="s">
        <v>671</v>
      </c>
      <c r="K143" s="3" t="s">
        <v>702</v>
      </c>
      <c r="L143" s="3" t="s">
        <v>707</v>
      </c>
      <c r="M143" s="3" t="s">
        <v>723</v>
      </c>
      <c r="N143" s="3" t="s">
        <v>730</v>
      </c>
      <c r="O143" s="3" t="s">
        <v>875</v>
      </c>
      <c r="P143" s="19">
        <v>501.81</v>
      </c>
      <c r="Q143" s="19">
        <v>921.62</v>
      </c>
      <c r="R143" s="15">
        <v>0.01</v>
      </c>
      <c r="S143" s="7">
        <v>9</v>
      </c>
      <c r="T143" s="13">
        <f t="shared" si="45"/>
        <v>8211.6342000000004</v>
      </c>
      <c r="U143" s="13">
        <f t="shared" si="46"/>
        <v>4516.29</v>
      </c>
      <c r="V143" s="13">
        <f t="shared" si="58"/>
        <v>3695.3442000000005</v>
      </c>
      <c r="W143" s="15">
        <f t="shared" si="59"/>
        <v>0.45001325071202031</v>
      </c>
      <c r="X143" s="17" t="str">
        <f t="shared" si="60"/>
        <v>Q4-2024</v>
      </c>
      <c r="Y143" t="str">
        <f t="shared" si="61"/>
        <v>Europe → Germany → Berlin</v>
      </c>
      <c r="Z143" t="str">
        <f t="shared" si="62"/>
        <v>Low</v>
      </c>
      <c r="AA143">
        <f t="shared" si="47"/>
        <v>2024</v>
      </c>
      <c r="AB143">
        <f t="shared" si="48"/>
        <v>12</v>
      </c>
      <c r="AC143" t="str">
        <f t="shared" si="49"/>
        <v>No</v>
      </c>
      <c r="AD143" t="str">
        <f t="shared" si="50"/>
        <v>No</v>
      </c>
      <c r="AE143" s="36">
        <f>IF(Dashboard!$P$47&gt;'Staging Data'!R143,'Staging Data'!R143,Dashboard!$P$47)</f>
        <v>0.01</v>
      </c>
      <c r="AF143">
        <f>(100%+Dashboard!$P$48)*'Staging Data'!P143</f>
        <v>526.90050000000008</v>
      </c>
      <c r="AG143">
        <f>(100%+Dashboard!$P$49)*S143</f>
        <v>9.36</v>
      </c>
      <c r="AH143" s="13">
        <f t="shared" si="51"/>
        <v>8540.0995679999996</v>
      </c>
      <c r="AI143" s="13">
        <f t="shared" si="52"/>
        <v>4931.7886800000006</v>
      </c>
      <c r="AJ143" s="13">
        <f t="shared" si="53"/>
        <v>3608.3108879999991</v>
      </c>
    </row>
    <row r="144" spans="1:36" x14ac:dyDescent="0.45">
      <c r="A144" s="3" t="s">
        <v>423</v>
      </c>
      <c r="B144" s="5">
        <v>45276</v>
      </c>
      <c r="C144" s="5">
        <v>45279</v>
      </c>
      <c r="D144" s="5">
        <f t="shared" si="54"/>
        <v>45276</v>
      </c>
      <c r="E144" s="5">
        <f t="shared" si="55"/>
        <v>45279</v>
      </c>
      <c r="F144" s="7">
        <f t="shared" si="56"/>
        <v>3</v>
      </c>
      <c r="G144" s="23" t="str">
        <f t="shared" si="57"/>
        <v>12-2023</v>
      </c>
      <c r="H144" s="3" t="s">
        <v>647</v>
      </c>
      <c r="I144" s="3" t="s">
        <v>659</v>
      </c>
      <c r="J144" s="3" t="s">
        <v>699</v>
      </c>
      <c r="K144" s="3" t="s">
        <v>702</v>
      </c>
      <c r="L144" s="3" t="s">
        <v>707</v>
      </c>
      <c r="M144" s="3" t="s">
        <v>720</v>
      </c>
      <c r="N144" s="3" t="s">
        <v>733</v>
      </c>
      <c r="O144" s="3" t="s">
        <v>1142</v>
      </c>
      <c r="P144" s="19">
        <v>1415.05</v>
      </c>
      <c r="Q144" s="19">
        <v>1972.38</v>
      </c>
      <c r="R144" s="15">
        <v>0</v>
      </c>
      <c r="S144" s="7">
        <v>12</v>
      </c>
      <c r="T144" s="13">
        <f t="shared" si="45"/>
        <v>23668.560000000001</v>
      </c>
      <c r="U144" s="13">
        <f t="shared" si="46"/>
        <v>16980.599999999999</v>
      </c>
      <c r="V144" s="13">
        <f t="shared" si="58"/>
        <v>6687.9600000000028</v>
      </c>
      <c r="W144" s="15">
        <f t="shared" si="59"/>
        <v>0.28256725377462771</v>
      </c>
      <c r="X144" s="17" t="str">
        <f t="shared" si="60"/>
        <v>Q4-2023</v>
      </c>
      <c r="Y144" t="str">
        <f t="shared" si="61"/>
        <v>Asia → China → Beijing</v>
      </c>
      <c r="Z144" t="str">
        <f t="shared" si="62"/>
        <v>High</v>
      </c>
      <c r="AA144">
        <f t="shared" si="47"/>
        <v>2023</v>
      </c>
      <c r="AB144">
        <f t="shared" si="48"/>
        <v>12</v>
      </c>
      <c r="AC144" t="str">
        <f t="shared" si="49"/>
        <v>Yes</v>
      </c>
      <c r="AD144" t="str">
        <f t="shared" si="50"/>
        <v>No</v>
      </c>
      <c r="AE144" s="36">
        <f>IF(Dashboard!$P$47&gt;'Staging Data'!R144,'Staging Data'!R144,Dashboard!$P$47)</f>
        <v>0</v>
      </c>
      <c r="AF144">
        <f>(100%+Dashboard!$P$48)*'Staging Data'!P144</f>
        <v>1485.8025</v>
      </c>
      <c r="AG144">
        <f>(100%+Dashboard!$P$49)*S144</f>
        <v>12.48</v>
      </c>
      <c r="AH144" s="13">
        <f t="shared" si="51"/>
        <v>24615.3024</v>
      </c>
      <c r="AI144" s="13">
        <f t="shared" si="52"/>
        <v>18542.815200000001</v>
      </c>
      <c r="AJ144" s="13">
        <f t="shared" si="53"/>
        <v>6072.4871999999996</v>
      </c>
    </row>
    <row r="145" spans="1:36" x14ac:dyDescent="0.45">
      <c r="A145" s="3" t="s">
        <v>158</v>
      </c>
      <c r="B145" s="5">
        <v>45458</v>
      </c>
      <c r="C145" s="5">
        <v>45479</v>
      </c>
      <c r="D145" s="5">
        <f t="shared" si="54"/>
        <v>45458</v>
      </c>
      <c r="E145" s="5">
        <f t="shared" si="55"/>
        <v>45479</v>
      </c>
      <c r="F145" s="7">
        <f t="shared" si="56"/>
        <v>21</v>
      </c>
      <c r="G145" s="23" t="str">
        <f t="shared" si="57"/>
        <v>6-2024</v>
      </c>
      <c r="H145" s="3" t="s">
        <v>648</v>
      </c>
      <c r="I145" s="3" t="s">
        <v>653</v>
      </c>
      <c r="J145" s="3" t="s">
        <v>667</v>
      </c>
      <c r="K145" s="3" t="s">
        <v>706</v>
      </c>
      <c r="L145" s="3" t="s">
        <v>710</v>
      </c>
      <c r="M145" s="3" t="s">
        <v>716</v>
      </c>
      <c r="N145" s="3" t="s">
        <v>728</v>
      </c>
      <c r="O145" s="3" t="s">
        <v>877</v>
      </c>
      <c r="P145" s="19">
        <v>817.23</v>
      </c>
      <c r="Q145" s="19">
        <v>1467.17</v>
      </c>
      <c r="R145" s="15">
        <v>0.245</v>
      </c>
      <c r="S145" s="7">
        <v>9</v>
      </c>
      <c r="T145" s="13">
        <f t="shared" si="45"/>
        <v>9969.4201499999999</v>
      </c>
      <c r="U145" s="13">
        <f t="shared" si="46"/>
        <v>7355.07</v>
      </c>
      <c r="V145" s="13">
        <f t="shared" si="58"/>
        <v>2614.3501500000002</v>
      </c>
      <c r="W145" s="15">
        <f t="shared" si="59"/>
        <v>0.26223693160328893</v>
      </c>
      <c r="X145" s="17" t="str">
        <f t="shared" si="60"/>
        <v>Q2-2024</v>
      </c>
      <c r="Y145" t="str">
        <f t="shared" si="61"/>
        <v>Americas → Canada → Toronto</v>
      </c>
      <c r="Z145" t="str">
        <f t="shared" si="62"/>
        <v>Medium</v>
      </c>
      <c r="AA145">
        <f t="shared" si="47"/>
        <v>2024</v>
      </c>
      <c r="AB145">
        <f t="shared" si="48"/>
        <v>6</v>
      </c>
      <c r="AC145" t="str">
        <f t="shared" si="49"/>
        <v>No</v>
      </c>
      <c r="AD145" t="str">
        <f t="shared" si="50"/>
        <v>Yes</v>
      </c>
      <c r="AE145" s="36">
        <f>IF(Dashboard!$P$47&gt;'Staging Data'!R145,'Staging Data'!R145,Dashboard!$P$47)</f>
        <v>0.1</v>
      </c>
      <c r="AF145">
        <f>(100%+Dashboard!$P$48)*'Staging Data'!P145</f>
        <v>858.09150000000011</v>
      </c>
      <c r="AG145">
        <f>(100%+Dashboard!$P$49)*S145</f>
        <v>9.36</v>
      </c>
      <c r="AH145" s="13">
        <f t="shared" si="51"/>
        <v>12359.44008</v>
      </c>
      <c r="AI145" s="13">
        <f t="shared" si="52"/>
        <v>8031.7364400000006</v>
      </c>
      <c r="AJ145" s="13">
        <f t="shared" si="53"/>
        <v>4327.7036399999997</v>
      </c>
    </row>
    <row r="146" spans="1:36" x14ac:dyDescent="0.45">
      <c r="A146" s="3" t="s">
        <v>306</v>
      </c>
      <c r="B146" s="5">
        <v>45220</v>
      </c>
      <c r="C146" s="5">
        <v>45239</v>
      </c>
      <c r="D146" s="5">
        <f t="shared" si="54"/>
        <v>45220</v>
      </c>
      <c r="E146" s="5">
        <f t="shared" si="55"/>
        <v>45239</v>
      </c>
      <c r="F146" s="7">
        <f t="shared" si="56"/>
        <v>19</v>
      </c>
      <c r="G146" s="23" t="str">
        <f t="shared" si="57"/>
        <v>10-2023</v>
      </c>
      <c r="H146" s="3" t="s">
        <v>649</v>
      </c>
      <c r="I146" s="3" t="s">
        <v>658</v>
      </c>
      <c r="J146" s="3" t="s">
        <v>683</v>
      </c>
      <c r="K146" s="3" t="s">
        <v>703</v>
      </c>
      <c r="L146" s="3" t="s">
        <v>711</v>
      </c>
      <c r="M146" s="3" t="s">
        <v>720</v>
      </c>
      <c r="N146" s="3" t="s">
        <v>733</v>
      </c>
      <c r="O146" s="3" t="s">
        <v>1026</v>
      </c>
      <c r="P146" s="19">
        <v>1142.48</v>
      </c>
      <c r="Q146" s="19">
        <v>2105.5300000000002</v>
      </c>
      <c r="R146" s="15">
        <v>0.20699999999999999</v>
      </c>
      <c r="S146" s="7">
        <v>14</v>
      </c>
      <c r="T146" s="13">
        <f t="shared" si="45"/>
        <v>23375.594060000003</v>
      </c>
      <c r="U146" s="13">
        <f t="shared" si="46"/>
        <v>15994.720000000001</v>
      </c>
      <c r="V146" s="13">
        <f t="shared" si="58"/>
        <v>7380.8740600000019</v>
      </c>
      <c r="W146" s="15">
        <f t="shared" si="59"/>
        <v>0.31575129346680658</v>
      </c>
      <c r="X146" s="17" t="str">
        <f t="shared" si="60"/>
        <v>Q4-2023</v>
      </c>
      <c r="Y146" t="str">
        <f t="shared" si="61"/>
        <v>Europe → United Kingdom → London</v>
      </c>
      <c r="Z146" t="str">
        <f t="shared" si="62"/>
        <v>High</v>
      </c>
      <c r="AA146">
        <f t="shared" si="47"/>
        <v>2023</v>
      </c>
      <c r="AB146">
        <f t="shared" si="48"/>
        <v>10</v>
      </c>
      <c r="AC146" t="str">
        <f t="shared" si="49"/>
        <v>No</v>
      </c>
      <c r="AD146" t="str">
        <f t="shared" si="50"/>
        <v>Yes</v>
      </c>
      <c r="AE146" s="36">
        <f>IF(Dashboard!$P$47&gt;'Staging Data'!R146,'Staging Data'!R146,Dashboard!$P$47)</f>
        <v>0.1</v>
      </c>
      <c r="AF146">
        <f>(100%+Dashboard!$P$48)*'Staging Data'!P146</f>
        <v>1199.604</v>
      </c>
      <c r="AG146">
        <f>(100%+Dashboard!$P$49)*S146</f>
        <v>14.56</v>
      </c>
      <c r="AH146" s="13">
        <f t="shared" si="51"/>
        <v>27590.865120000006</v>
      </c>
      <c r="AI146" s="13">
        <f t="shared" si="52"/>
        <v>17466.234240000002</v>
      </c>
      <c r="AJ146" s="13">
        <f t="shared" si="53"/>
        <v>10124.630880000004</v>
      </c>
    </row>
    <row r="147" spans="1:36" x14ac:dyDescent="0.45">
      <c r="A147" s="3" t="s">
        <v>160</v>
      </c>
      <c r="B147" s="5">
        <v>45260</v>
      </c>
      <c r="C147" s="5">
        <v>45259</v>
      </c>
      <c r="D147" s="5">
        <f t="shared" si="54"/>
        <v>45259</v>
      </c>
      <c r="E147" s="5">
        <f t="shared" si="55"/>
        <v>45260</v>
      </c>
      <c r="F147" s="7">
        <f t="shared" si="56"/>
        <v>1</v>
      </c>
      <c r="G147" s="23" t="str">
        <f t="shared" si="57"/>
        <v>11-2023</v>
      </c>
      <c r="H147" s="3" t="s">
        <v>646</v>
      </c>
      <c r="I147" s="3" t="s">
        <v>661</v>
      </c>
      <c r="J147" s="3" t="s">
        <v>687</v>
      </c>
      <c r="K147" s="3" t="s">
        <v>705</v>
      </c>
      <c r="L147" s="3" t="s">
        <v>709</v>
      </c>
      <c r="M147" s="3" t="s">
        <v>718</v>
      </c>
      <c r="N147" s="3" t="s">
        <v>731</v>
      </c>
      <c r="O147" s="3" t="s">
        <v>879</v>
      </c>
      <c r="P147" s="19">
        <v>275.56</v>
      </c>
      <c r="Q147" s="19">
        <v>630.72</v>
      </c>
      <c r="R147" s="15">
        <v>0.107</v>
      </c>
      <c r="S147" s="7">
        <v>23</v>
      </c>
      <c r="T147" s="13">
        <f t="shared" si="45"/>
        <v>12954.358080000002</v>
      </c>
      <c r="U147" s="13">
        <f t="shared" si="46"/>
        <v>6337.88</v>
      </c>
      <c r="V147" s="13">
        <f t="shared" si="58"/>
        <v>6616.4780800000017</v>
      </c>
      <c r="W147" s="15">
        <f t="shared" si="59"/>
        <v>0.5107530638831933</v>
      </c>
      <c r="X147" s="17" t="str">
        <f t="shared" si="60"/>
        <v>Q4-2023</v>
      </c>
      <c r="Y147" t="str">
        <f t="shared" si="61"/>
        <v>Africa → South Africa → Durban</v>
      </c>
      <c r="Z147" t="str">
        <f t="shared" si="62"/>
        <v>Low</v>
      </c>
      <c r="AA147">
        <f t="shared" si="47"/>
        <v>2023</v>
      </c>
      <c r="AB147">
        <f t="shared" si="48"/>
        <v>11</v>
      </c>
      <c r="AC147" t="str">
        <f t="shared" si="49"/>
        <v>Yes</v>
      </c>
      <c r="AD147" t="str">
        <f t="shared" si="50"/>
        <v>No</v>
      </c>
      <c r="AE147" s="36">
        <f>IF(Dashboard!$P$47&gt;'Staging Data'!R147,'Staging Data'!R147,Dashboard!$P$47)</f>
        <v>0.1</v>
      </c>
      <c r="AF147">
        <f>(100%+Dashboard!$P$48)*'Staging Data'!P147</f>
        <v>289.33800000000002</v>
      </c>
      <c r="AG147">
        <f>(100%+Dashboard!$P$49)*S147</f>
        <v>23.92</v>
      </c>
      <c r="AH147" s="13">
        <f t="shared" si="51"/>
        <v>13578.140160000001</v>
      </c>
      <c r="AI147" s="13">
        <f t="shared" si="52"/>
        <v>6920.9649600000012</v>
      </c>
      <c r="AJ147" s="13">
        <f t="shared" si="53"/>
        <v>6657.1751999999997</v>
      </c>
    </row>
    <row r="148" spans="1:36" x14ac:dyDescent="0.45">
      <c r="A148" s="3" t="s">
        <v>161</v>
      </c>
      <c r="B148" s="5">
        <v>45911</v>
      </c>
      <c r="C148" s="5">
        <v>45928</v>
      </c>
      <c r="D148" s="5">
        <f t="shared" si="54"/>
        <v>45911</v>
      </c>
      <c r="E148" s="5">
        <f t="shared" si="55"/>
        <v>45928</v>
      </c>
      <c r="F148" s="7">
        <f t="shared" si="56"/>
        <v>17</v>
      </c>
      <c r="G148" s="23" t="str">
        <f t="shared" si="57"/>
        <v>9-2025</v>
      </c>
      <c r="H148" s="3" t="s">
        <v>646</v>
      </c>
      <c r="I148" s="3" t="s">
        <v>650</v>
      </c>
      <c r="J148" s="3" t="s">
        <v>664</v>
      </c>
      <c r="K148" s="3" t="s">
        <v>703</v>
      </c>
      <c r="L148" s="3" t="s">
        <v>710</v>
      </c>
      <c r="M148" s="3" t="s">
        <v>713</v>
      </c>
      <c r="N148" s="3" t="s">
        <v>731</v>
      </c>
      <c r="O148" s="3" t="s">
        <v>880</v>
      </c>
      <c r="P148" s="19">
        <v>891.46</v>
      </c>
      <c r="Q148" s="19">
        <v>728.61</v>
      </c>
      <c r="R148" s="15">
        <v>0.185</v>
      </c>
      <c r="S148" s="7">
        <v>6</v>
      </c>
      <c r="T148" s="13">
        <f t="shared" si="45"/>
        <v>3562.9028999999996</v>
      </c>
      <c r="U148" s="13">
        <f t="shared" si="46"/>
        <v>5348.76</v>
      </c>
      <c r="V148" s="13">
        <f t="shared" si="58"/>
        <v>-1785.8571000000006</v>
      </c>
      <c r="W148" s="15">
        <f t="shared" si="59"/>
        <v>-0.50123653383874167</v>
      </c>
      <c r="X148" s="17" t="str">
        <f t="shared" si="60"/>
        <v>Q3-2025</v>
      </c>
      <c r="Y148" t="str">
        <f t="shared" si="61"/>
        <v>Africa → Kenya → Nairobi</v>
      </c>
      <c r="Z148" t="str">
        <f t="shared" si="62"/>
        <v>Low</v>
      </c>
      <c r="AA148">
        <f t="shared" si="47"/>
        <v>2025</v>
      </c>
      <c r="AB148">
        <f t="shared" si="48"/>
        <v>9</v>
      </c>
      <c r="AC148" t="str">
        <f t="shared" si="49"/>
        <v>No</v>
      </c>
      <c r="AD148" t="str">
        <f t="shared" si="50"/>
        <v>No</v>
      </c>
      <c r="AE148" s="36">
        <f>IF(Dashboard!$P$47&gt;'Staging Data'!R148,'Staging Data'!R148,Dashboard!$P$47)</f>
        <v>0.1</v>
      </c>
      <c r="AF148">
        <f>(100%+Dashboard!$P$48)*'Staging Data'!P148</f>
        <v>936.03300000000013</v>
      </c>
      <c r="AG148">
        <f>(100%+Dashboard!$P$49)*S148</f>
        <v>6.24</v>
      </c>
      <c r="AH148" s="13">
        <f t="shared" si="51"/>
        <v>4091.8737600000009</v>
      </c>
      <c r="AI148" s="13">
        <f t="shared" si="52"/>
        <v>5840.8459200000007</v>
      </c>
      <c r="AJ148" s="13">
        <f t="shared" si="53"/>
        <v>-1748.9721599999998</v>
      </c>
    </row>
    <row r="149" spans="1:36" x14ac:dyDescent="0.45">
      <c r="A149" s="3" t="s">
        <v>369</v>
      </c>
      <c r="B149" s="5">
        <v>45292</v>
      </c>
      <c r="C149" s="5">
        <v>45318</v>
      </c>
      <c r="D149" s="5">
        <f t="shared" si="54"/>
        <v>45292</v>
      </c>
      <c r="E149" s="5">
        <f t="shared" si="55"/>
        <v>45318</v>
      </c>
      <c r="F149" s="7">
        <f t="shared" si="56"/>
        <v>26</v>
      </c>
      <c r="G149" s="23" t="str">
        <f t="shared" si="57"/>
        <v>1-2024</v>
      </c>
      <c r="H149" s="3" t="s">
        <v>649</v>
      </c>
      <c r="I149" s="3" t="s">
        <v>658</v>
      </c>
      <c r="J149" s="3" t="s">
        <v>693</v>
      </c>
      <c r="K149" s="3" t="s">
        <v>702</v>
      </c>
      <c r="L149" s="3" t="s">
        <v>710</v>
      </c>
      <c r="M149" s="3" t="s">
        <v>726</v>
      </c>
      <c r="N149" s="3" t="s">
        <v>733</v>
      </c>
      <c r="O149" s="3" t="s">
        <v>1089</v>
      </c>
      <c r="P149" s="19">
        <v>657.45</v>
      </c>
      <c r="Q149" s="19">
        <v>1325.96</v>
      </c>
      <c r="R149" s="15">
        <v>0.16700000000000001</v>
      </c>
      <c r="S149" s="7">
        <v>21</v>
      </c>
      <c r="T149" s="13">
        <f t="shared" si="45"/>
        <v>23195.01828</v>
      </c>
      <c r="U149" s="13">
        <f t="shared" si="46"/>
        <v>13806.45</v>
      </c>
      <c r="V149" s="13">
        <f t="shared" si="58"/>
        <v>9388.5682799999995</v>
      </c>
      <c r="W149" s="15">
        <f t="shared" si="59"/>
        <v>0.40476658249048808</v>
      </c>
      <c r="X149" s="17" t="str">
        <f t="shared" si="60"/>
        <v>Q1-2024</v>
      </c>
      <c r="Y149" t="str">
        <f t="shared" si="61"/>
        <v>Europe → United Kingdom → Manchester</v>
      </c>
      <c r="Z149" t="str">
        <f t="shared" si="62"/>
        <v>Medium</v>
      </c>
      <c r="AA149">
        <f t="shared" si="47"/>
        <v>2024</v>
      </c>
      <c r="AB149">
        <f t="shared" si="48"/>
        <v>1</v>
      </c>
      <c r="AC149" t="str">
        <f t="shared" si="49"/>
        <v>No</v>
      </c>
      <c r="AD149" t="str">
        <f t="shared" si="50"/>
        <v>No</v>
      </c>
      <c r="AE149" s="36">
        <f>IF(Dashboard!$P$47&gt;'Staging Data'!R149,'Staging Data'!R149,Dashboard!$P$47)</f>
        <v>0.1</v>
      </c>
      <c r="AF149">
        <f>(100%+Dashboard!$P$48)*'Staging Data'!P149</f>
        <v>690.3225000000001</v>
      </c>
      <c r="AG149">
        <f>(100%+Dashboard!$P$49)*S149</f>
        <v>21.84</v>
      </c>
      <c r="AH149" s="13">
        <f t="shared" si="51"/>
        <v>26063.069760000002</v>
      </c>
      <c r="AI149" s="13">
        <f t="shared" si="52"/>
        <v>15076.643400000003</v>
      </c>
      <c r="AJ149" s="13">
        <f t="shared" si="53"/>
        <v>10986.426359999999</v>
      </c>
    </row>
    <row r="150" spans="1:36" x14ac:dyDescent="0.45">
      <c r="A150" s="3" t="s">
        <v>163</v>
      </c>
      <c r="B150" s="5">
        <v>45183</v>
      </c>
      <c r="C150" s="5">
        <v>45185</v>
      </c>
      <c r="D150" s="5">
        <f t="shared" si="54"/>
        <v>45183</v>
      </c>
      <c r="E150" s="5">
        <f t="shared" si="55"/>
        <v>45185</v>
      </c>
      <c r="F150" s="7">
        <f t="shared" si="56"/>
        <v>2</v>
      </c>
      <c r="G150" s="23" t="str">
        <f t="shared" si="57"/>
        <v>9-2023</v>
      </c>
      <c r="H150" s="3" t="s">
        <v>649</v>
      </c>
      <c r="I150" s="3" t="s">
        <v>657</v>
      </c>
      <c r="J150" s="3" t="s">
        <v>679</v>
      </c>
      <c r="K150" s="3" t="s">
        <v>703</v>
      </c>
      <c r="L150" s="3" t="s">
        <v>711</v>
      </c>
      <c r="M150" s="3" t="s">
        <v>717</v>
      </c>
      <c r="N150" s="3" t="s">
        <v>728</v>
      </c>
      <c r="O150" s="3" t="s">
        <v>882</v>
      </c>
      <c r="P150" s="19">
        <v>376.83</v>
      </c>
      <c r="Q150" s="19">
        <v>732.88</v>
      </c>
      <c r="R150" s="15">
        <v>0.188</v>
      </c>
      <c r="S150" s="7">
        <v>25</v>
      </c>
      <c r="T150" s="13">
        <f t="shared" si="45"/>
        <v>14877.464000000002</v>
      </c>
      <c r="U150" s="13">
        <f t="shared" si="46"/>
        <v>9420.75</v>
      </c>
      <c r="V150" s="13">
        <f t="shared" si="58"/>
        <v>5456.7140000000018</v>
      </c>
      <c r="W150" s="15">
        <f t="shared" si="59"/>
        <v>0.36677716040852132</v>
      </c>
      <c r="X150" s="17" t="str">
        <f t="shared" si="60"/>
        <v>Q3-2023</v>
      </c>
      <c r="Y150" t="str">
        <f t="shared" si="61"/>
        <v>Europe → France → Lyon</v>
      </c>
      <c r="Z150" t="str">
        <f t="shared" si="62"/>
        <v>Low</v>
      </c>
      <c r="AA150">
        <f t="shared" si="47"/>
        <v>2023</v>
      </c>
      <c r="AB150">
        <f t="shared" si="48"/>
        <v>9</v>
      </c>
      <c r="AC150" t="str">
        <f t="shared" si="49"/>
        <v>Yes</v>
      </c>
      <c r="AD150" t="str">
        <f t="shared" si="50"/>
        <v>No</v>
      </c>
      <c r="AE150" s="36">
        <f>IF(Dashboard!$P$47&gt;'Staging Data'!R150,'Staging Data'!R150,Dashboard!$P$47)</f>
        <v>0.1</v>
      </c>
      <c r="AF150">
        <f>(100%+Dashboard!$P$48)*'Staging Data'!P150</f>
        <v>395.67149999999998</v>
      </c>
      <c r="AG150">
        <f>(100%+Dashboard!$P$49)*S150</f>
        <v>26</v>
      </c>
      <c r="AH150" s="13">
        <f t="shared" si="51"/>
        <v>17149.392</v>
      </c>
      <c r="AI150" s="13">
        <f t="shared" si="52"/>
        <v>10287.458999999999</v>
      </c>
      <c r="AJ150" s="13">
        <f t="shared" si="53"/>
        <v>6861.9330000000009</v>
      </c>
    </row>
    <row r="151" spans="1:36" x14ac:dyDescent="0.45">
      <c r="A151" s="3" t="s">
        <v>164</v>
      </c>
      <c r="B151" s="5">
        <v>45558</v>
      </c>
      <c r="C151" s="5">
        <v>45583</v>
      </c>
      <c r="D151" s="5">
        <f t="shared" si="54"/>
        <v>45558</v>
      </c>
      <c r="E151" s="5">
        <f t="shared" si="55"/>
        <v>45583</v>
      </c>
      <c r="F151" s="7">
        <f t="shared" si="56"/>
        <v>25</v>
      </c>
      <c r="G151" s="23" t="str">
        <f t="shared" si="57"/>
        <v>9-2024</v>
      </c>
      <c r="H151" s="3" t="s">
        <v>648</v>
      </c>
      <c r="I151" s="3" t="s">
        <v>653</v>
      </c>
      <c r="J151" s="3" t="s">
        <v>688</v>
      </c>
      <c r="K151" s="3" t="s">
        <v>705</v>
      </c>
      <c r="L151" s="3" t="s">
        <v>708</v>
      </c>
      <c r="M151" s="3" t="s">
        <v>725</v>
      </c>
      <c r="N151" s="3" t="s">
        <v>730</v>
      </c>
      <c r="O151" s="3" t="s">
        <v>883</v>
      </c>
      <c r="P151" s="19">
        <v>1297</v>
      </c>
      <c r="Q151" s="19">
        <v>2411.52</v>
      </c>
      <c r="R151" s="15">
        <v>2.1000000000000001E-2</v>
      </c>
      <c r="S151" s="7">
        <v>18</v>
      </c>
      <c r="T151" s="13">
        <f t="shared" si="45"/>
        <v>42495.805439999996</v>
      </c>
      <c r="U151" s="13">
        <f t="shared" si="46"/>
        <v>23346</v>
      </c>
      <c r="V151" s="13">
        <f t="shared" si="58"/>
        <v>19149.805439999996</v>
      </c>
      <c r="W151" s="15">
        <f t="shared" si="59"/>
        <v>0.45062813239385913</v>
      </c>
      <c r="X151" s="17" t="str">
        <f t="shared" si="60"/>
        <v>Q3-2024</v>
      </c>
      <c r="Y151" t="str">
        <f t="shared" si="61"/>
        <v>Americas → Canada → Vancouver</v>
      </c>
      <c r="Z151" t="str">
        <f t="shared" si="62"/>
        <v>High</v>
      </c>
      <c r="AA151">
        <f t="shared" si="47"/>
        <v>2024</v>
      </c>
      <c r="AB151">
        <f t="shared" si="48"/>
        <v>9</v>
      </c>
      <c r="AC151" t="str">
        <f t="shared" si="49"/>
        <v>No</v>
      </c>
      <c r="AD151" t="str">
        <f t="shared" si="50"/>
        <v>No</v>
      </c>
      <c r="AE151" s="36">
        <f>IF(Dashboard!$P$47&gt;'Staging Data'!R151,'Staging Data'!R151,Dashboard!$P$47)</f>
        <v>2.1000000000000001E-2</v>
      </c>
      <c r="AF151">
        <f>(100%+Dashboard!$P$48)*'Staging Data'!P151</f>
        <v>1361.8500000000001</v>
      </c>
      <c r="AG151">
        <f>(100%+Dashboard!$P$49)*S151</f>
        <v>18.72</v>
      </c>
      <c r="AH151" s="13">
        <f t="shared" si="51"/>
        <v>44195.637657599997</v>
      </c>
      <c r="AI151" s="13">
        <f t="shared" si="52"/>
        <v>25493.832000000002</v>
      </c>
      <c r="AJ151" s="13">
        <f t="shared" si="53"/>
        <v>18701.805657599994</v>
      </c>
    </row>
    <row r="152" spans="1:36" x14ac:dyDescent="0.45">
      <c r="A152" s="3" t="s">
        <v>165</v>
      </c>
      <c r="B152" s="5">
        <v>45763</v>
      </c>
      <c r="C152" s="5">
        <v>45793</v>
      </c>
      <c r="D152" s="5">
        <f t="shared" si="54"/>
        <v>45763</v>
      </c>
      <c r="E152" s="5">
        <f t="shared" si="55"/>
        <v>45793</v>
      </c>
      <c r="F152" s="7">
        <f t="shared" si="56"/>
        <v>30</v>
      </c>
      <c r="G152" s="23" t="str">
        <f t="shared" si="57"/>
        <v>4-2025</v>
      </c>
      <c r="H152" s="3" t="s">
        <v>648</v>
      </c>
      <c r="I152" s="3" t="s">
        <v>653</v>
      </c>
      <c r="J152" s="3" t="s">
        <v>681</v>
      </c>
      <c r="K152" s="3" t="s">
        <v>706</v>
      </c>
      <c r="L152" s="3" t="s">
        <v>710</v>
      </c>
      <c r="M152" s="3" t="s">
        <v>723</v>
      </c>
      <c r="N152" s="3" t="s">
        <v>728</v>
      </c>
      <c r="O152" s="3" t="s">
        <v>884</v>
      </c>
      <c r="P152" s="19">
        <v>763.32</v>
      </c>
      <c r="Q152" s="19">
        <v>568.29</v>
      </c>
      <c r="R152" s="15">
        <v>0.13100000000000001</v>
      </c>
      <c r="S152" s="7">
        <v>16</v>
      </c>
      <c r="T152" s="13">
        <f t="shared" si="45"/>
        <v>7901.5041599999995</v>
      </c>
      <c r="U152" s="13">
        <f t="shared" si="46"/>
        <v>12213.12</v>
      </c>
      <c r="V152" s="13">
        <f t="shared" si="58"/>
        <v>-4311.6158400000013</v>
      </c>
      <c r="W152" s="15">
        <f t="shared" si="59"/>
        <v>-0.54567026134426555</v>
      </c>
      <c r="X152" s="17" t="str">
        <f t="shared" si="60"/>
        <v>Q2-2025</v>
      </c>
      <c r="Y152" t="str">
        <f t="shared" si="61"/>
        <v>Americas → Canada → Montreal</v>
      </c>
      <c r="Z152" t="str">
        <f t="shared" si="62"/>
        <v>Low</v>
      </c>
      <c r="AA152">
        <f t="shared" si="47"/>
        <v>2025</v>
      </c>
      <c r="AB152">
        <f t="shared" si="48"/>
        <v>4</v>
      </c>
      <c r="AC152" t="str">
        <f t="shared" si="49"/>
        <v>No</v>
      </c>
      <c r="AD152" t="str">
        <f t="shared" si="50"/>
        <v>No</v>
      </c>
      <c r="AE152" s="36">
        <f>IF(Dashboard!$P$47&gt;'Staging Data'!R152,'Staging Data'!R152,Dashboard!$P$47)</f>
        <v>0.1</v>
      </c>
      <c r="AF152">
        <f>(100%+Dashboard!$P$48)*'Staging Data'!P152</f>
        <v>801.4860000000001</v>
      </c>
      <c r="AG152">
        <f>(100%+Dashboard!$P$49)*S152</f>
        <v>16.64</v>
      </c>
      <c r="AH152" s="13">
        <f t="shared" si="51"/>
        <v>8510.7110400000001</v>
      </c>
      <c r="AI152" s="13">
        <f t="shared" si="52"/>
        <v>13336.727040000002</v>
      </c>
      <c r="AJ152" s="13">
        <f t="shared" si="53"/>
        <v>-4826.0160000000014</v>
      </c>
    </row>
    <row r="153" spans="1:36" x14ac:dyDescent="0.45">
      <c r="A153" s="3" t="s">
        <v>166</v>
      </c>
      <c r="B153" s="5">
        <v>45110</v>
      </c>
      <c r="C153" s="5">
        <v>45130</v>
      </c>
      <c r="D153" s="5">
        <f t="shared" si="54"/>
        <v>45110</v>
      </c>
      <c r="E153" s="5">
        <f t="shared" si="55"/>
        <v>45130</v>
      </c>
      <c r="F153" s="7">
        <f t="shared" si="56"/>
        <v>20</v>
      </c>
      <c r="G153" s="23" t="str">
        <f t="shared" si="57"/>
        <v>7-2023</v>
      </c>
      <c r="H153" s="3" t="s">
        <v>646</v>
      </c>
      <c r="I153" s="3" t="s">
        <v>661</v>
      </c>
      <c r="J153" s="3" t="s">
        <v>682</v>
      </c>
      <c r="K153" s="3" t="s">
        <v>705</v>
      </c>
      <c r="L153" s="3" t="s">
        <v>710</v>
      </c>
      <c r="M153" s="3" t="s">
        <v>721</v>
      </c>
      <c r="N153" s="3" t="s">
        <v>731</v>
      </c>
      <c r="O153" s="3" t="s">
        <v>885</v>
      </c>
      <c r="P153" s="19">
        <v>1001.96</v>
      </c>
      <c r="Q153" s="19">
        <v>1254.95</v>
      </c>
      <c r="R153" s="15">
        <v>4.4999999999999998E-2</v>
      </c>
      <c r="S153" s="7">
        <v>18</v>
      </c>
      <c r="T153" s="13">
        <f t="shared" si="45"/>
        <v>21572.590500000002</v>
      </c>
      <c r="U153" s="13">
        <f t="shared" si="46"/>
        <v>18035.28</v>
      </c>
      <c r="V153" s="13">
        <f t="shared" si="58"/>
        <v>3537.3105000000032</v>
      </c>
      <c r="W153" s="15">
        <f t="shared" si="59"/>
        <v>0.16397244920585699</v>
      </c>
      <c r="X153" s="17" t="str">
        <f t="shared" si="60"/>
        <v>Q3-2023</v>
      </c>
      <c r="Y153" t="str">
        <f t="shared" si="61"/>
        <v>Africa → South Africa → Johannesburg</v>
      </c>
      <c r="Z153" t="str">
        <f t="shared" si="62"/>
        <v>Medium</v>
      </c>
      <c r="AA153">
        <f t="shared" si="47"/>
        <v>2023</v>
      </c>
      <c r="AB153">
        <f t="shared" si="48"/>
        <v>7</v>
      </c>
      <c r="AC153" t="str">
        <f t="shared" si="49"/>
        <v>No</v>
      </c>
      <c r="AD153" t="str">
        <f t="shared" si="50"/>
        <v>No</v>
      </c>
      <c r="AE153" s="36">
        <f>IF(Dashboard!$P$47&gt;'Staging Data'!R153,'Staging Data'!R153,Dashboard!$P$47)</f>
        <v>4.4999999999999998E-2</v>
      </c>
      <c r="AF153">
        <f>(100%+Dashboard!$P$48)*'Staging Data'!P153</f>
        <v>1052.058</v>
      </c>
      <c r="AG153">
        <f>(100%+Dashboard!$P$49)*S153</f>
        <v>18.72</v>
      </c>
      <c r="AH153" s="13">
        <f t="shared" si="51"/>
        <v>22435.494119999999</v>
      </c>
      <c r="AI153" s="13">
        <f t="shared" si="52"/>
        <v>19694.52576</v>
      </c>
      <c r="AJ153" s="13">
        <f t="shared" si="53"/>
        <v>2740.9683599999989</v>
      </c>
    </row>
    <row r="154" spans="1:36" x14ac:dyDescent="0.45">
      <c r="A154" s="3" t="s">
        <v>167</v>
      </c>
      <c r="B154" s="5">
        <v>45267</v>
      </c>
      <c r="C154" s="5">
        <v>45265</v>
      </c>
      <c r="D154" s="5">
        <f t="shared" si="54"/>
        <v>45265</v>
      </c>
      <c r="E154" s="5">
        <f t="shared" si="55"/>
        <v>45267</v>
      </c>
      <c r="F154" s="7">
        <f t="shared" si="56"/>
        <v>2</v>
      </c>
      <c r="G154" s="23" t="str">
        <f t="shared" si="57"/>
        <v>12-2023</v>
      </c>
      <c r="H154" s="3" t="s">
        <v>647</v>
      </c>
      <c r="I154" s="3" t="s">
        <v>652</v>
      </c>
      <c r="J154" s="3" t="s">
        <v>689</v>
      </c>
      <c r="K154" s="3" t="s">
        <v>703</v>
      </c>
      <c r="L154" s="3" t="s">
        <v>709</v>
      </c>
      <c r="M154" s="3" t="s">
        <v>722</v>
      </c>
      <c r="N154" s="3" t="s">
        <v>728</v>
      </c>
      <c r="O154" s="3" t="s">
        <v>886</v>
      </c>
      <c r="P154" s="19">
        <v>1097.5899999999999</v>
      </c>
      <c r="Q154" s="19">
        <v>845.55</v>
      </c>
      <c r="R154" s="15">
        <v>0.184</v>
      </c>
      <c r="S154" s="7">
        <v>6</v>
      </c>
      <c r="T154" s="13">
        <f t="shared" si="45"/>
        <v>4139.8127999999997</v>
      </c>
      <c r="U154" s="13">
        <f t="shared" si="46"/>
        <v>6585.5399999999991</v>
      </c>
      <c r="V154" s="13">
        <f t="shared" si="58"/>
        <v>-2445.7271999999994</v>
      </c>
      <c r="W154" s="15">
        <f t="shared" si="59"/>
        <v>-0.59078207594314402</v>
      </c>
      <c r="X154" s="17" t="str">
        <f t="shared" si="60"/>
        <v>Q4-2023</v>
      </c>
      <c r="Y154" t="str">
        <f t="shared" si="61"/>
        <v>Asia → Japan → Tokyo</v>
      </c>
      <c r="Z154" t="str">
        <f t="shared" si="62"/>
        <v>Low</v>
      </c>
      <c r="AA154">
        <f t="shared" si="47"/>
        <v>2023</v>
      </c>
      <c r="AB154">
        <f t="shared" si="48"/>
        <v>12</v>
      </c>
      <c r="AC154" t="str">
        <f t="shared" si="49"/>
        <v>Yes</v>
      </c>
      <c r="AD154" t="str">
        <f t="shared" si="50"/>
        <v>No</v>
      </c>
      <c r="AE154" s="36">
        <f>IF(Dashboard!$P$47&gt;'Staging Data'!R154,'Staging Data'!R154,Dashboard!$P$47)</f>
        <v>0.1</v>
      </c>
      <c r="AF154">
        <f>(100%+Dashboard!$P$48)*'Staging Data'!P154</f>
        <v>1152.4694999999999</v>
      </c>
      <c r="AG154">
        <f>(100%+Dashboard!$P$49)*S154</f>
        <v>6.24</v>
      </c>
      <c r="AH154" s="13">
        <f t="shared" si="51"/>
        <v>4748.6088</v>
      </c>
      <c r="AI154" s="13">
        <f t="shared" si="52"/>
        <v>7191.4096799999998</v>
      </c>
      <c r="AJ154" s="13">
        <f t="shared" si="53"/>
        <v>-2442.8008799999998</v>
      </c>
    </row>
    <row r="155" spans="1:36" x14ac:dyDescent="0.45">
      <c r="A155" s="3" t="s">
        <v>168</v>
      </c>
      <c r="B155" s="5">
        <v>45340</v>
      </c>
      <c r="C155" s="5">
        <v>45355</v>
      </c>
      <c r="D155" s="5">
        <f t="shared" si="54"/>
        <v>45340</v>
      </c>
      <c r="E155" s="5">
        <f t="shared" si="55"/>
        <v>45355</v>
      </c>
      <c r="F155" s="7">
        <f t="shared" si="56"/>
        <v>15</v>
      </c>
      <c r="G155" s="23" t="str">
        <f t="shared" si="57"/>
        <v>2-2024</v>
      </c>
      <c r="H155" s="3" t="s">
        <v>646</v>
      </c>
      <c r="I155" s="3" t="s">
        <v>650</v>
      </c>
      <c r="J155" s="3" t="s">
        <v>662</v>
      </c>
      <c r="K155" s="3" t="s">
        <v>702</v>
      </c>
      <c r="L155" s="3" t="s">
        <v>711</v>
      </c>
      <c r="M155" s="3" t="s">
        <v>723</v>
      </c>
      <c r="N155" s="3" t="s">
        <v>728</v>
      </c>
      <c r="O155" s="3" t="s">
        <v>887</v>
      </c>
      <c r="P155" s="19">
        <v>928.68</v>
      </c>
      <c r="Q155" s="19">
        <v>2145.17</v>
      </c>
      <c r="R155" s="15">
        <v>0.13600000000000001</v>
      </c>
      <c r="S155" s="7">
        <v>16</v>
      </c>
      <c r="T155" s="13">
        <f t="shared" si="45"/>
        <v>29654.83008</v>
      </c>
      <c r="U155" s="13">
        <f t="shared" si="46"/>
        <v>14858.88</v>
      </c>
      <c r="V155" s="13">
        <f t="shared" si="58"/>
        <v>14795.950080000001</v>
      </c>
      <c r="W155" s="15">
        <f t="shared" si="59"/>
        <v>0.49893896003062177</v>
      </c>
      <c r="X155" s="17" t="str">
        <f t="shared" si="60"/>
        <v>Q1-2024</v>
      </c>
      <c r="Y155" t="str">
        <f t="shared" si="61"/>
        <v>Africa → Kenya → Kisumu</v>
      </c>
      <c r="Z155" t="str">
        <f t="shared" si="62"/>
        <v>High</v>
      </c>
      <c r="AA155">
        <f t="shared" si="47"/>
        <v>2024</v>
      </c>
      <c r="AB155">
        <f t="shared" si="48"/>
        <v>2</v>
      </c>
      <c r="AC155" t="str">
        <f t="shared" si="49"/>
        <v>No</v>
      </c>
      <c r="AD155" t="str">
        <f t="shared" si="50"/>
        <v>No</v>
      </c>
      <c r="AE155" s="36">
        <f>IF(Dashboard!$P$47&gt;'Staging Data'!R155,'Staging Data'!R155,Dashboard!$P$47)</f>
        <v>0.1</v>
      </c>
      <c r="AF155">
        <f>(100%+Dashboard!$P$48)*'Staging Data'!P155</f>
        <v>975.11400000000003</v>
      </c>
      <c r="AG155">
        <f>(100%+Dashboard!$P$49)*S155</f>
        <v>16.64</v>
      </c>
      <c r="AH155" s="13">
        <f t="shared" si="51"/>
        <v>32126.065920000005</v>
      </c>
      <c r="AI155" s="13">
        <f t="shared" si="52"/>
        <v>16225.896960000002</v>
      </c>
      <c r="AJ155" s="13">
        <f t="shared" si="53"/>
        <v>15900.168960000003</v>
      </c>
    </row>
    <row r="156" spans="1:36" x14ac:dyDescent="0.45">
      <c r="A156" s="3" t="s">
        <v>493</v>
      </c>
      <c r="B156" s="5">
        <v>45032</v>
      </c>
      <c r="C156" s="5">
        <v>45035</v>
      </c>
      <c r="D156" s="5">
        <f t="shared" si="54"/>
        <v>45032</v>
      </c>
      <c r="E156" s="5">
        <f t="shared" si="55"/>
        <v>45035</v>
      </c>
      <c r="F156" s="7">
        <f t="shared" si="56"/>
        <v>3</v>
      </c>
      <c r="G156" s="23" t="str">
        <f t="shared" si="57"/>
        <v>4-2023</v>
      </c>
      <c r="H156" s="3" t="s">
        <v>649</v>
      </c>
      <c r="I156" s="3" t="s">
        <v>656</v>
      </c>
      <c r="J156" s="3" t="s">
        <v>684</v>
      </c>
      <c r="K156" s="3" t="s">
        <v>701</v>
      </c>
      <c r="L156" s="3" t="s">
        <v>711</v>
      </c>
      <c r="M156" s="3" t="s">
        <v>717</v>
      </c>
      <c r="N156" s="3" t="s">
        <v>733</v>
      </c>
      <c r="O156" s="3" t="s">
        <v>1212</v>
      </c>
      <c r="P156" s="19">
        <v>553.61</v>
      </c>
      <c r="Q156" s="19">
        <v>699.47</v>
      </c>
      <c r="R156" s="15">
        <v>0.02</v>
      </c>
      <c r="S156" s="7">
        <v>33</v>
      </c>
      <c r="T156" s="13">
        <f t="shared" si="45"/>
        <v>22620.859800000002</v>
      </c>
      <c r="U156" s="13">
        <f t="shared" si="46"/>
        <v>18269.13</v>
      </c>
      <c r="V156" s="13">
        <f t="shared" si="58"/>
        <v>4351.729800000001</v>
      </c>
      <c r="W156" s="15">
        <f t="shared" si="59"/>
        <v>0.19237685209472014</v>
      </c>
      <c r="X156" s="17" t="str">
        <f t="shared" si="60"/>
        <v>Q2-2023</v>
      </c>
      <c r="Y156" t="str">
        <f t="shared" si="61"/>
        <v>Europe → Germany → Munich</v>
      </c>
      <c r="Z156" t="str">
        <f t="shared" si="62"/>
        <v>Low</v>
      </c>
      <c r="AA156">
        <f t="shared" si="47"/>
        <v>2023</v>
      </c>
      <c r="AB156">
        <f t="shared" si="48"/>
        <v>4</v>
      </c>
      <c r="AC156" t="str">
        <f t="shared" si="49"/>
        <v>Yes</v>
      </c>
      <c r="AD156" t="str">
        <f t="shared" si="50"/>
        <v>No</v>
      </c>
      <c r="AE156" s="36">
        <f>IF(Dashboard!$P$47&gt;'Staging Data'!R156,'Staging Data'!R156,Dashboard!$P$47)</f>
        <v>0.02</v>
      </c>
      <c r="AF156">
        <f>(100%+Dashboard!$P$48)*'Staging Data'!P156</f>
        <v>581.29050000000007</v>
      </c>
      <c r="AG156">
        <f>(100%+Dashboard!$P$49)*S156</f>
        <v>34.32</v>
      </c>
      <c r="AH156" s="13">
        <f t="shared" si="51"/>
        <v>23525.694192000003</v>
      </c>
      <c r="AI156" s="13">
        <f t="shared" si="52"/>
        <v>19949.889960000004</v>
      </c>
      <c r="AJ156" s="13">
        <f t="shared" si="53"/>
        <v>3575.8042319999986</v>
      </c>
    </row>
    <row r="157" spans="1:36" x14ac:dyDescent="0.45">
      <c r="A157" s="3" t="s">
        <v>170</v>
      </c>
      <c r="B157" s="5">
        <v>45511</v>
      </c>
      <c r="C157" s="5">
        <v>45521</v>
      </c>
      <c r="D157" s="5">
        <f t="shared" si="54"/>
        <v>45511</v>
      </c>
      <c r="E157" s="5">
        <f t="shared" si="55"/>
        <v>45521</v>
      </c>
      <c r="F157" s="7">
        <f t="shared" si="56"/>
        <v>10</v>
      </c>
      <c r="G157" s="23" t="str">
        <f t="shared" si="57"/>
        <v>8-2024</v>
      </c>
      <c r="H157" s="3" t="s">
        <v>647</v>
      </c>
      <c r="I157" s="3" t="s">
        <v>652</v>
      </c>
      <c r="J157" s="3" t="s">
        <v>666</v>
      </c>
      <c r="K157" s="3" t="s">
        <v>704</v>
      </c>
      <c r="L157" s="3" t="s">
        <v>708</v>
      </c>
      <c r="M157" s="3" t="s">
        <v>723</v>
      </c>
      <c r="N157" s="3" t="s">
        <v>729</v>
      </c>
      <c r="O157" s="3" t="s">
        <v>889</v>
      </c>
      <c r="P157" s="19">
        <v>436.58</v>
      </c>
      <c r="Q157" s="19">
        <v>527.48</v>
      </c>
      <c r="R157" s="15">
        <v>0.111</v>
      </c>
      <c r="S157" s="7">
        <v>19</v>
      </c>
      <c r="T157" s="13">
        <f t="shared" si="45"/>
        <v>8909.6646800000017</v>
      </c>
      <c r="U157" s="13">
        <f t="shared" si="46"/>
        <v>8295.02</v>
      </c>
      <c r="V157" s="13">
        <f t="shared" si="58"/>
        <v>614.64468000000124</v>
      </c>
      <c r="W157" s="15">
        <f t="shared" si="59"/>
        <v>6.8986286473802644E-2</v>
      </c>
      <c r="X157" s="17" t="str">
        <f t="shared" si="60"/>
        <v>Q3-2024</v>
      </c>
      <c r="Y157" t="str">
        <f t="shared" si="61"/>
        <v>Asia → Japan → Osaka</v>
      </c>
      <c r="Z157" t="str">
        <f t="shared" si="62"/>
        <v>Low</v>
      </c>
      <c r="AA157">
        <f t="shared" si="47"/>
        <v>2024</v>
      </c>
      <c r="AB157">
        <f t="shared" si="48"/>
        <v>8</v>
      </c>
      <c r="AC157" t="str">
        <f t="shared" si="49"/>
        <v>No</v>
      </c>
      <c r="AD157" t="str">
        <f t="shared" si="50"/>
        <v>No</v>
      </c>
      <c r="AE157" s="36">
        <f>IF(Dashboard!$P$47&gt;'Staging Data'!R157,'Staging Data'!R157,Dashboard!$P$47)</f>
        <v>0.1</v>
      </c>
      <c r="AF157">
        <f>(100%+Dashboard!$P$48)*'Staging Data'!P157</f>
        <v>458.40899999999999</v>
      </c>
      <c r="AG157">
        <f>(100%+Dashboard!$P$49)*S157</f>
        <v>19.760000000000002</v>
      </c>
      <c r="AH157" s="13">
        <f t="shared" si="51"/>
        <v>9380.7043200000007</v>
      </c>
      <c r="AI157" s="13">
        <f t="shared" si="52"/>
        <v>9058.1618400000007</v>
      </c>
      <c r="AJ157" s="13">
        <f t="shared" si="53"/>
        <v>322.54248000000007</v>
      </c>
    </row>
    <row r="158" spans="1:36" x14ac:dyDescent="0.45">
      <c r="A158" s="3" t="s">
        <v>171</v>
      </c>
      <c r="B158" s="5">
        <v>45323</v>
      </c>
      <c r="C158" s="5">
        <v>45343</v>
      </c>
      <c r="D158" s="5">
        <f t="shared" si="54"/>
        <v>45323</v>
      </c>
      <c r="E158" s="5">
        <f t="shared" si="55"/>
        <v>45343</v>
      </c>
      <c r="F158" s="7">
        <f t="shared" si="56"/>
        <v>20</v>
      </c>
      <c r="G158" s="23" t="str">
        <f t="shared" si="57"/>
        <v>2-2024</v>
      </c>
      <c r="H158" s="3" t="s">
        <v>649</v>
      </c>
      <c r="I158" s="3" t="s">
        <v>657</v>
      </c>
      <c r="J158" s="3" t="s">
        <v>690</v>
      </c>
      <c r="K158" s="3" t="s">
        <v>705</v>
      </c>
      <c r="L158" s="3" t="s">
        <v>709</v>
      </c>
      <c r="M158" s="3" t="s">
        <v>720</v>
      </c>
      <c r="N158" s="3" t="s">
        <v>729</v>
      </c>
      <c r="O158" s="3" t="s">
        <v>890</v>
      </c>
      <c r="P158" s="19">
        <v>656.2</v>
      </c>
      <c r="Q158" s="19">
        <v>1467.17</v>
      </c>
      <c r="R158" s="15">
        <v>1.7999999999999999E-2</v>
      </c>
      <c r="S158" s="7">
        <v>5</v>
      </c>
      <c r="T158" s="13">
        <f t="shared" si="45"/>
        <v>7203.8047000000006</v>
      </c>
      <c r="U158" s="13">
        <f t="shared" si="46"/>
        <v>3281</v>
      </c>
      <c r="V158" s="13">
        <f t="shared" si="58"/>
        <v>3922.8047000000006</v>
      </c>
      <c r="W158" s="15">
        <f t="shared" si="59"/>
        <v>0.54454623124360946</v>
      </c>
      <c r="X158" s="17" t="str">
        <f t="shared" si="60"/>
        <v>Q1-2024</v>
      </c>
      <c r="Y158" t="str">
        <f t="shared" si="61"/>
        <v>Europe → France → Paris</v>
      </c>
      <c r="Z158" t="str">
        <f t="shared" si="62"/>
        <v>Medium</v>
      </c>
      <c r="AA158">
        <f t="shared" si="47"/>
        <v>2024</v>
      </c>
      <c r="AB158">
        <f t="shared" si="48"/>
        <v>2</v>
      </c>
      <c r="AC158" t="str">
        <f t="shared" si="49"/>
        <v>No</v>
      </c>
      <c r="AD158" t="str">
        <f t="shared" si="50"/>
        <v>No</v>
      </c>
      <c r="AE158" s="36">
        <f>IF(Dashboard!$P$47&gt;'Staging Data'!R158,'Staging Data'!R158,Dashboard!$P$47)</f>
        <v>1.7999999999999999E-2</v>
      </c>
      <c r="AF158">
        <f>(100%+Dashboard!$P$48)*'Staging Data'!P158</f>
        <v>689.0100000000001</v>
      </c>
      <c r="AG158">
        <f>(100%+Dashboard!$P$49)*S158</f>
        <v>5.2</v>
      </c>
      <c r="AH158" s="13">
        <f t="shared" si="51"/>
        <v>7491.9568880000006</v>
      </c>
      <c r="AI158" s="13">
        <f t="shared" si="52"/>
        <v>3582.8520000000008</v>
      </c>
      <c r="AJ158" s="13">
        <f t="shared" si="53"/>
        <v>3909.1048879999998</v>
      </c>
    </row>
    <row r="159" spans="1:36" x14ac:dyDescent="0.45">
      <c r="A159" s="3" t="s">
        <v>172</v>
      </c>
      <c r="B159" s="5">
        <v>45531</v>
      </c>
      <c r="C159" s="5">
        <v>45553</v>
      </c>
      <c r="D159" s="5">
        <f t="shared" si="54"/>
        <v>45531</v>
      </c>
      <c r="E159" s="5">
        <f t="shared" si="55"/>
        <v>45553</v>
      </c>
      <c r="F159" s="7">
        <f t="shared" si="56"/>
        <v>22</v>
      </c>
      <c r="G159" s="23" t="str">
        <f t="shared" si="57"/>
        <v>8-2024</v>
      </c>
      <c r="H159" s="3" t="s">
        <v>647</v>
      </c>
      <c r="I159" s="3" t="s">
        <v>654</v>
      </c>
      <c r="J159" s="3" t="s">
        <v>680</v>
      </c>
      <c r="K159" s="3" t="s">
        <v>704</v>
      </c>
      <c r="L159" s="3" t="s">
        <v>711</v>
      </c>
      <c r="M159" s="3" t="s">
        <v>717</v>
      </c>
      <c r="N159" s="3" t="s">
        <v>727</v>
      </c>
      <c r="O159" s="3" t="s">
        <v>891</v>
      </c>
      <c r="P159" s="19">
        <v>896.75</v>
      </c>
      <c r="Q159" s="19">
        <v>1651.14</v>
      </c>
      <c r="R159" s="15">
        <v>2.5000000000000001E-2</v>
      </c>
      <c r="S159" s="7">
        <v>15</v>
      </c>
      <c r="T159" s="13">
        <f t="shared" si="45"/>
        <v>24147.922500000001</v>
      </c>
      <c r="U159" s="13">
        <f t="shared" si="46"/>
        <v>13451.25</v>
      </c>
      <c r="V159" s="13">
        <f t="shared" si="58"/>
        <v>10696.672500000001</v>
      </c>
      <c r="W159" s="15">
        <f t="shared" si="59"/>
        <v>0.44296450346815552</v>
      </c>
      <c r="X159" s="17" t="str">
        <f t="shared" si="60"/>
        <v>Q3-2024</v>
      </c>
      <c r="Y159" t="str">
        <f t="shared" si="61"/>
        <v>Asia → India → Delhi</v>
      </c>
      <c r="Z159" t="str">
        <f t="shared" si="62"/>
        <v>Medium</v>
      </c>
      <c r="AA159">
        <f t="shared" si="47"/>
        <v>2024</v>
      </c>
      <c r="AB159">
        <f t="shared" si="48"/>
        <v>8</v>
      </c>
      <c r="AC159" t="str">
        <f t="shared" si="49"/>
        <v>No</v>
      </c>
      <c r="AD159" t="str">
        <f t="shared" si="50"/>
        <v>No</v>
      </c>
      <c r="AE159" s="36">
        <f>IF(Dashboard!$P$47&gt;'Staging Data'!R159,'Staging Data'!R159,Dashboard!$P$47)</f>
        <v>2.5000000000000001E-2</v>
      </c>
      <c r="AF159">
        <f>(100%+Dashboard!$P$48)*'Staging Data'!P159</f>
        <v>941.58750000000009</v>
      </c>
      <c r="AG159">
        <f>(100%+Dashboard!$P$49)*S159</f>
        <v>15.600000000000001</v>
      </c>
      <c r="AH159" s="13">
        <f t="shared" si="51"/>
        <v>25113.839400000004</v>
      </c>
      <c r="AI159" s="13">
        <f t="shared" si="52"/>
        <v>14688.765000000003</v>
      </c>
      <c r="AJ159" s="13">
        <f t="shared" si="53"/>
        <v>10425.074400000001</v>
      </c>
    </row>
    <row r="160" spans="1:36" x14ac:dyDescent="0.45">
      <c r="A160" s="3" t="s">
        <v>536</v>
      </c>
      <c r="B160" s="5">
        <v>45482</v>
      </c>
      <c r="C160" s="5">
        <v>45485</v>
      </c>
      <c r="D160" s="5">
        <f t="shared" si="54"/>
        <v>45482</v>
      </c>
      <c r="E160" s="5">
        <f t="shared" si="55"/>
        <v>45485</v>
      </c>
      <c r="F160" s="7">
        <f t="shared" si="56"/>
        <v>3</v>
      </c>
      <c r="G160" s="23" t="str">
        <f t="shared" si="57"/>
        <v>7-2024</v>
      </c>
      <c r="H160" s="3" t="s">
        <v>647</v>
      </c>
      <c r="I160" s="3" t="s">
        <v>659</v>
      </c>
      <c r="J160" s="3" t="s">
        <v>685</v>
      </c>
      <c r="K160" s="3" t="s">
        <v>705</v>
      </c>
      <c r="L160" s="3" t="s">
        <v>707</v>
      </c>
      <c r="M160" s="3" t="s">
        <v>726</v>
      </c>
      <c r="N160" s="3" t="s">
        <v>733</v>
      </c>
      <c r="O160" s="3" t="s">
        <v>1255</v>
      </c>
      <c r="P160" s="19">
        <v>748.39</v>
      </c>
      <c r="Q160" s="19">
        <v>979.42</v>
      </c>
      <c r="R160" s="15">
        <v>0</v>
      </c>
      <c r="S160" s="7">
        <v>23</v>
      </c>
      <c r="T160" s="13">
        <f t="shared" si="45"/>
        <v>22526.66</v>
      </c>
      <c r="U160" s="13">
        <f t="shared" si="46"/>
        <v>17212.97</v>
      </c>
      <c r="V160" s="13">
        <f t="shared" si="58"/>
        <v>5313.6899999999987</v>
      </c>
      <c r="W160" s="15">
        <f t="shared" si="59"/>
        <v>0.23588450307324738</v>
      </c>
      <c r="X160" s="17" t="str">
        <f t="shared" si="60"/>
        <v>Q3-2024</v>
      </c>
      <c r="Y160" t="str">
        <f t="shared" si="61"/>
        <v>Asia → China → Shanghai</v>
      </c>
      <c r="Z160" t="str">
        <f t="shared" si="62"/>
        <v>Low</v>
      </c>
      <c r="AA160">
        <f t="shared" si="47"/>
        <v>2024</v>
      </c>
      <c r="AB160">
        <f t="shared" si="48"/>
        <v>7</v>
      </c>
      <c r="AC160" t="str">
        <f t="shared" si="49"/>
        <v>Yes</v>
      </c>
      <c r="AD160" t="str">
        <f t="shared" si="50"/>
        <v>No</v>
      </c>
      <c r="AE160" s="36">
        <f>IF(Dashboard!$P$47&gt;'Staging Data'!R160,'Staging Data'!R160,Dashboard!$P$47)</f>
        <v>0</v>
      </c>
      <c r="AF160">
        <f>(100%+Dashboard!$P$48)*'Staging Data'!P160</f>
        <v>785.80950000000007</v>
      </c>
      <c r="AG160">
        <f>(100%+Dashboard!$P$49)*S160</f>
        <v>23.92</v>
      </c>
      <c r="AH160" s="13">
        <f t="shared" si="51"/>
        <v>23427.7264</v>
      </c>
      <c r="AI160" s="13">
        <f t="shared" si="52"/>
        <v>18796.563240000003</v>
      </c>
      <c r="AJ160" s="13">
        <f t="shared" si="53"/>
        <v>4631.1631599999964</v>
      </c>
    </row>
    <row r="161" spans="1:36" x14ac:dyDescent="0.45">
      <c r="A161" s="3" t="s">
        <v>174</v>
      </c>
      <c r="B161" s="5">
        <v>45870</v>
      </c>
      <c r="C161" s="5">
        <v>45890</v>
      </c>
      <c r="D161" s="5">
        <f t="shared" si="54"/>
        <v>45870</v>
      </c>
      <c r="E161" s="5">
        <f t="shared" si="55"/>
        <v>45890</v>
      </c>
      <c r="F161" s="7">
        <f t="shared" si="56"/>
        <v>20</v>
      </c>
      <c r="G161" s="23" t="str">
        <f t="shared" si="57"/>
        <v>8-2025</v>
      </c>
      <c r="H161" s="3" t="s">
        <v>647</v>
      </c>
      <c r="I161" s="3" t="s">
        <v>659</v>
      </c>
      <c r="J161" s="3" t="s">
        <v>685</v>
      </c>
      <c r="K161" s="3" t="s">
        <v>701</v>
      </c>
      <c r="L161" s="3" t="s">
        <v>711</v>
      </c>
      <c r="M161" s="3" t="s">
        <v>714</v>
      </c>
      <c r="N161" s="3" t="s">
        <v>730</v>
      </c>
      <c r="O161" s="3" t="s">
        <v>893</v>
      </c>
      <c r="P161" s="19">
        <v>1220.4100000000001</v>
      </c>
      <c r="Q161" s="19">
        <v>2552.2199999999998</v>
      </c>
      <c r="R161" s="15">
        <v>0.18099999999999999</v>
      </c>
      <c r="S161" s="7">
        <v>14</v>
      </c>
      <c r="T161" s="13">
        <f t="shared" si="45"/>
        <v>29263.754519999995</v>
      </c>
      <c r="U161" s="13">
        <f t="shared" si="46"/>
        <v>17085.740000000002</v>
      </c>
      <c r="V161" s="13">
        <f t="shared" si="58"/>
        <v>12178.014519999993</v>
      </c>
      <c r="W161" s="15">
        <f t="shared" si="59"/>
        <v>0.41614668793360271</v>
      </c>
      <c r="X161" s="17" t="str">
        <f t="shared" si="60"/>
        <v>Q3-2025</v>
      </c>
      <c r="Y161" t="str">
        <f t="shared" si="61"/>
        <v>Asia → China → Shanghai</v>
      </c>
      <c r="Z161" t="str">
        <f t="shared" si="62"/>
        <v>High</v>
      </c>
      <c r="AA161">
        <f t="shared" si="47"/>
        <v>2025</v>
      </c>
      <c r="AB161">
        <f t="shared" si="48"/>
        <v>8</v>
      </c>
      <c r="AC161" t="str">
        <f t="shared" si="49"/>
        <v>No</v>
      </c>
      <c r="AD161" t="str">
        <f t="shared" si="50"/>
        <v>No</v>
      </c>
      <c r="AE161" s="36">
        <f>IF(Dashboard!$P$47&gt;'Staging Data'!R161,'Staging Data'!R161,Dashboard!$P$47)</f>
        <v>0.1</v>
      </c>
      <c r="AF161">
        <f>(100%+Dashboard!$P$48)*'Staging Data'!P161</f>
        <v>1281.4305000000002</v>
      </c>
      <c r="AG161">
        <f>(100%+Dashboard!$P$49)*S161</f>
        <v>14.56</v>
      </c>
      <c r="AH161" s="13">
        <f t="shared" si="51"/>
        <v>33444.29088</v>
      </c>
      <c r="AI161" s="13">
        <f t="shared" si="52"/>
        <v>18657.628080000002</v>
      </c>
      <c r="AJ161" s="13">
        <f t="shared" si="53"/>
        <v>14786.662799999998</v>
      </c>
    </row>
    <row r="162" spans="1:36" x14ac:dyDescent="0.45">
      <c r="A162" s="3" t="s">
        <v>175</v>
      </c>
      <c r="B162" s="5">
        <v>44977</v>
      </c>
      <c r="C162" s="5">
        <v>44989</v>
      </c>
      <c r="D162" s="5">
        <f t="shared" si="54"/>
        <v>44977</v>
      </c>
      <c r="E162" s="5">
        <f t="shared" si="55"/>
        <v>44989</v>
      </c>
      <c r="F162" s="7">
        <f t="shared" si="56"/>
        <v>12</v>
      </c>
      <c r="G162" s="23" t="str">
        <f t="shared" si="57"/>
        <v>2-2023</v>
      </c>
      <c r="H162" s="3" t="s">
        <v>647</v>
      </c>
      <c r="I162" s="3" t="s">
        <v>654</v>
      </c>
      <c r="J162" s="3" t="s">
        <v>680</v>
      </c>
      <c r="K162" s="3" t="s">
        <v>704</v>
      </c>
      <c r="L162" s="3" t="s">
        <v>710</v>
      </c>
      <c r="M162" s="3" t="s">
        <v>724</v>
      </c>
      <c r="N162" s="3" t="s">
        <v>732</v>
      </c>
      <c r="O162" s="3" t="s">
        <v>894</v>
      </c>
      <c r="P162" s="19">
        <v>299.75</v>
      </c>
      <c r="Q162" s="19">
        <v>523.01</v>
      </c>
      <c r="R162" s="15">
        <v>0.157</v>
      </c>
      <c r="S162" s="7">
        <v>50</v>
      </c>
      <c r="T162" s="13">
        <f t="shared" si="45"/>
        <v>22044.871499999997</v>
      </c>
      <c r="U162" s="13">
        <f t="shared" si="46"/>
        <v>14987.5</v>
      </c>
      <c r="V162" s="13">
        <f t="shared" si="58"/>
        <v>7057.3714999999975</v>
      </c>
      <c r="W162" s="15">
        <f t="shared" si="59"/>
        <v>0.32013665854210122</v>
      </c>
      <c r="X162" s="17" t="str">
        <f t="shared" si="60"/>
        <v>Q1-2023</v>
      </c>
      <c r="Y162" t="str">
        <f t="shared" si="61"/>
        <v>Asia → India → Delhi</v>
      </c>
      <c r="Z162" t="str">
        <f t="shared" si="62"/>
        <v>Low</v>
      </c>
      <c r="AA162">
        <f t="shared" si="47"/>
        <v>2023</v>
      </c>
      <c r="AB162">
        <f t="shared" si="48"/>
        <v>2</v>
      </c>
      <c r="AC162" t="str">
        <f t="shared" si="49"/>
        <v>No</v>
      </c>
      <c r="AD162" t="str">
        <f t="shared" si="50"/>
        <v>No</v>
      </c>
      <c r="AE162" s="36">
        <f>IF(Dashboard!$P$47&gt;'Staging Data'!R162,'Staging Data'!R162,Dashboard!$P$47)</f>
        <v>0.1</v>
      </c>
      <c r="AF162">
        <f>(100%+Dashboard!$P$48)*'Staging Data'!P162</f>
        <v>314.73750000000001</v>
      </c>
      <c r="AG162">
        <f>(100%+Dashboard!$P$49)*S162</f>
        <v>52</v>
      </c>
      <c r="AH162" s="13">
        <f t="shared" si="51"/>
        <v>24476.868000000002</v>
      </c>
      <c r="AI162" s="13">
        <f t="shared" si="52"/>
        <v>16366.35</v>
      </c>
      <c r="AJ162" s="13">
        <f t="shared" si="53"/>
        <v>8110.5180000000018</v>
      </c>
    </row>
    <row r="163" spans="1:36" x14ac:dyDescent="0.45">
      <c r="A163" s="3" t="s">
        <v>176</v>
      </c>
      <c r="B163" s="5">
        <v>45595</v>
      </c>
      <c r="C163" s="5">
        <v>45620</v>
      </c>
      <c r="D163" s="5">
        <f t="shared" si="54"/>
        <v>45595</v>
      </c>
      <c r="E163" s="5">
        <f t="shared" si="55"/>
        <v>45620</v>
      </c>
      <c r="F163" s="7">
        <f t="shared" si="56"/>
        <v>25</v>
      </c>
      <c r="G163" s="23" t="str">
        <f t="shared" si="57"/>
        <v>10-2024</v>
      </c>
      <c r="H163" s="3" t="s">
        <v>647</v>
      </c>
      <c r="I163" s="3" t="s">
        <v>659</v>
      </c>
      <c r="J163" s="3" t="s">
        <v>676</v>
      </c>
      <c r="K163" s="3" t="s">
        <v>705</v>
      </c>
      <c r="L163" s="3" t="s">
        <v>708</v>
      </c>
      <c r="M163" s="3" t="s">
        <v>718</v>
      </c>
      <c r="N163" s="3" t="s">
        <v>727</v>
      </c>
      <c r="O163" s="3" t="s">
        <v>895</v>
      </c>
      <c r="P163" s="19">
        <v>811.05</v>
      </c>
      <c r="Q163" s="19">
        <v>1217.71</v>
      </c>
      <c r="R163" s="15">
        <v>7.1999999999999995E-2</v>
      </c>
      <c r="S163" s="7">
        <v>5</v>
      </c>
      <c r="T163" s="13">
        <f t="shared" si="45"/>
        <v>5650.1744000000008</v>
      </c>
      <c r="U163" s="13">
        <f t="shared" si="46"/>
        <v>4055.25</v>
      </c>
      <c r="V163" s="13">
        <f t="shared" si="58"/>
        <v>1594.9244000000008</v>
      </c>
      <c r="W163" s="15">
        <f t="shared" si="59"/>
        <v>0.28227879125288602</v>
      </c>
      <c r="X163" s="17" t="str">
        <f t="shared" si="60"/>
        <v>Q4-2024</v>
      </c>
      <c r="Y163" t="str">
        <f t="shared" si="61"/>
        <v>Asia → China → Shenzhen</v>
      </c>
      <c r="Z163" t="str">
        <f t="shared" si="62"/>
        <v>Medium</v>
      </c>
      <c r="AA163">
        <f t="shared" si="47"/>
        <v>2024</v>
      </c>
      <c r="AB163">
        <f t="shared" si="48"/>
        <v>10</v>
      </c>
      <c r="AC163" t="str">
        <f t="shared" si="49"/>
        <v>No</v>
      </c>
      <c r="AD163" t="str">
        <f t="shared" si="50"/>
        <v>No</v>
      </c>
      <c r="AE163" s="36">
        <f>IF(Dashboard!$P$47&gt;'Staging Data'!R163,'Staging Data'!R163,Dashboard!$P$47)</f>
        <v>7.1999999999999995E-2</v>
      </c>
      <c r="AF163">
        <f>(100%+Dashboard!$P$48)*'Staging Data'!P163</f>
        <v>851.60249999999996</v>
      </c>
      <c r="AG163">
        <f>(100%+Dashboard!$P$49)*S163</f>
        <v>5.2</v>
      </c>
      <c r="AH163" s="13">
        <f t="shared" si="51"/>
        <v>5876.1813760000005</v>
      </c>
      <c r="AI163" s="13">
        <f t="shared" si="52"/>
        <v>4428.3329999999996</v>
      </c>
      <c r="AJ163" s="13">
        <f t="shared" si="53"/>
        <v>1447.8483760000008</v>
      </c>
    </row>
    <row r="164" spans="1:36" x14ac:dyDescent="0.45">
      <c r="A164" s="3" t="s">
        <v>552</v>
      </c>
      <c r="B164" s="5">
        <v>45114</v>
      </c>
      <c r="C164" s="5">
        <v>45120</v>
      </c>
      <c r="D164" s="5">
        <f t="shared" si="54"/>
        <v>45114</v>
      </c>
      <c r="E164" s="5">
        <f t="shared" si="55"/>
        <v>45120</v>
      </c>
      <c r="F164" s="7">
        <f t="shared" si="56"/>
        <v>6</v>
      </c>
      <c r="G164" s="23" t="str">
        <f t="shared" si="57"/>
        <v>7-2023</v>
      </c>
      <c r="H164" s="3" t="s">
        <v>646</v>
      </c>
      <c r="I164" s="3" t="s">
        <v>661</v>
      </c>
      <c r="J164" s="3" t="s">
        <v>695</v>
      </c>
      <c r="K164" s="3" t="s">
        <v>705</v>
      </c>
      <c r="L164" s="3" t="s">
        <v>709</v>
      </c>
      <c r="M164" s="3" t="s">
        <v>717</v>
      </c>
      <c r="N164" s="3" t="s">
        <v>733</v>
      </c>
      <c r="O164" s="3" t="s">
        <v>1270</v>
      </c>
      <c r="P164" s="19">
        <v>612.59</v>
      </c>
      <c r="Q164" s="19">
        <v>1424.74</v>
      </c>
      <c r="R164" s="15">
        <v>4.3999999999999997E-2</v>
      </c>
      <c r="S164" s="7">
        <v>15</v>
      </c>
      <c r="T164" s="13">
        <f t="shared" si="45"/>
        <v>20430.771599999996</v>
      </c>
      <c r="U164" s="13">
        <f t="shared" si="46"/>
        <v>9188.85</v>
      </c>
      <c r="V164" s="13">
        <f t="shared" si="58"/>
        <v>11241.921599999996</v>
      </c>
      <c r="W164" s="15">
        <f t="shared" si="59"/>
        <v>0.55024459281802152</v>
      </c>
      <c r="X164" s="17" t="str">
        <f t="shared" si="60"/>
        <v>Q3-2023</v>
      </c>
      <c r="Y164" t="str">
        <f t="shared" si="61"/>
        <v>Africa → South Africa → Cape Town</v>
      </c>
      <c r="Z164" t="str">
        <f t="shared" si="62"/>
        <v>Medium</v>
      </c>
      <c r="AA164">
        <f t="shared" si="47"/>
        <v>2023</v>
      </c>
      <c r="AB164">
        <f t="shared" si="48"/>
        <v>7</v>
      </c>
      <c r="AC164" t="str">
        <f t="shared" si="49"/>
        <v>Yes</v>
      </c>
      <c r="AD164" t="str">
        <f t="shared" si="50"/>
        <v>No</v>
      </c>
      <c r="AE164" s="36">
        <f>IF(Dashboard!$P$47&gt;'Staging Data'!R164,'Staging Data'!R164,Dashboard!$P$47)</f>
        <v>4.3999999999999997E-2</v>
      </c>
      <c r="AF164">
        <f>(100%+Dashboard!$P$48)*'Staging Data'!P164</f>
        <v>643.21950000000004</v>
      </c>
      <c r="AG164">
        <f>(100%+Dashboard!$P$49)*S164</f>
        <v>15.600000000000001</v>
      </c>
      <c r="AH164" s="13">
        <f t="shared" si="51"/>
        <v>21248.002464000001</v>
      </c>
      <c r="AI164" s="13">
        <f t="shared" si="52"/>
        <v>10034.224200000002</v>
      </c>
      <c r="AJ164" s="13">
        <f t="shared" si="53"/>
        <v>11213.778263999999</v>
      </c>
    </row>
    <row r="165" spans="1:36" x14ac:dyDescent="0.45">
      <c r="A165" s="3" t="s">
        <v>178</v>
      </c>
      <c r="B165" s="5">
        <v>45010</v>
      </c>
      <c r="C165" s="5">
        <v>45011</v>
      </c>
      <c r="D165" s="5">
        <f t="shared" si="54"/>
        <v>45010</v>
      </c>
      <c r="E165" s="5">
        <f t="shared" si="55"/>
        <v>45011</v>
      </c>
      <c r="F165" s="7">
        <f t="shared" si="56"/>
        <v>1</v>
      </c>
      <c r="G165" s="23" t="str">
        <f t="shared" si="57"/>
        <v>3-2023</v>
      </c>
      <c r="H165" s="3" t="s">
        <v>647</v>
      </c>
      <c r="I165" s="3" t="s">
        <v>652</v>
      </c>
      <c r="J165" s="3" t="s">
        <v>666</v>
      </c>
      <c r="K165" s="3" t="s">
        <v>705</v>
      </c>
      <c r="L165" s="3" t="s">
        <v>710</v>
      </c>
      <c r="M165" s="3" t="s">
        <v>714</v>
      </c>
      <c r="N165" s="3" t="s">
        <v>732</v>
      </c>
      <c r="O165" s="3" t="s">
        <v>897</v>
      </c>
      <c r="P165" s="19">
        <v>135.12</v>
      </c>
      <c r="Q165" s="19">
        <v>301.7</v>
      </c>
      <c r="R165" s="15">
        <v>0.14000000000000001</v>
      </c>
      <c r="S165" s="7">
        <v>47</v>
      </c>
      <c r="T165" s="13">
        <f t="shared" si="45"/>
        <v>12194.714</v>
      </c>
      <c r="U165" s="13">
        <f t="shared" si="46"/>
        <v>6350.64</v>
      </c>
      <c r="V165" s="13">
        <f t="shared" si="58"/>
        <v>5844.0739999999996</v>
      </c>
      <c r="W165" s="15">
        <f t="shared" si="59"/>
        <v>0.47923009920527859</v>
      </c>
      <c r="X165" s="17" t="str">
        <f t="shared" si="60"/>
        <v>Q1-2023</v>
      </c>
      <c r="Y165" t="str">
        <f t="shared" si="61"/>
        <v>Asia → Japan → Osaka</v>
      </c>
      <c r="Z165" t="str">
        <f t="shared" si="62"/>
        <v>Low</v>
      </c>
      <c r="AA165">
        <f t="shared" si="47"/>
        <v>2023</v>
      </c>
      <c r="AB165">
        <f t="shared" si="48"/>
        <v>3</v>
      </c>
      <c r="AC165" t="str">
        <f t="shared" si="49"/>
        <v>Yes</v>
      </c>
      <c r="AD165" t="str">
        <f t="shared" si="50"/>
        <v>No</v>
      </c>
      <c r="AE165" s="36">
        <f>IF(Dashboard!$P$47&gt;'Staging Data'!R165,'Staging Data'!R165,Dashboard!$P$47)</f>
        <v>0.1</v>
      </c>
      <c r="AF165">
        <f>(100%+Dashboard!$P$48)*'Staging Data'!P165</f>
        <v>141.876</v>
      </c>
      <c r="AG165">
        <f>(100%+Dashboard!$P$49)*S165</f>
        <v>48.88</v>
      </c>
      <c r="AH165" s="13">
        <f t="shared" si="51"/>
        <v>13272.386399999999</v>
      </c>
      <c r="AI165" s="13">
        <f t="shared" si="52"/>
        <v>6934.8988800000006</v>
      </c>
      <c r="AJ165" s="13">
        <f t="shared" si="53"/>
        <v>6337.4875199999988</v>
      </c>
    </row>
    <row r="166" spans="1:36" x14ac:dyDescent="0.45">
      <c r="A166" s="3" t="s">
        <v>179</v>
      </c>
      <c r="B166" s="5">
        <v>45447</v>
      </c>
      <c r="C166" s="5">
        <v>45459</v>
      </c>
      <c r="D166" s="5">
        <f t="shared" si="54"/>
        <v>45447</v>
      </c>
      <c r="E166" s="5">
        <f t="shared" si="55"/>
        <v>45459</v>
      </c>
      <c r="F166" s="7">
        <f t="shared" si="56"/>
        <v>12</v>
      </c>
      <c r="G166" s="23" t="str">
        <f t="shared" si="57"/>
        <v>6-2024</v>
      </c>
      <c r="H166" s="3" t="s">
        <v>647</v>
      </c>
      <c r="I166" s="3" t="s">
        <v>659</v>
      </c>
      <c r="J166" s="3" t="s">
        <v>685</v>
      </c>
      <c r="K166" s="3" t="s">
        <v>701</v>
      </c>
      <c r="L166" s="3" t="s">
        <v>707</v>
      </c>
      <c r="M166" s="3" t="s">
        <v>713</v>
      </c>
      <c r="N166" s="3" t="s">
        <v>728</v>
      </c>
      <c r="O166" s="3" t="s">
        <v>898</v>
      </c>
      <c r="P166" s="19">
        <v>918.42</v>
      </c>
      <c r="Q166" s="19">
        <v>1511.71</v>
      </c>
      <c r="R166" s="15">
        <v>0.02</v>
      </c>
      <c r="S166" s="7">
        <v>8</v>
      </c>
      <c r="T166" s="13">
        <f t="shared" si="45"/>
        <v>11851.806399999999</v>
      </c>
      <c r="U166" s="13">
        <f t="shared" si="46"/>
        <v>7347.36</v>
      </c>
      <c r="V166" s="13">
        <f t="shared" si="58"/>
        <v>4504.4463999999998</v>
      </c>
      <c r="W166" s="15">
        <f t="shared" si="59"/>
        <v>0.38006412254590999</v>
      </c>
      <c r="X166" s="17" t="str">
        <f t="shared" si="60"/>
        <v>Q2-2024</v>
      </c>
      <c r="Y166" t="str">
        <f t="shared" si="61"/>
        <v>Asia → China → Shanghai</v>
      </c>
      <c r="Z166" t="str">
        <f t="shared" si="62"/>
        <v>Medium</v>
      </c>
      <c r="AA166">
        <f t="shared" si="47"/>
        <v>2024</v>
      </c>
      <c r="AB166">
        <f t="shared" si="48"/>
        <v>6</v>
      </c>
      <c r="AC166" t="str">
        <f t="shared" si="49"/>
        <v>No</v>
      </c>
      <c r="AD166" t="str">
        <f t="shared" si="50"/>
        <v>No</v>
      </c>
      <c r="AE166" s="36">
        <f>IF(Dashboard!$P$47&gt;'Staging Data'!R166,'Staging Data'!R166,Dashboard!$P$47)</f>
        <v>0.02</v>
      </c>
      <c r="AF166">
        <f>(100%+Dashboard!$P$48)*'Staging Data'!P166</f>
        <v>964.34100000000001</v>
      </c>
      <c r="AG166">
        <f>(100%+Dashboard!$P$49)*S166</f>
        <v>8.32</v>
      </c>
      <c r="AH166" s="13">
        <f t="shared" si="51"/>
        <v>12325.878655999999</v>
      </c>
      <c r="AI166" s="13">
        <f t="shared" si="52"/>
        <v>8023.3171200000006</v>
      </c>
      <c r="AJ166" s="13">
        <f t="shared" si="53"/>
        <v>4302.5615359999983</v>
      </c>
    </row>
    <row r="167" spans="1:36" x14ac:dyDescent="0.45">
      <c r="A167" s="3" t="s">
        <v>180</v>
      </c>
      <c r="B167" s="5">
        <v>44976</v>
      </c>
      <c r="C167" s="5">
        <v>44997</v>
      </c>
      <c r="D167" s="5">
        <f t="shared" si="54"/>
        <v>44976</v>
      </c>
      <c r="E167" s="5">
        <f t="shared" si="55"/>
        <v>44997</v>
      </c>
      <c r="F167" s="7">
        <f t="shared" si="56"/>
        <v>21</v>
      </c>
      <c r="G167" s="23" t="str">
        <f t="shared" si="57"/>
        <v>2-2023</v>
      </c>
      <c r="H167" s="3" t="s">
        <v>649</v>
      </c>
      <c r="I167" s="3" t="s">
        <v>656</v>
      </c>
      <c r="J167" s="3" t="s">
        <v>671</v>
      </c>
      <c r="K167" s="3" t="s">
        <v>705</v>
      </c>
      <c r="L167" s="3" t="s">
        <v>711</v>
      </c>
      <c r="M167" s="3" t="s">
        <v>716</v>
      </c>
      <c r="N167" s="3" t="s">
        <v>732</v>
      </c>
      <c r="O167" s="3" t="s">
        <v>899</v>
      </c>
      <c r="P167" s="19">
        <v>1234.81</v>
      </c>
      <c r="Q167" s="19">
        <v>2055.2399999999998</v>
      </c>
      <c r="R167" s="15">
        <v>5.2999999999999999E-2</v>
      </c>
      <c r="S167" s="7">
        <v>44</v>
      </c>
      <c r="T167" s="13">
        <f t="shared" si="45"/>
        <v>85637.740319999997</v>
      </c>
      <c r="U167" s="13">
        <f t="shared" si="46"/>
        <v>54331.64</v>
      </c>
      <c r="V167" s="13">
        <f t="shared" si="58"/>
        <v>31306.100319999998</v>
      </c>
      <c r="W167" s="15">
        <f t="shared" si="59"/>
        <v>0.36556429680441616</v>
      </c>
      <c r="X167" s="17" t="str">
        <f t="shared" si="60"/>
        <v>Q1-2023</v>
      </c>
      <c r="Y167" t="str">
        <f t="shared" si="61"/>
        <v>Europe → Germany → Berlin</v>
      </c>
      <c r="Z167" t="str">
        <f t="shared" si="62"/>
        <v>High</v>
      </c>
      <c r="AA167">
        <f t="shared" si="47"/>
        <v>2023</v>
      </c>
      <c r="AB167">
        <f t="shared" si="48"/>
        <v>2</v>
      </c>
      <c r="AC167" t="str">
        <f t="shared" si="49"/>
        <v>No</v>
      </c>
      <c r="AD167" t="str">
        <f t="shared" si="50"/>
        <v>No</v>
      </c>
      <c r="AE167" s="36">
        <f>IF(Dashboard!$P$47&gt;'Staging Data'!R167,'Staging Data'!R167,Dashboard!$P$47)</f>
        <v>5.2999999999999999E-2</v>
      </c>
      <c r="AF167">
        <f>(100%+Dashboard!$P$48)*'Staging Data'!P167</f>
        <v>1296.5505000000001</v>
      </c>
      <c r="AG167">
        <f>(100%+Dashboard!$P$49)*S167</f>
        <v>45.760000000000005</v>
      </c>
      <c r="AH167" s="13">
        <f t="shared" si="51"/>
        <v>89063.249932799998</v>
      </c>
      <c r="AI167" s="13">
        <f t="shared" si="52"/>
        <v>59330.150880000008</v>
      </c>
      <c r="AJ167" s="13">
        <f t="shared" si="53"/>
        <v>29733.099052799989</v>
      </c>
    </row>
    <row r="168" spans="1:36" x14ac:dyDescent="0.45">
      <c r="A168" s="3" t="s">
        <v>181</v>
      </c>
      <c r="B168" s="5">
        <v>45034</v>
      </c>
      <c r="C168" s="5">
        <v>45064</v>
      </c>
      <c r="D168" s="5">
        <f t="shared" si="54"/>
        <v>45034</v>
      </c>
      <c r="E168" s="5">
        <f t="shared" si="55"/>
        <v>45064</v>
      </c>
      <c r="F168" s="7">
        <f t="shared" si="56"/>
        <v>30</v>
      </c>
      <c r="G168" s="23" t="str">
        <f t="shared" si="57"/>
        <v>4-2023</v>
      </c>
      <c r="H168" s="3" t="s">
        <v>647</v>
      </c>
      <c r="I168" s="3" t="s">
        <v>659</v>
      </c>
      <c r="J168" s="3" t="s">
        <v>676</v>
      </c>
      <c r="K168" s="3" t="s">
        <v>703</v>
      </c>
      <c r="L168" s="3" t="s">
        <v>707</v>
      </c>
      <c r="M168" s="3" t="s">
        <v>722</v>
      </c>
      <c r="N168" s="3" t="s">
        <v>731</v>
      </c>
      <c r="O168" s="3" t="s">
        <v>900</v>
      </c>
      <c r="P168" s="19">
        <v>329.03</v>
      </c>
      <c r="Q168" s="19">
        <v>391.15</v>
      </c>
      <c r="R168" s="15">
        <v>0.19700000000000001</v>
      </c>
      <c r="S168" s="7">
        <v>46</v>
      </c>
      <c r="T168" s="13">
        <f t="shared" si="45"/>
        <v>14448.298699999998</v>
      </c>
      <c r="U168" s="13">
        <f t="shared" si="46"/>
        <v>15135.38</v>
      </c>
      <c r="V168" s="13">
        <f t="shared" si="58"/>
        <v>-687.08130000000165</v>
      </c>
      <c r="W168" s="15">
        <f t="shared" si="59"/>
        <v>-4.7554477815440081E-2</v>
      </c>
      <c r="X168" s="17" t="str">
        <f t="shared" si="60"/>
        <v>Q2-2023</v>
      </c>
      <c r="Y168" t="str">
        <f t="shared" si="61"/>
        <v>Asia → China → Shenzhen</v>
      </c>
      <c r="Z168" t="str">
        <f t="shared" si="62"/>
        <v>Low</v>
      </c>
      <c r="AA168">
        <f t="shared" si="47"/>
        <v>2023</v>
      </c>
      <c r="AB168">
        <f t="shared" si="48"/>
        <v>4</v>
      </c>
      <c r="AC168" t="str">
        <f t="shared" si="49"/>
        <v>No</v>
      </c>
      <c r="AD168" t="str">
        <f t="shared" si="50"/>
        <v>No</v>
      </c>
      <c r="AE168" s="36">
        <f>IF(Dashboard!$P$47&gt;'Staging Data'!R168,'Staging Data'!R168,Dashboard!$P$47)</f>
        <v>0.1</v>
      </c>
      <c r="AF168">
        <f>(100%+Dashboard!$P$48)*'Staging Data'!P168</f>
        <v>345.48149999999998</v>
      </c>
      <c r="AG168">
        <f>(100%+Dashboard!$P$49)*S168</f>
        <v>47.84</v>
      </c>
      <c r="AH168" s="13">
        <f t="shared" si="51"/>
        <v>16841.354400000004</v>
      </c>
      <c r="AI168" s="13">
        <f t="shared" si="52"/>
        <v>16527.83496</v>
      </c>
      <c r="AJ168" s="13">
        <f t="shared" si="53"/>
        <v>313.51944000000367</v>
      </c>
    </row>
    <row r="169" spans="1:36" x14ac:dyDescent="0.45">
      <c r="A169" s="3" t="s">
        <v>182</v>
      </c>
      <c r="B169" s="5">
        <v>45435</v>
      </c>
      <c r="C169" s="5">
        <v>45457</v>
      </c>
      <c r="D169" s="5">
        <f t="shared" si="54"/>
        <v>45435</v>
      </c>
      <c r="E169" s="5">
        <f t="shared" si="55"/>
        <v>45457</v>
      </c>
      <c r="F169" s="7">
        <f t="shared" si="56"/>
        <v>22</v>
      </c>
      <c r="G169" s="23" t="str">
        <f t="shared" si="57"/>
        <v>5-2024</v>
      </c>
      <c r="H169" s="3" t="s">
        <v>649</v>
      </c>
      <c r="I169" s="3" t="s">
        <v>657</v>
      </c>
      <c r="J169" s="3" t="s">
        <v>673</v>
      </c>
      <c r="K169" s="3" t="s">
        <v>705</v>
      </c>
      <c r="L169" s="3" t="s">
        <v>708</v>
      </c>
      <c r="M169" s="3" t="s">
        <v>725</v>
      </c>
      <c r="N169" s="3" t="s">
        <v>732</v>
      </c>
      <c r="O169" s="3" t="s">
        <v>901</v>
      </c>
      <c r="P169" s="19">
        <v>1481.74</v>
      </c>
      <c r="Q169" s="19">
        <v>1848.97</v>
      </c>
      <c r="R169" s="15">
        <v>0.254</v>
      </c>
      <c r="S169" s="7">
        <v>9</v>
      </c>
      <c r="T169" s="13">
        <f t="shared" si="45"/>
        <v>12413.98458</v>
      </c>
      <c r="U169" s="13">
        <f t="shared" si="46"/>
        <v>13335.66</v>
      </c>
      <c r="V169" s="13">
        <f t="shared" si="58"/>
        <v>-921.67541999999958</v>
      </c>
      <c r="W169" s="15">
        <f t="shared" si="59"/>
        <v>-7.4244930309072407E-2</v>
      </c>
      <c r="X169" s="17" t="str">
        <f t="shared" si="60"/>
        <v>Q2-2024</v>
      </c>
      <c r="Y169" t="str">
        <f t="shared" si="61"/>
        <v>Europe → France → Marseille</v>
      </c>
      <c r="Z169" t="str">
        <f t="shared" si="62"/>
        <v>Medium</v>
      </c>
      <c r="AA169">
        <f t="shared" si="47"/>
        <v>2024</v>
      </c>
      <c r="AB169">
        <f t="shared" si="48"/>
        <v>5</v>
      </c>
      <c r="AC169" t="str">
        <f t="shared" si="49"/>
        <v>No</v>
      </c>
      <c r="AD169" t="str">
        <f t="shared" si="50"/>
        <v>Yes</v>
      </c>
      <c r="AE169" s="36">
        <f>IF(Dashboard!$P$47&gt;'Staging Data'!R169,'Staging Data'!R169,Dashboard!$P$47)</f>
        <v>0.1</v>
      </c>
      <c r="AF169">
        <f>(100%+Dashboard!$P$48)*'Staging Data'!P169</f>
        <v>1555.827</v>
      </c>
      <c r="AG169">
        <f>(100%+Dashboard!$P$49)*S169</f>
        <v>9.36</v>
      </c>
      <c r="AH169" s="13">
        <f t="shared" si="51"/>
        <v>15575.72328</v>
      </c>
      <c r="AI169" s="13">
        <f t="shared" si="52"/>
        <v>14562.540719999999</v>
      </c>
      <c r="AJ169" s="13">
        <f t="shared" si="53"/>
        <v>1013.1825600000011</v>
      </c>
    </row>
    <row r="170" spans="1:36" x14ac:dyDescent="0.45">
      <c r="A170" s="3" t="s">
        <v>183</v>
      </c>
      <c r="B170" s="5">
        <v>45206</v>
      </c>
      <c r="C170" s="5">
        <v>45222</v>
      </c>
      <c r="D170" s="5">
        <f t="shared" si="54"/>
        <v>45206</v>
      </c>
      <c r="E170" s="5">
        <f t="shared" si="55"/>
        <v>45222</v>
      </c>
      <c r="F170" s="7">
        <f t="shared" si="56"/>
        <v>16</v>
      </c>
      <c r="G170" s="23" t="str">
        <f t="shared" si="57"/>
        <v>10-2023</v>
      </c>
      <c r="H170" s="3" t="s">
        <v>647</v>
      </c>
      <c r="I170" s="3" t="s">
        <v>654</v>
      </c>
      <c r="J170" s="3" t="s">
        <v>696</v>
      </c>
      <c r="K170" s="3" t="s">
        <v>704</v>
      </c>
      <c r="L170" s="3" t="s">
        <v>707</v>
      </c>
      <c r="M170" s="3" t="s">
        <v>715</v>
      </c>
      <c r="N170" s="3" t="s">
        <v>732</v>
      </c>
      <c r="O170" s="3" t="s">
        <v>902</v>
      </c>
      <c r="P170" s="19">
        <v>906.81</v>
      </c>
      <c r="Q170" s="19">
        <v>1395.56</v>
      </c>
      <c r="R170" s="15">
        <v>0.185</v>
      </c>
      <c r="S170" s="7">
        <v>6</v>
      </c>
      <c r="T170" s="13">
        <f t="shared" si="45"/>
        <v>6824.2884000000004</v>
      </c>
      <c r="U170" s="13">
        <f t="shared" si="46"/>
        <v>5440.86</v>
      </c>
      <c r="V170" s="13">
        <f t="shared" si="58"/>
        <v>1383.4284000000007</v>
      </c>
      <c r="W170" s="15">
        <f t="shared" si="59"/>
        <v>0.20272126834498974</v>
      </c>
      <c r="X170" s="17" t="str">
        <f t="shared" si="60"/>
        <v>Q4-2023</v>
      </c>
      <c r="Y170" t="str">
        <f t="shared" si="61"/>
        <v>Asia → India → Hyderabad</v>
      </c>
      <c r="Z170" t="str">
        <f t="shared" si="62"/>
        <v>Medium</v>
      </c>
      <c r="AA170">
        <f t="shared" si="47"/>
        <v>2023</v>
      </c>
      <c r="AB170">
        <f t="shared" si="48"/>
        <v>10</v>
      </c>
      <c r="AC170" t="str">
        <f t="shared" si="49"/>
        <v>No</v>
      </c>
      <c r="AD170" t="str">
        <f t="shared" si="50"/>
        <v>No</v>
      </c>
      <c r="AE170" s="36">
        <f>IF(Dashboard!$P$47&gt;'Staging Data'!R170,'Staging Data'!R170,Dashboard!$P$47)</f>
        <v>0.1</v>
      </c>
      <c r="AF170">
        <f>(100%+Dashboard!$P$48)*'Staging Data'!P170</f>
        <v>952.15049999999997</v>
      </c>
      <c r="AG170">
        <f>(100%+Dashboard!$P$49)*S170</f>
        <v>6.24</v>
      </c>
      <c r="AH170" s="13">
        <f t="shared" si="51"/>
        <v>7837.4649600000012</v>
      </c>
      <c r="AI170" s="13">
        <f t="shared" si="52"/>
        <v>5941.4191199999996</v>
      </c>
      <c r="AJ170" s="13">
        <f t="shared" si="53"/>
        <v>1896.0458400000016</v>
      </c>
    </row>
    <row r="171" spans="1:36" x14ac:dyDescent="0.45">
      <c r="A171" s="3" t="s">
        <v>184</v>
      </c>
      <c r="B171" s="5">
        <v>45574</v>
      </c>
      <c r="C171" s="5">
        <v>45604</v>
      </c>
      <c r="D171" s="5">
        <f t="shared" si="54"/>
        <v>45574</v>
      </c>
      <c r="E171" s="5">
        <f t="shared" si="55"/>
        <v>45604</v>
      </c>
      <c r="F171" s="7">
        <f t="shared" si="56"/>
        <v>30</v>
      </c>
      <c r="G171" s="23" t="str">
        <f t="shared" si="57"/>
        <v>10-2024</v>
      </c>
      <c r="H171" s="3" t="s">
        <v>649</v>
      </c>
      <c r="I171" s="3" t="s">
        <v>658</v>
      </c>
      <c r="J171" s="3" t="s">
        <v>693</v>
      </c>
      <c r="K171" s="3" t="s">
        <v>705</v>
      </c>
      <c r="L171" s="3" t="s">
        <v>710</v>
      </c>
      <c r="M171" s="3" t="s">
        <v>713</v>
      </c>
      <c r="N171" s="3" t="s">
        <v>727</v>
      </c>
      <c r="O171" s="3" t="s">
        <v>903</v>
      </c>
      <c r="P171" s="19">
        <v>343.85</v>
      </c>
      <c r="Q171" s="19">
        <v>538.04</v>
      </c>
      <c r="R171" s="15">
        <v>0.13900000000000001</v>
      </c>
      <c r="S171" s="7">
        <v>5</v>
      </c>
      <c r="T171" s="13">
        <f t="shared" si="45"/>
        <v>2316.2621999999997</v>
      </c>
      <c r="U171" s="13">
        <f t="shared" si="46"/>
        <v>1719.25</v>
      </c>
      <c r="V171" s="13">
        <f t="shared" si="58"/>
        <v>597.01219999999967</v>
      </c>
      <c r="W171" s="15">
        <f t="shared" si="59"/>
        <v>0.25774810813732563</v>
      </c>
      <c r="X171" s="17" t="str">
        <f t="shared" si="60"/>
        <v>Q4-2024</v>
      </c>
      <c r="Y171" t="str">
        <f t="shared" si="61"/>
        <v>Europe → United Kingdom → Manchester</v>
      </c>
      <c r="Z171" t="str">
        <f t="shared" si="62"/>
        <v>Low</v>
      </c>
      <c r="AA171">
        <f t="shared" si="47"/>
        <v>2024</v>
      </c>
      <c r="AB171">
        <f t="shared" si="48"/>
        <v>10</v>
      </c>
      <c r="AC171" t="str">
        <f t="shared" si="49"/>
        <v>No</v>
      </c>
      <c r="AD171" t="str">
        <f t="shared" si="50"/>
        <v>No</v>
      </c>
      <c r="AE171" s="36">
        <f>IF(Dashboard!$P$47&gt;'Staging Data'!R171,'Staging Data'!R171,Dashboard!$P$47)</f>
        <v>0.1</v>
      </c>
      <c r="AF171">
        <f>(100%+Dashboard!$P$48)*'Staging Data'!P171</f>
        <v>361.04250000000002</v>
      </c>
      <c r="AG171">
        <f>(100%+Dashboard!$P$49)*S171</f>
        <v>5.2</v>
      </c>
      <c r="AH171" s="13">
        <f t="shared" si="51"/>
        <v>2518.0272</v>
      </c>
      <c r="AI171" s="13">
        <f t="shared" si="52"/>
        <v>1877.421</v>
      </c>
      <c r="AJ171" s="13">
        <f t="shared" si="53"/>
        <v>640.60619999999994</v>
      </c>
    </row>
    <row r="172" spans="1:36" x14ac:dyDescent="0.45">
      <c r="A172" s="3" t="s">
        <v>567</v>
      </c>
      <c r="B172" s="5">
        <v>45704</v>
      </c>
      <c r="C172" s="5">
        <v>45733</v>
      </c>
      <c r="D172" s="5">
        <f t="shared" si="54"/>
        <v>45704</v>
      </c>
      <c r="E172" s="5">
        <f t="shared" si="55"/>
        <v>45733</v>
      </c>
      <c r="F172" s="7">
        <f t="shared" si="56"/>
        <v>29</v>
      </c>
      <c r="G172" s="23" t="str">
        <f t="shared" si="57"/>
        <v>2-2025</v>
      </c>
      <c r="H172" s="3" t="s">
        <v>649</v>
      </c>
      <c r="I172" s="3" t="s">
        <v>656</v>
      </c>
      <c r="J172" s="3" t="s">
        <v>684</v>
      </c>
      <c r="K172" s="3" t="s">
        <v>704</v>
      </c>
      <c r="L172" s="3" t="s">
        <v>707</v>
      </c>
      <c r="M172" s="3" t="s">
        <v>716</v>
      </c>
      <c r="N172" s="3" t="s">
        <v>733</v>
      </c>
      <c r="O172" s="3" t="s">
        <v>1285</v>
      </c>
      <c r="P172" s="19">
        <v>730.42</v>
      </c>
      <c r="Q172" s="19">
        <v>956.7</v>
      </c>
      <c r="R172" s="15">
        <v>4.2000000000000003E-2</v>
      </c>
      <c r="S172" s="7">
        <v>22</v>
      </c>
      <c r="T172" s="13">
        <f t="shared" si="45"/>
        <v>20163.409200000002</v>
      </c>
      <c r="U172" s="13">
        <f t="shared" si="46"/>
        <v>16069.24</v>
      </c>
      <c r="V172" s="13">
        <f t="shared" si="58"/>
        <v>4094.1692000000021</v>
      </c>
      <c r="W172" s="15">
        <f t="shared" si="59"/>
        <v>0.20304945256975698</v>
      </c>
      <c r="X172" s="17" t="str">
        <f t="shared" si="60"/>
        <v>Q1-2025</v>
      </c>
      <c r="Y172" t="str">
        <f t="shared" si="61"/>
        <v>Europe → Germany → Munich</v>
      </c>
      <c r="Z172" t="str">
        <f t="shared" si="62"/>
        <v>Low</v>
      </c>
      <c r="AA172">
        <f t="shared" si="47"/>
        <v>2025</v>
      </c>
      <c r="AB172">
        <f t="shared" si="48"/>
        <v>2</v>
      </c>
      <c r="AC172" t="str">
        <f t="shared" si="49"/>
        <v>No</v>
      </c>
      <c r="AD172" t="str">
        <f t="shared" si="50"/>
        <v>No</v>
      </c>
      <c r="AE172" s="36">
        <f>IF(Dashboard!$P$47&gt;'Staging Data'!R172,'Staging Data'!R172,Dashboard!$P$47)</f>
        <v>4.2000000000000003E-2</v>
      </c>
      <c r="AF172">
        <f>(100%+Dashboard!$P$48)*'Staging Data'!P172</f>
        <v>766.94100000000003</v>
      </c>
      <c r="AG172">
        <f>(100%+Dashboard!$P$49)*S172</f>
        <v>22.880000000000003</v>
      </c>
      <c r="AH172" s="13">
        <f t="shared" si="51"/>
        <v>20969.945568000003</v>
      </c>
      <c r="AI172" s="13">
        <f t="shared" si="52"/>
        <v>17547.610080000002</v>
      </c>
      <c r="AJ172" s="13">
        <f t="shared" si="53"/>
        <v>3422.3354880000006</v>
      </c>
    </row>
    <row r="173" spans="1:36" x14ac:dyDescent="0.45">
      <c r="A173" s="3" t="s">
        <v>186</v>
      </c>
      <c r="B173" s="5">
        <v>45190</v>
      </c>
      <c r="C173" s="5">
        <v>45209</v>
      </c>
      <c r="D173" s="5">
        <f t="shared" si="54"/>
        <v>45190</v>
      </c>
      <c r="E173" s="5">
        <f t="shared" si="55"/>
        <v>45209</v>
      </c>
      <c r="F173" s="7">
        <f t="shared" si="56"/>
        <v>19</v>
      </c>
      <c r="G173" s="23" t="str">
        <f t="shared" si="57"/>
        <v>9-2023</v>
      </c>
      <c r="H173" s="3" t="s">
        <v>647</v>
      </c>
      <c r="I173" s="3" t="s">
        <v>652</v>
      </c>
      <c r="J173" s="3" t="s">
        <v>689</v>
      </c>
      <c r="K173" s="3" t="s">
        <v>702</v>
      </c>
      <c r="L173" s="3" t="s">
        <v>708</v>
      </c>
      <c r="M173" s="3" t="s">
        <v>726</v>
      </c>
      <c r="N173" s="3" t="s">
        <v>727</v>
      </c>
      <c r="O173" s="3" t="s">
        <v>905</v>
      </c>
      <c r="P173" s="19">
        <v>845.63</v>
      </c>
      <c r="Q173" s="19">
        <v>2062.12</v>
      </c>
      <c r="R173" s="15">
        <v>0.13400000000000001</v>
      </c>
      <c r="S173" s="7">
        <v>5</v>
      </c>
      <c r="T173" s="13">
        <f t="shared" si="45"/>
        <v>8928.9795999999988</v>
      </c>
      <c r="U173" s="13">
        <f t="shared" si="46"/>
        <v>4228.1499999999996</v>
      </c>
      <c r="V173" s="13">
        <f t="shared" si="58"/>
        <v>4700.8295999999991</v>
      </c>
      <c r="W173" s="15">
        <f t="shared" si="59"/>
        <v>0.52646884757133949</v>
      </c>
      <c r="X173" s="17" t="str">
        <f t="shared" si="60"/>
        <v>Q3-2023</v>
      </c>
      <c r="Y173" t="str">
        <f t="shared" si="61"/>
        <v>Asia → Japan → Tokyo</v>
      </c>
      <c r="Z173" t="str">
        <f t="shared" si="62"/>
        <v>High</v>
      </c>
      <c r="AA173">
        <f t="shared" si="47"/>
        <v>2023</v>
      </c>
      <c r="AB173">
        <f t="shared" si="48"/>
        <v>9</v>
      </c>
      <c r="AC173" t="str">
        <f t="shared" si="49"/>
        <v>No</v>
      </c>
      <c r="AD173" t="str">
        <f t="shared" si="50"/>
        <v>No</v>
      </c>
      <c r="AE173" s="36">
        <f>IF(Dashboard!$P$47&gt;'Staging Data'!R173,'Staging Data'!R173,Dashboard!$P$47)</f>
        <v>0.1</v>
      </c>
      <c r="AF173">
        <f>(100%+Dashboard!$P$48)*'Staging Data'!P173</f>
        <v>887.91150000000005</v>
      </c>
      <c r="AG173">
        <f>(100%+Dashboard!$P$49)*S173</f>
        <v>5.2</v>
      </c>
      <c r="AH173" s="13">
        <f t="shared" si="51"/>
        <v>9650.7215999999989</v>
      </c>
      <c r="AI173" s="13">
        <f t="shared" si="52"/>
        <v>4617.1398000000008</v>
      </c>
      <c r="AJ173" s="13">
        <f t="shared" si="53"/>
        <v>5033.5817999999981</v>
      </c>
    </row>
    <row r="174" spans="1:36" x14ac:dyDescent="0.45">
      <c r="A174" s="3" t="s">
        <v>187</v>
      </c>
      <c r="B174" s="5">
        <v>44981</v>
      </c>
      <c r="C174" s="5">
        <v>44994</v>
      </c>
      <c r="D174" s="5">
        <f t="shared" si="54"/>
        <v>44981</v>
      </c>
      <c r="E174" s="5">
        <f t="shared" si="55"/>
        <v>44994</v>
      </c>
      <c r="F174" s="7">
        <f t="shared" si="56"/>
        <v>13</v>
      </c>
      <c r="G174" s="23" t="str">
        <f t="shared" si="57"/>
        <v>2-2023</v>
      </c>
      <c r="H174" s="3" t="s">
        <v>648</v>
      </c>
      <c r="I174" s="3" t="s">
        <v>660</v>
      </c>
      <c r="J174" s="3" t="s">
        <v>700</v>
      </c>
      <c r="K174" s="3" t="s">
        <v>706</v>
      </c>
      <c r="L174" s="3" t="s">
        <v>708</v>
      </c>
      <c r="M174" s="3" t="s">
        <v>724</v>
      </c>
      <c r="N174" s="3" t="s">
        <v>727</v>
      </c>
      <c r="O174" s="3" t="s">
        <v>906</v>
      </c>
      <c r="P174" s="19">
        <v>6.85</v>
      </c>
      <c r="Q174" s="19">
        <v>10.18</v>
      </c>
      <c r="R174" s="15">
        <v>4.7E-2</v>
      </c>
      <c r="S174" s="7">
        <v>10</v>
      </c>
      <c r="T174" s="13">
        <f t="shared" si="45"/>
        <v>97.0154</v>
      </c>
      <c r="U174" s="13">
        <f t="shared" si="46"/>
        <v>68.5</v>
      </c>
      <c r="V174" s="13">
        <f t="shared" si="58"/>
        <v>28.5154</v>
      </c>
      <c r="W174" s="15">
        <f t="shared" si="59"/>
        <v>0.2939265312517394</v>
      </c>
      <c r="X174" s="17" t="str">
        <f t="shared" si="60"/>
        <v>Q1-2023</v>
      </c>
      <c r="Y174" t="str">
        <f t="shared" si="61"/>
        <v>Americas → USA → New York</v>
      </c>
      <c r="Z174" t="str">
        <f t="shared" si="62"/>
        <v>Low</v>
      </c>
      <c r="AA174">
        <f t="shared" si="47"/>
        <v>2023</v>
      </c>
      <c r="AB174">
        <f t="shared" si="48"/>
        <v>2</v>
      </c>
      <c r="AC174" t="str">
        <f t="shared" si="49"/>
        <v>No</v>
      </c>
      <c r="AD174" t="str">
        <f t="shared" si="50"/>
        <v>No</v>
      </c>
      <c r="AE174" s="36">
        <f>IF(Dashboard!$P$47&gt;'Staging Data'!R174,'Staging Data'!R174,Dashboard!$P$47)</f>
        <v>4.7E-2</v>
      </c>
      <c r="AF174">
        <f>(100%+Dashboard!$P$48)*'Staging Data'!P174</f>
        <v>7.1924999999999999</v>
      </c>
      <c r="AG174">
        <f>(100%+Dashboard!$P$49)*S174</f>
        <v>10.4</v>
      </c>
      <c r="AH174" s="13">
        <f t="shared" si="51"/>
        <v>100.89601599999999</v>
      </c>
      <c r="AI174" s="13">
        <f t="shared" si="52"/>
        <v>74.802000000000007</v>
      </c>
      <c r="AJ174" s="13">
        <f t="shared" si="53"/>
        <v>26.094015999999982</v>
      </c>
    </row>
    <row r="175" spans="1:36" x14ac:dyDescent="0.45">
      <c r="A175" s="3" t="s">
        <v>188</v>
      </c>
      <c r="B175" s="5">
        <v>45798</v>
      </c>
      <c r="C175" s="5">
        <v>45796</v>
      </c>
      <c r="D175" s="5">
        <f t="shared" si="54"/>
        <v>45796</v>
      </c>
      <c r="E175" s="5">
        <f t="shared" si="55"/>
        <v>45798</v>
      </c>
      <c r="F175" s="7">
        <f t="shared" si="56"/>
        <v>2</v>
      </c>
      <c r="G175" s="23" t="str">
        <f t="shared" si="57"/>
        <v>5-2025</v>
      </c>
      <c r="H175" s="3" t="s">
        <v>646</v>
      </c>
      <c r="I175" s="3" t="s">
        <v>661</v>
      </c>
      <c r="J175" s="3" t="s">
        <v>682</v>
      </c>
      <c r="K175" s="3" t="s">
        <v>703</v>
      </c>
      <c r="L175" s="3" t="s">
        <v>710</v>
      </c>
      <c r="M175" s="3" t="s">
        <v>719</v>
      </c>
      <c r="N175" s="3" t="s">
        <v>731</v>
      </c>
      <c r="O175" s="3" t="s">
        <v>907</v>
      </c>
      <c r="P175" s="19">
        <v>1263.8399999999999</v>
      </c>
      <c r="Q175" s="19">
        <v>2281.7199999999998</v>
      </c>
      <c r="R175" s="15">
        <v>7.8E-2</v>
      </c>
      <c r="S175" s="7">
        <v>15</v>
      </c>
      <c r="T175" s="13">
        <f t="shared" si="45"/>
        <v>31556.187599999997</v>
      </c>
      <c r="U175" s="13">
        <f t="shared" si="46"/>
        <v>18957.599999999999</v>
      </c>
      <c r="V175" s="13">
        <f t="shared" si="58"/>
        <v>12598.587599999999</v>
      </c>
      <c r="W175" s="15">
        <f t="shared" si="59"/>
        <v>0.39924301882398494</v>
      </c>
      <c r="X175" s="17" t="str">
        <f t="shared" si="60"/>
        <v>Q2-2025</v>
      </c>
      <c r="Y175" t="str">
        <f t="shared" si="61"/>
        <v>Africa → South Africa → Johannesburg</v>
      </c>
      <c r="Z175" t="str">
        <f t="shared" si="62"/>
        <v>High</v>
      </c>
      <c r="AA175">
        <f t="shared" si="47"/>
        <v>2025</v>
      </c>
      <c r="AB175">
        <f t="shared" si="48"/>
        <v>5</v>
      </c>
      <c r="AC175" t="str">
        <f t="shared" si="49"/>
        <v>Yes</v>
      </c>
      <c r="AD175" t="str">
        <f t="shared" si="50"/>
        <v>No</v>
      </c>
      <c r="AE175" s="36">
        <f>IF(Dashboard!$P$47&gt;'Staging Data'!R175,'Staging Data'!R175,Dashboard!$P$47)</f>
        <v>7.8E-2</v>
      </c>
      <c r="AF175">
        <f>(100%+Dashboard!$P$48)*'Staging Data'!P175</f>
        <v>1327.0319999999999</v>
      </c>
      <c r="AG175">
        <f>(100%+Dashboard!$P$49)*S175</f>
        <v>15.600000000000001</v>
      </c>
      <c r="AH175" s="13">
        <f t="shared" si="51"/>
        <v>32818.435104000004</v>
      </c>
      <c r="AI175" s="13">
        <f t="shared" si="52"/>
        <v>20701.699199999999</v>
      </c>
      <c r="AJ175" s="13">
        <f t="shared" si="53"/>
        <v>12116.735904000005</v>
      </c>
    </row>
    <row r="176" spans="1:36" x14ac:dyDescent="0.45">
      <c r="A176" s="3" t="s">
        <v>189</v>
      </c>
      <c r="B176" s="5">
        <v>45435</v>
      </c>
      <c r="C176" s="5">
        <v>45446</v>
      </c>
      <c r="D176" s="5">
        <f t="shared" si="54"/>
        <v>45435</v>
      </c>
      <c r="E176" s="5">
        <f t="shared" si="55"/>
        <v>45446</v>
      </c>
      <c r="F176" s="7">
        <f t="shared" si="56"/>
        <v>11</v>
      </c>
      <c r="G176" s="23" t="str">
        <f t="shared" si="57"/>
        <v>5-2024</v>
      </c>
      <c r="H176" s="3" t="s">
        <v>646</v>
      </c>
      <c r="I176" s="3" t="s">
        <v>661</v>
      </c>
      <c r="J176" s="3" t="s">
        <v>682</v>
      </c>
      <c r="K176" s="3" t="s">
        <v>705</v>
      </c>
      <c r="L176" s="3" t="s">
        <v>710</v>
      </c>
      <c r="M176" s="3" t="s">
        <v>721</v>
      </c>
      <c r="N176" s="3" t="s">
        <v>728</v>
      </c>
      <c r="O176" s="3" t="s">
        <v>908</v>
      </c>
      <c r="P176" s="19">
        <v>180.89</v>
      </c>
      <c r="Q176" s="19">
        <v>249.57</v>
      </c>
      <c r="R176" s="15">
        <v>2.1999999999999999E-2</v>
      </c>
      <c r="S176" s="7">
        <v>8</v>
      </c>
      <c r="T176" s="13">
        <f t="shared" si="45"/>
        <v>1952.6356799999999</v>
      </c>
      <c r="U176" s="13">
        <f t="shared" si="46"/>
        <v>1447.12</v>
      </c>
      <c r="V176" s="13">
        <f t="shared" si="58"/>
        <v>505.51567999999997</v>
      </c>
      <c r="W176" s="15">
        <f t="shared" si="59"/>
        <v>0.25888888806948362</v>
      </c>
      <c r="X176" s="17" t="str">
        <f t="shared" si="60"/>
        <v>Q2-2024</v>
      </c>
      <c r="Y176" t="str">
        <f t="shared" si="61"/>
        <v>Africa → South Africa → Johannesburg</v>
      </c>
      <c r="Z176" t="str">
        <f t="shared" si="62"/>
        <v>Low</v>
      </c>
      <c r="AA176">
        <f t="shared" si="47"/>
        <v>2024</v>
      </c>
      <c r="AB176">
        <f t="shared" si="48"/>
        <v>5</v>
      </c>
      <c r="AC176" t="str">
        <f t="shared" si="49"/>
        <v>No</v>
      </c>
      <c r="AD176" t="str">
        <f t="shared" si="50"/>
        <v>No</v>
      </c>
      <c r="AE176" s="36">
        <f>IF(Dashboard!$P$47&gt;'Staging Data'!R176,'Staging Data'!R176,Dashboard!$P$47)</f>
        <v>2.1999999999999999E-2</v>
      </c>
      <c r="AF176">
        <f>(100%+Dashboard!$P$48)*'Staging Data'!P176</f>
        <v>189.93449999999999</v>
      </c>
      <c r="AG176">
        <f>(100%+Dashboard!$P$49)*S176</f>
        <v>8.32</v>
      </c>
      <c r="AH176" s="13">
        <f t="shared" si="51"/>
        <v>2030.7411072</v>
      </c>
      <c r="AI176" s="13">
        <f t="shared" si="52"/>
        <v>1580.25504</v>
      </c>
      <c r="AJ176" s="13">
        <f t="shared" si="53"/>
        <v>450.48606719999998</v>
      </c>
    </row>
    <row r="177" spans="1:36" x14ac:dyDescent="0.45">
      <c r="A177" s="3" t="s">
        <v>190</v>
      </c>
      <c r="B177" s="5">
        <v>45761</v>
      </c>
      <c r="C177" s="5">
        <v>45781</v>
      </c>
      <c r="D177" s="5">
        <f t="shared" si="54"/>
        <v>45761</v>
      </c>
      <c r="E177" s="5">
        <f t="shared" si="55"/>
        <v>45781</v>
      </c>
      <c r="F177" s="7">
        <f t="shared" si="56"/>
        <v>20</v>
      </c>
      <c r="G177" s="23" t="str">
        <f t="shared" si="57"/>
        <v>4-2025</v>
      </c>
      <c r="H177" s="3" t="s">
        <v>649</v>
      </c>
      <c r="I177" s="3" t="s">
        <v>658</v>
      </c>
      <c r="J177" s="3" t="s">
        <v>674</v>
      </c>
      <c r="K177" s="3" t="s">
        <v>706</v>
      </c>
      <c r="L177" s="3" t="s">
        <v>709</v>
      </c>
      <c r="M177" s="3" t="s">
        <v>723</v>
      </c>
      <c r="N177" s="3" t="s">
        <v>732</v>
      </c>
      <c r="O177" s="3" t="s">
        <v>909</v>
      </c>
      <c r="P177" s="19">
        <v>1413.87</v>
      </c>
      <c r="Q177" s="19">
        <v>3275</v>
      </c>
      <c r="R177" s="15">
        <v>0.255</v>
      </c>
      <c r="S177" s="7">
        <v>38</v>
      </c>
      <c r="T177" s="13">
        <f t="shared" si="45"/>
        <v>92715.25</v>
      </c>
      <c r="U177" s="13">
        <f t="shared" si="46"/>
        <v>53727.06</v>
      </c>
      <c r="V177" s="13">
        <f t="shared" si="58"/>
        <v>38988.19</v>
      </c>
      <c r="W177" s="15">
        <f t="shared" si="59"/>
        <v>0.42051539525590453</v>
      </c>
      <c r="X177" s="17" t="str">
        <f t="shared" si="60"/>
        <v>Q2-2025</v>
      </c>
      <c r="Y177" t="str">
        <f t="shared" si="61"/>
        <v>Europe → United Kingdom → Birmingham</v>
      </c>
      <c r="Z177" t="str">
        <f t="shared" si="62"/>
        <v>High</v>
      </c>
      <c r="AA177">
        <f t="shared" si="47"/>
        <v>2025</v>
      </c>
      <c r="AB177">
        <f t="shared" si="48"/>
        <v>4</v>
      </c>
      <c r="AC177" t="str">
        <f t="shared" si="49"/>
        <v>No</v>
      </c>
      <c r="AD177" t="str">
        <f t="shared" si="50"/>
        <v>Yes</v>
      </c>
      <c r="AE177" s="36">
        <f>IF(Dashboard!$P$47&gt;'Staging Data'!R177,'Staging Data'!R177,Dashboard!$P$47)</f>
        <v>0.1</v>
      </c>
      <c r="AF177">
        <f>(100%+Dashboard!$P$48)*'Staging Data'!P177</f>
        <v>1484.5635</v>
      </c>
      <c r="AG177">
        <f>(100%+Dashboard!$P$49)*S177</f>
        <v>39.520000000000003</v>
      </c>
      <c r="AH177" s="13">
        <f t="shared" si="51"/>
        <v>116485.20000000001</v>
      </c>
      <c r="AI177" s="13">
        <f t="shared" si="52"/>
        <v>58669.949520000002</v>
      </c>
      <c r="AJ177" s="13">
        <f t="shared" si="53"/>
        <v>57815.25048000001</v>
      </c>
    </row>
    <row r="178" spans="1:36" x14ac:dyDescent="0.45">
      <c r="A178" s="3" t="s">
        <v>191</v>
      </c>
      <c r="B178" s="5">
        <v>45165</v>
      </c>
      <c r="C178" s="5">
        <v>45180</v>
      </c>
      <c r="D178" s="5">
        <f t="shared" si="54"/>
        <v>45165</v>
      </c>
      <c r="E178" s="5">
        <f t="shared" si="55"/>
        <v>45180</v>
      </c>
      <c r="F178" s="7">
        <f t="shared" si="56"/>
        <v>15</v>
      </c>
      <c r="G178" s="23" t="str">
        <f t="shared" si="57"/>
        <v>8-2023</v>
      </c>
      <c r="H178" s="3" t="s">
        <v>649</v>
      </c>
      <c r="I178" s="3" t="s">
        <v>658</v>
      </c>
      <c r="J178" s="3" t="s">
        <v>683</v>
      </c>
      <c r="K178" s="3" t="s">
        <v>704</v>
      </c>
      <c r="L178" s="3" t="s">
        <v>709</v>
      </c>
      <c r="M178" s="3" t="s">
        <v>725</v>
      </c>
      <c r="N178" s="3" t="s">
        <v>728</v>
      </c>
      <c r="O178" s="3" t="s">
        <v>910</v>
      </c>
      <c r="P178" s="19">
        <v>943.79</v>
      </c>
      <c r="Q178" s="19">
        <v>1913.76</v>
      </c>
      <c r="R178" s="15">
        <v>9.0999999999999998E-2</v>
      </c>
      <c r="S178" s="7">
        <v>9</v>
      </c>
      <c r="T178" s="13">
        <f t="shared" si="45"/>
        <v>15656.47056</v>
      </c>
      <c r="U178" s="13">
        <f t="shared" si="46"/>
        <v>8494.11</v>
      </c>
      <c r="V178" s="13">
        <f t="shared" si="58"/>
        <v>7162.3605599999992</v>
      </c>
      <c r="W178" s="15">
        <f t="shared" si="59"/>
        <v>0.45746967891338081</v>
      </c>
      <c r="X178" s="17" t="str">
        <f t="shared" si="60"/>
        <v>Q3-2023</v>
      </c>
      <c r="Y178" t="str">
        <f t="shared" si="61"/>
        <v>Europe → United Kingdom → London</v>
      </c>
      <c r="Z178" t="str">
        <f t="shared" si="62"/>
        <v>High</v>
      </c>
      <c r="AA178">
        <f t="shared" si="47"/>
        <v>2023</v>
      </c>
      <c r="AB178">
        <f t="shared" si="48"/>
        <v>8</v>
      </c>
      <c r="AC178" t="str">
        <f t="shared" si="49"/>
        <v>No</v>
      </c>
      <c r="AD178" t="str">
        <f t="shared" si="50"/>
        <v>No</v>
      </c>
      <c r="AE178" s="36">
        <f>IF(Dashboard!$P$47&gt;'Staging Data'!R178,'Staging Data'!R178,Dashboard!$P$47)</f>
        <v>9.0999999999999998E-2</v>
      </c>
      <c r="AF178">
        <f>(100%+Dashboard!$P$48)*'Staging Data'!P178</f>
        <v>990.97950000000003</v>
      </c>
      <c r="AG178">
        <f>(100%+Dashboard!$P$49)*S178</f>
        <v>9.36</v>
      </c>
      <c r="AH178" s="13">
        <f t="shared" si="51"/>
        <v>16282.729382399999</v>
      </c>
      <c r="AI178" s="13">
        <f t="shared" si="52"/>
        <v>9275.5681199999999</v>
      </c>
      <c r="AJ178" s="13">
        <f t="shared" si="53"/>
        <v>7007.161262399999</v>
      </c>
    </row>
    <row r="179" spans="1:36" x14ac:dyDescent="0.45">
      <c r="A179" s="3" t="s">
        <v>192</v>
      </c>
      <c r="B179" s="5">
        <v>45325</v>
      </c>
      <c r="C179" s="5">
        <v>45343</v>
      </c>
      <c r="D179" s="5">
        <f t="shared" si="54"/>
        <v>45325</v>
      </c>
      <c r="E179" s="5">
        <f t="shared" si="55"/>
        <v>45343</v>
      </c>
      <c r="F179" s="7">
        <f t="shared" si="56"/>
        <v>18</v>
      </c>
      <c r="G179" s="23" t="str">
        <f t="shared" si="57"/>
        <v>2-2024</v>
      </c>
      <c r="H179" s="3" t="s">
        <v>649</v>
      </c>
      <c r="I179" s="3" t="s">
        <v>656</v>
      </c>
      <c r="J179" s="3" t="s">
        <v>698</v>
      </c>
      <c r="K179" s="3" t="s">
        <v>701</v>
      </c>
      <c r="L179" s="3" t="s">
        <v>707</v>
      </c>
      <c r="M179" s="3" t="s">
        <v>722</v>
      </c>
      <c r="N179" s="3" t="s">
        <v>727</v>
      </c>
      <c r="O179" s="3" t="s">
        <v>911</v>
      </c>
      <c r="P179" s="19">
        <v>39.229999999999997</v>
      </c>
      <c r="Q179" s="19">
        <v>30.09</v>
      </c>
      <c r="R179" s="15">
        <v>0.17699999999999999</v>
      </c>
      <c r="S179" s="7">
        <v>13</v>
      </c>
      <c r="T179" s="13">
        <f t="shared" si="45"/>
        <v>321.93290999999999</v>
      </c>
      <c r="U179" s="13">
        <f t="shared" si="46"/>
        <v>509.98999999999995</v>
      </c>
      <c r="V179" s="13">
        <f t="shared" si="58"/>
        <v>-188.05708999999996</v>
      </c>
      <c r="W179" s="15">
        <f t="shared" si="59"/>
        <v>-0.58414993981199359</v>
      </c>
      <c r="X179" s="17" t="str">
        <f t="shared" si="60"/>
        <v>Q1-2024</v>
      </c>
      <c r="Y179" t="str">
        <f t="shared" si="61"/>
        <v>Europe → Germany → Frankfurt</v>
      </c>
      <c r="Z179" t="str">
        <f t="shared" si="62"/>
        <v>Low</v>
      </c>
      <c r="AA179">
        <f t="shared" si="47"/>
        <v>2024</v>
      </c>
      <c r="AB179">
        <f t="shared" si="48"/>
        <v>2</v>
      </c>
      <c r="AC179" t="str">
        <f t="shared" si="49"/>
        <v>No</v>
      </c>
      <c r="AD179" t="str">
        <f t="shared" si="50"/>
        <v>No</v>
      </c>
      <c r="AE179" s="36">
        <f>IF(Dashboard!$P$47&gt;'Staging Data'!R179,'Staging Data'!R179,Dashboard!$P$47)</f>
        <v>0.1</v>
      </c>
      <c r="AF179">
        <f>(100%+Dashboard!$P$48)*'Staging Data'!P179</f>
        <v>41.191499999999998</v>
      </c>
      <c r="AG179">
        <f>(100%+Dashboard!$P$49)*S179</f>
        <v>13.52</v>
      </c>
      <c r="AH179" s="13">
        <f t="shared" si="51"/>
        <v>366.13512000000003</v>
      </c>
      <c r="AI179" s="13">
        <f t="shared" si="52"/>
        <v>556.9090799999999</v>
      </c>
      <c r="AJ179" s="13">
        <f t="shared" si="53"/>
        <v>-190.77395999999987</v>
      </c>
    </row>
    <row r="180" spans="1:36" x14ac:dyDescent="0.45">
      <c r="A180" s="3" t="s">
        <v>193</v>
      </c>
      <c r="B180" s="5">
        <v>45021</v>
      </c>
      <c r="C180" s="5">
        <v>45032</v>
      </c>
      <c r="D180" s="5">
        <f t="shared" si="54"/>
        <v>45021</v>
      </c>
      <c r="E180" s="5">
        <f t="shared" si="55"/>
        <v>45032</v>
      </c>
      <c r="F180" s="7">
        <f t="shared" si="56"/>
        <v>11</v>
      </c>
      <c r="G180" s="23" t="str">
        <f t="shared" si="57"/>
        <v>4-2023</v>
      </c>
      <c r="H180" s="3" t="s">
        <v>648</v>
      </c>
      <c r="I180" s="3" t="s">
        <v>653</v>
      </c>
      <c r="J180" s="3" t="s">
        <v>688</v>
      </c>
      <c r="K180" s="3" t="s">
        <v>703</v>
      </c>
      <c r="L180" s="3" t="s">
        <v>708</v>
      </c>
      <c r="M180" s="3" t="s">
        <v>719</v>
      </c>
      <c r="N180" s="3" t="s">
        <v>732</v>
      </c>
      <c r="O180" s="3" t="s">
        <v>912</v>
      </c>
      <c r="P180" s="19">
        <v>213.1</v>
      </c>
      <c r="Q180" s="19">
        <v>501.31</v>
      </c>
      <c r="R180" s="15">
        <v>5.6000000000000001E-2</v>
      </c>
      <c r="S180" s="7">
        <v>15</v>
      </c>
      <c r="T180" s="13">
        <f t="shared" si="45"/>
        <v>7098.5495999999994</v>
      </c>
      <c r="U180" s="13">
        <f t="shared" si="46"/>
        <v>3196.5</v>
      </c>
      <c r="V180" s="13">
        <f t="shared" si="58"/>
        <v>3902.0495999999994</v>
      </c>
      <c r="W180" s="15">
        <f t="shared" si="59"/>
        <v>0.54969674368409005</v>
      </c>
      <c r="X180" s="17" t="str">
        <f t="shared" si="60"/>
        <v>Q2-2023</v>
      </c>
      <c r="Y180" t="str">
        <f t="shared" si="61"/>
        <v>Americas → Canada → Vancouver</v>
      </c>
      <c r="Z180" t="str">
        <f t="shared" si="62"/>
        <v>Low</v>
      </c>
      <c r="AA180">
        <f t="shared" si="47"/>
        <v>2023</v>
      </c>
      <c r="AB180">
        <f t="shared" si="48"/>
        <v>4</v>
      </c>
      <c r="AC180" t="str">
        <f t="shared" si="49"/>
        <v>No</v>
      </c>
      <c r="AD180" t="str">
        <f t="shared" si="50"/>
        <v>No</v>
      </c>
      <c r="AE180" s="36">
        <f>IF(Dashboard!$P$47&gt;'Staging Data'!R180,'Staging Data'!R180,Dashboard!$P$47)</f>
        <v>5.6000000000000001E-2</v>
      </c>
      <c r="AF180">
        <f>(100%+Dashboard!$P$48)*'Staging Data'!P180</f>
        <v>223.755</v>
      </c>
      <c r="AG180">
        <f>(100%+Dashboard!$P$49)*S180</f>
        <v>15.600000000000001</v>
      </c>
      <c r="AH180" s="13">
        <f t="shared" si="51"/>
        <v>7382.4915840000003</v>
      </c>
      <c r="AI180" s="13">
        <f t="shared" si="52"/>
        <v>3490.5780000000004</v>
      </c>
      <c r="AJ180" s="13">
        <f t="shared" si="53"/>
        <v>3891.9135839999999</v>
      </c>
    </row>
    <row r="181" spans="1:36" x14ac:dyDescent="0.45">
      <c r="A181" s="3" t="s">
        <v>194</v>
      </c>
      <c r="B181" s="5">
        <v>45890</v>
      </c>
      <c r="C181" s="5">
        <v>45912</v>
      </c>
      <c r="D181" s="5">
        <f t="shared" si="54"/>
        <v>45890</v>
      </c>
      <c r="E181" s="5">
        <f t="shared" si="55"/>
        <v>45912</v>
      </c>
      <c r="F181" s="7">
        <f t="shared" si="56"/>
        <v>22</v>
      </c>
      <c r="G181" s="23" t="str">
        <f t="shared" si="57"/>
        <v>8-2025</v>
      </c>
      <c r="H181" s="3" t="s">
        <v>647</v>
      </c>
      <c r="I181" s="3" t="s">
        <v>659</v>
      </c>
      <c r="J181" s="3" t="s">
        <v>676</v>
      </c>
      <c r="K181" s="3" t="s">
        <v>702</v>
      </c>
      <c r="L181" s="3" t="s">
        <v>707</v>
      </c>
      <c r="M181" s="3" t="s">
        <v>717</v>
      </c>
      <c r="N181" s="3" t="s">
        <v>728</v>
      </c>
      <c r="O181" s="3" t="s">
        <v>913</v>
      </c>
      <c r="P181" s="19">
        <v>352.66</v>
      </c>
      <c r="Q181" s="19">
        <v>411.18</v>
      </c>
      <c r="R181" s="15">
        <v>0.17299999999999999</v>
      </c>
      <c r="S181" s="7">
        <v>13</v>
      </c>
      <c r="T181" s="13">
        <f t="shared" si="45"/>
        <v>4420.5961799999995</v>
      </c>
      <c r="U181" s="13">
        <f t="shared" si="46"/>
        <v>4584.58</v>
      </c>
      <c r="V181" s="13">
        <f t="shared" si="58"/>
        <v>-163.98382000000038</v>
      </c>
      <c r="W181" s="15">
        <f t="shared" si="59"/>
        <v>-3.7095408248758066E-2</v>
      </c>
      <c r="X181" s="17" t="str">
        <f t="shared" si="60"/>
        <v>Q3-2025</v>
      </c>
      <c r="Y181" t="str">
        <f t="shared" si="61"/>
        <v>Asia → China → Shenzhen</v>
      </c>
      <c r="Z181" t="str">
        <f t="shared" si="62"/>
        <v>Low</v>
      </c>
      <c r="AA181">
        <f t="shared" si="47"/>
        <v>2025</v>
      </c>
      <c r="AB181">
        <f t="shared" si="48"/>
        <v>8</v>
      </c>
      <c r="AC181" t="str">
        <f t="shared" si="49"/>
        <v>No</v>
      </c>
      <c r="AD181" t="str">
        <f t="shared" si="50"/>
        <v>No</v>
      </c>
      <c r="AE181" s="36">
        <f>IF(Dashboard!$P$47&gt;'Staging Data'!R181,'Staging Data'!R181,Dashboard!$P$47)</f>
        <v>0.1</v>
      </c>
      <c r="AF181">
        <f>(100%+Dashboard!$P$48)*'Staging Data'!P181</f>
        <v>370.29300000000006</v>
      </c>
      <c r="AG181">
        <f>(100%+Dashboard!$P$49)*S181</f>
        <v>13.52</v>
      </c>
      <c r="AH181" s="13">
        <f t="shared" si="51"/>
        <v>5003.2382399999997</v>
      </c>
      <c r="AI181" s="13">
        <f t="shared" si="52"/>
        <v>5006.3613600000008</v>
      </c>
      <c r="AJ181" s="13">
        <f t="shared" si="53"/>
        <v>-3.1231200000011086</v>
      </c>
    </row>
    <row r="182" spans="1:36" x14ac:dyDescent="0.45">
      <c r="A182" s="3" t="s">
        <v>331</v>
      </c>
      <c r="B182" s="5">
        <v>45244</v>
      </c>
      <c r="C182" s="5">
        <v>45260</v>
      </c>
      <c r="D182" s="5">
        <f t="shared" si="54"/>
        <v>45244</v>
      </c>
      <c r="E182" s="5">
        <f t="shared" si="55"/>
        <v>45260</v>
      </c>
      <c r="F182" s="7">
        <f t="shared" si="56"/>
        <v>16</v>
      </c>
      <c r="G182" s="23" t="str">
        <f t="shared" si="57"/>
        <v>11-2023</v>
      </c>
      <c r="H182" s="3" t="s">
        <v>648</v>
      </c>
      <c r="I182" s="3" t="s">
        <v>655</v>
      </c>
      <c r="J182" s="3" t="s">
        <v>670</v>
      </c>
      <c r="K182" s="3" t="s">
        <v>706</v>
      </c>
      <c r="L182" s="3" t="s">
        <v>711</v>
      </c>
      <c r="M182" s="3" t="s">
        <v>723</v>
      </c>
      <c r="N182" s="3" t="s">
        <v>729</v>
      </c>
      <c r="O182" s="3" t="s">
        <v>1051</v>
      </c>
      <c r="P182" s="19">
        <v>1017.92</v>
      </c>
      <c r="Q182" s="19">
        <v>1175.25</v>
      </c>
      <c r="R182" s="15">
        <v>7.4999999999999997E-2</v>
      </c>
      <c r="S182" s="7">
        <v>15</v>
      </c>
      <c r="T182" s="13">
        <f t="shared" si="45"/>
        <v>16306.59375</v>
      </c>
      <c r="U182" s="13">
        <f t="shared" si="46"/>
        <v>15268.8</v>
      </c>
      <c r="V182" s="13">
        <f t="shared" si="58"/>
        <v>1037.7937500000007</v>
      </c>
      <c r="W182" s="15">
        <f t="shared" si="59"/>
        <v>6.3642583234159542E-2</v>
      </c>
      <c r="X182" s="17" t="str">
        <f t="shared" si="60"/>
        <v>Q4-2023</v>
      </c>
      <c r="Y182" t="str">
        <f t="shared" si="61"/>
        <v>Americas → Brazil → São Paulo</v>
      </c>
      <c r="Z182" t="str">
        <f t="shared" si="62"/>
        <v>Low</v>
      </c>
      <c r="AA182">
        <f t="shared" si="47"/>
        <v>2023</v>
      </c>
      <c r="AB182">
        <f t="shared" si="48"/>
        <v>11</v>
      </c>
      <c r="AC182" t="str">
        <f t="shared" si="49"/>
        <v>No</v>
      </c>
      <c r="AD182" t="str">
        <f t="shared" si="50"/>
        <v>No</v>
      </c>
      <c r="AE182" s="36">
        <f>IF(Dashboard!$P$47&gt;'Staging Data'!R182,'Staging Data'!R182,Dashboard!$P$47)</f>
        <v>7.4999999999999997E-2</v>
      </c>
      <c r="AF182">
        <f>(100%+Dashboard!$P$48)*'Staging Data'!P182</f>
        <v>1068.816</v>
      </c>
      <c r="AG182">
        <f>(100%+Dashboard!$P$49)*S182</f>
        <v>15.600000000000001</v>
      </c>
      <c r="AH182" s="13">
        <f t="shared" si="51"/>
        <v>16958.857500000002</v>
      </c>
      <c r="AI182" s="13">
        <f t="shared" si="52"/>
        <v>16673.529600000002</v>
      </c>
      <c r="AJ182" s="13">
        <f t="shared" si="53"/>
        <v>285.32790000000023</v>
      </c>
    </row>
    <row r="183" spans="1:36" x14ac:dyDescent="0.45">
      <c r="A183" s="3" t="s">
        <v>196</v>
      </c>
      <c r="B183" s="5">
        <v>45568</v>
      </c>
      <c r="C183" s="5">
        <v>45576</v>
      </c>
      <c r="D183" s="5">
        <f t="shared" si="54"/>
        <v>45568</v>
      </c>
      <c r="E183" s="5">
        <f t="shared" si="55"/>
        <v>45576</v>
      </c>
      <c r="F183" s="7">
        <f t="shared" si="56"/>
        <v>8</v>
      </c>
      <c r="G183" s="23" t="str">
        <f t="shared" si="57"/>
        <v>10-2024</v>
      </c>
      <c r="H183" s="3" t="s">
        <v>647</v>
      </c>
      <c r="I183" s="3" t="s">
        <v>659</v>
      </c>
      <c r="J183" s="3" t="s">
        <v>699</v>
      </c>
      <c r="K183" s="3" t="s">
        <v>706</v>
      </c>
      <c r="L183" s="3" t="s">
        <v>711</v>
      </c>
      <c r="M183" s="3" t="s">
        <v>717</v>
      </c>
      <c r="N183" s="3" t="s">
        <v>730</v>
      </c>
      <c r="O183" s="3" t="s">
        <v>915</v>
      </c>
      <c r="P183" s="19">
        <v>1132.6099999999999</v>
      </c>
      <c r="Q183" s="19">
        <v>2206.63</v>
      </c>
      <c r="R183" s="15">
        <v>6.3E-2</v>
      </c>
      <c r="S183" s="7">
        <v>20</v>
      </c>
      <c r="T183" s="13">
        <f t="shared" si="45"/>
        <v>41352.246200000009</v>
      </c>
      <c r="U183" s="13">
        <f t="shared" si="46"/>
        <v>22652.199999999997</v>
      </c>
      <c r="V183" s="13">
        <f t="shared" si="58"/>
        <v>18700.046200000012</v>
      </c>
      <c r="W183" s="15">
        <f t="shared" si="59"/>
        <v>0.45221355351671338</v>
      </c>
      <c r="X183" s="17" t="str">
        <f t="shared" si="60"/>
        <v>Q4-2024</v>
      </c>
      <c r="Y183" t="str">
        <f t="shared" si="61"/>
        <v>Asia → China → Beijing</v>
      </c>
      <c r="Z183" t="str">
        <f t="shared" si="62"/>
        <v>High</v>
      </c>
      <c r="AA183">
        <f t="shared" si="47"/>
        <v>2024</v>
      </c>
      <c r="AB183">
        <f t="shared" si="48"/>
        <v>10</v>
      </c>
      <c r="AC183" t="str">
        <f t="shared" si="49"/>
        <v>No</v>
      </c>
      <c r="AD183" t="str">
        <f t="shared" si="50"/>
        <v>No</v>
      </c>
      <c r="AE183" s="36">
        <f>IF(Dashboard!$P$47&gt;'Staging Data'!R183,'Staging Data'!R183,Dashboard!$P$47)</f>
        <v>6.3E-2</v>
      </c>
      <c r="AF183">
        <f>(100%+Dashboard!$P$48)*'Staging Data'!P183</f>
        <v>1189.2404999999999</v>
      </c>
      <c r="AG183">
        <f>(100%+Dashboard!$P$49)*S183</f>
        <v>20.8</v>
      </c>
      <c r="AH183" s="13">
        <f t="shared" si="51"/>
        <v>43006.336048000005</v>
      </c>
      <c r="AI183" s="13">
        <f t="shared" si="52"/>
        <v>24736.202399999998</v>
      </c>
      <c r="AJ183" s="13">
        <f t="shared" si="53"/>
        <v>18270.133648000006</v>
      </c>
    </row>
    <row r="184" spans="1:36" x14ac:dyDescent="0.45">
      <c r="A184" s="3" t="s">
        <v>108</v>
      </c>
      <c r="B184" s="5">
        <v>45569</v>
      </c>
      <c r="C184" s="5">
        <v>45598</v>
      </c>
      <c r="D184" s="5">
        <f t="shared" si="54"/>
        <v>45569</v>
      </c>
      <c r="E184" s="5">
        <f t="shared" si="55"/>
        <v>45598</v>
      </c>
      <c r="F184" s="7">
        <f t="shared" si="56"/>
        <v>29</v>
      </c>
      <c r="G184" s="23" t="str">
        <f t="shared" si="57"/>
        <v>10-2024</v>
      </c>
      <c r="H184" s="3" t="s">
        <v>646</v>
      </c>
      <c r="I184" s="3" t="s">
        <v>651</v>
      </c>
      <c r="J184" s="3" t="s">
        <v>669</v>
      </c>
      <c r="K184" s="3" t="s">
        <v>701</v>
      </c>
      <c r="L184" s="3" t="s">
        <v>710</v>
      </c>
      <c r="M184" s="3" t="s">
        <v>721</v>
      </c>
      <c r="N184" s="3" t="s">
        <v>733</v>
      </c>
      <c r="O184" s="3" t="s">
        <v>827</v>
      </c>
      <c r="P184" s="19">
        <v>412.09</v>
      </c>
      <c r="Q184" s="19">
        <v>968.94</v>
      </c>
      <c r="R184" s="15">
        <v>9.9000000000000005E-2</v>
      </c>
      <c r="S184" s="7">
        <v>23</v>
      </c>
      <c r="T184" s="13">
        <f t="shared" si="45"/>
        <v>20079.343620000003</v>
      </c>
      <c r="U184" s="13">
        <f t="shared" si="46"/>
        <v>9478.07</v>
      </c>
      <c r="V184" s="13">
        <f t="shared" si="58"/>
        <v>10601.273620000004</v>
      </c>
      <c r="W184" s="15">
        <f t="shared" si="59"/>
        <v>0.52796913189137418</v>
      </c>
      <c r="X184" s="17" t="str">
        <f t="shared" si="60"/>
        <v>Q4-2024</v>
      </c>
      <c r="Y184" t="str">
        <f t="shared" si="61"/>
        <v>Africa → Nigeria → Abuja</v>
      </c>
      <c r="Z184" t="str">
        <f t="shared" si="62"/>
        <v>Low</v>
      </c>
      <c r="AA184">
        <f t="shared" si="47"/>
        <v>2024</v>
      </c>
      <c r="AB184">
        <f t="shared" si="48"/>
        <v>10</v>
      </c>
      <c r="AC184" t="str">
        <f t="shared" si="49"/>
        <v>No</v>
      </c>
      <c r="AD184" t="str">
        <f t="shared" si="50"/>
        <v>No</v>
      </c>
      <c r="AE184" s="36">
        <f>IF(Dashboard!$P$47&gt;'Staging Data'!R184,'Staging Data'!R184,Dashboard!$P$47)</f>
        <v>9.9000000000000005E-2</v>
      </c>
      <c r="AF184">
        <f>(100%+Dashboard!$P$48)*'Staging Data'!P184</f>
        <v>432.69450000000001</v>
      </c>
      <c r="AG184">
        <f>(100%+Dashboard!$P$49)*S184</f>
        <v>23.92</v>
      </c>
      <c r="AH184" s="13">
        <f t="shared" si="51"/>
        <v>20882.517364800002</v>
      </c>
      <c r="AI184" s="13">
        <f t="shared" si="52"/>
        <v>10350.052440000001</v>
      </c>
      <c r="AJ184" s="13">
        <f t="shared" si="53"/>
        <v>10532.464924800001</v>
      </c>
    </row>
    <row r="185" spans="1:36" x14ac:dyDescent="0.45">
      <c r="A185" s="3" t="s">
        <v>198</v>
      </c>
      <c r="B185" s="5">
        <v>45157</v>
      </c>
      <c r="C185" s="5">
        <v>45161</v>
      </c>
      <c r="D185" s="5">
        <f t="shared" si="54"/>
        <v>45157</v>
      </c>
      <c r="E185" s="5">
        <f t="shared" si="55"/>
        <v>45161</v>
      </c>
      <c r="F185" s="7">
        <f t="shared" si="56"/>
        <v>4</v>
      </c>
      <c r="G185" s="23" t="str">
        <f t="shared" si="57"/>
        <v>8-2023</v>
      </c>
      <c r="H185" s="3" t="s">
        <v>646</v>
      </c>
      <c r="I185" s="3" t="s">
        <v>651</v>
      </c>
      <c r="J185" s="3" t="s">
        <v>669</v>
      </c>
      <c r="K185" s="3" t="s">
        <v>705</v>
      </c>
      <c r="L185" s="3" t="s">
        <v>708</v>
      </c>
      <c r="M185" s="3" t="s">
        <v>713</v>
      </c>
      <c r="N185" s="3" t="s">
        <v>732</v>
      </c>
      <c r="O185" s="3" t="s">
        <v>917</v>
      </c>
      <c r="P185" s="19">
        <v>790.63</v>
      </c>
      <c r="Q185" s="19">
        <v>1382.31</v>
      </c>
      <c r="R185" s="15">
        <v>0.10100000000000001</v>
      </c>
      <c r="S185" s="7">
        <v>7</v>
      </c>
      <c r="T185" s="13">
        <f t="shared" si="45"/>
        <v>8698.8768300000011</v>
      </c>
      <c r="U185" s="13">
        <f t="shared" si="46"/>
        <v>5534.41</v>
      </c>
      <c r="V185" s="13">
        <f t="shared" si="58"/>
        <v>3164.4668300000012</v>
      </c>
      <c r="W185" s="15">
        <f t="shared" si="59"/>
        <v>0.36377878338116448</v>
      </c>
      <c r="X185" s="17" t="str">
        <f t="shared" si="60"/>
        <v>Q3-2023</v>
      </c>
      <c r="Y185" t="str">
        <f t="shared" si="61"/>
        <v>Africa → Nigeria → Abuja</v>
      </c>
      <c r="Z185" t="str">
        <f t="shared" si="62"/>
        <v>Medium</v>
      </c>
      <c r="AA185">
        <f t="shared" si="47"/>
        <v>2023</v>
      </c>
      <c r="AB185">
        <f t="shared" si="48"/>
        <v>8</v>
      </c>
      <c r="AC185" t="str">
        <f t="shared" si="49"/>
        <v>Yes</v>
      </c>
      <c r="AD185" t="str">
        <f t="shared" si="50"/>
        <v>No</v>
      </c>
      <c r="AE185" s="36">
        <f>IF(Dashboard!$P$47&gt;'Staging Data'!R185,'Staging Data'!R185,Dashboard!$P$47)</f>
        <v>0.1</v>
      </c>
      <c r="AF185">
        <f>(100%+Dashboard!$P$48)*'Staging Data'!P185</f>
        <v>830.16150000000005</v>
      </c>
      <c r="AG185">
        <f>(100%+Dashboard!$P$49)*S185</f>
        <v>7.28</v>
      </c>
      <c r="AH185" s="13">
        <f t="shared" si="51"/>
        <v>9056.895120000001</v>
      </c>
      <c r="AI185" s="13">
        <f t="shared" si="52"/>
        <v>6043.5757200000007</v>
      </c>
      <c r="AJ185" s="13">
        <f t="shared" si="53"/>
        <v>3013.3194000000003</v>
      </c>
    </row>
    <row r="186" spans="1:36" x14ac:dyDescent="0.45">
      <c r="A186" s="3" t="s">
        <v>199</v>
      </c>
      <c r="B186" s="5">
        <v>45587</v>
      </c>
      <c r="C186" s="5">
        <v>45594</v>
      </c>
      <c r="D186" s="5">
        <f t="shared" si="54"/>
        <v>45587</v>
      </c>
      <c r="E186" s="5">
        <f t="shared" si="55"/>
        <v>45594</v>
      </c>
      <c r="F186" s="7">
        <f t="shared" si="56"/>
        <v>7</v>
      </c>
      <c r="G186" s="23" t="str">
        <f t="shared" si="57"/>
        <v>10-2024</v>
      </c>
      <c r="H186" s="3" t="s">
        <v>646</v>
      </c>
      <c r="I186" s="3" t="s">
        <v>651</v>
      </c>
      <c r="J186" s="3" t="s">
        <v>663</v>
      </c>
      <c r="K186" s="3" t="s">
        <v>706</v>
      </c>
      <c r="L186" s="3" t="s">
        <v>710</v>
      </c>
      <c r="M186" s="3" t="s">
        <v>724</v>
      </c>
      <c r="N186" s="3" t="s">
        <v>732</v>
      </c>
      <c r="O186" s="3" t="s">
        <v>918</v>
      </c>
      <c r="P186" s="19">
        <v>1023.06</v>
      </c>
      <c r="Q186" s="19">
        <v>1355.61</v>
      </c>
      <c r="R186" s="15">
        <v>0.153</v>
      </c>
      <c r="S186" s="7">
        <v>23</v>
      </c>
      <c r="T186" s="13">
        <f t="shared" si="45"/>
        <v>26408.63841</v>
      </c>
      <c r="U186" s="13">
        <f t="shared" si="46"/>
        <v>23530.379999999997</v>
      </c>
      <c r="V186" s="13">
        <f t="shared" si="58"/>
        <v>2878.2584100000022</v>
      </c>
      <c r="W186" s="15">
        <f t="shared" si="59"/>
        <v>0.10898927711888809</v>
      </c>
      <c r="X186" s="17" t="str">
        <f t="shared" si="60"/>
        <v>Q4-2024</v>
      </c>
      <c r="Y186" t="str">
        <f t="shared" si="61"/>
        <v>Africa → Nigeria → Port Harcourt</v>
      </c>
      <c r="Z186" t="str">
        <f t="shared" si="62"/>
        <v>Medium</v>
      </c>
      <c r="AA186">
        <f t="shared" si="47"/>
        <v>2024</v>
      </c>
      <c r="AB186">
        <f t="shared" si="48"/>
        <v>10</v>
      </c>
      <c r="AC186" t="str">
        <f t="shared" si="49"/>
        <v>Yes</v>
      </c>
      <c r="AD186" t="str">
        <f t="shared" si="50"/>
        <v>No</v>
      </c>
      <c r="AE186" s="36">
        <f>IF(Dashboard!$P$47&gt;'Staging Data'!R186,'Staging Data'!R186,Dashboard!$P$47)</f>
        <v>0.1</v>
      </c>
      <c r="AF186">
        <f>(100%+Dashboard!$P$48)*'Staging Data'!P186</f>
        <v>1074.213</v>
      </c>
      <c r="AG186">
        <f>(100%+Dashboard!$P$49)*S186</f>
        <v>23.92</v>
      </c>
      <c r="AH186" s="13">
        <f t="shared" si="51"/>
        <v>29183.572080000002</v>
      </c>
      <c r="AI186" s="13">
        <f t="shared" si="52"/>
        <v>25695.17496</v>
      </c>
      <c r="AJ186" s="13">
        <f t="shared" si="53"/>
        <v>3488.3971200000015</v>
      </c>
    </row>
    <row r="187" spans="1:36" x14ac:dyDescent="0.45">
      <c r="A187" s="3" t="s">
        <v>465</v>
      </c>
      <c r="B187" s="5">
        <v>44945</v>
      </c>
      <c r="C187" s="5">
        <v>44960</v>
      </c>
      <c r="D187" s="5">
        <f t="shared" si="54"/>
        <v>44945</v>
      </c>
      <c r="E187" s="5">
        <f t="shared" si="55"/>
        <v>44960</v>
      </c>
      <c r="F187" s="7">
        <f t="shared" si="56"/>
        <v>15</v>
      </c>
      <c r="G187" s="23" t="str">
        <f t="shared" si="57"/>
        <v>1-2023</v>
      </c>
      <c r="H187" s="3" t="s">
        <v>649</v>
      </c>
      <c r="I187" s="3" t="s">
        <v>658</v>
      </c>
      <c r="J187" s="3" t="s">
        <v>683</v>
      </c>
      <c r="K187" s="3" t="s">
        <v>706</v>
      </c>
      <c r="L187" s="3" t="s">
        <v>710</v>
      </c>
      <c r="M187" s="3" t="s">
        <v>715</v>
      </c>
      <c r="N187" s="3" t="s">
        <v>733</v>
      </c>
      <c r="O187" s="3" t="s">
        <v>1184</v>
      </c>
      <c r="P187" s="19">
        <v>873.06</v>
      </c>
      <c r="Q187" s="19">
        <v>2101.5500000000002</v>
      </c>
      <c r="R187" s="15">
        <v>6.6000000000000003E-2</v>
      </c>
      <c r="S187" s="7">
        <v>10</v>
      </c>
      <c r="T187" s="13">
        <f t="shared" si="45"/>
        <v>19628.476999999999</v>
      </c>
      <c r="U187" s="13">
        <f t="shared" si="46"/>
        <v>8730.5999999999985</v>
      </c>
      <c r="V187" s="13">
        <f t="shared" si="58"/>
        <v>10897.877</v>
      </c>
      <c r="W187" s="15">
        <f t="shared" si="59"/>
        <v>0.55520746719167269</v>
      </c>
      <c r="X187" s="17" t="str">
        <f t="shared" si="60"/>
        <v>Q1-2023</v>
      </c>
      <c r="Y187" t="str">
        <f t="shared" si="61"/>
        <v>Europe → United Kingdom → London</v>
      </c>
      <c r="Z187" t="str">
        <f t="shared" si="62"/>
        <v>High</v>
      </c>
      <c r="AA187">
        <f t="shared" si="47"/>
        <v>2023</v>
      </c>
      <c r="AB187">
        <f t="shared" si="48"/>
        <v>1</v>
      </c>
      <c r="AC187" t="str">
        <f t="shared" si="49"/>
        <v>No</v>
      </c>
      <c r="AD187" t="str">
        <f t="shared" si="50"/>
        <v>No</v>
      </c>
      <c r="AE187" s="36">
        <f>IF(Dashboard!$P$47&gt;'Staging Data'!R187,'Staging Data'!R187,Dashboard!$P$47)</f>
        <v>6.6000000000000003E-2</v>
      </c>
      <c r="AF187">
        <f>(100%+Dashboard!$P$48)*'Staging Data'!P187</f>
        <v>916.71299999999997</v>
      </c>
      <c r="AG187">
        <f>(100%+Dashboard!$P$49)*S187</f>
        <v>10.4</v>
      </c>
      <c r="AH187" s="13">
        <f t="shared" si="51"/>
        <v>20413.61608</v>
      </c>
      <c r="AI187" s="13">
        <f t="shared" si="52"/>
        <v>9533.8151999999991</v>
      </c>
      <c r="AJ187" s="13">
        <f t="shared" si="53"/>
        <v>10879.800880000001</v>
      </c>
    </row>
    <row r="188" spans="1:36" x14ac:dyDescent="0.45">
      <c r="A188" s="3" t="s">
        <v>201</v>
      </c>
      <c r="B188" s="5">
        <v>45670</v>
      </c>
      <c r="C188" s="5">
        <v>45696</v>
      </c>
      <c r="D188" s="5">
        <f t="shared" si="54"/>
        <v>45670</v>
      </c>
      <c r="E188" s="5">
        <f t="shared" si="55"/>
        <v>45696</v>
      </c>
      <c r="F188" s="7">
        <f t="shared" si="56"/>
        <v>26</v>
      </c>
      <c r="G188" s="23" t="str">
        <f t="shared" si="57"/>
        <v>1-2025</v>
      </c>
      <c r="H188" s="3" t="s">
        <v>649</v>
      </c>
      <c r="I188" s="3" t="s">
        <v>657</v>
      </c>
      <c r="J188" s="3" t="s">
        <v>690</v>
      </c>
      <c r="K188" s="3" t="s">
        <v>703</v>
      </c>
      <c r="L188" s="3" t="s">
        <v>1423</v>
      </c>
      <c r="M188" s="3" t="s">
        <v>718</v>
      </c>
      <c r="N188" s="3" t="s">
        <v>732</v>
      </c>
      <c r="O188" s="3" t="s">
        <v>920</v>
      </c>
      <c r="P188" s="19">
        <v>594.74</v>
      </c>
      <c r="Q188" s="19">
        <v>1020.69</v>
      </c>
      <c r="R188" s="15">
        <v>0.21099999999999999</v>
      </c>
      <c r="S188" s="7">
        <v>6</v>
      </c>
      <c r="T188" s="13">
        <f t="shared" si="45"/>
        <v>4831.9464600000001</v>
      </c>
      <c r="U188" s="13">
        <f t="shared" si="46"/>
        <v>3568.44</v>
      </c>
      <c r="V188" s="13">
        <f t="shared" si="58"/>
        <v>1263.5064600000001</v>
      </c>
      <c r="W188" s="15">
        <f t="shared" si="59"/>
        <v>0.26149016146176424</v>
      </c>
      <c r="X188" s="17" t="str">
        <f t="shared" si="60"/>
        <v>Q1-2025</v>
      </c>
      <c r="Y188" t="str">
        <f t="shared" si="61"/>
        <v>Europe → France → Paris</v>
      </c>
      <c r="Z188" t="str">
        <f t="shared" si="62"/>
        <v>Low</v>
      </c>
      <c r="AA188">
        <f t="shared" si="47"/>
        <v>2025</v>
      </c>
      <c r="AB188">
        <f t="shared" si="48"/>
        <v>1</v>
      </c>
      <c r="AC188" t="str">
        <f t="shared" si="49"/>
        <v>No</v>
      </c>
      <c r="AD188" t="str">
        <f t="shared" si="50"/>
        <v>Yes</v>
      </c>
      <c r="AE188" s="36">
        <f>IF(Dashboard!$P$47&gt;'Staging Data'!R188,'Staging Data'!R188,Dashboard!$P$47)</f>
        <v>0.1</v>
      </c>
      <c r="AF188">
        <f>(100%+Dashboard!$P$48)*'Staging Data'!P188</f>
        <v>624.47700000000009</v>
      </c>
      <c r="AG188">
        <f>(100%+Dashboard!$P$49)*S188</f>
        <v>6.24</v>
      </c>
      <c r="AH188" s="13">
        <f t="shared" si="51"/>
        <v>5732.1950400000005</v>
      </c>
      <c r="AI188" s="13">
        <f t="shared" si="52"/>
        <v>3896.7364800000005</v>
      </c>
      <c r="AJ188" s="13">
        <f t="shared" si="53"/>
        <v>1835.45856</v>
      </c>
    </row>
    <row r="189" spans="1:36" s="11" customFormat="1" x14ac:dyDescent="0.45">
      <c r="A189" s="3" t="s">
        <v>304</v>
      </c>
      <c r="B189" s="5">
        <v>45897</v>
      </c>
      <c r="C189" s="5">
        <v>45895</v>
      </c>
      <c r="D189" s="5">
        <f t="shared" si="54"/>
        <v>45895</v>
      </c>
      <c r="E189" s="5">
        <f t="shared" si="55"/>
        <v>45897</v>
      </c>
      <c r="F189" s="7">
        <f t="shared" si="56"/>
        <v>2</v>
      </c>
      <c r="G189" s="23" t="str">
        <f t="shared" si="57"/>
        <v>8-2025</v>
      </c>
      <c r="H189" s="3" t="s">
        <v>646</v>
      </c>
      <c r="I189" s="3" t="s">
        <v>651</v>
      </c>
      <c r="J189" s="3" t="s">
        <v>663</v>
      </c>
      <c r="K189" s="3" t="s">
        <v>705</v>
      </c>
      <c r="L189" s="3" t="s">
        <v>707</v>
      </c>
      <c r="M189" s="3" t="s">
        <v>720</v>
      </c>
      <c r="N189" s="3" t="s">
        <v>733</v>
      </c>
      <c r="O189" s="3" t="s">
        <v>1024</v>
      </c>
      <c r="P189" s="19">
        <v>521.05999999999995</v>
      </c>
      <c r="Q189" s="19">
        <v>1240.31</v>
      </c>
      <c r="R189" s="15">
        <v>0.14599999999999999</v>
      </c>
      <c r="S189" s="7">
        <v>18</v>
      </c>
      <c r="T189" s="13">
        <f t="shared" si="45"/>
        <v>19066.045319999997</v>
      </c>
      <c r="U189" s="13">
        <f t="shared" si="46"/>
        <v>9379.0799999999981</v>
      </c>
      <c r="V189" s="13">
        <f t="shared" si="58"/>
        <v>9686.9653199999993</v>
      </c>
      <c r="W189" s="15">
        <f t="shared" si="59"/>
        <v>0.50807417885650974</v>
      </c>
      <c r="X189" s="17" t="str">
        <f t="shared" si="60"/>
        <v>Q3-2025</v>
      </c>
      <c r="Y189" t="str">
        <f t="shared" si="61"/>
        <v>Africa → Nigeria → Port Harcourt</v>
      </c>
      <c r="Z189" t="str">
        <f t="shared" si="62"/>
        <v>Medium</v>
      </c>
      <c r="AA189">
        <f t="shared" si="47"/>
        <v>2025</v>
      </c>
      <c r="AB189">
        <f t="shared" si="48"/>
        <v>8</v>
      </c>
      <c r="AC189" t="str">
        <f t="shared" si="49"/>
        <v>Yes</v>
      </c>
      <c r="AD189" t="str">
        <f t="shared" si="50"/>
        <v>No</v>
      </c>
      <c r="AE189" s="36">
        <f>IF(Dashboard!$P$47&gt;'Staging Data'!R189,'Staging Data'!R189,Dashboard!$P$47)</f>
        <v>0.1</v>
      </c>
      <c r="AF189">
        <f>(100%+Dashboard!$P$48)*'Staging Data'!P189</f>
        <v>547.11299999999994</v>
      </c>
      <c r="AG189">
        <f>(100%+Dashboard!$P$49)*S189</f>
        <v>18.72</v>
      </c>
      <c r="AH189" s="13">
        <f t="shared" si="51"/>
        <v>20896.742879999998</v>
      </c>
      <c r="AI189" s="13">
        <f t="shared" si="52"/>
        <v>10241.955359999998</v>
      </c>
      <c r="AJ189" s="13">
        <f t="shared" si="53"/>
        <v>10654.78752</v>
      </c>
    </row>
    <row r="190" spans="1:36" x14ac:dyDescent="0.45">
      <c r="A190" s="3" t="s">
        <v>80</v>
      </c>
      <c r="B190" s="5">
        <v>45263</v>
      </c>
      <c r="C190" s="5">
        <v>45286</v>
      </c>
      <c r="D190" s="5">
        <f t="shared" si="54"/>
        <v>45263</v>
      </c>
      <c r="E190" s="5">
        <f t="shared" si="55"/>
        <v>45286</v>
      </c>
      <c r="F190" s="7">
        <f t="shared" si="56"/>
        <v>23</v>
      </c>
      <c r="G190" s="23" t="str">
        <f t="shared" si="57"/>
        <v>12-2023</v>
      </c>
      <c r="H190" s="3" t="s">
        <v>648</v>
      </c>
      <c r="I190" s="3" t="s">
        <v>655</v>
      </c>
      <c r="J190" s="3" t="s">
        <v>692</v>
      </c>
      <c r="K190" s="3" t="s">
        <v>702</v>
      </c>
      <c r="L190" s="3" t="s">
        <v>707</v>
      </c>
      <c r="M190" s="3" t="s">
        <v>719</v>
      </c>
      <c r="N190" s="3" t="s">
        <v>730</v>
      </c>
      <c r="O190" s="3" t="s">
        <v>799</v>
      </c>
      <c r="P190" s="19">
        <v>1303.1099999999999</v>
      </c>
      <c r="Q190" s="19">
        <v>1145.67</v>
      </c>
      <c r="R190" s="15">
        <v>0.184</v>
      </c>
      <c r="S190" s="7">
        <v>13</v>
      </c>
      <c r="T190" s="13">
        <f t="shared" si="45"/>
        <v>12153.267360000002</v>
      </c>
      <c r="U190" s="13">
        <f t="shared" si="46"/>
        <v>16940.43</v>
      </c>
      <c r="V190" s="13">
        <f t="shared" si="58"/>
        <v>-4787.1626399999986</v>
      </c>
      <c r="W190" s="15">
        <f t="shared" si="59"/>
        <v>-0.39389922875851208</v>
      </c>
      <c r="X190" s="17" t="str">
        <f t="shared" si="60"/>
        <v>Q4-2023</v>
      </c>
      <c r="Y190" t="str">
        <f t="shared" si="61"/>
        <v>Americas → Brazil → Rio de Janeiro</v>
      </c>
      <c r="Z190" t="str">
        <f t="shared" si="62"/>
        <v>Low</v>
      </c>
      <c r="AA190">
        <f t="shared" si="47"/>
        <v>2023</v>
      </c>
      <c r="AB190">
        <f t="shared" si="48"/>
        <v>12</v>
      </c>
      <c r="AC190" t="str">
        <f t="shared" si="49"/>
        <v>No</v>
      </c>
      <c r="AD190" t="str">
        <f t="shared" si="50"/>
        <v>No</v>
      </c>
      <c r="AE190" s="36">
        <f>IF(Dashboard!$P$47&gt;'Staging Data'!R190,'Staging Data'!R190,Dashboard!$P$47)</f>
        <v>0.1</v>
      </c>
      <c r="AF190">
        <f>(100%+Dashboard!$P$48)*'Staging Data'!P190</f>
        <v>1368.2655</v>
      </c>
      <c r="AG190">
        <f>(100%+Dashboard!$P$49)*S190</f>
        <v>13.52</v>
      </c>
      <c r="AH190" s="13">
        <f t="shared" si="51"/>
        <v>13940.512560000001</v>
      </c>
      <c r="AI190" s="13">
        <f t="shared" si="52"/>
        <v>18498.949559999997</v>
      </c>
      <c r="AJ190" s="13">
        <f t="shared" si="53"/>
        <v>-4558.4369999999963</v>
      </c>
    </row>
    <row r="191" spans="1:36" x14ac:dyDescent="0.45">
      <c r="A191" s="3" t="s">
        <v>470</v>
      </c>
      <c r="B191" s="5">
        <v>45265</v>
      </c>
      <c r="C191" s="5">
        <v>45272</v>
      </c>
      <c r="D191" s="5">
        <f t="shared" si="54"/>
        <v>45265</v>
      </c>
      <c r="E191" s="5">
        <f t="shared" si="55"/>
        <v>45272</v>
      </c>
      <c r="F191" s="7">
        <f t="shared" si="56"/>
        <v>7</v>
      </c>
      <c r="G191" s="23" t="str">
        <f t="shared" si="57"/>
        <v>12-2023</v>
      </c>
      <c r="H191" s="3" t="s">
        <v>648</v>
      </c>
      <c r="I191" s="3" t="s">
        <v>655</v>
      </c>
      <c r="J191" s="3" t="s">
        <v>672</v>
      </c>
      <c r="K191" s="3" t="s">
        <v>701</v>
      </c>
      <c r="L191" s="3" t="s">
        <v>711</v>
      </c>
      <c r="M191" s="3" t="s">
        <v>721</v>
      </c>
      <c r="N191" s="3" t="s">
        <v>730</v>
      </c>
      <c r="O191" s="3" t="s">
        <v>1189</v>
      </c>
      <c r="P191" s="19">
        <v>307.43</v>
      </c>
      <c r="Q191" s="19">
        <v>495.19</v>
      </c>
      <c r="R191" s="15">
        <v>0</v>
      </c>
      <c r="S191" s="7">
        <v>42</v>
      </c>
      <c r="T191" s="13">
        <f t="shared" si="45"/>
        <v>20797.98</v>
      </c>
      <c r="U191" s="13">
        <f t="shared" si="46"/>
        <v>12912.06</v>
      </c>
      <c r="V191" s="13">
        <f t="shared" si="58"/>
        <v>7885.92</v>
      </c>
      <c r="W191" s="15">
        <f t="shared" si="59"/>
        <v>0.37916759223732305</v>
      </c>
      <c r="X191" s="17" t="str">
        <f t="shared" si="60"/>
        <v>Q4-2023</v>
      </c>
      <c r="Y191" t="str">
        <f t="shared" si="61"/>
        <v>Americas → Brazil → Brasília</v>
      </c>
      <c r="Z191" t="str">
        <f t="shared" si="62"/>
        <v>Low</v>
      </c>
      <c r="AA191">
        <f t="shared" si="47"/>
        <v>2023</v>
      </c>
      <c r="AB191">
        <f t="shared" si="48"/>
        <v>12</v>
      </c>
      <c r="AC191" t="str">
        <f t="shared" si="49"/>
        <v>Yes</v>
      </c>
      <c r="AD191" t="str">
        <f t="shared" si="50"/>
        <v>No</v>
      </c>
      <c r="AE191" s="36">
        <f>IF(Dashboard!$P$47&gt;'Staging Data'!R191,'Staging Data'!R191,Dashboard!$P$47)</f>
        <v>0</v>
      </c>
      <c r="AF191">
        <f>(100%+Dashboard!$P$48)*'Staging Data'!P191</f>
        <v>322.80150000000003</v>
      </c>
      <c r="AG191">
        <f>(100%+Dashboard!$P$49)*S191</f>
        <v>43.68</v>
      </c>
      <c r="AH191" s="13">
        <f t="shared" si="51"/>
        <v>21629.8992</v>
      </c>
      <c r="AI191" s="13">
        <f t="shared" si="52"/>
        <v>14099.969520000001</v>
      </c>
      <c r="AJ191" s="13">
        <f t="shared" si="53"/>
        <v>7529.9296799999993</v>
      </c>
    </row>
    <row r="192" spans="1:36" x14ac:dyDescent="0.45">
      <c r="A192" s="3" t="s">
        <v>204</v>
      </c>
      <c r="B192" s="5">
        <v>45325</v>
      </c>
      <c r="C192" s="5">
        <v>45341</v>
      </c>
      <c r="D192" s="5">
        <f t="shared" si="54"/>
        <v>45325</v>
      </c>
      <c r="E192" s="5">
        <f t="shared" si="55"/>
        <v>45341</v>
      </c>
      <c r="F192" s="7">
        <f t="shared" si="56"/>
        <v>16</v>
      </c>
      <c r="G192" s="23" t="str">
        <f t="shared" si="57"/>
        <v>2-2024</v>
      </c>
      <c r="H192" s="3" t="s">
        <v>647</v>
      </c>
      <c r="I192" s="3" t="s">
        <v>659</v>
      </c>
      <c r="J192" s="3" t="s">
        <v>676</v>
      </c>
      <c r="K192" s="3" t="s">
        <v>705</v>
      </c>
      <c r="L192" s="3" t="s">
        <v>708</v>
      </c>
      <c r="M192" s="3" t="s">
        <v>722</v>
      </c>
      <c r="N192" s="3" t="s">
        <v>731</v>
      </c>
      <c r="O192" s="3" t="s">
        <v>924</v>
      </c>
      <c r="P192" s="19">
        <v>993.75</v>
      </c>
      <c r="Q192" s="19">
        <v>1310.29</v>
      </c>
      <c r="R192" s="15">
        <v>0.215</v>
      </c>
      <c r="S192" s="7">
        <v>19</v>
      </c>
      <c r="T192" s="13">
        <f t="shared" si="45"/>
        <v>19542.975350000001</v>
      </c>
      <c r="U192" s="13">
        <f t="shared" si="46"/>
        <v>18881.25</v>
      </c>
      <c r="V192" s="13">
        <f t="shared" si="58"/>
        <v>661.72535000000062</v>
      </c>
      <c r="W192" s="15">
        <f t="shared" si="59"/>
        <v>3.3860010471742245E-2</v>
      </c>
      <c r="X192" s="17" t="str">
        <f t="shared" si="60"/>
        <v>Q1-2024</v>
      </c>
      <c r="Y192" t="str">
        <f t="shared" si="61"/>
        <v>Asia → China → Shenzhen</v>
      </c>
      <c r="Z192" t="str">
        <f t="shared" si="62"/>
        <v>Medium</v>
      </c>
      <c r="AA192">
        <f t="shared" si="47"/>
        <v>2024</v>
      </c>
      <c r="AB192">
        <f t="shared" si="48"/>
        <v>2</v>
      </c>
      <c r="AC192" t="str">
        <f t="shared" si="49"/>
        <v>No</v>
      </c>
      <c r="AD192" t="str">
        <f t="shared" si="50"/>
        <v>Yes</v>
      </c>
      <c r="AE192" s="36">
        <f>IF(Dashboard!$P$47&gt;'Staging Data'!R192,'Staging Data'!R192,Dashboard!$P$47)</f>
        <v>0.1</v>
      </c>
      <c r="AF192">
        <f>(100%+Dashboard!$P$48)*'Staging Data'!P192</f>
        <v>1043.4375</v>
      </c>
      <c r="AG192">
        <f>(100%+Dashboard!$P$49)*S192</f>
        <v>19.760000000000002</v>
      </c>
      <c r="AH192" s="13">
        <f t="shared" si="51"/>
        <v>23302.197360000002</v>
      </c>
      <c r="AI192" s="13">
        <f t="shared" si="52"/>
        <v>20618.325000000001</v>
      </c>
      <c r="AJ192" s="13">
        <f t="shared" si="53"/>
        <v>2683.8723600000012</v>
      </c>
    </row>
    <row r="193" spans="1:36" x14ac:dyDescent="0.45">
      <c r="A193" s="3" t="s">
        <v>205</v>
      </c>
      <c r="B193" s="5">
        <v>45146</v>
      </c>
      <c r="C193" s="5">
        <v>45160</v>
      </c>
      <c r="D193" s="5">
        <f t="shared" si="54"/>
        <v>45146</v>
      </c>
      <c r="E193" s="5">
        <f t="shared" si="55"/>
        <v>45160</v>
      </c>
      <c r="F193" s="7">
        <f t="shared" si="56"/>
        <v>14</v>
      </c>
      <c r="G193" s="23" t="str">
        <f t="shared" si="57"/>
        <v>8-2023</v>
      </c>
      <c r="H193" s="3" t="s">
        <v>649</v>
      </c>
      <c r="I193" s="3" t="s">
        <v>658</v>
      </c>
      <c r="J193" s="3" t="s">
        <v>674</v>
      </c>
      <c r="K193" s="3" t="s">
        <v>703</v>
      </c>
      <c r="L193" s="3" t="s">
        <v>711</v>
      </c>
      <c r="M193" s="3" t="s">
        <v>725</v>
      </c>
      <c r="N193" s="3" t="s">
        <v>732</v>
      </c>
      <c r="O193" s="3" t="s">
        <v>925</v>
      </c>
      <c r="P193" s="19">
        <v>446.69</v>
      </c>
      <c r="Q193" s="19">
        <v>967.25</v>
      </c>
      <c r="R193" s="15">
        <v>9.4E-2</v>
      </c>
      <c r="S193" s="7">
        <v>10</v>
      </c>
      <c r="T193" s="13">
        <f t="shared" si="45"/>
        <v>8763.2849999999999</v>
      </c>
      <c r="U193" s="13">
        <f t="shared" si="46"/>
        <v>4466.8999999999996</v>
      </c>
      <c r="V193" s="13">
        <f t="shared" si="58"/>
        <v>4296.3850000000002</v>
      </c>
      <c r="W193" s="15">
        <f t="shared" si="59"/>
        <v>0.49027105702941309</v>
      </c>
      <c r="X193" s="17" t="str">
        <f t="shared" si="60"/>
        <v>Q3-2023</v>
      </c>
      <c r="Y193" t="str">
        <f t="shared" si="61"/>
        <v>Europe → United Kingdom → Birmingham</v>
      </c>
      <c r="Z193" t="str">
        <f t="shared" si="62"/>
        <v>Low</v>
      </c>
      <c r="AA193">
        <f t="shared" si="47"/>
        <v>2023</v>
      </c>
      <c r="AB193">
        <f t="shared" si="48"/>
        <v>8</v>
      </c>
      <c r="AC193" t="str">
        <f t="shared" si="49"/>
        <v>No</v>
      </c>
      <c r="AD193" t="str">
        <f t="shared" si="50"/>
        <v>No</v>
      </c>
      <c r="AE193" s="36">
        <f>IF(Dashboard!$P$47&gt;'Staging Data'!R193,'Staging Data'!R193,Dashboard!$P$47)</f>
        <v>9.4E-2</v>
      </c>
      <c r="AF193">
        <f>(100%+Dashboard!$P$48)*'Staging Data'!P193</f>
        <v>469.02449999999999</v>
      </c>
      <c r="AG193">
        <f>(100%+Dashboard!$P$49)*S193</f>
        <v>10.4</v>
      </c>
      <c r="AH193" s="13">
        <f t="shared" si="51"/>
        <v>9113.8163999999997</v>
      </c>
      <c r="AI193" s="13">
        <f t="shared" si="52"/>
        <v>4877.8548000000001</v>
      </c>
      <c r="AJ193" s="13">
        <f t="shared" si="53"/>
        <v>4235.9615999999996</v>
      </c>
    </row>
    <row r="194" spans="1:36" x14ac:dyDescent="0.45">
      <c r="A194" s="3" t="s">
        <v>206</v>
      </c>
      <c r="B194" s="5">
        <v>45516</v>
      </c>
      <c r="C194" s="5">
        <v>45538</v>
      </c>
      <c r="D194" s="5">
        <f t="shared" si="54"/>
        <v>45516</v>
      </c>
      <c r="E194" s="5">
        <f t="shared" si="55"/>
        <v>45538</v>
      </c>
      <c r="F194" s="7">
        <f t="shared" si="56"/>
        <v>22</v>
      </c>
      <c r="G194" s="23" t="str">
        <f t="shared" si="57"/>
        <v>8-2024</v>
      </c>
      <c r="H194" s="3" t="s">
        <v>648</v>
      </c>
      <c r="I194" s="3" t="s">
        <v>660</v>
      </c>
      <c r="J194" s="3" t="s">
        <v>697</v>
      </c>
      <c r="K194" s="3" t="s">
        <v>704</v>
      </c>
      <c r="L194" s="3" t="s">
        <v>710</v>
      </c>
      <c r="M194" s="3" t="s">
        <v>714</v>
      </c>
      <c r="N194" s="3" t="s">
        <v>731</v>
      </c>
      <c r="O194" s="3" t="s">
        <v>926</v>
      </c>
      <c r="P194" s="19">
        <v>797.8</v>
      </c>
      <c r="Q194" s="19">
        <v>886.22</v>
      </c>
      <c r="R194" s="15">
        <v>0.23599999999999999</v>
      </c>
      <c r="S194" s="7">
        <v>36</v>
      </c>
      <c r="T194" s="13">
        <f t="shared" si="45"/>
        <v>24374.594880000001</v>
      </c>
      <c r="U194" s="13">
        <f t="shared" si="46"/>
        <v>28720.799999999999</v>
      </c>
      <c r="V194" s="13">
        <f t="shared" si="58"/>
        <v>-4346.2051199999987</v>
      </c>
      <c r="W194" s="15">
        <f t="shared" si="59"/>
        <v>-0.17830881462428633</v>
      </c>
      <c r="X194" s="17" t="str">
        <f t="shared" si="60"/>
        <v>Q3-2024</v>
      </c>
      <c r="Y194" t="str">
        <f t="shared" si="61"/>
        <v>Americas → USA → Austin</v>
      </c>
      <c r="Z194" t="str">
        <f t="shared" si="62"/>
        <v>Low</v>
      </c>
      <c r="AA194">
        <f t="shared" si="47"/>
        <v>2024</v>
      </c>
      <c r="AB194">
        <f t="shared" si="48"/>
        <v>8</v>
      </c>
      <c r="AC194" t="str">
        <f t="shared" si="49"/>
        <v>No</v>
      </c>
      <c r="AD194" t="str">
        <f t="shared" si="50"/>
        <v>Yes</v>
      </c>
      <c r="AE194" s="36">
        <f>IF(Dashboard!$P$47&gt;'Staging Data'!R194,'Staging Data'!R194,Dashboard!$P$47)</f>
        <v>0.1</v>
      </c>
      <c r="AF194">
        <f>(100%+Dashboard!$P$48)*'Staging Data'!P194</f>
        <v>837.68999999999994</v>
      </c>
      <c r="AG194">
        <f>(100%+Dashboard!$P$49)*S194</f>
        <v>37.44</v>
      </c>
      <c r="AH194" s="13">
        <f t="shared" si="51"/>
        <v>29862.069120000004</v>
      </c>
      <c r="AI194" s="13">
        <f t="shared" si="52"/>
        <v>31363.113599999997</v>
      </c>
      <c r="AJ194" s="13">
        <f t="shared" si="53"/>
        <v>-1501.0444799999932</v>
      </c>
    </row>
    <row r="195" spans="1:36" x14ac:dyDescent="0.45">
      <c r="A195" s="3" t="s">
        <v>207</v>
      </c>
      <c r="B195" s="5">
        <v>45214</v>
      </c>
      <c r="C195" s="5">
        <v>45243</v>
      </c>
      <c r="D195" s="5">
        <f t="shared" si="54"/>
        <v>45214</v>
      </c>
      <c r="E195" s="5">
        <f t="shared" si="55"/>
        <v>45243</v>
      </c>
      <c r="F195" s="7">
        <f t="shared" si="56"/>
        <v>29</v>
      </c>
      <c r="G195" s="23" t="str">
        <f t="shared" si="57"/>
        <v>10-2023</v>
      </c>
      <c r="H195" s="3" t="s">
        <v>647</v>
      </c>
      <c r="I195" s="3" t="s">
        <v>659</v>
      </c>
      <c r="J195" s="3" t="s">
        <v>676</v>
      </c>
      <c r="K195" s="3" t="s">
        <v>703</v>
      </c>
      <c r="L195" s="3" t="s">
        <v>710</v>
      </c>
      <c r="M195" s="3" t="s">
        <v>713</v>
      </c>
      <c r="N195" s="3" t="s">
        <v>728</v>
      </c>
      <c r="O195" s="3" t="s">
        <v>927</v>
      </c>
      <c r="P195" s="19">
        <v>986.44</v>
      </c>
      <c r="Q195" s="19">
        <v>790.61</v>
      </c>
      <c r="R195" s="15">
        <v>7.1999999999999995E-2</v>
      </c>
      <c r="S195" s="7">
        <v>6</v>
      </c>
      <c r="T195" s="13">
        <f t="shared" ref="T195:T258" si="63">(Q195*S195)*(1-R195)</f>
        <v>4402.1164799999997</v>
      </c>
      <c r="U195" s="13">
        <f t="shared" ref="U195:U258" si="64">P195*S195</f>
        <v>5918.64</v>
      </c>
      <c r="V195" s="13">
        <f t="shared" si="58"/>
        <v>-1516.5235200000006</v>
      </c>
      <c r="W195" s="15">
        <f t="shared" si="59"/>
        <v>-0.34449872621271499</v>
      </c>
      <c r="X195" s="17" t="str">
        <f t="shared" si="60"/>
        <v>Q4-2023</v>
      </c>
      <c r="Y195" t="str">
        <f t="shared" si="61"/>
        <v>Asia → China → Shenzhen</v>
      </c>
      <c r="Z195" t="str">
        <f t="shared" si="62"/>
        <v>Low</v>
      </c>
      <c r="AA195">
        <f t="shared" ref="AA195:AA258" si="65">YEAR(D195)</f>
        <v>2023</v>
      </c>
      <c r="AB195">
        <f t="shared" ref="AB195:AB258" si="66">MONTH(D195)</f>
        <v>10</v>
      </c>
      <c r="AC195" t="str">
        <f t="shared" ref="AC195:AC258" si="67">IF(F195&lt;=7,"Yes", "No")</f>
        <v>No</v>
      </c>
      <c r="AD195" t="str">
        <f t="shared" ref="AD195:AD258" si="68">IF(R195&gt;20%,"Yes","No")</f>
        <v>No</v>
      </c>
      <c r="AE195" s="36">
        <f>IF(Dashboard!$P$47&gt;'Staging Data'!R195,'Staging Data'!R195,Dashboard!$P$47)</f>
        <v>7.1999999999999995E-2</v>
      </c>
      <c r="AF195">
        <f>(100%+Dashboard!$P$48)*'Staging Data'!P195</f>
        <v>1035.7620000000002</v>
      </c>
      <c r="AG195">
        <f>(100%+Dashboard!$P$49)*S195</f>
        <v>6.24</v>
      </c>
      <c r="AH195" s="13">
        <f t="shared" ref="AH195:AH258" si="69">(Q195*AG195)*(1-AE195)</f>
        <v>4578.2011392000004</v>
      </c>
      <c r="AI195" s="13">
        <f t="shared" ref="AI195:AI258" si="70">AF195*AG195</f>
        <v>6463.154880000001</v>
      </c>
      <c r="AJ195" s="13">
        <f t="shared" ref="AJ195:AJ258" si="71">AH195-AI195</f>
        <v>-1884.9537408000006</v>
      </c>
    </row>
    <row r="196" spans="1:36" x14ac:dyDescent="0.45">
      <c r="A196" s="3" t="s">
        <v>208</v>
      </c>
      <c r="B196" s="5">
        <v>45050</v>
      </c>
      <c r="C196" s="5">
        <v>45072</v>
      </c>
      <c r="D196" s="5">
        <f t="shared" si="54"/>
        <v>45050</v>
      </c>
      <c r="E196" s="5">
        <f t="shared" si="55"/>
        <v>45072</v>
      </c>
      <c r="F196" s="7">
        <f t="shared" si="56"/>
        <v>22</v>
      </c>
      <c r="G196" s="23" t="str">
        <f t="shared" si="57"/>
        <v>5-2023</v>
      </c>
      <c r="H196" s="3" t="s">
        <v>648</v>
      </c>
      <c r="I196" s="3" t="s">
        <v>660</v>
      </c>
      <c r="J196" s="3" t="s">
        <v>686</v>
      </c>
      <c r="K196" s="3" t="s">
        <v>706</v>
      </c>
      <c r="L196" s="3" t="s">
        <v>708</v>
      </c>
      <c r="M196" s="3" t="s">
        <v>713</v>
      </c>
      <c r="N196" s="3" t="s">
        <v>729</v>
      </c>
      <c r="O196" s="3" t="s">
        <v>928</v>
      </c>
      <c r="P196" s="19">
        <v>249.71</v>
      </c>
      <c r="Q196" s="19">
        <v>361.33</v>
      </c>
      <c r="R196" s="15">
        <v>9.4E-2</v>
      </c>
      <c r="S196" s="7">
        <v>12</v>
      </c>
      <c r="T196" s="13">
        <f t="shared" si="63"/>
        <v>3928.3797600000003</v>
      </c>
      <c r="U196" s="13">
        <f t="shared" si="64"/>
        <v>2996.52</v>
      </c>
      <c r="V196" s="13">
        <f t="shared" si="58"/>
        <v>931.85976000000028</v>
      </c>
      <c r="W196" s="15">
        <f t="shared" si="59"/>
        <v>0.23721223937881206</v>
      </c>
      <c r="X196" s="17" t="str">
        <f t="shared" si="60"/>
        <v>Q2-2023</v>
      </c>
      <c r="Y196" t="str">
        <f t="shared" si="61"/>
        <v>Americas → USA → San Francisco</v>
      </c>
      <c r="Z196" t="str">
        <f t="shared" si="62"/>
        <v>Low</v>
      </c>
      <c r="AA196">
        <f t="shared" si="65"/>
        <v>2023</v>
      </c>
      <c r="AB196">
        <f t="shared" si="66"/>
        <v>5</v>
      </c>
      <c r="AC196" t="str">
        <f t="shared" si="67"/>
        <v>No</v>
      </c>
      <c r="AD196" t="str">
        <f t="shared" si="68"/>
        <v>No</v>
      </c>
      <c r="AE196" s="36">
        <f>IF(Dashboard!$P$47&gt;'Staging Data'!R196,'Staging Data'!R196,Dashboard!$P$47)</f>
        <v>9.4E-2</v>
      </c>
      <c r="AF196">
        <f>(100%+Dashboard!$P$48)*'Staging Data'!P196</f>
        <v>262.19550000000004</v>
      </c>
      <c r="AG196">
        <f>(100%+Dashboard!$P$49)*S196</f>
        <v>12.48</v>
      </c>
      <c r="AH196" s="13">
        <f t="shared" si="69"/>
        <v>4085.5149504000001</v>
      </c>
      <c r="AI196" s="13">
        <f t="shared" si="70"/>
        <v>3272.1998400000007</v>
      </c>
      <c r="AJ196" s="13">
        <f t="shared" si="71"/>
        <v>813.31511039999941</v>
      </c>
    </row>
    <row r="197" spans="1:36" x14ac:dyDescent="0.45">
      <c r="A197" s="3" t="s">
        <v>239</v>
      </c>
      <c r="B197" s="5">
        <v>45279</v>
      </c>
      <c r="C197" s="5">
        <v>45280</v>
      </c>
      <c r="D197" s="5">
        <f t="shared" si="54"/>
        <v>45279</v>
      </c>
      <c r="E197" s="5">
        <f t="shared" si="55"/>
        <v>45280</v>
      </c>
      <c r="F197" s="7">
        <f t="shared" si="56"/>
        <v>1</v>
      </c>
      <c r="G197" s="23" t="str">
        <f t="shared" si="57"/>
        <v>12-2023</v>
      </c>
      <c r="H197" s="3" t="s">
        <v>648</v>
      </c>
      <c r="I197" s="3" t="s">
        <v>655</v>
      </c>
      <c r="J197" s="3" t="s">
        <v>692</v>
      </c>
      <c r="K197" s="3" t="s">
        <v>704</v>
      </c>
      <c r="L197" s="3" t="s">
        <v>710</v>
      </c>
      <c r="M197" s="3" t="s">
        <v>713</v>
      </c>
      <c r="N197" s="3" t="s">
        <v>730</v>
      </c>
      <c r="O197" s="3" t="s">
        <v>959</v>
      </c>
      <c r="P197" s="19">
        <v>1080.43</v>
      </c>
      <c r="Q197" s="19">
        <v>2529.15</v>
      </c>
      <c r="R197" s="15">
        <v>0.14699999999999999</v>
      </c>
      <c r="S197" s="7">
        <v>10</v>
      </c>
      <c r="T197" s="13">
        <f t="shared" si="63"/>
        <v>21573.6495</v>
      </c>
      <c r="U197" s="13">
        <f t="shared" si="64"/>
        <v>10804.300000000001</v>
      </c>
      <c r="V197" s="13">
        <f t="shared" si="58"/>
        <v>10769.349499999998</v>
      </c>
      <c r="W197" s="15">
        <f t="shared" si="59"/>
        <v>0.49918997247081437</v>
      </c>
      <c r="X197" s="17" t="str">
        <f t="shared" si="60"/>
        <v>Q4-2023</v>
      </c>
      <c r="Y197" t="str">
        <f t="shared" si="61"/>
        <v>Americas → Brazil → Rio de Janeiro</v>
      </c>
      <c r="Z197" t="str">
        <f t="shared" si="62"/>
        <v>High</v>
      </c>
      <c r="AA197">
        <f t="shared" si="65"/>
        <v>2023</v>
      </c>
      <c r="AB197">
        <f t="shared" si="66"/>
        <v>12</v>
      </c>
      <c r="AC197" t="str">
        <f t="shared" si="67"/>
        <v>Yes</v>
      </c>
      <c r="AD197" t="str">
        <f t="shared" si="68"/>
        <v>No</v>
      </c>
      <c r="AE197" s="36">
        <f>IF(Dashboard!$P$47&gt;'Staging Data'!R197,'Staging Data'!R197,Dashboard!$P$47)</f>
        <v>0.1</v>
      </c>
      <c r="AF197">
        <f>(100%+Dashboard!$P$48)*'Staging Data'!P197</f>
        <v>1134.4515000000001</v>
      </c>
      <c r="AG197">
        <f>(100%+Dashboard!$P$49)*S197</f>
        <v>10.4</v>
      </c>
      <c r="AH197" s="13">
        <f t="shared" si="69"/>
        <v>23672.844000000005</v>
      </c>
      <c r="AI197" s="13">
        <f t="shared" si="70"/>
        <v>11798.295600000001</v>
      </c>
      <c r="AJ197" s="13">
        <f t="shared" si="71"/>
        <v>11874.548400000003</v>
      </c>
    </row>
    <row r="198" spans="1:36" x14ac:dyDescent="0.45">
      <c r="A198" s="3" t="s">
        <v>210</v>
      </c>
      <c r="B198" s="5">
        <v>45588</v>
      </c>
      <c r="C198" s="5">
        <v>45610</v>
      </c>
      <c r="D198" s="5">
        <f t="shared" si="54"/>
        <v>45588</v>
      </c>
      <c r="E198" s="5">
        <f t="shared" si="55"/>
        <v>45610</v>
      </c>
      <c r="F198" s="7">
        <f t="shared" si="56"/>
        <v>22</v>
      </c>
      <c r="G198" s="23" t="str">
        <f t="shared" si="57"/>
        <v>10-2024</v>
      </c>
      <c r="H198" s="3" t="s">
        <v>647</v>
      </c>
      <c r="I198" s="3" t="s">
        <v>652</v>
      </c>
      <c r="J198" s="3" t="s">
        <v>666</v>
      </c>
      <c r="K198" s="3" t="s">
        <v>703</v>
      </c>
      <c r="L198" s="3" t="s">
        <v>711</v>
      </c>
      <c r="M198" s="3" t="s">
        <v>717</v>
      </c>
      <c r="N198" s="3" t="s">
        <v>730</v>
      </c>
      <c r="O198" s="3" t="s">
        <v>930</v>
      </c>
      <c r="P198" s="19">
        <v>1406.4</v>
      </c>
      <c r="Q198" s="19">
        <v>1564.76</v>
      </c>
      <c r="R198" s="15">
        <v>0.185</v>
      </c>
      <c r="S198" s="7">
        <v>17</v>
      </c>
      <c r="T198" s="13">
        <f t="shared" si="63"/>
        <v>21679.749799999998</v>
      </c>
      <c r="U198" s="13">
        <f t="shared" si="64"/>
        <v>23908.800000000003</v>
      </c>
      <c r="V198" s="13">
        <f t="shared" si="58"/>
        <v>-2229.0502000000051</v>
      </c>
      <c r="W198" s="15">
        <f t="shared" si="59"/>
        <v>-0.10281715520536151</v>
      </c>
      <c r="X198" s="17" t="str">
        <f t="shared" si="60"/>
        <v>Q4-2024</v>
      </c>
      <c r="Y198" t="str">
        <f t="shared" si="61"/>
        <v>Asia → Japan → Osaka</v>
      </c>
      <c r="Z198" t="str">
        <f t="shared" si="62"/>
        <v>Medium</v>
      </c>
      <c r="AA198">
        <f t="shared" si="65"/>
        <v>2024</v>
      </c>
      <c r="AB198">
        <f t="shared" si="66"/>
        <v>10</v>
      </c>
      <c r="AC198" t="str">
        <f t="shared" si="67"/>
        <v>No</v>
      </c>
      <c r="AD198" t="str">
        <f t="shared" si="68"/>
        <v>No</v>
      </c>
      <c r="AE198" s="36">
        <f>IF(Dashboard!$P$47&gt;'Staging Data'!R198,'Staging Data'!R198,Dashboard!$P$47)</f>
        <v>0.1</v>
      </c>
      <c r="AF198">
        <f>(100%+Dashboard!$P$48)*'Staging Data'!P198</f>
        <v>1476.7200000000003</v>
      </c>
      <c r="AG198">
        <f>(100%+Dashboard!$P$49)*S198</f>
        <v>17.68</v>
      </c>
      <c r="AH198" s="13">
        <f t="shared" si="69"/>
        <v>24898.46112</v>
      </c>
      <c r="AI198" s="13">
        <f t="shared" si="70"/>
        <v>26108.409600000003</v>
      </c>
      <c r="AJ198" s="13">
        <f t="shared" si="71"/>
        <v>-1209.9484800000027</v>
      </c>
    </row>
    <row r="199" spans="1:36" x14ac:dyDescent="0.45">
      <c r="A199" s="3" t="s">
        <v>211</v>
      </c>
      <c r="B199" s="5">
        <v>45333</v>
      </c>
      <c r="C199" s="5">
        <v>45354</v>
      </c>
      <c r="D199" s="5">
        <f t="shared" si="54"/>
        <v>45333</v>
      </c>
      <c r="E199" s="5">
        <f t="shared" si="55"/>
        <v>45354</v>
      </c>
      <c r="F199" s="7">
        <f t="shared" si="56"/>
        <v>21</v>
      </c>
      <c r="G199" s="23" t="str">
        <f t="shared" si="57"/>
        <v>2-2024</v>
      </c>
      <c r="H199" s="3" t="s">
        <v>646</v>
      </c>
      <c r="I199" s="3" t="s">
        <v>650</v>
      </c>
      <c r="J199" s="3" t="s">
        <v>662</v>
      </c>
      <c r="K199" s="3" t="s">
        <v>706</v>
      </c>
      <c r="L199" s="3" t="s">
        <v>708</v>
      </c>
      <c r="M199" s="3" t="s">
        <v>717</v>
      </c>
      <c r="N199" s="3" t="s">
        <v>730</v>
      </c>
      <c r="O199" s="3" t="s">
        <v>931</v>
      </c>
      <c r="P199" s="19">
        <v>516.86</v>
      </c>
      <c r="Q199" s="19">
        <v>852.54</v>
      </c>
      <c r="R199" s="15">
        <v>5.0999999999999997E-2</v>
      </c>
      <c r="S199" s="7">
        <v>14</v>
      </c>
      <c r="T199" s="13">
        <f t="shared" si="63"/>
        <v>11326.846439999999</v>
      </c>
      <c r="U199" s="13">
        <f t="shared" si="64"/>
        <v>7236.04</v>
      </c>
      <c r="V199" s="13">
        <f t="shared" si="58"/>
        <v>4090.8064399999994</v>
      </c>
      <c r="W199" s="15">
        <f t="shared" si="59"/>
        <v>0.36116022775355994</v>
      </c>
      <c r="X199" s="17" t="str">
        <f t="shared" si="60"/>
        <v>Q1-2024</v>
      </c>
      <c r="Y199" t="str">
        <f t="shared" si="61"/>
        <v>Africa → Kenya → Kisumu</v>
      </c>
      <c r="Z199" t="str">
        <f t="shared" si="62"/>
        <v>Low</v>
      </c>
      <c r="AA199">
        <f t="shared" si="65"/>
        <v>2024</v>
      </c>
      <c r="AB199">
        <f t="shared" si="66"/>
        <v>2</v>
      </c>
      <c r="AC199" t="str">
        <f t="shared" si="67"/>
        <v>No</v>
      </c>
      <c r="AD199" t="str">
        <f t="shared" si="68"/>
        <v>No</v>
      </c>
      <c r="AE199" s="36">
        <f>IF(Dashboard!$P$47&gt;'Staging Data'!R199,'Staging Data'!R199,Dashboard!$P$47)</f>
        <v>5.0999999999999997E-2</v>
      </c>
      <c r="AF199">
        <f>(100%+Dashboard!$P$48)*'Staging Data'!P199</f>
        <v>542.70300000000009</v>
      </c>
      <c r="AG199">
        <f>(100%+Dashboard!$P$49)*S199</f>
        <v>14.56</v>
      </c>
      <c r="AH199" s="13">
        <f t="shared" si="69"/>
        <v>11779.9202976</v>
      </c>
      <c r="AI199" s="13">
        <f t="shared" si="70"/>
        <v>7901.7556800000011</v>
      </c>
      <c r="AJ199" s="13">
        <f t="shared" si="71"/>
        <v>3878.1646175999986</v>
      </c>
    </row>
    <row r="200" spans="1:36" x14ac:dyDescent="0.45">
      <c r="A200" s="3" t="s">
        <v>212</v>
      </c>
      <c r="B200" s="5">
        <v>44956</v>
      </c>
      <c r="C200" s="5">
        <v>44978</v>
      </c>
      <c r="D200" s="5">
        <f t="shared" si="54"/>
        <v>44956</v>
      </c>
      <c r="E200" s="5">
        <f t="shared" si="55"/>
        <v>44978</v>
      </c>
      <c r="F200" s="7">
        <f t="shared" si="56"/>
        <v>22</v>
      </c>
      <c r="G200" s="23" t="str">
        <f t="shared" si="57"/>
        <v>1-2023</v>
      </c>
      <c r="H200" s="3" t="s">
        <v>649</v>
      </c>
      <c r="I200" s="3" t="s">
        <v>656</v>
      </c>
      <c r="J200" s="3" t="s">
        <v>684</v>
      </c>
      <c r="K200" s="3" t="s">
        <v>705</v>
      </c>
      <c r="L200" s="3" t="s">
        <v>709</v>
      </c>
      <c r="M200" s="3" t="s">
        <v>715</v>
      </c>
      <c r="N200" s="3" t="s">
        <v>729</v>
      </c>
      <c r="O200" s="3" t="s">
        <v>932</v>
      </c>
      <c r="P200" s="19">
        <v>1142.8800000000001</v>
      </c>
      <c r="Q200" s="19">
        <v>1465.29</v>
      </c>
      <c r="R200" s="15">
        <v>0.186</v>
      </c>
      <c r="S200" s="7">
        <v>7</v>
      </c>
      <c r="T200" s="13">
        <f t="shared" si="63"/>
        <v>8349.2224200000001</v>
      </c>
      <c r="U200" s="13">
        <f t="shared" si="64"/>
        <v>8000.1600000000008</v>
      </c>
      <c r="V200" s="13">
        <f t="shared" si="58"/>
        <v>349.06241999999929</v>
      </c>
      <c r="W200" s="15">
        <f t="shared" si="59"/>
        <v>4.1807775915017401E-2</v>
      </c>
      <c r="X200" s="17" t="str">
        <f t="shared" si="60"/>
        <v>Q1-2023</v>
      </c>
      <c r="Y200" t="str">
        <f t="shared" si="61"/>
        <v>Europe → Germany → Munich</v>
      </c>
      <c r="Z200" t="str">
        <f t="shared" si="62"/>
        <v>Medium</v>
      </c>
      <c r="AA200">
        <f t="shared" si="65"/>
        <v>2023</v>
      </c>
      <c r="AB200">
        <f t="shared" si="66"/>
        <v>1</v>
      </c>
      <c r="AC200" t="str">
        <f t="shared" si="67"/>
        <v>No</v>
      </c>
      <c r="AD200" t="str">
        <f t="shared" si="68"/>
        <v>No</v>
      </c>
      <c r="AE200" s="36">
        <f>IF(Dashboard!$P$47&gt;'Staging Data'!R200,'Staging Data'!R200,Dashboard!$P$47)</f>
        <v>0.1</v>
      </c>
      <c r="AF200">
        <f>(100%+Dashboard!$P$48)*'Staging Data'!P200</f>
        <v>1200.0240000000001</v>
      </c>
      <c r="AG200">
        <f>(100%+Dashboard!$P$49)*S200</f>
        <v>7.28</v>
      </c>
      <c r="AH200" s="13">
        <f t="shared" si="69"/>
        <v>9600.5800799999997</v>
      </c>
      <c r="AI200" s="13">
        <f t="shared" si="70"/>
        <v>8736.1747200000009</v>
      </c>
      <c r="AJ200" s="13">
        <f t="shared" si="71"/>
        <v>864.40535999999884</v>
      </c>
    </row>
    <row r="201" spans="1:36" x14ac:dyDescent="0.45">
      <c r="A201" s="3" t="s">
        <v>213</v>
      </c>
      <c r="B201" s="5">
        <v>45030</v>
      </c>
      <c r="C201" s="5">
        <v>45059</v>
      </c>
      <c r="D201" s="5">
        <f t="shared" si="54"/>
        <v>45030</v>
      </c>
      <c r="E201" s="5">
        <f t="shared" si="55"/>
        <v>45059</v>
      </c>
      <c r="F201" s="7">
        <f t="shared" si="56"/>
        <v>29</v>
      </c>
      <c r="G201" s="23" t="str">
        <f t="shared" si="57"/>
        <v>4-2023</v>
      </c>
      <c r="H201" s="3" t="s">
        <v>649</v>
      </c>
      <c r="I201" s="3" t="s">
        <v>656</v>
      </c>
      <c r="J201" s="3" t="s">
        <v>698</v>
      </c>
      <c r="K201" s="3" t="s">
        <v>704</v>
      </c>
      <c r="L201" s="3" t="s">
        <v>711</v>
      </c>
      <c r="M201" s="3" t="s">
        <v>713</v>
      </c>
      <c r="N201" s="3" t="s">
        <v>728</v>
      </c>
      <c r="O201" s="3" t="s">
        <v>933</v>
      </c>
      <c r="P201" s="19">
        <v>1320.33</v>
      </c>
      <c r="Q201" s="19">
        <v>2645.23</v>
      </c>
      <c r="R201" s="15">
        <v>0.155</v>
      </c>
      <c r="S201" s="7">
        <v>25</v>
      </c>
      <c r="T201" s="13">
        <f t="shared" si="63"/>
        <v>55880.483749999999</v>
      </c>
      <c r="U201" s="13">
        <f t="shared" si="64"/>
        <v>33008.25</v>
      </c>
      <c r="V201" s="13">
        <f t="shared" si="58"/>
        <v>22872.233749999999</v>
      </c>
      <c r="W201" s="15">
        <f t="shared" si="59"/>
        <v>0.40930629470436536</v>
      </c>
      <c r="X201" s="17" t="str">
        <f t="shared" si="60"/>
        <v>Q2-2023</v>
      </c>
      <c r="Y201" t="str">
        <f t="shared" si="61"/>
        <v>Europe → Germany → Frankfurt</v>
      </c>
      <c r="Z201" t="str">
        <f t="shared" si="62"/>
        <v>High</v>
      </c>
      <c r="AA201">
        <f t="shared" si="65"/>
        <v>2023</v>
      </c>
      <c r="AB201">
        <f t="shared" si="66"/>
        <v>4</v>
      </c>
      <c r="AC201" t="str">
        <f t="shared" si="67"/>
        <v>No</v>
      </c>
      <c r="AD201" t="str">
        <f t="shared" si="68"/>
        <v>No</v>
      </c>
      <c r="AE201" s="36">
        <f>IF(Dashboard!$P$47&gt;'Staging Data'!R201,'Staging Data'!R201,Dashboard!$P$47)</f>
        <v>0.1</v>
      </c>
      <c r="AF201">
        <f>(100%+Dashboard!$P$48)*'Staging Data'!P201</f>
        <v>1386.3464999999999</v>
      </c>
      <c r="AG201">
        <f>(100%+Dashboard!$P$49)*S201</f>
        <v>26</v>
      </c>
      <c r="AH201" s="13">
        <f t="shared" si="69"/>
        <v>61898.381999999998</v>
      </c>
      <c r="AI201" s="13">
        <f t="shared" si="70"/>
        <v>36045.008999999998</v>
      </c>
      <c r="AJ201" s="13">
        <f t="shared" si="71"/>
        <v>25853.373</v>
      </c>
    </row>
    <row r="202" spans="1:36" x14ac:dyDescent="0.45">
      <c r="A202" s="3" t="s">
        <v>214</v>
      </c>
      <c r="B202" s="5">
        <v>44939</v>
      </c>
      <c r="C202" s="5">
        <v>44945</v>
      </c>
      <c r="D202" s="5">
        <f t="shared" si="54"/>
        <v>44939</v>
      </c>
      <c r="E202" s="5">
        <f t="shared" si="55"/>
        <v>44945</v>
      </c>
      <c r="F202" s="7">
        <f t="shared" si="56"/>
        <v>6</v>
      </c>
      <c r="G202" s="23" t="str">
        <f t="shared" si="57"/>
        <v>1-2023</v>
      </c>
      <c r="H202" s="3" t="s">
        <v>648</v>
      </c>
      <c r="I202" s="3" t="s">
        <v>660</v>
      </c>
      <c r="J202" s="3" t="s">
        <v>677</v>
      </c>
      <c r="K202" s="3" t="s">
        <v>701</v>
      </c>
      <c r="L202" s="3" t="s">
        <v>711</v>
      </c>
      <c r="M202" s="3" t="s">
        <v>722</v>
      </c>
      <c r="N202" s="3" t="s">
        <v>730</v>
      </c>
      <c r="O202" s="3" t="s">
        <v>934</v>
      </c>
      <c r="P202" s="19">
        <v>833.57</v>
      </c>
      <c r="Q202" s="19">
        <v>881.57</v>
      </c>
      <c r="R202" s="15">
        <v>5.7000000000000002E-2</v>
      </c>
      <c r="S202" s="7">
        <v>18</v>
      </c>
      <c r="T202" s="13">
        <f t="shared" si="63"/>
        <v>14963.769179999999</v>
      </c>
      <c r="U202" s="13">
        <f t="shared" si="64"/>
        <v>15004.26</v>
      </c>
      <c r="V202" s="13">
        <f t="shared" si="58"/>
        <v>-40.490820000000895</v>
      </c>
      <c r="W202" s="15">
        <f t="shared" si="59"/>
        <v>-2.7059238560107821E-3</v>
      </c>
      <c r="X202" s="17" t="str">
        <f t="shared" si="60"/>
        <v>Q1-2023</v>
      </c>
      <c r="Y202" t="str">
        <f t="shared" si="61"/>
        <v>Americas → USA → Chicago</v>
      </c>
      <c r="Z202" t="str">
        <f t="shared" si="62"/>
        <v>Low</v>
      </c>
      <c r="AA202">
        <f t="shared" si="65"/>
        <v>2023</v>
      </c>
      <c r="AB202">
        <f t="shared" si="66"/>
        <v>1</v>
      </c>
      <c r="AC202" t="str">
        <f t="shared" si="67"/>
        <v>Yes</v>
      </c>
      <c r="AD202" t="str">
        <f t="shared" si="68"/>
        <v>No</v>
      </c>
      <c r="AE202" s="36">
        <f>IF(Dashboard!$P$47&gt;'Staging Data'!R202,'Staging Data'!R202,Dashboard!$P$47)</f>
        <v>5.7000000000000002E-2</v>
      </c>
      <c r="AF202">
        <f>(100%+Dashboard!$P$48)*'Staging Data'!P202</f>
        <v>875.24850000000004</v>
      </c>
      <c r="AG202">
        <f>(100%+Dashboard!$P$49)*S202</f>
        <v>18.72</v>
      </c>
      <c r="AH202" s="13">
        <f t="shared" si="69"/>
        <v>15562.319947199998</v>
      </c>
      <c r="AI202" s="13">
        <f t="shared" si="70"/>
        <v>16384.65192</v>
      </c>
      <c r="AJ202" s="13">
        <f t="shared" si="71"/>
        <v>-822.3319728000024</v>
      </c>
    </row>
    <row r="203" spans="1:36" x14ac:dyDescent="0.45">
      <c r="A203" s="3" t="s">
        <v>215</v>
      </c>
      <c r="B203" s="5">
        <v>45303</v>
      </c>
      <c r="C203" s="5">
        <v>45320</v>
      </c>
      <c r="D203" s="5">
        <f t="shared" ref="D203:D266" si="72">IF(C203&gt;B203,B203,C203)</f>
        <v>45303</v>
      </c>
      <c r="E203" s="5">
        <f t="shared" ref="E203:E266" si="73">IF(C203&gt;B203,C203,B203)</f>
        <v>45320</v>
      </c>
      <c r="F203" s="7">
        <f t="shared" ref="F203:F266" si="74">DATEDIF(D203,E203,"D")</f>
        <v>17</v>
      </c>
      <c r="G203" s="23" t="str">
        <f t="shared" ref="G203:G266" si="75">CONCATENATE(MONTH(D203), "-",YEAR(D203))</f>
        <v>1-2024</v>
      </c>
      <c r="H203" s="3" t="s">
        <v>648</v>
      </c>
      <c r="I203" s="3" t="s">
        <v>660</v>
      </c>
      <c r="J203" s="3" t="s">
        <v>677</v>
      </c>
      <c r="K203" s="3" t="s">
        <v>702</v>
      </c>
      <c r="L203" s="3" t="s">
        <v>710</v>
      </c>
      <c r="M203" s="3" t="s">
        <v>720</v>
      </c>
      <c r="N203" s="3" t="s">
        <v>728</v>
      </c>
      <c r="O203" s="3" t="s">
        <v>935</v>
      </c>
      <c r="P203" s="19">
        <v>493.76</v>
      </c>
      <c r="Q203" s="19">
        <v>625.04</v>
      </c>
      <c r="R203" s="15">
        <v>0.25800000000000001</v>
      </c>
      <c r="S203" s="7">
        <v>10</v>
      </c>
      <c r="T203" s="13">
        <f t="shared" si="63"/>
        <v>4637.7968000000001</v>
      </c>
      <c r="U203" s="13">
        <f t="shared" si="64"/>
        <v>4937.6000000000004</v>
      </c>
      <c r="V203" s="13">
        <f t="shared" ref="V203:V266" si="76">T203-U203</f>
        <v>-299.80320000000029</v>
      </c>
      <c r="W203" s="15">
        <f t="shared" ref="W203:W266" si="77">IF(T203=0, 0,V203/T203)</f>
        <v>-6.464345311549663E-2</v>
      </c>
      <c r="X203" s="17" t="str">
        <f t="shared" ref="X203:X266" si="78">CONCATENATE(IF(MONTH(D203)&lt;=3,"Q1", IF(MONTH(D203)&lt;=6, "Q2", IF(MONTH(D203)&lt;= 9, "Q3", "Q4"))), "-", YEAR(D203))</f>
        <v>Q1-2024</v>
      </c>
      <c r="Y203" t="str">
        <f t="shared" ref="Y203:Y266" si="79">CONCATENATE(H203," → ",I203," → ",J203)</f>
        <v>Americas → USA → Chicago</v>
      </c>
      <c r="Z203" t="str">
        <f t="shared" ref="Z203:Z266" si="80">IF(Q203&lt;=1193.97, "Low",IF(Q203&lt;1912.05,"Medium", "High"))</f>
        <v>Low</v>
      </c>
      <c r="AA203">
        <f t="shared" si="65"/>
        <v>2024</v>
      </c>
      <c r="AB203">
        <f t="shared" si="66"/>
        <v>1</v>
      </c>
      <c r="AC203" t="str">
        <f t="shared" si="67"/>
        <v>No</v>
      </c>
      <c r="AD203" t="str">
        <f t="shared" si="68"/>
        <v>Yes</v>
      </c>
      <c r="AE203" s="36">
        <f>IF(Dashboard!$P$47&gt;'Staging Data'!R203,'Staging Data'!R203,Dashboard!$P$47)</f>
        <v>0.1</v>
      </c>
      <c r="AF203">
        <f>(100%+Dashboard!$P$48)*'Staging Data'!P203</f>
        <v>518.44799999999998</v>
      </c>
      <c r="AG203">
        <f>(100%+Dashboard!$P$49)*S203</f>
        <v>10.4</v>
      </c>
      <c r="AH203" s="13">
        <f t="shared" si="69"/>
        <v>5850.3744000000006</v>
      </c>
      <c r="AI203" s="13">
        <f t="shared" si="70"/>
        <v>5391.8591999999999</v>
      </c>
      <c r="AJ203" s="13">
        <f t="shared" si="71"/>
        <v>458.51520000000073</v>
      </c>
    </row>
    <row r="204" spans="1:36" x14ac:dyDescent="0.45">
      <c r="A204" s="3" t="s">
        <v>216</v>
      </c>
      <c r="B204" s="5">
        <v>45153</v>
      </c>
      <c r="C204" s="5">
        <v>45176</v>
      </c>
      <c r="D204" s="5">
        <f t="shared" si="72"/>
        <v>45153</v>
      </c>
      <c r="E204" s="5">
        <f t="shared" si="73"/>
        <v>45176</v>
      </c>
      <c r="F204" s="7">
        <f t="shared" si="74"/>
        <v>23</v>
      </c>
      <c r="G204" s="23" t="str">
        <f t="shared" si="75"/>
        <v>8-2023</v>
      </c>
      <c r="H204" s="3" t="s">
        <v>648</v>
      </c>
      <c r="I204" s="3" t="s">
        <v>660</v>
      </c>
      <c r="J204" s="3" t="s">
        <v>700</v>
      </c>
      <c r="K204" s="3" t="s">
        <v>706</v>
      </c>
      <c r="L204" s="3" t="s">
        <v>708</v>
      </c>
      <c r="M204" s="3" t="s">
        <v>723</v>
      </c>
      <c r="N204" s="3" t="s">
        <v>730</v>
      </c>
      <c r="O204" s="3" t="s">
        <v>936</v>
      </c>
      <c r="P204" s="19">
        <v>590.33000000000004</v>
      </c>
      <c r="Q204" s="19">
        <v>973.04</v>
      </c>
      <c r="R204" s="15">
        <v>0</v>
      </c>
      <c r="S204" s="7">
        <v>26</v>
      </c>
      <c r="T204" s="13">
        <f t="shared" si="63"/>
        <v>25299.040000000001</v>
      </c>
      <c r="U204" s="13">
        <f t="shared" si="64"/>
        <v>15348.580000000002</v>
      </c>
      <c r="V204" s="13">
        <f t="shared" si="76"/>
        <v>9950.4599999999991</v>
      </c>
      <c r="W204" s="15">
        <f t="shared" si="77"/>
        <v>0.39331373838691108</v>
      </c>
      <c r="X204" s="17" t="str">
        <f t="shared" si="78"/>
        <v>Q3-2023</v>
      </c>
      <c r="Y204" t="str">
        <f t="shared" si="79"/>
        <v>Americas → USA → New York</v>
      </c>
      <c r="Z204" t="str">
        <f t="shared" si="80"/>
        <v>Low</v>
      </c>
      <c r="AA204">
        <f t="shared" si="65"/>
        <v>2023</v>
      </c>
      <c r="AB204">
        <f t="shared" si="66"/>
        <v>8</v>
      </c>
      <c r="AC204" t="str">
        <f t="shared" si="67"/>
        <v>No</v>
      </c>
      <c r="AD204" t="str">
        <f t="shared" si="68"/>
        <v>No</v>
      </c>
      <c r="AE204" s="36">
        <f>IF(Dashboard!$P$47&gt;'Staging Data'!R204,'Staging Data'!R204,Dashboard!$P$47)</f>
        <v>0</v>
      </c>
      <c r="AF204">
        <f>(100%+Dashboard!$P$48)*'Staging Data'!P204</f>
        <v>619.84650000000011</v>
      </c>
      <c r="AG204">
        <f>(100%+Dashboard!$P$49)*S204</f>
        <v>27.04</v>
      </c>
      <c r="AH204" s="13">
        <f t="shared" si="69"/>
        <v>26311.0016</v>
      </c>
      <c r="AI204" s="13">
        <f t="shared" si="70"/>
        <v>16760.649360000003</v>
      </c>
      <c r="AJ204" s="13">
        <f t="shared" si="71"/>
        <v>9550.3522399999965</v>
      </c>
    </row>
    <row r="205" spans="1:36" x14ac:dyDescent="0.45">
      <c r="A205" s="3" t="s">
        <v>217</v>
      </c>
      <c r="B205" s="5">
        <v>44946</v>
      </c>
      <c r="C205" s="5">
        <v>44960</v>
      </c>
      <c r="D205" s="5">
        <f t="shared" si="72"/>
        <v>44946</v>
      </c>
      <c r="E205" s="5">
        <f t="shared" si="73"/>
        <v>44960</v>
      </c>
      <c r="F205" s="7">
        <f t="shared" si="74"/>
        <v>14</v>
      </c>
      <c r="G205" s="23" t="str">
        <f t="shared" si="75"/>
        <v>1-2023</v>
      </c>
      <c r="H205" s="3" t="s">
        <v>646</v>
      </c>
      <c r="I205" s="3" t="s">
        <v>650</v>
      </c>
      <c r="J205" s="3" t="s">
        <v>662</v>
      </c>
      <c r="K205" s="3" t="s">
        <v>701</v>
      </c>
      <c r="L205" s="3" t="s">
        <v>707</v>
      </c>
      <c r="M205" s="3" t="s">
        <v>724</v>
      </c>
      <c r="N205" s="3" t="s">
        <v>729</v>
      </c>
      <c r="O205" s="3" t="s">
        <v>937</v>
      </c>
      <c r="P205" s="19">
        <v>884.36</v>
      </c>
      <c r="Q205" s="19">
        <v>1545.34</v>
      </c>
      <c r="R205" s="15">
        <v>0.24299999999999999</v>
      </c>
      <c r="S205" s="7">
        <v>41</v>
      </c>
      <c r="T205" s="13">
        <f t="shared" si="63"/>
        <v>47962.717579999997</v>
      </c>
      <c r="U205" s="13">
        <f t="shared" si="64"/>
        <v>36258.76</v>
      </c>
      <c r="V205" s="13">
        <f t="shared" si="76"/>
        <v>11703.957579999995</v>
      </c>
      <c r="W205" s="15">
        <f t="shared" si="77"/>
        <v>0.24402198562827965</v>
      </c>
      <c r="X205" s="17" t="str">
        <f t="shared" si="78"/>
        <v>Q1-2023</v>
      </c>
      <c r="Y205" t="str">
        <f t="shared" si="79"/>
        <v>Africa → Kenya → Kisumu</v>
      </c>
      <c r="Z205" t="str">
        <f t="shared" si="80"/>
        <v>Medium</v>
      </c>
      <c r="AA205">
        <f t="shared" si="65"/>
        <v>2023</v>
      </c>
      <c r="AB205">
        <f t="shared" si="66"/>
        <v>1</v>
      </c>
      <c r="AC205" t="str">
        <f t="shared" si="67"/>
        <v>No</v>
      </c>
      <c r="AD205" t="str">
        <f t="shared" si="68"/>
        <v>Yes</v>
      </c>
      <c r="AE205" s="36">
        <f>IF(Dashboard!$P$47&gt;'Staging Data'!R205,'Staging Data'!R205,Dashboard!$P$47)</f>
        <v>0.1</v>
      </c>
      <c r="AF205">
        <f>(100%+Dashboard!$P$48)*'Staging Data'!P205</f>
        <v>928.57800000000009</v>
      </c>
      <c r="AG205">
        <f>(100%+Dashboard!$P$49)*S205</f>
        <v>42.64</v>
      </c>
      <c r="AH205" s="13">
        <f t="shared" si="69"/>
        <v>59303.96783999999</v>
      </c>
      <c r="AI205" s="13">
        <f t="shared" si="70"/>
        <v>39594.565920000001</v>
      </c>
      <c r="AJ205" s="13">
        <f t="shared" si="71"/>
        <v>19709.401919999989</v>
      </c>
    </row>
    <row r="206" spans="1:36" x14ac:dyDescent="0.45">
      <c r="A206" s="3" t="s">
        <v>218</v>
      </c>
      <c r="B206" s="5">
        <v>45692</v>
      </c>
      <c r="C206" s="5">
        <v>45713</v>
      </c>
      <c r="D206" s="5">
        <f t="shared" si="72"/>
        <v>45692</v>
      </c>
      <c r="E206" s="5">
        <f t="shared" si="73"/>
        <v>45713</v>
      </c>
      <c r="F206" s="7">
        <f t="shared" si="74"/>
        <v>21</v>
      </c>
      <c r="G206" s="23" t="str">
        <f t="shared" si="75"/>
        <v>2-2025</v>
      </c>
      <c r="H206" s="3" t="s">
        <v>649</v>
      </c>
      <c r="I206" s="3" t="s">
        <v>658</v>
      </c>
      <c r="J206" s="3" t="s">
        <v>674</v>
      </c>
      <c r="K206" s="3" t="s">
        <v>701</v>
      </c>
      <c r="L206" s="3" t="s">
        <v>709</v>
      </c>
      <c r="M206" s="3" t="s">
        <v>726</v>
      </c>
      <c r="N206" s="3" t="s">
        <v>732</v>
      </c>
      <c r="O206" s="3" t="s">
        <v>938</v>
      </c>
      <c r="P206" s="19">
        <v>1016.32</v>
      </c>
      <c r="Q206" s="19">
        <v>2253.42</v>
      </c>
      <c r="R206" s="15">
        <v>5.5E-2</v>
      </c>
      <c r="S206" s="7">
        <v>12</v>
      </c>
      <c r="T206" s="13">
        <f t="shared" si="63"/>
        <v>25553.782800000001</v>
      </c>
      <c r="U206" s="13">
        <f t="shared" si="64"/>
        <v>12195.84</v>
      </c>
      <c r="V206" s="13">
        <f t="shared" si="76"/>
        <v>13357.942800000001</v>
      </c>
      <c r="W206" s="15">
        <f t="shared" si="77"/>
        <v>0.52273837124419797</v>
      </c>
      <c r="X206" s="17" t="str">
        <f t="shared" si="78"/>
        <v>Q1-2025</v>
      </c>
      <c r="Y206" t="str">
        <f t="shared" si="79"/>
        <v>Europe → United Kingdom → Birmingham</v>
      </c>
      <c r="Z206" t="str">
        <f t="shared" si="80"/>
        <v>High</v>
      </c>
      <c r="AA206">
        <f t="shared" si="65"/>
        <v>2025</v>
      </c>
      <c r="AB206">
        <f t="shared" si="66"/>
        <v>2</v>
      </c>
      <c r="AC206" t="str">
        <f t="shared" si="67"/>
        <v>No</v>
      </c>
      <c r="AD206" t="str">
        <f t="shared" si="68"/>
        <v>No</v>
      </c>
      <c r="AE206" s="36">
        <f>IF(Dashboard!$P$47&gt;'Staging Data'!R206,'Staging Data'!R206,Dashboard!$P$47)</f>
        <v>5.5E-2</v>
      </c>
      <c r="AF206">
        <f>(100%+Dashboard!$P$48)*'Staging Data'!P206</f>
        <v>1067.1360000000002</v>
      </c>
      <c r="AG206">
        <f>(100%+Dashboard!$P$49)*S206</f>
        <v>12.48</v>
      </c>
      <c r="AH206" s="13">
        <f t="shared" si="69"/>
        <v>26575.934112000003</v>
      </c>
      <c r="AI206" s="13">
        <f t="shared" si="70"/>
        <v>13317.857280000002</v>
      </c>
      <c r="AJ206" s="13">
        <f t="shared" si="71"/>
        <v>13258.076832000001</v>
      </c>
    </row>
    <row r="207" spans="1:36" x14ac:dyDescent="0.45">
      <c r="A207" s="3" t="s">
        <v>219</v>
      </c>
      <c r="B207" s="5">
        <v>45035</v>
      </c>
      <c r="C207" s="5">
        <v>45044</v>
      </c>
      <c r="D207" s="5">
        <f t="shared" si="72"/>
        <v>45035</v>
      </c>
      <c r="E207" s="5">
        <f t="shared" si="73"/>
        <v>45044</v>
      </c>
      <c r="F207" s="7">
        <f t="shared" si="74"/>
        <v>9</v>
      </c>
      <c r="G207" s="23" t="str">
        <f t="shared" si="75"/>
        <v>4-2023</v>
      </c>
      <c r="H207" s="3" t="s">
        <v>649</v>
      </c>
      <c r="I207" s="3" t="s">
        <v>656</v>
      </c>
      <c r="J207" s="3" t="s">
        <v>671</v>
      </c>
      <c r="K207" s="3" t="s">
        <v>702</v>
      </c>
      <c r="L207" s="3" t="s">
        <v>708</v>
      </c>
      <c r="M207" s="3" t="s">
        <v>718</v>
      </c>
      <c r="N207" s="3" t="s">
        <v>732</v>
      </c>
      <c r="O207" s="3" t="s">
        <v>939</v>
      </c>
      <c r="P207" s="19">
        <v>1178.42</v>
      </c>
      <c r="Q207" s="19">
        <v>2446.56</v>
      </c>
      <c r="R207" s="15">
        <v>2.9000000000000001E-2</v>
      </c>
      <c r="S207" s="7">
        <v>11</v>
      </c>
      <c r="T207" s="13">
        <f t="shared" si="63"/>
        <v>26131.70736</v>
      </c>
      <c r="U207" s="13">
        <f t="shared" si="64"/>
        <v>12962.62</v>
      </c>
      <c r="V207" s="13">
        <f t="shared" si="76"/>
        <v>13169.08736</v>
      </c>
      <c r="W207" s="15">
        <f t="shared" si="77"/>
        <v>0.5039505141618883</v>
      </c>
      <c r="X207" s="17" t="str">
        <f t="shared" si="78"/>
        <v>Q2-2023</v>
      </c>
      <c r="Y207" t="str">
        <f t="shared" si="79"/>
        <v>Europe → Germany → Berlin</v>
      </c>
      <c r="Z207" t="str">
        <f t="shared" si="80"/>
        <v>High</v>
      </c>
      <c r="AA207">
        <f t="shared" si="65"/>
        <v>2023</v>
      </c>
      <c r="AB207">
        <f t="shared" si="66"/>
        <v>4</v>
      </c>
      <c r="AC207" t="str">
        <f t="shared" si="67"/>
        <v>No</v>
      </c>
      <c r="AD207" t="str">
        <f t="shared" si="68"/>
        <v>No</v>
      </c>
      <c r="AE207" s="36">
        <f>IF(Dashboard!$P$47&gt;'Staging Data'!R207,'Staging Data'!R207,Dashboard!$P$47)</f>
        <v>2.9000000000000001E-2</v>
      </c>
      <c r="AF207">
        <f>(100%+Dashboard!$P$48)*'Staging Data'!P207</f>
        <v>1237.3410000000001</v>
      </c>
      <c r="AG207">
        <f>(100%+Dashboard!$P$49)*S207</f>
        <v>11.440000000000001</v>
      </c>
      <c r="AH207" s="13">
        <f t="shared" si="69"/>
        <v>27176.975654400001</v>
      </c>
      <c r="AI207" s="13">
        <f t="shared" si="70"/>
        <v>14155.181040000003</v>
      </c>
      <c r="AJ207" s="13">
        <f t="shared" si="71"/>
        <v>13021.794614399998</v>
      </c>
    </row>
    <row r="208" spans="1:36" x14ac:dyDescent="0.45">
      <c r="A208" s="3" t="s">
        <v>220</v>
      </c>
      <c r="B208" s="5">
        <v>45109</v>
      </c>
      <c r="C208" s="5">
        <v>45139</v>
      </c>
      <c r="D208" s="5">
        <f t="shared" si="72"/>
        <v>45109</v>
      </c>
      <c r="E208" s="5">
        <f t="shared" si="73"/>
        <v>45139</v>
      </c>
      <c r="F208" s="7">
        <f t="shared" si="74"/>
        <v>30</v>
      </c>
      <c r="G208" s="23" t="str">
        <f t="shared" si="75"/>
        <v>7-2023</v>
      </c>
      <c r="H208" s="3" t="s">
        <v>649</v>
      </c>
      <c r="I208" s="3" t="s">
        <v>658</v>
      </c>
      <c r="J208" s="3" t="s">
        <v>674</v>
      </c>
      <c r="K208" s="3" t="s">
        <v>705</v>
      </c>
      <c r="L208" s="3" t="s">
        <v>707</v>
      </c>
      <c r="M208" s="3" t="s">
        <v>717</v>
      </c>
      <c r="N208" s="3" t="s">
        <v>727</v>
      </c>
      <c r="O208" s="3" t="s">
        <v>940</v>
      </c>
      <c r="P208" s="19">
        <v>137.46</v>
      </c>
      <c r="Q208" s="19">
        <v>188.3</v>
      </c>
      <c r="R208" s="15">
        <v>3.7999999999999999E-2</v>
      </c>
      <c r="S208" s="7">
        <v>37</v>
      </c>
      <c r="T208" s="13">
        <f t="shared" si="63"/>
        <v>6702.3501999999999</v>
      </c>
      <c r="U208" s="13">
        <f t="shared" si="64"/>
        <v>5086.0200000000004</v>
      </c>
      <c r="V208" s="13">
        <f t="shared" si="76"/>
        <v>1616.3301999999994</v>
      </c>
      <c r="W208" s="15">
        <f t="shared" si="77"/>
        <v>0.24115872071262398</v>
      </c>
      <c r="X208" s="17" t="str">
        <f t="shared" si="78"/>
        <v>Q3-2023</v>
      </c>
      <c r="Y208" t="str">
        <f t="shared" si="79"/>
        <v>Europe → United Kingdom → Birmingham</v>
      </c>
      <c r="Z208" t="str">
        <f t="shared" si="80"/>
        <v>Low</v>
      </c>
      <c r="AA208">
        <f t="shared" si="65"/>
        <v>2023</v>
      </c>
      <c r="AB208">
        <f t="shared" si="66"/>
        <v>7</v>
      </c>
      <c r="AC208" t="str">
        <f t="shared" si="67"/>
        <v>No</v>
      </c>
      <c r="AD208" t="str">
        <f t="shared" si="68"/>
        <v>No</v>
      </c>
      <c r="AE208" s="36">
        <f>IF(Dashboard!$P$47&gt;'Staging Data'!R208,'Staging Data'!R208,Dashboard!$P$47)</f>
        <v>3.7999999999999999E-2</v>
      </c>
      <c r="AF208">
        <f>(100%+Dashboard!$P$48)*'Staging Data'!P208</f>
        <v>144.33300000000003</v>
      </c>
      <c r="AG208">
        <f>(100%+Dashboard!$P$49)*S208</f>
        <v>38.480000000000004</v>
      </c>
      <c r="AH208" s="13">
        <f t="shared" si="69"/>
        <v>6970.4442080000008</v>
      </c>
      <c r="AI208" s="13">
        <f t="shared" si="70"/>
        <v>5553.9338400000015</v>
      </c>
      <c r="AJ208" s="13">
        <f t="shared" si="71"/>
        <v>1416.5103679999993</v>
      </c>
    </row>
    <row r="209" spans="1:36" x14ac:dyDescent="0.45">
      <c r="A209" s="3" t="s">
        <v>275</v>
      </c>
      <c r="B209" s="5">
        <v>45073</v>
      </c>
      <c r="C209" s="5">
        <v>45096</v>
      </c>
      <c r="D209" s="5">
        <f t="shared" si="72"/>
        <v>45073</v>
      </c>
      <c r="E209" s="5">
        <f t="shared" si="73"/>
        <v>45096</v>
      </c>
      <c r="F209" s="7">
        <f t="shared" si="74"/>
        <v>23</v>
      </c>
      <c r="G209" s="23" t="str">
        <f t="shared" si="75"/>
        <v>5-2023</v>
      </c>
      <c r="H209" s="3" t="s">
        <v>649</v>
      </c>
      <c r="I209" s="3" t="s">
        <v>656</v>
      </c>
      <c r="J209" s="3" t="s">
        <v>671</v>
      </c>
      <c r="K209" s="3" t="s">
        <v>702</v>
      </c>
      <c r="L209" s="3" t="s">
        <v>707</v>
      </c>
      <c r="M209" s="3" t="s">
        <v>719</v>
      </c>
      <c r="N209" s="3" t="s">
        <v>733</v>
      </c>
      <c r="O209" s="3" t="s">
        <v>995</v>
      </c>
      <c r="P209" s="19">
        <v>1471.58</v>
      </c>
      <c r="Q209" s="19">
        <v>2576.65</v>
      </c>
      <c r="R209" s="15">
        <v>4.0000000000000001E-3</v>
      </c>
      <c r="S209" s="7">
        <v>7</v>
      </c>
      <c r="T209" s="13">
        <f t="shared" si="63"/>
        <v>17964.4038</v>
      </c>
      <c r="U209" s="13">
        <f t="shared" si="64"/>
        <v>10301.06</v>
      </c>
      <c r="V209" s="13">
        <f t="shared" si="76"/>
        <v>7663.3438000000006</v>
      </c>
      <c r="W209" s="15">
        <f t="shared" si="77"/>
        <v>0.4265849223451546</v>
      </c>
      <c r="X209" s="17" t="str">
        <f t="shared" si="78"/>
        <v>Q2-2023</v>
      </c>
      <c r="Y209" t="str">
        <f t="shared" si="79"/>
        <v>Europe → Germany → Berlin</v>
      </c>
      <c r="Z209" t="str">
        <f t="shared" si="80"/>
        <v>High</v>
      </c>
      <c r="AA209">
        <f t="shared" si="65"/>
        <v>2023</v>
      </c>
      <c r="AB209">
        <f t="shared" si="66"/>
        <v>5</v>
      </c>
      <c r="AC209" t="str">
        <f t="shared" si="67"/>
        <v>No</v>
      </c>
      <c r="AD209" t="str">
        <f t="shared" si="68"/>
        <v>No</v>
      </c>
      <c r="AE209" s="36">
        <f>IF(Dashboard!$P$47&gt;'Staging Data'!R209,'Staging Data'!R209,Dashboard!$P$47)</f>
        <v>4.0000000000000001E-3</v>
      </c>
      <c r="AF209">
        <f>(100%+Dashboard!$P$48)*'Staging Data'!P209</f>
        <v>1545.1589999999999</v>
      </c>
      <c r="AG209">
        <f>(100%+Dashboard!$P$49)*S209</f>
        <v>7.28</v>
      </c>
      <c r="AH209" s="13">
        <f t="shared" si="69"/>
        <v>18682.979952000002</v>
      </c>
      <c r="AI209" s="13">
        <f t="shared" si="70"/>
        <v>11248.757519999999</v>
      </c>
      <c r="AJ209" s="13">
        <f t="shared" si="71"/>
        <v>7434.2224320000023</v>
      </c>
    </row>
    <row r="210" spans="1:36" x14ac:dyDescent="0.45">
      <c r="A210" s="3" t="s">
        <v>222</v>
      </c>
      <c r="B210" s="5">
        <v>45545</v>
      </c>
      <c r="C210" s="5">
        <v>45572</v>
      </c>
      <c r="D210" s="5">
        <f t="shared" si="72"/>
        <v>45545</v>
      </c>
      <c r="E210" s="5">
        <f t="shared" si="73"/>
        <v>45572</v>
      </c>
      <c r="F210" s="7">
        <f t="shared" si="74"/>
        <v>27</v>
      </c>
      <c r="G210" s="23" t="str">
        <f t="shared" si="75"/>
        <v>9-2024</v>
      </c>
      <c r="H210" s="3" t="s">
        <v>646</v>
      </c>
      <c r="I210" s="3" t="s">
        <v>650</v>
      </c>
      <c r="J210" s="3" t="s">
        <v>662</v>
      </c>
      <c r="K210" s="3" t="s">
        <v>704</v>
      </c>
      <c r="L210" s="3" t="s">
        <v>707</v>
      </c>
      <c r="M210" s="3" t="s">
        <v>716</v>
      </c>
      <c r="N210" s="3" t="s">
        <v>728</v>
      </c>
      <c r="O210" s="3" t="s">
        <v>942</v>
      </c>
      <c r="P210" s="19">
        <v>1248.3900000000001</v>
      </c>
      <c r="Q210" s="19">
        <v>1805.11</v>
      </c>
      <c r="R210" s="15">
        <v>0.20300000000000001</v>
      </c>
      <c r="S210" s="7">
        <v>11</v>
      </c>
      <c r="T210" s="13">
        <f t="shared" si="63"/>
        <v>15825.399369999997</v>
      </c>
      <c r="U210" s="13">
        <f t="shared" si="64"/>
        <v>13732.29</v>
      </c>
      <c r="V210" s="13">
        <f t="shared" si="76"/>
        <v>2093.1093699999965</v>
      </c>
      <c r="W210" s="15">
        <f t="shared" si="77"/>
        <v>0.13226265707820786</v>
      </c>
      <c r="X210" s="17" t="str">
        <f t="shared" si="78"/>
        <v>Q3-2024</v>
      </c>
      <c r="Y210" t="str">
        <f t="shared" si="79"/>
        <v>Africa → Kenya → Kisumu</v>
      </c>
      <c r="Z210" t="str">
        <f t="shared" si="80"/>
        <v>Medium</v>
      </c>
      <c r="AA210">
        <f t="shared" si="65"/>
        <v>2024</v>
      </c>
      <c r="AB210">
        <f t="shared" si="66"/>
        <v>9</v>
      </c>
      <c r="AC210" t="str">
        <f t="shared" si="67"/>
        <v>No</v>
      </c>
      <c r="AD210" t="str">
        <f t="shared" si="68"/>
        <v>Yes</v>
      </c>
      <c r="AE210" s="36">
        <f>IF(Dashboard!$P$47&gt;'Staging Data'!R210,'Staging Data'!R210,Dashboard!$P$47)</f>
        <v>0.1</v>
      </c>
      <c r="AF210">
        <f>(100%+Dashboard!$P$48)*'Staging Data'!P210</f>
        <v>1310.8095000000001</v>
      </c>
      <c r="AG210">
        <f>(100%+Dashboard!$P$49)*S210</f>
        <v>11.440000000000001</v>
      </c>
      <c r="AH210" s="13">
        <f t="shared" si="69"/>
        <v>18585.412560000001</v>
      </c>
      <c r="AI210" s="13">
        <f t="shared" si="70"/>
        <v>14995.660680000003</v>
      </c>
      <c r="AJ210" s="13">
        <f t="shared" si="71"/>
        <v>3589.751879999998</v>
      </c>
    </row>
    <row r="211" spans="1:36" x14ac:dyDescent="0.45">
      <c r="A211" s="3" t="s">
        <v>223</v>
      </c>
      <c r="B211" s="5">
        <v>45859</v>
      </c>
      <c r="C211" s="5">
        <v>45876</v>
      </c>
      <c r="D211" s="5">
        <f t="shared" si="72"/>
        <v>45859</v>
      </c>
      <c r="E211" s="5">
        <f t="shared" si="73"/>
        <v>45876</v>
      </c>
      <c r="F211" s="7">
        <f t="shared" si="74"/>
        <v>17</v>
      </c>
      <c r="G211" s="23" t="str">
        <f t="shared" si="75"/>
        <v>7-2025</v>
      </c>
      <c r="H211" s="3" t="s">
        <v>646</v>
      </c>
      <c r="I211" s="3" t="s">
        <v>651</v>
      </c>
      <c r="J211" s="3" t="s">
        <v>665</v>
      </c>
      <c r="K211" s="3" t="s">
        <v>706</v>
      </c>
      <c r="L211" s="3" t="s">
        <v>711</v>
      </c>
      <c r="M211" s="3" t="s">
        <v>724</v>
      </c>
      <c r="N211" s="3" t="s">
        <v>733</v>
      </c>
      <c r="O211" s="3" t="s">
        <v>943</v>
      </c>
      <c r="P211" s="19">
        <v>1204.95</v>
      </c>
      <c r="Q211" s="19">
        <v>2065.73</v>
      </c>
      <c r="R211" s="15">
        <v>0.13600000000000001</v>
      </c>
      <c r="S211" s="7">
        <v>10</v>
      </c>
      <c r="T211" s="13">
        <f t="shared" si="63"/>
        <v>17847.907199999998</v>
      </c>
      <c r="U211" s="13">
        <f t="shared" si="64"/>
        <v>12049.5</v>
      </c>
      <c r="V211" s="13">
        <f t="shared" si="76"/>
        <v>5798.4071999999978</v>
      </c>
      <c r="W211" s="15">
        <f t="shared" si="77"/>
        <v>0.32487882949100039</v>
      </c>
      <c r="X211" s="17" t="str">
        <f t="shared" si="78"/>
        <v>Q3-2025</v>
      </c>
      <c r="Y211" t="str">
        <f t="shared" si="79"/>
        <v>Africa → Nigeria → Lagos</v>
      </c>
      <c r="Z211" t="str">
        <f t="shared" si="80"/>
        <v>High</v>
      </c>
      <c r="AA211">
        <f t="shared" si="65"/>
        <v>2025</v>
      </c>
      <c r="AB211">
        <f t="shared" si="66"/>
        <v>7</v>
      </c>
      <c r="AC211" t="str">
        <f t="shared" si="67"/>
        <v>No</v>
      </c>
      <c r="AD211" t="str">
        <f t="shared" si="68"/>
        <v>No</v>
      </c>
      <c r="AE211" s="36">
        <f>IF(Dashboard!$P$47&gt;'Staging Data'!R211,'Staging Data'!R211,Dashboard!$P$47)</f>
        <v>0.1</v>
      </c>
      <c r="AF211">
        <f>(100%+Dashboard!$P$48)*'Staging Data'!P211</f>
        <v>1265.1975</v>
      </c>
      <c r="AG211">
        <f>(100%+Dashboard!$P$49)*S211</f>
        <v>10.4</v>
      </c>
      <c r="AH211" s="13">
        <f t="shared" si="69"/>
        <v>19335.232800000002</v>
      </c>
      <c r="AI211" s="13">
        <f t="shared" si="70"/>
        <v>13158.054</v>
      </c>
      <c r="AJ211" s="13">
        <f t="shared" si="71"/>
        <v>6177.1788000000015</v>
      </c>
    </row>
    <row r="212" spans="1:36" x14ac:dyDescent="0.45">
      <c r="A212" s="3" t="s">
        <v>224</v>
      </c>
      <c r="B212" s="5">
        <v>45567</v>
      </c>
      <c r="C212" s="5">
        <v>45588</v>
      </c>
      <c r="D212" s="5">
        <f t="shared" si="72"/>
        <v>45567</v>
      </c>
      <c r="E212" s="5">
        <f t="shared" si="73"/>
        <v>45588</v>
      </c>
      <c r="F212" s="7">
        <f t="shared" si="74"/>
        <v>21</v>
      </c>
      <c r="G212" s="23" t="str">
        <f t="shared" si="75"/>
        <v>10-2024</v>
      </c>
      <c r="H212" s="3" t="s">
        <v>646</v>
      </c>
      <c r="I212" s="3" t="s">
        <v>661</v>
      </c>
      <c r="J212" s="3" t="s">
        <v>687</v>
      </c>
      <c r="K212" s="3" t="s">
        <v>701</v>
      </c>
      <c r="L212" s="3" t="s">
        <v>709</v>
      </c>
      <c r="M212" s="3" t="s">
        <v>720</v>
      </c>
      <c r="N212" s="3" t="s">
        <v>727</v>
      </c>
      <c r="O212" s="3" t="s">
        <v>944</v>
      </c>
      <c r="P212" s="19">
        <v>1095.6099999999999</v>
      </c>
      <c r="Q212" s="19">
        <v>2366.5100000000002</v>
      </c>
      <c r="R212" s="15">
        <v>0.152</v>
      </c>
      <c r="S212" s="7">
        <v>9</v>
      </c>
      <c r="T212" s="13">
        <f t="shared" si="63"/>
        <v>18061.204320000004</v>
      </c>
      <c r="U212" s="13">
        <f t="shared" si="64"/>
        <v>9860.49</v>
      </c>
      <c r="V212" s="13">
        <f t="shared" si="76"/>
        <v>8200.7143200000046</v>
      </c>
      <c r="W212" s="15">
        <f t="shared" si="77"/>
        <v>0.4540513564158607</v>
      </c>
      <c r="X212" s="17" t="str">
        <f t="shared" si="78"/>
        <v>Q4-2024</v>
      </c>
      <c r="Y212" t="str">
        <f t="shared" si="79"/>
        <v>Africa → South Africa → Durban</v>
      </c>
      <c r="Z212" t="str">
        <f t="shared" si="80"/>
        <v>High</v>
      </c>
      <c r="AA212">
        <f t="shared" si="65"/>
        <v>2024</v>
      </c>
      <c r="AB212">
        <f t="shared" si="66"/>
        <v>10</v>
      </c>
      <c r="AC212" t="str">
        <f t="shared" si="67"/>
        <v>No</v>
      </c>
      <c r="AD212" t="str">
        <f t="shared" si="68"/>
        <v>No</v>
      </c>
      <c r="AE212" s="36">
        <f>IF(Dashboard!$P$47&gt;'Staging Data'!R212,'Staging Data'!R212,Dashboard!$P$47)</f>
        <v>0.1</v>
      </c>
      <c r="AF212">
        <f>(100%+Dashboard!$P$48)*'Staging Data'!P212</f>
        <v>1150.3905</v>
      </c>
      <c r="AG212">
        <f>(100%+Dashboard!$P$49)*S212</f>
        <v>9.36</v>
      </c>
      <c r="AH212" s="13">
        <f t="shared" si="69"/>
        <v>19935.480240000004</v>
      </c>
      <c r="AI212" s="13">
        <f t="shared" si="70"/>
        <v>10767.655079999999</v>
      </c>
      <c r="AJ212" s="13">
        <f t="shared" si="71"/>
        <v>9167.8251600000058</v>
      </c>
    </row>
    <row r="213" spans="1:36" x14ac:dyDescent="0.45">
      <c r="A213" s="3" t="s">
        <v>225</v>
      </c>
      <c r="B213" s="5">
        <v>45852</v>
      </c>
      <c r="C213" s="5">
        <v>45873</v>
      </c>
      <c r="D213" s="5">
        <f t="shared" si="72"/>
        <v>45852</v>
      </c>
      <c r="E213" s="5">
        <f t="shared" si="73"/>
        <v>45873</v>
      </c>
      <c r="F213" s="7">
        <f t="shared" si="74"/>
        <v>21</v>
      </c>
      <c r="G213" s="23" t="str">
        <f t="shared" si="75"/>
        <v>7-2025</v>
      </c>
      <c r="H213" s="3" t="s">
        <v>648</v>
      </c>
      <c r="I213" s="3" t="s">
        <v>653</v>
      </c>
      <c r="J213" s="3" t="s">
        <v>681</v>
      </c>
      <c r="K213" s="3" t="s">
        <v>704</v>
      </c>
      <c r="L213" s="3" t="s">
        <v>708</v>
      </c>
      <c r="M213" s="3" t="s">
        <v>722</v>
      </c>
      <c r="N213" s="3" t="s">
        <v>732</v>
      </c>
      <c r="O213" s="3" t="s">
        <v>945</v>
      </c>
      <c r="P213" s="19">
        <v>90.3</v>
      </c>
      <c r="Q213" s="19">
        <v>131.76</v>
      </c>
      <c r="R213" s="15">
        <v>0.10199999999999999</v>
      </c>
      <c r="S213" s="7">
        <v>15</v>
      </c>
      <c r="T213" s="13">
        <f t="shared" si="63"/>
        <v>1774.8072</v>
      </c>
      <c r="U213" s="13">
        <f t="shared" si="64"/>
        <v>1354.5</v>
      </c>
      <c r="V213" s="13">
        <f t="shared" si="76"/>
        <v>420.30719999999997</v>
      </c>
      <c r="W213" s="15">
        <f t="shared" si="77"/>
        <v>0.23681851189244668</v>
      </c>
      <c r="X213" s="17" t="str">
        <f t="shared" si="78"/>
        <v>Q3-2025</v>
      </c>
      <c r="Y213" t="str">
        <f t="shared" si="79"/>
        <v>Americas → Canada → Montreal</v>
      </c>
      <c r="Z213" t="str">
        <f t="shared" si="80"/>
        <v>Low</v>
      </c>
      <c r="AA213">
        <f t="shared" si="65"/>
        <v>2025</v>
      </c>
      <c r="AB213">
        <f t="shared" si="66"/>
        <v>7</v>
      </c>
      <c r="AC213" t="str">
        <f t="shared" si="67"/>
        <v>No</v>
      </c>
      <c r="AD213" t="str">
        <f t="shared" si="68"/>
        <v>No</v>
      </c>
      <c r="AE213" s="36">
        <f>IF(Dashboard!$P$47&gt;'Staging Data'!R213,'Staging Data'!R213,Dashboard!$P$47)</f>
        <v>0.1</v>
      </c>
      <c r="AF213">
        <f>(100%+Dashboard!$P$48)*'Staging Data'!P213</f>
        <v>94.814999999999998</v>
      </c>
      <c r="AG213">
        <f>(100%+Dashboard!$P$49)*S213</f>
        <v>15.600000000000001</v>
      </c>
      <c r="AH213" s="13">
        <f t="shared" si="69"/>
        <v>1849.9104000000002</v>
      </c>
      <c r="AI213" s="13">
        <f t="shared" si="70"/>
        <v>1479.114</v>
      </c>
      <c r="AJ213" s="13">
        <f t="shared" si="71"/>
        <v>370.79640000000018</v>
      </c>
    </row>
    <row r="214" spans="1:36" x14ac:dyDescent="0.45">
      <c r="A214" s="3" t="s">
        <v>226</v>
      </c>
      <c r="B214" s="5">
        <v>45544</v>
      </c>
      <c r="C214" s="5">
        <v>45566</v>
      </c>
      <c r="D214" s="5">
        <f t="shared" si="72"/>
        <v>45544</v>
      </c>
      <c r="E214" s="5">
        <f t="shared" si="73"/>
        <v>45566</v>
      </c>
      <c r="F214" s="7">
        <f t="shared" si="74"/>
        <v>22</v>
      </c>
      <c r="G214" s="23" t="str">
        <f t="shared" si="75"/>
        <v>9-2024</v>
      </c>
      <c r="H214" s="3" t="s">
        <v>647</v>
      </c>
      <c r="I214" s="3" t="s">
        <v>659</v>
      </c>
      <c r="J214" s="3" t="s">
        <v>676</v>
      </c>
      <c r="K214" s="3" t="s">
        <v>704</v>
      </c>
      <c r="L214" s="3" t="s">
        <v>711</v>
      </c>
      <c r="M214" s="3" t="s">
        <v>716</v>
      </c>
      <c r="N214" s="3" t="s">
        <v>728</v>
      </c>
      <c r="O214" s="3" t="s">
        <v>946</v>
      </c>
      <c r="P214" s="19">
        <v>1166.18</v>
      </c>
      <c r="Q214" s="19">
        <v>1335.02</v>
      </c>
      <c r="R214" s="15">
        <v>0.128</v>
      </c>
      <c r="S214" s="7">
        <v>6</v>
      </c>
      <c r="T214" s="13">
        <f t="shared" si="63"/>
        <v>6984.8246399999998</v>
      </c>
      <c r="U214" s="13">
        <f t="shared" si="64"/>
        <v>6997.08</v>
      </c>
      <c r="V214" s="13">
        <f t="shared" si="76"/>
        <v>-12.25536000000011</v>
      </c>
      <c r="W214" s="15">
        <f t="shared" si="77"/>
        <v>-1.7545694604582242E-3</v>
      </c>
      <c r="X214" s="17" t="str">
        <f t="shared" si="78"/>
        <v>Q3-2024</v>
      </c>
      <c r="Y214" t="str">
        <f t="shared" si="79"/>
        <v>Asia → China → Shenzhen</v>
      </c>
      <c r="Z214" t="str">
        <f t="shared" si="80"/>
        <v>Medium</v>
      </c>
      <c r="AA214">
        <f t="shared" si="65"/>
        <v>2024</v>
      </c>
      <c r="AB214">
        <f t="shared" si="66"/>
        <v>9</v>
      </c>
      <c r="AC214" t="str">
        <f t="shared" si="67"/>
        <v>No</v>
      </c>
      <c r="AD214" t="str">
        <f t="shared" si="68"/>
        <v>No</v>
      </c>
      <c r="AE214" s="36">
        <f>IF(Dashboard!$P$47&gt;'Staging Data'!R214,'Staging Data'!R214,Dashboard!$P$47)</f>
        <v>0.1</v>
      </c>
      <c r="AF214">
        <f>(100%+Dashboard!$P$48)*'Staging Data'!P214</f>
        <v>1224.489</v>
      </c>
      <c r="AG214">
        <f>(100%+Dashboard!$P$49)*S214</f>
        <v>6.24</v>
      </c>
      <c r="AH214" s="13">
        <f t="shared" si="69"/>
        <v>7497.4723200000008</v>
      </c>
      <c r="AI214" s="13">
        <f t="shared" si="70"/>
        <v>7640.8113600000006</v>
      </c>
      <c r="AJ214" s="13">
        <f t="shared" si="71"/>
        <v>-143.33903999999984</v>
      </c>
    </row>
    <row r="215" spans="1:36" x14ac:dyDescent="0.45">
      <c r="A215" s="3" t="s">
        <v>227</v>
      </c>
      <c r="B215" s="5">
        <v>45686</v>
      </c>
      <c r="C215" s="5">
        <v>45694</v>
      </c>
      <c r="D215" s="5">
        <f t="shared" si="72"/>
        <v>45686</v>
      </c>
      <c r="E215" s="5">
        <f t="shared" si="73"/>
        <v>45694</v>
      </c>
      <c r="F215" s="7">
        <f t="shared" si="74"/>
        <v>8</v>
      </c>
      <c r="G215" s="23" t="str">
        <f t="shared" si="75"/>
        <v>1-2025</v>
      </c>
      <c r="H215" s="3" t="s">
        <v>646</v>
      </c>
      <c r="I215" s="3" t="s">
        <v>650</v>
      </c>
      <c r="J215" s="3" t="s">
        <v>662</v>
      </c>
      <c r="K215" s="3" t="s">
        <v>702</v>
      </c>
      <c r="L215" s="3" t="s">
        <v>707</v>
      </c>
      <c r="M215" s="3" t="s">
        <v>717</v>
      </c>
      <c r="N215" s="3" t="s">
        <v>730</v>
      </c>
      <c r="O215" s="3" t="s">
        <v>947</v>
      </c>
      <c r="P215" s="19">
        <v>1445.27</v>
      </c>
      <c r="Q215" s="19">
        <v>2691.45</v>
      </c>
      <c r="R215" s="15">
        <v>0</v>
      </c>
      <c r="S215" s="7">
        <v>9</v>
      </c>
      <c r="T215" s="13">
        <f t="shared" si="63"/>
        <v>24223.05</v>
      </c>
      <c r="U215" s="13">
        <f t="shared" si="64"/>
        <v>13007.43</v>
      </c>
      <c r="V215" s="13">
        <f t="shared" si="76"/>
        <v>11215.619999999999</v>
      </c>
      <c r="W215" s="15">
        <f t="shared" si="77"/>
        <v>0.46301436028906351</v>
      </c>
      <c r="X215" s="17" t="str">
        <f t="shared" si="78"/>
        <v>Q1-2025</v>
      </c>
      <c r="Y215" t="str">
        <f t="shared" si="79"/>
        <v>Africa → Kenya → Kisumu</v>
      </c>
      <c r="Z215" t="str">
        <f t="shared" si="80"/>
        <v>High</v>
      </c>
      <c r="AA215">
        <f t="shared" si="65"/>
        <v>2025</v>
      </c>
      <c r="AB215">
        <f t="shared" si="66"/>
        <v>1</v>
      </c>
      <c r="AC215" t="str">
        <f t="shared" si="67"/>
        <v>No</v>
      </c>
      <c r="AD215" t="str">
        <f t="shared" si="68"/>
        <v>No</v>
      </c>
      <c r="AE215" s="36">
        <f>IF(Dashboard!$P$47&gt;'Staging Data'!R215,'Staging Data'!R215,Dashboard!$P$47)</f>
        <v>0</v>
      </c>
      <c r="AF215">
        <f>(100%+Dashboard!$P$48)*'Staging Data'!P215</f>
        <v>1517.5335</v>
      </c>
      <c r="AG215">
        <f>(100%+Dashboard!$P$49)*S215</f>
        <v>9.36</v>
      </c>
      <c r="AH215" s="13">
        <f t="shared" si="69"/>
        <v>25191.971999999998</v>
      </c>
      <c r="AI215" s="13">
        <f t="shared" si="70"/>
        <v>14204.11356</v>
      </c>
      <c r="AJ215" s="13">
        <f t="shared" si="71"/>
        <v>10987.858439999998</v>
      </c>
    </row>
    <row r="216" spans="1:36" x14ac:dyDescent="0.45">
      <c r="A216" s="3" t="s">
        <v>282</v>
      </c>
      <c r="B216" s="5">
        <v>45284</v>
      </c>
      <c r="C216" s="5">
        <v>45292</v>
      </c>
      <c r="D216" s="5">
        <f t="shared" si="72"/>
        <v>45284</v>
      </c>
      <c r="E216" s="5">
        <f t="shared" si="73"/>
        <v>45292</v>
      </c>
      <c r="F216" s="7">
        <f t="shared" si="74"/>
        <v>8</v>
      </c>
      <c r="G216" s="23" t="str">
        <f t="shared" si="75"/>
        <v>12-2023</v>
      </c>
      <c r="H216" s="3" t="s">
        <v>648</v>
      </c>
      <c r="I216" s="3" t="s">
        <v>655</v>
      </c>
      <c r="J216" s="3" t="s">
        <v>670</v>
      </c>
      <c r="K216" s="3" t="s">
        <v>702</v>
      </c>
      <c r="L216" s="3" t="s">
        <v>711</v>
      </c>
      <c r="M216" s="3" t="s">
        <v>712</v>
      </c>
      <c r="N216" s="3" t="s">
        <v>730</v>
      </c>
      <c r="O216" s="3" t="s">
        <v>1002</v>
      </c>
      <c r="P216" s="19">
        <v>526.49</v>
      </c>
      <c r="Q216" s="19">
        <v>496.2</v>
      </c>
      <c r="R216" s="15">
        <v>0</v>
      </c>
      <c r="S216" s="7">
        <v>14</v>
      </c>
      <c r="T216" s="13">
        <f t="shared" si="63"/>
        <v>6946.8</v>
      </c>
      <c r="U216" s="13">
        <f t="shared" si="64"/>
        <v>7370.8600000000006</v>
      </c>
      <c r="V216" s="13">
        <f t="shared" si="76"/>
        <v>-424.0600000000004</v>
      </c>
      <c r="W216" s="15">
        <f t="shared" si="77"/>
        <v>-6.1043933897621985E-2</v>
      </c>
      <c r="X216" s="17" t="str">
        <f t="shared" si="78"/>
        <v>Q4-2023</v>
      </c>
      <c r="Y216" t="str">
        <f t="shared" si="79"/>
        <v>Americas → Brazil → São Paulo</v>
      </c>
      <c r="Z216" t="str">
        <f t="shared" si="80"/>
        <v>Low</v>
      </c>
      <c r="AA216">
        <f t="shared" si="65"/>
        <v>2023</v>
      </c>
      <c r="AB216">
        <f t="shared" si="66"/>
        <v>12</v>
      </c>
      <c r="AC216" t="str">
        <f t="shared" si="67"/>
        <v>No</v>
      </c>
      <c r="AD216" t="str">
        <f t="shared" si="68"/>
        <v>No</v>
      </c>
      <c r="AE216" s="36">
        <f>IF(Dashboard!$P$47&gt;'Staging Data'!R216,'Staging Data'!R216,Dashboard!$P$47)</f>
        <v>0</v>
      </c>
      <c r="AF216">
        <f>(100%+Dashboard!$P$48)*'Staging Data'!P216</f>
        <v>552.81450000000007</v>
      </c>
      <c r="AG216">
        <f>(100%+Dashboard!$P$49)*S216</f>
        <v>14.56</v>
      </c>
      <c r="AH216" s="13">
        <f t="shared" si="69"/>
        <v>7224.6720000000005</v>
      </c>
      <c r="AI216" s="13">
        <f t="shared" si="70"/>
        <v>8048.9791200000009</v>
      </c>
      <c r="AJ216" s="13">
        <f t="shared" si="71"/>
        <v>-824.3071200000004</v>
      </c>
    </row>
    <row r="217" spans="1:36" x14ac:dyDescent="0.45">
      <c r="A217" s="3" t="s">
        <v>229</v>
      </c>
      <c r="B217" s="5">
        <v>45351</v>
      </c>
      <c r="C217" s="5">
        <v>45381</v>
      </c>
      <c r="D217" s="5">
        <f t="shared" si="72"/>
        <v>45351</v>
      </c>
      <c r="E217" s="5">
        <f t="shared" si="73"/>
        <v>45381</v>
      </c>
      <c r="F217" s="7">
        <f t="shared" si="74"/>
        <v>30</v>
      </c>
      <c r="G217" s="23" t="str">
        <f t="shared" si="75"/>
        <v>2-2024</v>
      </c>
      <c r="H217" s="3" t="s">
        <v>647</v>
      </c>
      <c r="I217" s="3" t="s">
        <v>652</v>
      </c>
      <c r="J217" s="3" t="s">
        <v>694</v>
      </c>
      <c r="K217" s="3" t="s">
        <v>705</v>
      </c>
      <c r="L217" s="3" t="s">
        <v>711</v>
      </c>
      <c r="M217" s="3" t="s">
        <v>714</v>
      </c>
      <c r="N217" s="3" t="s">
        <v>729</v>
      </c>
      <c r="O217" s="3" t="s">
        <v>949</v>
      </c>
      <c r="P217" s="19">
        <v>231.11</v>
      </c>
      <c r="Q217" s="19">
        <v>318.17</v>
      </c>
      <c r="R217" s="15">
        <v>0.20100000000000001</v>
      </c>
      <c r="S217" s="7">
        <v>60</v>
      </c>
      <c r="T217" s="13">
        <f t="shared" si="63"/>
        <v>15253.069799999999</v>
      </c>
      <c r="U217" s="13">
        <f t="shared" si="64"/>
        <v>13866.6</v>
      </c>
      <c r="V217" s="13">
        <f t="shared" si="76"/>
        <v>1386.4697999999989</v>
      </c>
      <c r="W217" s="15">
        <f t="shared" si="77"/>
        <v>9.0897754889969692E-2</v>
      </c>
      <c r="X217" s="17" t="str">
        <f t="shared" si="78"/>
        <v>Q1-2024</v>
      </c>
      <c r="Y217" t="str">
        <f t="shared" si="79"/>
        <v>Asia → Japan → Nagoya</v>
      </c>
      <c r="Z217" t="str">
        <f t="shared" si="80"/>
        <v>Low</v>
      </c>
      <c r="AA217">
        <f t="shared" si="65"/>
        <v>2024</v>
      </c>
      <c r="AB217">
        <f t="shared" si="66"/>
        <v>2</v>
      </c>
      <c r="AC217" t="str">
        <f t="shared" si="67"/>
        <v>No</v>
      </c>
      <c r="AD217" t="str">
        <f t="shared" si="68"/>
        <v>Yes</v>
      </c>
      <c r="AE217" s="36">
        <f>IF(Dashboard!$P$47&gt;'Staging Data'!R217,'Staging Data'!R217,Dashboard!$P$47)</f>
        <v>0.1</v>
      </c>
      <c r="AF217">
        <f>(100%+Dashboard!$P$48)*'Staging Data'!P217</f>
        <v>242.66550000000004</v>
      </c>
      <c r="AG217">
        <f>(100%+Dashboard!$P$49)*S217</f>
        <v>62.400000000000006</v>
      </c>
      <c r="AH217" s="13">
        <f t="shared" si="69"/>
        <v>17868.427200000006</v>
      </c>
      <c r="AI217" s="13">
        <f t="shared" si="70"/>
        <v>15142.327200000003</v>
      </c>
      <c r="AJ217" s="13">
        <f t="shared" si="71"/>
        <v>2726.1000000000022</v>
      </c>
    </row>
    <row r="218" spans="1:36" x14ac:dyDescent="0.45">
      <c r="A218" s="3" t="s">
        <v>230</v>
      </c>
      <c r="B218" s="5">
        <v>45280</v>
      </c>
      <c r="C218" s="5">
        <v>45305</v>
      </c>
      <c r="D218" s="5">
        <f t="shared" si="72"/>
        <v>45280</v>
      </c>
      <c r="E218" s="5">
        <f t="shared" si="73"/>
        <v>45305</v>
      </c>
      <c r="F218" s="7">
        <f t="shared" si="74"/>
        <v>25</v>
      </c>
      <c r="G218" s="23" t="str">
        <f t="shared" si="75"/>
        <v>12-2023</v>
      </c>
      <c r="H218" s="3" t="s">
        <v>647</v>
      </c>
      <c r="I218" s="3" t="s">
        <v>654</v>
      </c>
      <c r="J218" s="3" t="s">
        <v>691</v>
      </c>
      <c r="K218" s="3" t="s">
        <v>703</v>
      </c>
      <c r="L218" s="3" t="s">
        <v>709</v>
      </c>
      <c r="M218" s="3" t="s">
        <v>716</v>
      </c>
      <c r="N218" s="3" t="s">
        <v>732</v>
      </c>
      <c r="O218" s="3" t="s">
        <v>950</v>
      </c>
      <c r="P218" s="19">
        <v>1085.6099999999999</v>
      </c>
      <c r="Q218" s="19">
        <v>1246.4100000000001</v>
      </c>
      <c r="R218" s="15">
        <v>0.113</v>
      </c>
      <c r="S218" s="7">
        <v>7</v>
      </c>
      <c r="T218" s="13">
        <f t="shared" si="63"/>
        <v>7738.9596900000006</v>
      </c>
      <c r="U218" s="13">
        <f t="shared" si="64"/>
        <v>7599.2699999999995</v>
      </c>
      <c r="V218" s="13">
        <f t="shared" si="76"/>
        <v>139.68969000000106</v>
      </c>
      <c r="W218" s="15">
        <f t="shared" si="77"/>
        <v>1.8050189637310417E-2</v>
      </c>
      <c r="X218" s="17" t="str">
        <f t="shared" si="78"/>
        <v>Q4-2023</v>
      </c>
      <c r="Y218" t="str">
        <f t="shared" si="79"/>
        <v>Asia → India → Mumbai</v>
      </c>
      <c r="Z218" t="str">
        <f t="shared" si="80"/>
        <v>Medium</v>
      </c>
      <c r="AA218">
        <f t="shared" si="65"/>
        <v>2023</v>
      </c>
      <c r="AB218">
        <f t="shared" si="66"/>
        <v>12</v>
      </c>
      <c r="AC218" t="str">
        <f t="shared" si="67"/>
        <v>No</v>
      </c>
      <c r="AD218" t="str">
        <f t="shared" si="68"/>
        <v>No</v>
      </c>
      <c r="AE218" s="36">
        <f>IF(Dashboard!$P$47&gt;'Staging Data'!R218,'Staging Data'!R218,Dashboard!$P$47)</f>
        <v>0.1</v>
      </c>
      <c r="AF218">
        <f>(100%+Dashboard!$P$48)*'Staging Data'!P218</f>
        <v>1139.8905</v>
      </c>
      <c r="AG218">
        <f>(100%+Dashboard!$P$49)*S218</f>
        <v>7.28</v>
      </c>
      <c r="AH218" s="13">
        <f t="shared" si="69"/>
        <v>8166.4783200000011</v>
      </c>
      <c r="AI218" s="13">
        <f t="shared" si="70"/>
        <v>8298.4028400000007</v>
      </c>
      <c r="AJ218" s="13">
        <f t="shared" si="71"/>
        <v>-131.92451999999957</v>
      </c>
    </row>
    <row r="219" spans="1:36" x14ac:dyDescent="0.45">
      <c r="A219" s="3" t="s">
        <v>231</v>
      </c>
      <c r="B219" s="5">
        <v>44948</v>
      </c>
      <c r="C219" s="5">
        <v>44947</v>
      </c>
      <c r="D219" s="5">
        <f t="shared" si="72"/>
        <v>44947</v>
      </c>
      <c r="E219" s="5">
        <f t="shared" si="73"/>
        <v>44948</v>
      </c>
      <c r="F219" s="7">
        <f t="shared" si="74"/>
        <v>1</v>
      </c>
      <c r="G219" s="23" t="str">
        <f t="shared" si="75"/>
        <v>1-2023</v>
      </c>
      <c r="H219" s="3" t="s">
        <v>649</v>
      </c>
      <c r="I219" s="3" t="s">
        <v>656</v>
      </c>
      <c r="J219" s="3" t="s">
        <v>684</v>
      </c>
      <c r="K219" s="3" t="s">
        <v>701</v>
      </c>
      <c r="L219" s="3" t="s">
        <v>711</v>
      </c>
      <c r="M219" s="3" t="s">
        <v>721</v>
      </c>
      <c r="N219" s="3" t="s">
        <v>732</v>
      </c>
      <c r="O219" s="3" t="s">
        <v>951</v>
      </c>
      <c r="P219" s="19">
        <v>150.86000000000001</v>
      </c>
      <c r="Q219" s="19">
        <v>346.96</v>
      </c>
      <c r="R219" s="15">
        <v>0.19600000000000001</v>
      </c>
      <c r="S219" s="7">
        <v>8</v>
      </c>
      <c r="T219" s="13">
        <f t="shared" si="63"/>
        <v>2231.6467200000002</v>
      </c>
      <c r="U219" s="13">
        <f t="shared" si="64"/>
        <v>1206.8800000000001</v>
      </c>
      <c r="V219" s="13">
        <f t="shared" si="76"/>
        <v>1024.7667200000001</v>
      </c>
      <c r="W219" s="15">
        <f t="shared" si="77"/>
        <v>0.45919755614365343</v>
      </c>
      <c r="X219" s="17" t="str">
        <f t="shared" si="78"/>
        <v>Q1-2023</v>
      </c>
      <c r="Y219" t="str">
        <f t="shared" si="79"/>
        <v>Europe → Germany → Munich</v>
      </c>
      <c r="Z219" t="str">
        <f t="shared" si="80"/>
        <v>Low</v>
      </c>
      <c r="AA219">
        <f t="shared" si="65"/>
        <v>2023</v>
      </c>
      <c r="AB219">
        <f t="shared" si="66"/>
        <v>1</v>
      </c>
      <c r="AC219" t="str">
        <f t="shared" si="67"/>
        <v>Yes</v>
      </c>
      <c r="AD219" t="str">
        <f t="shared" si="68"/>
        <v>No</v>
      </c>
      <c r="AE219" s="36">
        <f>IF(Dashboard!$P$47&gt;'Staging Data'!R219,'Staging Data'!R219,Dashboard!$P$47)</f>
        <v>0.1</v>
      </c>
      <c r="AF219">
        <f>(100%+Dashboard!$P$48)*'Staging Data'!P219</f>
        <v>158.40300000000002</v>
      </c>
      <c r="AG219">
        <f>(100%+Dashboard!$P$49)*S219</f>
        <v>8.32</v>
      </c>
      <c r="AH219" s="13">
        <f t="shared" si="69"/>
        <v>2598.0364799999998</v>
      </c>
      <c r="AI219" s="13">
        <f t="shared" si="70"/>
        <v>1317.9129600000001</v>
      </c>
      <c r="AJ219" s="13">
        <f t="shared" si="71"/>
        <v>1280.1235199999996</v>
      </c>
    </row>
    <row r="220" spans="1:36" x14ac:dyDescent="0.45">
      <c r="A220" s="3" t="s">
        <v>232</v>
      </c>
      <c r="B220" s="5">
        <v>45576</v>
      </c>
      <c r="C220" s="5">
        <v>45605</v>
      </c>
      <c r="D220" s="5">
        <f t="shared" si="72"/>
        <v>45576</v>
      </c>
      <c r="E220" s="5">
        <f t="shared" si="73"/>
        <v>45605</v>
      </c>
      <c r="F220" s="7">
        <f t="shared" si="74"/>
        <v>29</v>
      </c>
      <c r="G220" s="23" t="str">
        <f t="shared" si="75"/>
        <v>10-2024</v>
      </c>
      <c r="H220" s="3" t="s">
        <v>647</v>
      </c>
      <c r="I220" s="3" t="s">
        <v>659</v>
      </c>
      <c r="J220" s="3" t="s">
        <v>685</v>
      </c>
      <c r="K220" s="3" t="s">
        <v>703</v>
      </c>
      <c r="L220" s="3" t="s">
        <v>708</v>
      </c>
      <c r="M220" s="3" t="s">
        <v>721</v>
      </c>
      <c r="N220" s="3" t="s">
        <v>728</v>
      </c>
      <c r="O220" s="3" t="s">
        <v>952</v>
      </c>
      <c r="P220" s="19">
        <v>391.64</v>
      </c>
      <c r="Q220" s="19">
        <v>504.76</v>
      </c>
      <c r="R220" s="15">
        <v>4.0000000000000001E-3</v>
      </c>
      <c r="S220" s="7">
        <v>13</v>
      </c>
      <c r="T220" s="13">
        <f t="shared" si="63"/>
        <v>6535.6324800000002</v>
      </c>
      <c r="U220" s="13">
        <f t="shared" si="64"/>
        <v>5091.32</v>
      </c>
      <c r="V220" s="13">
        <f t="shared" si="76"/>
        <v>1444.3124800000005</v>
      </c>
      <c r="W220" s="15">
        <f t="shared" si="77"/>
        <v>0.22099046793402319</v>
      </c>
      <c r="X220" s="17" t="str">
        <f t="shared" si="78"/>
        <v>Q4-2024</v>
      </c>
      <c r="Y220" t="str">
        <f t="shared" si="79"/>
        <v>Asia → China → Shanghai</v>
      </c>
      <c r="Z220" t="str">
        <f t="shared" si="80"/>
        <v>Low</v>
      </c>
      <c r="AA220">
        <f t="shared" si="65"/>
        <v>2024</v>
      </c>
      <c r="AB220">
        <f t="shared" si="66"/>
        <v>10</v>
      </c>
      <c r="AC220" t="str">
        <f t="shared" si="67"/>
        <v>No</v>
      </c>
      <c r="AD220" t="str">
        <f t="shared" si="68"/>
        <v>No</v>
      </c>
      <c r="AE220" s="36">
        <f>IF(Dashboard!$P$47&gt;'Staging Data'!R220,'Staging Data'!R220,Dashboard!$P$47)</f>
        <v>4.0000000000000001E-3</v>
      </c>
      <c r="AF220">
        <f>(100%+Dashboard!$P$48)*'Staging Data'!P220</f>
        <v>411.22199999999998</v>
      </c>
      <c r="AG220">
        <f>(100%+Dashboard!$P$49)*S220</f>
        <v>13.52</v>
      </c>
      <c r="AH220" s="13">
        <f t="shared" si="69"/>
        <v>6797.0577792000004</v>
      </c>
      <c r="AI220" s="13">
        <f t="shared" si="70"/>
        <v>5559.7214399999993</v>
      </c>
      <c r="AJ220" s="13">
        <f t="shared" si="71"/>
        <v>1237.336339200001</v>
      </c>
    </row>
    <row r="221" spans="1:36" x14ac:dyDescent="0.45">
      <c r="A221" s="3" t="s">
        <v>289</v>
      </c>
      <c r="B221" s="5">
        <v>45316</v>
      </c>
      <c r="C221" s="5">
        <v>45318</v>
      </c>
      <c r="D221" s="5">
        <f t="shared" si="72"/>
        <v>45316</v>
      </c>
      <c r="E221" s="5">
        <f t="shared" si="73"/>
        <v>45318</v>
      </c>
      <c r="F221" s="7">
        <f t="shared" si="74"/>
        <v>2</v>
      </c>
      <c r="G221" s="23" t="str">
        <f t="shared" si="75"/>
        <v>1-2024</v>
      </c>
      <c r="H221" s="3" t="s">
        <v>648</v>
      </c>
      <c r="I221" s="3" t="s">
        <v>655</v>
      </c>
      <c r="J221" s="3" t="s">
        <v>670</v>
      </c>
      <c r="K221" s="3" t="s">
        <v>703</v>
      </c>
      <c r="L221" s="3" t="s">
        <v>709</v>
      </c>
      <c r="M221" s="3" t="s">
        <v>725</v>
      </c>
      <c r="N221" s="3" t="s">
        <v>731</v>
      </c>
      <c r="O221" s="3" t="s">
        <v>1009</v>
      </c>
      <c r="P221" s="19">
        <v>1410.97</v>
      </c>
      <c r="Q221" s="19">
        <v>1650.75</v>
      </c>
      <c r="R221" s="15">
        <v>0.13500000000000001</v>
      </c>
      <c r="S221" s="7">
        <v>6</v>
      </c>
      <c r="T221" s="13">
        <f t="shared" si="63"/>
        <v>8567.3924999999999</v>
      </c>
      <c r="U221" s="13">
        <f t="shared" si="64"/>
        <v>8465.82</v>
      </c>
      <c r="V221" s="13">
        <f t="shared" si="76"/>
        <v>101.57250000000022</v>
      </c>
      <c r="W221" s="15">
        <f t="shared" si="77"/>
        <v>1.1855707556295596E-2</v>
      </c>
      <c r="X221" s="17" t="str">
        <f t="shared" si="78"/>
        <v>Q1-2024</v>
      </c>
      <c r="Y221" t="str">
        <f t="shared" si="79"/>
        <v>Americas → Brazil → São Paulo</v>
      </c>
      <c r="Z221" t="str">
        <f t="shared" si="80"/>
        <v>Medium</v>
      </c>
      <c r="AA221">
        <f t="shared" si="65"/>
        <v>2024</v>
      </c>
      <c r="AB221">
        <f t="shared" si="66"/>
        <v>1</v>
      </c>
      <c r="AC221" t="str">
        <f t="shared" si="67"/>
        <v>Yes</v>
      </c>
      <c r="AD221" t="str">
        <f t="shared" si="68"/>
        <v>No</v>
      </c>
      <c r="AE221" s="36">
        <f>IF(Dashboard!$P$47&gt;'Staging Data'!R221,'Staging Data'!R221,Dashboard!$P$47)</f>
        <v>0.1</v>
      </c>
      <c r="AF221">
        <f>(100%+Dashboard!$P$48)*'Staging Data'!P221</f>
        <v>1481.5185000000001</v>
      </c>
      <c r="AG221">
        <f>(100%+Dashboard!$P$49)*S221</f>
        <v>6.24</v>
      </c>
      <c r="AH221" s="13">
        <f t="shared" si="69"/>
        <v>9270.612000000001</v>
      </c>
      <c r="AI221" s="13">
        <f t="shared" si="70"/>
        <v>9244.6754400000009</v>
      </c>
      <c r="AJ221" s="13">
        <f t="shared" si="71"/>
        <v>25.9365600000001</v>
      </c>
    </row>
    <row r="222" spans="1:36" x14ac:dyDescent="0.45">
      <c r="A222" s="3" t="s">
        <v>234</v>
      </c>
      <c r="B222" s="5">
        <v>45894</v>
      </c>
      <c r="C222" s="5">
        <v>45924</v>
      </c>
      <c r="D222" s="5">
        <f t="shared" si="72"/>
        <v>45894</v>
      </c>
      <c r="E222" s="5">
        <f t="shared" si="73"/>
        <v>45924</v>
      </c>
      <c r="F222" s="7">
        <f t="shared" si="74"/>
        <v>30</v>
      </c>
      <c r="G222" s="23" t="str">
        <f t="shared" si="75"/>
        <v>8-2025</v>
      </c>
      <c r="H222" s="3" t="s">
        <v>646</v>
      </c>
      <c r="I222" s="3" t="s">
        <v>650</v>
      </c>
      <c r="J222" s="3" t="s">
        <v>664</v>
      </c>
      <c r="K222" s="3" t="s">
        <v>704</v>
      </c>
      <c r="L222" s="3" t="s">
        <v>711</v>
      </c>
      <c r="M222" s="3" t="s">
        <v>717</v>
      </c>
      <c r="N222" s="3" t="s">
        <v>727</v>
      </c>
      <c r="O222" s="3" t="s">
        <v>954</v>
      </c>
      <c r="P222" s="19">
        <v>589.14</v>
      </c>
      <c r="Q222" s="19">
        <v>1300.58</v>
      </c>
      <c r="R222" s="15">
        <v>5.5E-2</v>
      </c>
      <c r="S222" s="7">
        <v>11</v>
      </c>
      <c r="T222" s="13">
        <f t="shared" si="63"/>
        <v>13519.529099999998</v>
      </c>
      <c r="U222" s="13">
        <f t="shared" si="64"/>
        <v>6480.54</v>
      </c>
      <c r="V222" s="13">
        <f t="shared" si="76"/>
        <v>7038.989099999998</v>
      </c>
      <c r="W222" s="15">
        <f t="shared" si="77"/>
        <v>0.52065342275863724</v>
      </c>
      <c r="X222" s="17" t="str">
        <f t="shared" si="78"/>
        <v>Q3-2025</v>
      </c>
      <c r="Y222" t="str">
        <f t="shared" si="79"/>
        <v>Africa → Kenya → Nairobi</v>
      </c>
      <c r="Z222" t="str">
        <f t="shared" si="80"/>
        <v>Medium</v>
      </c>
      <c r="AA222">
        <f t="shared" si="65"/>
        <v>2025</v>
      </c>
      <c r="AB222">
        <f t="shared" si="66"/>
        <v>8</v>
      </c>
      <c r="AC222" t="str">
        <f t="shared" si="67"/>
        <v>No</v>
      </c>
      <c r="AD222" t="str">
        <f t="shared" si="68"/>
        <v>No</v>
      </c>
      <c r="AE222" s="36">
        <f>IF(Dashboard!$P$47&gt;'Staging Data'!R222,'Staging Data'!R222,Dashboard!$P$47)</f>
        <v>5.5E-2</v>
      </c>
      <c r="AF222">
        <f>(100%+Dashboard!$P$48)*'Staging Data'!P222</f>
        <v>618.59699999999998</v>
      </c>
      <c r="AG222">
        <f>(100%+Dashboard!$P$49)*S222</f>
        <v>11.440000000000001</v>
      </c>
      <c r="AH222" s="13">
        <f t="shared" si="69"/>
        <v>14060.310264</v>
      </c>
      <c r="AI222" s="13">
        <f t="shared" si="70"/>
        <v>7076.7496800000008</v>
      </c>
      <c r="AJ222" s="13">
        <f t="shared" si="71"/>
        <v>6983.5605839999989</v>
      </c>
    </row>
    <row r="223" spans="1:36" x14ac:dyDescent="0.45">
      <c r="A223" s="3" t="s">
        <v>81</v>
      </c>
      <c r="B223" s="5">
        <v>45004</v>
      </c>
      <c r="C223" s="5">
        <v>45025</v>
      </c>
      <c r="D223" s="5">
        <f t="shared" si="72"/>
        <v>45004</v>
      </c>
      <c r="E223" s="5">
        <f t="shared" si="73"/>
        <v>45025</v>
      </c>
      <c r="F223" s="7">
        <f t="shared" si="74"/>
        <v>21</v>
      </c>
      <c r="G223" s="23" t="str">
        <f t="shared" si="75"/>
        <v>3-2023</v>
      </c>
      <c r="H223" s="3" t="s">
        <v>649</v>
      </c>
      <c r="I223" s="3" t="s">
        <v>658</v>
      </c>
      <c r="J223" s="3" t="s">
        <v>693</v>
      </c>
      <c r="K223" s="3" t="s">
        <v>704</v>
      </c>
      <c r="L223" s="3" t="s">
        <v>707</v>
      </c>
      <c r="M223" s="3" t="s">
        <v>716</v>
      </c>
      <c r="N223" s="3" t="s">
        <v>733</v>
      </c>
      <c r="O223" s="3" t="s">
        <v>800</v>
      </c>
      <c r="P223" s="19">
        <v>1082.17</v>
      </c>
      <c r="Q223" s="19">
        <v>1234.0999999999999</v>
      </c>
      <c r="R223" s="15">
        <v>0.189</v>
      </c>
      <c r="S223" s="7">
        <v>16</v>
      </c>
      <c r="T223" s="13">
        <f t="shared" si="63"/>
        <v>16013.681599999998</v>
      </c>
      <c r="U223" s="13">
        <f t="shared" si="64"/>
        <v>17314.72</v>
      </c>
      <c r="V223" s="13">
        <f t="shared" si="76"/>
        <v>-1301.0384000000031</v>
      </c>
      <c r="W223" s="15">
        <f t="shared" si="77"/>
        <v>-8.124542703534228E-2</v>
      </c>
      <c r="X223" s="17" t="str">
        <f t="shared" si="78"/>
        <v>Q1-2023</v>
      </c>
      <c r="Y223" t="str">
        <f t="shared" si="79"/>
        <v>Europe → United Kingdom → Manchester</v>
      </c>
      <c r="Z223" t="str">
        <f t="shared" si="80"/>
        <v>Medium</v>
      </c>
      <c r="AA223">
        <f t="shared" si="65"/>
        <v>2023</v>
      </c>
      <c r="AB223">
        <f t="shared" si="66"/>
        <v>3</v>
      </c>
      <c r="AC223" t="str">
        <f t="shared" si="67"/>
        <v>No</v>
      </c>
      <c r="AD223" t="str">
        <f t="shared" si="68"/>
        <v>No</v>
      </c>
      <c r="AE223" s="36">
        <f>IF(Dashboard!$P$47&gt;'Staging Data'!R223,'Staging Data'!R223,Dashboard!$P$47)</f>
        <v>0.1</v>
      </c>
      <c r="AF223">
        <f>(100%+Dashboard!$P$48)*'Staging Data'!P223</f>
        <v>1136.2785000000001</v>
      </c>
      <c r="AG223">
        <f>(100%+Dashboard!$P$49)*S223</f>
        <v>16.64</v>
      </c>
      <c r="AH223" s="13">
        <f t="shared" si="69"/>
        <v>18481.881600000001</v>
      </c>
      <c r="AI223" s="13">
        <f t="shared" si="70"/>
        <v>18907.674240000004</v>
      </c>
      <c r="AJ223" s="13">
        <f t="shared" si="71"/>
        <v>-425.7926400000033</v>
      </c>
    </row>
    <row r="224" spans="1:36" x14ac:dyDescent="0.45">
      <c r="A224" s="3" t="s">
        <v>236</v>
      </c>
      <c r="B224" s="5">
        <v>45164</v>
      </c>
      <c r="C224" s="5">
        <v>45179</v>
      </c>
      <c r="D224" s="5">
        <f t="shared" si="72"/>
        <v>45164</v>
      </c>
      <c r="E224" s="5">
        <f t="shared" si="73"/>
        <v>45179</v>
      </c>
      <c r="F224" s="7">
        <f t="shared" si="74"/>
        <v>15</v>
      </c>
      <c r="G224" s="23" t="str">
        <f t="shared" si="75"/>
        <v>8-2023</v>
      </c>
      <c r="H224" s="3" t="s">
        <v>646</v>
      </c>
      <c r="I224" s="3" t="s">
        <v>661</v>
      </c>
      <c r="J224" s="3" t="s">
        <v>695</v>
      </c>
      <c r="K224" s="3" t="s">
        <v>703</v>
      </c>
      <c r="L224" s="3" t="s">
        <v>711</v>
      </c>
      <c r="M224" s="3" t="s">
        <v>725</v>
      </c>
      <c r="N224" s="3" t="s">
        <v>727</v>
      </c>
      <c r="O224" s="3" t="s">
        <v>956</v>
      </c>
      <c r="P224" s="19">
        <v>241.14</v>
      </c>
      <c r="Q224" s="19">
        <v>496.52</v>
      </c>
      <c r="R224" s="15">
        <v>9.2999999999999999E-2</v>
      </c>
      <c r="S224" s="7">
        <v>10</v>
      </c>
      <c r="T224" s="13">
        <f t="shared" si="63"/>
        <v>4503.4363999999996</v>
      </c>
      <c r="U224" s="13">
        <f t="shared" si="64"/>
        <v>2411.3999999999996</v>
      </c>
      <c r="V224" s="13">
        <f t="shared" si="76"/>
        <v>2092.0364</v>
      </c>
      <c r="W224" s="15">
        <f t="shared" si="77"/>
        <v>0.46454223268257994</v>
      </c>
      <c r="X224" s="17" t="str">
        <f t="shared" si="78"/>
        <v>Q3-2023</v>
      </c>
      <c r="Y224" t="str">
        <f t="shared" si="79"/>
        <v>Africa → South Africa → Cape Town</v>
      </c>
      <c r="Z224" t="str">
        <f t="shared" si="80"/>
        <v>Low</v>
      </c>
      <c r="AA224">
        <f t="shared" si="65"/>
        <v>2023</v>
      </c>
      <c r="AB224">
        <f t="shared" si="66"/>
        <v>8</v>
      </c>
      <c r="AC224" t="str">
        <f t="shared" si="67"/>
        <v>No</v>
      </c>
      <c r="AD224" t="str">
        <f t="shared" si="68"/>
        <v>No</v>
      </c>
      <c r="AE224" s="36">
        <f>IF(Dashboard!$P$47&gt;'Staging Data'!R224,'Staging Data'!R224,Dashboard!$P$47)</f>
        <v>9.2999999999999999E-2</v>
      </c>
      <c r="AF224">
        <f>(100%+Dashboard!$P$48)*'Staging Data'!P224</f>
        <v>253.197</v>
      </c>
      <c r="AG224">
        <f>(100%+Dashboard!$P$49)*S224</f>
        <v>10.4</v>
      </c>
      <c r="AH224" s="13">
        <f t="shared" si="69"/>
        <v>4683.573856</v>
      </c>
      <c r="AI224" s="13">
        <f t="shared" si="70"/>
        <v>2633.2488000000003</v>
      </c>
      <c r="AJ224" s="13">
        <f t="shared" si="71"/>
        <v>2050.3250559999997</v>
      </c>
    </row>
    <row r="225" spans="1:36" x14ac:dyDescent="0.45">
      <c r="A225" s="3" t="s">
        <v>237</v>
      </c>
      <c r="B225" s="5">
        <v>45854</v>
      </c>
      <c r="C225" s="5">
        <v>45855</v>
      </c>
      <c r="D225" s="5">
        <f t="shared" si="72"/>
        <v>45854</v>
      </c>
      <c r="E225" s="5">
        <f t="shared" si="73"/>
        <v>45855</v>
      </c>
      <c r="F225" s="7">
        <f t="shared" si="74"/>
        <v>1</v>
      </c>
      <c r="G225" s="23" t="str">
        <f t="shared" si="75"/>
        <v>7-2025</v>
      </c>
      <c r="H225" s="3" t="s">
        <v>646</v>
      </c>
      <c r="I225" s="3" t="s">
        <v>661</v>
      </c>
      <c r="J225" s="3" t="s">
        <v>687</v>
      </c>
      <c r="K225" s="3" t="s">
        <v>705</v>
      </c>
      <c r="L225" s="3" t="s">
        <v>710</v>
      </c>
      <c r="M225" s="3" t="s">
        <v>717</v>
      </c>
      <c r="N225" s="3" t="s">
        <v>729</v>
      </c>
      <c r="O225" s="3" t="s">
        <v>957</v>
      </c>
      <c r="P225" s="19">
        <v>1198.9000000000001</v>
      </c>
      <c r="Q225" s="19">
        <v>2941.2</v>
      </c>
      <c r="R225" s="15">
        <v>5.0999999999999997E-2</v>
      </c>
      <c r="S225" s="7">
        <v>24</v>
      </c>
      <c r="T225" s="13">
        <f t="shared" si="63"/>
        <v>66988.771199999988</v>
      </c>
      <c r="U225" s="13">
        <f t="shared" si="64"/>
        <v>28773.600000000002</v>
      </c>
      <c r="V225" s="13">
        <f t="shared" si="76"/>
        <v>38215.171199999982</v>
      </c>
      <c r="W225" s="15">
        <f t="shared" si="77"/>
        <v>0.57047129713583977</v>
      </c>
      <c r="X225" s="17" t="str">
        <f t="shared" si="78"/>
        <v>Q3-2025</v>
      </c>
      <c r="Y225" t="str">
        <f t="shared" si="79"/>
        <v>Africa → South Africa → Durban</v>
      </c>
      <c r="Z225" t="str">
        <f t="shared" si="80"/>
        <v>High</v>
      </c>
      <c r="AA225">
        <f t="shared" si="65"/>
        <v>2025</v>
      </c>
      <c r="AB225">
        <f t="shared" si="66"/>
        <v>7</v>
      </c>
      <c r="AC225" t="str">
        <f t="shared" si="67"/>
        <v>Yes</v>
      </c>
      <c r="AD225" t="str">
        <f t="shared" si="68"/>
        <v>No</v>
      </c>
      <c r="AE225" s="36">
        <f>IF(Dashboard!$P$47&gt;'Staging Data'!R225,'Staging Data'!R225,Dashboard!$P$47)</f>
        <v>5.0999999999999997E-2</v>
      </c>
      <c r="AF225">
        <f>(100%+Dashboard!$P$48)*'Staging Data'!P225</f>
        <v>1258.8450000000003</v>
      </c>
      <c r="AG225">
        <f>(100%+Dashboard!$P$49)*S225</f>
        <v>24.96</v>
      </c>
      <c r="AH225" s="13">
        <f t="shared" si="69"/>
        <v>69668.322048000002</v>
      </c>
      <c r="AI225" s="13">
        <f t="shared" si="70"/>
        <v>31420.771200000007</v>
      </c>
      <c r="AJ225" s="13">
        <f t="shared" si="71"/>
        <v>38247.550847999999</v>
      </c>
    </row>
    <row r="226" spans="1:36" x14ac:dyDescent="0.45">
      <c r="A226" s="3" t="s">
        <v>238</v>
      </c>
      <c r="B226" s="5">
        <v>45035</v>
      </c>
      <c r="C226" s="5">
        <v>45053</v>
      </c>
      <c r="D226" s="5">
        <f t="shared" si="72"/>
        <v>45035</v>
      </c>
      <c r="E226" s="5">
        <f t="shared" si="73"/>
        <v>45053</v>
      </c>
      <c r="F226" s="7">
        <f t="shared" si="74"/>
        <v>18</v>
      </c>
      <c r="G226" s="23" t="str">
        <f t="shared" si="75"/>
        <v>4-2023</v>
      </c>
      <c r="H226" s="3" t="s">
        <v>649</v>
      </c>
      <c r="I226" s="3" t="s">
        <v>658</v>
      </c>
      <c r="J226" s="3" t="s">
        <v>674</v>
      </c>
      <c r="K226" s="3" t="s">
        <v>706</v>
      </c>
      <c r="L226" s="3" t="s">
        <v>707</v>
      </c>
      <c r="M226" s="3" t="s">
        <v>725</v>
      </c>
      <c r="N226" s="3" t="s">
        <v>731</v>
      </c>
      <c r="O226" s="3" t="s">
        <v>958</v>
      </c>
      <c r="P226" s="19">
        <v>1089.1500000000001</v>
      </c>
      <c r="Q226" s="19">
        <v>1088.2</v>
      </c>
      <c r="R226" s="15">
        <v>5.0999999999999997E-2</v>
      </c>
      <c r="S226" s="7">
        <v>15</v>
      </c>
      <c r="T226" s="13">
        <f t="shared" si="63"/>
        <v>15490.527</v>
      </c>
      <c r="U226" s="13">
        <f t="shared" si="64"/>
        <v>16337.250000000002</v>
      </c>
      <c r="V226" s="13">
        <f t="shared" si="76"/>
        <v>-846.72300000000178</v>
      </c>
      <c r="W226" s="15">
        <f t="shared" si="77"/>
        <v>-5.4660696824582002E-2</v>
      </c>
      <c r="X226" s="17" t="str">
        <f t="shared" si="78"/>
        <v>Q2-2023</v>
      </c>
      <c r="Y226" t="str">
        <f t="shared" si="79"/>
        <v>Europe → United Kingdom → Birmingham</v>
      </c>
      <c r="Z226" t="str">
        <f t="shared" si="80"/>
        <v>Low</v>
      </c>
      <c r="AA226">
        <f t="shared" si="65"/>
        <v>2023</v>
      </c>
      <c r="AB226">
        <f t="shared" si="66"/>
        <v>4</v>
      </c>
      <c r="AC226" t="str">
        <f t="shared" si="67"/>
        <v>No</v>
      </c>
      <c r="AD226" t="str">
        <f t="shared" si="68"/>
        <v>No</v>
      </c>
      <c r="AE226" s="36">
        <f>IF(Dashboard!$P$47&gt;'Staging Data'!R226,'Staging Data'!R226,Dashboard!$P$47)</f>
        <v>5.0999999999999997E-2</v>
      </c>
      <c r="AF226">
        <f>(100%+Dashboard!$P$48)*'Staging Data'!P226</f>
        <v>1143.6075000000001</v>
      </c>
      <c r="AG226">
        <f>(100%+Dashboard!$P$49)*S226</f>
        <v>15.600000000000001</v>
      </c>
      <c r="AH226" s="13">
        <f t="shared" si="69"/>
        <v>16110.148080000001</v>
      </c>
      <c r="AI226" s="13">
        <f t="shared" si="70"/>
        <v>17840.277000000002</v>
      </c>
      <c r="AJ226" s="13">
        <f t="shared" si="71"/>
        <v>-1730.128920000001</v>
      </c>
    </row>
    <row r="227" spans="1:36" x14ac:dyDescent="0.45">
      <c r="A227" s="3" t="s">
        <v>337</v>
      </c>
      <c r="B227" s="5">
        <v>45340</v>
      </c>
      <c r="C227" s="5">
        <v>45362</v>
      </c>
      <c r="D227" s="5">
        <f t="shared" si="72"/>
        <v>45340</v>
      </c>
      <c r="E227" s="5">
        <f t="shared" si="73"/>
        <v>45362</v>
      </c>
      <c r="F227" s="7">
        <f t="shared" si="74"/>
        <v>22</v>
      </c>
      <c r="G227" s="23" t="str">
        <f t="shared" si="75"/>
        <v>2-2024</v>
      </c>
      <c r="H227" s="3" t="s">
        <v>648</v>
      </c>
      <c r="I227" s="3" t="s">
        <v>655</v>
      </c>
      <c r="J227" s="3" t="s">
        <v>670</v>
      </c>
      <c r="K227" s="3" t="s">
        <v>704</v>
      </c>
      <c r="L227" s="3" t="s">
        <v>708</v>
      </c>
      <c r="M227" s="3" t="s">
        <v>720</v>
      </c>
      <c r="N227" s="3" t="s">
        <v>727</v>
      </c>
      <c r="O227" s="3" t="s">
        <v>1057</v>
      </c>
      <c r="P227" s="19">
        <v>80.48</v>
      </c>
      <c r="Q227" s="19">
        <v>65.650000000000006</v>
      </c>
      <c r="R227" s="15">
        <v>0.17599999999999999</v>
      </c>
      <c r="S227" s="7">
        <v>13</v>
      </c>
      <c r="T227" s="13">
        <f t="shared" si="63"/>
        <v>703.2428000000001</v>
      </c>
      <c r="U227" s="13">
        <f t="shared" si="64"/>
        <v>1046.24</v>
      </c>
      <c r="V227" s="13">
        <f t="shared" si="76"/>
        <v>-342.99719999999991</v>
      </c>
      <c r="W227" s="15">
        <f t="shared" si="77"/>
        <v>-0.48773652570634191</v>
      </c>
      <c r="X227" s="17" t="str">
        <f t="shared" si="78"/>
        <v>Q1-2024</v>
      </c>
      <c r="Y227" t="str">
        <f t="shared" si="79"/>
        <v>Americas → Brazil → São Paulo</v>
      </c>
      <c r="Z227" t="str">
        <f t="shared" si="80"/>
        <v>Low</v>
      </c>
      <c r="AA227">
        <f t="shared" si="65"/>
        <v>2024</v>
      </c>
      <c r="AB227">
        <f t="shared" si="66"/>
        <v>2</v>
      </c>
      <c r="AC227" t="str">
        <f t="shared" si="67"/>
        <v>No</v>
      </c>
      <c r="AD227" t="str">
        <f t="shared" si="68"/>
        <v>No</v>
      </c>
      <c r="AE227" s="36">
        <f>IF(Dashboard!$P$47&gt;'Staging Data'!R227,'Staging Data'!R227,Dashboard!$P$47)</f>
        <v>0.1</v>
      </c>
      <c r="AF227">
        <f>(100%+Dashboard!$P$48)*'Staging Data'!P227</f>
        <v>84.504000000000005</v>
      </c>
      <c r="AG227">
        <f>(100%+Dashboard!$P$49)*S227</f>
        <v>13.52</v>
      </c>
      <c r="AH227" s="13">
        <f t="shared" si="69"/>
        <v>798.82920000000013</v>
      </c>
      <c r="AI227" s="13">
        <f t="shared" si="70"/>
        <v>1142.4940799999999</v>
      </c>
      <c r="AJ227" s="13">
        <f t="shared" si="71"/>
        <v>-343.66487999999981</v>
      </c>
    </row>
    <row r="228" spans="1:36" x14ac:dyDescent="0.45">
      <c r="A228" s="3" t="s">
        <v>240</v>
      </c>
      <c r="B228" s="5">
        <v>45137</v>
      </c>
      <c r="C228" s="5">
        <v>45145</v>
      </c>
      <c r="D228" s="5">
        <f t="shared" si="72"/>
        <v>45137</v>
      </c>
      <c r="E228" s="5">
        <f t="shared" si="73"/>
        <v>45145</v>
      </c>
      <c r="F228" s="7">
        <f t="shared" si="74"/>
        <v>8</v>
      </c>
      <c r="G228" s="23" t="str">
        <f t="shared" si="75"/>
        <v>7-2023</v>
      </c>
      <c r="H228" s="3" t="s">
        <v>647</v>
      </c>
      <c r="I228" s="3" t="s">
        <v>652</v>
      </c>
      <c r="J228" s="3" t="s">
        <v>694</v>
      </c>
      <c r="K228" s="3" t="s">
        <v>702</v>
      </c>
      <c r="L228" s="3" t="s">
        <v>709</v>
      </c>
      <c r="M228" s="3" t="s">
        <v>720</v>
      </c>
      <c r="N228" s="3" t="s">
        <v>729</v>
      </c>
      <c r="O228" s="3" t="s">
        <v>960</v>
      </c>
      <c r="P228" s="19">
        <v>1352.44</v>
      </c>
      <c r="Q228" s="19">
        <v>2698.01</v>
      </c>
      <c r="R228" s="15">
        <v>0.13100000000000001</v>
      </c>
      <c r="S228" s="7">
        <v>13</v>
      </c>
      <c r="T228" s="13">
        <f t="shared" si="63"/>
        <v>30479.418970000002</v>
      </c>
      <c r="U228" s="13">
        <f t="shared" si="64"/>
        <v>17581.72</v>
      </c>
      <c r="V228" s="13">
        <f t="shared" si="76"/>
        <v>12897.698970000001</v>
      </c>
      <c r="W228" s="15">
        <f t="shared" si="77"/>
        <v>0.42316091992090887</v>
      </c>
      <c r="X228" s="17" t="str">
        <f t="shared" si="78"/>
        <v>Q3-2023</v>
      </c>
      <c r="Y228" t="str">
        <f t="shared" si="79"/>
        <v>Asia → Japan → Nagoya</v>
      </c>
      <c r="Z228" t="str">
        <f t="shared" si="80"/>
        <v>High</v>
      </c>
      <c r="AA228">
        <f t="shared" si="65"/>
        <v>2023</v>
      </c>
      <c r="AB228">
        <f t="shared" si="66"/>
        <v>7</v>
      </c>
      <c r="AC228" t="str">
        <f t="shared" si="67"/>
        <v>No</v>
      </c>
      <c r="AD228" t="str">
        <f t="shared" si="68"/>
        <v>No</v>
      </c>
      <c r="AE228" s="36">
        <f>IF(Dashboard!$P$47&gt;'Staging Data'!R228,'Staging Data'!R228,Dashboard!$P$47)</f>
        <v>0.1</v>
      </c>
      <c r="AF228">
        <f>(100%+Dashboard!$P$48)*'Staging Data'!P228</f>
        <v>1420.0620000000001</v>
      </c>
      <c r="AG228">
        <f>(100%+Dashboard!$P$49)*S228</f>
        <v>13.52</v>
      </c>
      <c r="AH228" s="13">
        <f t="shared" si="69"/>
        <v>32829.385680000007</v>
      </c>
      <c r="AI228" s="13">
        <f t="shared" si="70"/>
        <v>19199.238240000002</v>
      </c>
      <c r="AJ228" s="13">
        <f t="shared" si="71"/>
        <v>13630.147440000004</v>
      </c>
    </row>
    <row r="229" spans="1:36" x14ac:dyDescent="0.45">
      <c r="A229" s="3" t="s">
        <v>25</v>
      </c>
      <c r="B229" s="5">
        <v>45319</v>
      </c>
      <c r="C229" s="5">
        <v>45331</v>
      </c>
      <c r="D229" s="5">
        <f t="shared" si="72"/>
        <v>45319</v>
      </c>
      <c r="E229" s="5">
        <f t="shared" si="73"/>
        <v>45331</v>
      </c>
      <c r="F229" s="7">
        <f t="shared" si="74"/>
        <v>12</v>
      </c>
      <c r="G229" s="23" t="str">
        <f t="shared" si="75"/>
        <v>1-2024</v>
      </c>
      <c r="H229" s="3" t="s">
        <v>649</v>
      </c>
      <c r="I229" s="3" t="s">
        <v>656</v>
      </c>
      <c r="J229" s="3" t="s">
        <v>671</v>
      </c>
      <c r="K229" s="3" t="s">
        <v>701</v>
      </c>
      <c r="L229" s="3" t="s">
        <v>708</v>
      </c>
      <c r="M229" s="3" t="s">
        <v>715</v>
      </c>
      <c r="N229" s="3" t="s">
        <v>733</v>
      </c>
      <c r="O229" s="3" t="s">
        <v>744</v>
      </c>
      <c r="P229" s="19">
        <v>644.16999999999996</v>
      </c>
      <c r="Q229" s="19">
        <v>700.12</v>
      </c>
      <c r="R229" s="15">
        <v>6.0000000000000001E-3</v>
      </c>
      <c r="S229" s="7">
        <v>23</v>
      </c>
      <c r="T229" s="13">
        <f t="shared" si="63"/>
        <v>16006.14344</v>
      </c>
      <c r="U229" s="13">
        <f t="shared" si="64"/>
        <v>14815.91</v>
      </c>
      <c r="V229" s="13">
        <f t="shared" si="76"/>
        <v>1190.23344</v>
      </c>
      <c r="W229" s="15">
        <f t="shared" si="77"/>
        <v>7.436103796405813E-2</v>
      </c>
      <c r="X229" s="17" t="str">
        <f t="shared" si="78"/>
        <v>Q1-2024</v>
      </c>
      <c r="Y229" t="str">
        <f t="shared" si="79"/>
        <v>Europe → Germany → Berlin</v>
      </c>
      <c r="Z229" t="str">
        <f t="shared" si="80"/>
        <v>Low</v>
      </c>
      <c r="AA229">
        <f t="shared" si="65"/>
        <v>2024</v>
      </c>
      <c r="AB229">
        <f t="shared" si="66"/>
        <v>1</v>
      </c>
      <c r="AC229" t="str">
        <f t="shared" si="67"/>
        <v>No</v>
      </c>
      <c r="AD229" t="str">
        <f t="shared" si="68"/>
        <v>No</v>
      </c>
      <c r="AE229" s="36">
        <f>IF(Dashboard!$P$47&gt;'Staging Data'!R229,'Staging Data'!R229,Dashboard!$P$47)</f>
        <v>6.0000000000000001E-3</v>
      </c>
      <c r="AF229">
        <f>(100%+Dashboard!$P$48)*'Staging Data'!P229</f>
        <v>676.37850000000003</v>
      </c>
      <c r="AG229">
        <f>(100%+Dashboard!$P$49)*S229</f>
        <v>23.92</v>
      </c>
      <c r="AH229" s="13">
        <f t="shared" si="69"/>
        <v>16646.389177599998</v>
      </c>
      <c r="AI229" s="13">
        <f t="shared" si="70"/>
        <v>16178.973720000002</v>
      </c>
      <c r="AJ229" s="13">
        <f t="shared" si="71"/>
        <v>467.41545759999644</v>
      </c>
    </row>
    <row r="230" spans="1:36" x14ac:dyDescent="0.45">
      <c r="A230" s="3" t="s">
        <v>242</v>
      </c>
      <c r="B230" s="5">
        <v>45879</v>
      </c>
      <c r="C230" s="5">
        <v>45899</v>
      </c>
      <c r="D230" s="5">
        <f t="shared" si="72"/>
        <v>45879</v>
      </c>
      <c r="E230" s="5">
        <f t="shared" si="73"/>
        <v>45899</v>
      </c>
      <c r="F230" s="7">
        <f t="shared" si="74"/>
        <v>20</v>
      </c>
      <c r="G230" s="23" t="str">
        <f t="shared" si="75"/>
        <v>8-2025</v>
      </c>
      <c r="H230" s="3" t="s">
        <v>648</v>
      </c>
      <c r="I230" s="3" t="s">
        <v>660</v>
      </c>
      <c r="J230" s="3" t="s">
        <v>686</v>
      </c>
      <c r="K230" s="3" t="s">
        <v>701</v>
      </c>
      <c r="L230" s="3" t="s">
        <v>709</v>
      </c>
      <c r="M230" s="3" t="s">
        <v>723</v>
      </c>
      <c r="N230" s="3" t="s">
        <v>728</v>
      </c>
      <c r="O230" s="3" t="s">
        <v>962</v>
      </c>
      <c r="P230" s="19">
        <v>933.29</v>
      </c>
      <c r="Q230" s="19">
        <v>1456.81</v>
      </c>
      <c r="R230" s="15">
        <v>0.123</v>
      </c>
      <c r="S230" s="7">
        <v>13</v>
      </c>
      <c r="T230" s="13">
        <f t="shared" si="63"/>
        <v>16609.090809999998</v>
      </c>
      <c r="U230" s="13">
        <f t="shared" si="64"/>
        <v>12132.77</v>
      </c>
      <c r="V230" s="13">
        <f t="shared" si="76"/>
        <v>4476.3208099999974</v>
      </c>
      <c r="W230" s="15">
        <f t="shared" si="77"/>
        <v>0.26951028573489977</v>
      </c>
      <c r="X230" s="17" t="str">
        <f t="shared" si="78"/>
        <v>Q3-2025</v>
      </c>
      <c r="Y230" t="str">
        <f t="shared" si="79"/>
        <v>Americas → USA → San Francisco</v>
      </c>
      <c r="Z230" t="str">
        <f t="shared" si="80"/>
        <v>Medium</v>
      </c>
      <c r="AA230">
        <f t="shared" si="65"/>
        <v>2025</v>
      </c>
      <c r="AB230">
        <f t="shared" si="66"/>
        <v>8</v>
      </c>
      <c r="AC230" t="str">
        <f t="shared" si="67"/>
        <v>No</v>
      </c>
      <c r="AD230" t="str">
        <f t="shared" si="68"/>
        <v>No</v>
      </c>
      <c r="AE230" s="36">
        <f>IF(Dashboard!$P$47&gt;'Staging Data'!R230,'Staging Data'!R230,Dashboard!$P$47)</f>
        <v>0.1</v>
      </c>
      <c r="AF230">
        <f>(100%+Dashboard!$P$48)*'Staging Data'!P230</f>
        <v>979.95450000000005</v>
      </c>
      <c r="AG230">
        <f>(100%+Dashboard!$P$49)*S230</f>
        <v>13.52</v>
      </c>
      <c r="AH230" s="13">
        <f t="shared" si="69"/>
        <v>17726.464079999998</v>
      </c>
      <c r="AI230" s="13">
        <f t="shared" si="70"/>
        <v>13248.984840000001</v>
      </c>
      <c r="AJ230" s="13">
        <f t="shared" si="71"/>
        <v>4477.4792399999969</v>
      </c>
    </row>
    <row r="231" spans="1:36" x14ac:dyDescent="0.45">
      <c r="A231" s="3" t="s">
        <v>243</v>
      </c>
      <c r="B231" s="5">
        <v>44992</v>
      </c>
      <c r="C231" s="5">
        <v>45017</v>
      </c>
      <c r="D231" s="5">
        <f t="shared" si="72"/>
        <v>44992</v>
      </c>
      <c r="E231" s="5">
        <f t="shared" si="73"/>
        <v>45017</v>
      </c>
      <c r="F231" s="7">
        <f t="shared" si="74"/>
        <v>25</v>
      </c>
      <c r="G231" s="23" t="str">
        <f t="shared" si="75"/>
        <v>3-2023</v>
      </c>
      <c r="H231" s="3" t="s">
        <v>646</v>
      </c>
      <c r="I231" s="3" t="s">
        <v>650</v>
      </c>
      <c r="J231" s="3" t="s">
        <v>664</v>
      </c>
      <c r="K231" s="3" t="s">
        <v>704</v>
      </c>
      <c r="L231" s="3" t="s">
        <v>709</v>
      </c>
      <c r="M231" s="3" t="s">
        <v>726</v>
      </c>
      <c r="N231" s="3" t="s">
        <v>728</v>
      </c>
      <c r="O231" s="3" t="s">
        <v>963</v>
      </c>
      <c r="P231" s="19">
        <v>1024.0999999999999</v>
      </c>
      <c r="Q231" s="19">
        <v>918.19</v>
      </c>
      <c r="R231" s="15">
        <v>0.189</v>
      </c>
      <c r="S231" s="7">
        <v>10</v>
      </c>
      <c r="T231" s="13">
        <f t="shared" si="63"/>
        <v>7446.5209000000004</v>
      </c>
      <c r="U231" s="13">
        <f t="shared" si="64"/>
        <v>10241</v>
      </c>
      <c r="V231" s="13">
        <f t="shared" si="76"/>
        <v>-2794.4790999999996</v>
      </c>
      <c r="W231" s="15">
        <f t="shared" si="77"/>
        <v>-0.37527311579827827</v>
      </c>
      <c r="X231" s="17" t="str">
        <f t="shared" si="78"/>
        <v>Q1-2023</v>
      </c>
      <c r="Y231" t="str">
        <f t="shared" si="79"/>
        <v>Africa → Kenya → Nairobi</v>
      </c>
      <c r="Z231" t="str">
        <f t="shared" si="80"/>
        <v>Low</v>
      </c>
      <c r="AA231">
        <f t="shared" si="65"/>
        <v>2023</v>
      </c>
      <c r="AB231">
        <f t="shared" si="66"/>
        <v>3</v>
      </c>
      <c r="AC231" t="str">
        <f t="shared" si="67"/>
        <v>No</v>
      </c>
      <c r="AD231" t="str">
        <f t="shared" si="68"/>
        <v>No</v>
      </c>
      <c r="AE231" s="36">
        <f>IF(Dashboard!$P$47&gt;'Staging Data'!R231,'Staging Data'!R231,Dashboard!$P$47)</f>
        <v>0.1</v>
      </c>
      <c r="AF231">
        <f>(100%+Dashboard!$P$48)*'Staging Data'!P231</f>
        <v>1075.3049999999998</v>
      </c>
      <c r="AG231">
        <f>(100%+Dashboard!$P$49)*S231</f>
        <v>10.4</v>
      </c>
      <c r="AH231" s="13">
        <f t="shared" si="69"/>
        <v>8594.2584000000006</v>
      </c>
      <c r="AI231" s="13">
        <f t="shared" si="70"/>
        <v>11183.171999999999</v>
      </c>
      <c r="AJ231" s="13">
        <f t="shared" si="71"/>
        <v>-2588.913599999998</v>
      </c>
    </row>
    <row r="232" spans="1:36" x14ac:dyDescent="0.45">
      <c r="A232" s="3" t="s">
        <v>244</v>
      </c>
      <c r="B232" s="5">
        <v>45069</v>
      </c>
      <c r="C232" s="5">
        <v>45087</v>
      </c>
      <c r="D232" s="5">
        <f t="shared" si="72"/>
        <v>45069</v>
      </c>
      <c r="E232" s="5">
        <f t="shared" si="73"/>
        <v>45087</v>
      </c>
      <c r="F232" s="7">
        <f t="shared" si="74"/>
        <v>18</v>
      </c>
      <c r="G232" s="23" t="str">
        <f t="shared" si="75"/>
        <v>5-2023</v>
      </c>
      <c r="H232" s="3" t="s">
        <v>647</v>
      </c>
      <c r="I232" s="3" t="s">
        <v>659</v>
      </c>
      <c r="J232" s="3" t="s">
        <v>685</v>
      </c>
      <c r="K232" s="3" t="s">
        <v>701</v>
      </c>
      <c r="L232" s="3" t="s">
        <v>710</v>
      </c>
      <c r="M232" s="3" t="s">
        <v>718</v>
      </c>
      <c r="N232" s="3" t="s">
        <v>727</v>
      </c>
      <c r="O232" s="3" t="s">
        <v>964</v>
      </c>
      <c r="P232" s="19">
        <v>54.62</v>
      </c>
      <c r="Q232" s="19">
        <v>48.94</v>
      </c>
      <c r="R232" s="15">
        <v>0.14799999999999999</v>
      </c>
      <c r="S232" s="7">
        <v>16</v>
      </c>
      <c r="T232" s="13">
        <f t="shared" si="63"/>
        <v>667.15008</v>
      </c>
      <c r="U232" s="13">
        <f t="shared" si="64"/>
        <v>873.92</v>
      </c>
      <c r="V232" s="13">
        <f t="shared" si="76"/>
        <v>-206.76991999999996</v>
      </c>
      <c r="W232" s="15">
        <f t="shared" si="77"/>
        <v>-0.3099301434543783</v>
      </c>
      <c r="X232" s="17" t="str">
        <f t="shared" si="78"/>
        <v>Q2-2023</v>
      </c>
      <c r="Y232" t="str">
        <f t="shared" si="79"/>
        <v>Asia → China → Shanghai</v>
      </c>
      <c r="Z232" t="str">
        <f t="shared" si="80"/>
        <v>Low</v>
      </c>
      <c r="AA232">
        <f t="shared" si="65"/>
        <v>2023</v>
      </c>
      <c r="AB232">
        <f t="shared" si="66"/>
        <v>5</v>
      </c>
      <c r="AC232" t="str">
        <f t="shared" si="67"/>
        <v>No</v>
      </c>
      <c r="AD232" t="str">
        <f t="shared" si="68"/>
        <v>No</v>
      </c>
      <c r="AE232" s="36">
        <f>IF(Dashboard!$P$47&gt;'Staging Data'!R232,'Staging Data'!R232,Dashboard!$P$47)</f>
        <v>0.1</v>
      </c>
      <c r="AF232">
        <f>(100%+Dashboard!$P$48)*'Staging Data'!P232</f>
        <v>57.350999999999999</v>
      </c>
      <c r="AG232">
        <f>(100%+Dashboard!$P$49)*S232</f>
        <v>16.64</v>
      </c>
      <c r="AH232" s="13">
        <f t="shared" si="69"/>
        <v>732.92543999999998</v>
      </c>
      <c r="AI232" s="13">
        <f t="shared" si="70"/>
        <v>954.32064000000003</v>
      </c>
      <c r="AJ232" s="13">
        <f t="shared" si="71"/>
        <v>-221.39520000000005</v>
      </c>
    </row>
    <row r="233" spans="1:36" x14ac:dyDescent="0.45">
      <c r="A233" s="3" t="s">
        <v>351</v>
      </c>
      <c r="B233" s="5">
        <v>45340</v>
      </c>
      <c r="C233" s="5">
        <v>45354</v>
      </c>
      <c r="D233" s="5">
        <f t="shared" si="72"/>
        <v>45340</v>
      </c>
      <c r="E233" s="5">
        <f t="shared" si="73"/>
        <v>45354</v>
      </c>
      <c r="F233" s="7">
        <f t="shared" si="74"/>
        <v>14</v>
      </c>
      <c r="G233" s="23" t="str">
        <f t="shared" si="75"/>
        <v>2-2024</v>
      </c>
      <c r="H233" s="3" t="s">
        <v>648</v>
      </c>
      <c r="I233" s="3" t="s">
        <v>655</v>
      </c>
      <c r="J233" s="3" t="s">
        <v>1422</v>
      </c>
      <c r="K233" s="3" t="s">
        <v>706</v>
      </c>
      <c r="L233" s="3" t="s">
        <v>710</v>
      </c>
      <c r="M233" s="3" t="s">
        <v>720</v>
      </c>
      <c r="N233" s="3" t="s">
        <v>728</v>
      </c>
      <c r="O233" s="3" t="s">
        <v>1071</v>
      </c>
      <c r="P233" s="19">
        <v>624.23</v>
      </c>
      <c r="Q233" s="19">
        <v>1318.37</v>
      </c>
      <c r="R233" s="15">
        <v>0.21</v>
      </c>
      <c r="S233" s="7">
        <v>37</v>
      </c>
      <c r="T233" s="13">
        <f t="shared" si="63"/>
        <v>38535.955099999999</v>
      </c>
      <c r="U233" s="13">
        <f t="shared" si="64"/>
        <v>23096.510000000002</v>
      </c>
      <c r="V233" s="13">
        <f t="shared" si="76"/>
        <v>15439.445099999997</v>
      </c>
      <c r="W233" s="15">
        <f t="shared" si="77"/>
        <v>0.40065038118128793</v>
      </c>
      <c r="X233" s="17" t="str">
        <f t="shared" si="78"/>
        <v>Q1-2024</v>
      </c>
      <c r="Y233" t="str">
        <f t="shared" si="79"/>
        <v>Americas → Brazil → Unknown City</v>
      </c>
      <c r="Z233" t="str">
        <f t="shared" si="80"/>
        <v>Medium</v>
      </c>
      <c r="AA233">
        <f t="shared" si="65"/>
        <v>2024</v>
      </c>
      <c r="AB233">
        <f t="shared" si="66"/>
        <v>2</v>
      </c>
      <c r="AC233" t="str">
        <f t="shared" si="67"/>
        <v>No</v>
      </c>
      <c r="AD233" t="str">
        <f t="shared" si="68"/>
        <v>Yes</v>
      </c>
      <c r="AE233" s="36">
        <f>IF(Dashboard!$P$47&gt;'Staging Data'!R233,'Staging Data'!R233,Dashboard!$P$47)</f>
        <v>0.1</v>
      </c>
      <c r="AF233">
        <f>(100%+Dashboard!$P$48)*'Staging Data'!P233</f>
        <v>655.44150000000002</v>
      </c>
      <c r="AG233">
        <f>(100%+Dashboard!$P$49)*S233</f>
        <v>38.480000000000004</v>
      </c>
      <c r="AH233" s="13">
        <f t="shared" si="69"/>
        <v>45657.789839999998</v>
      </c>
      <c r="AI233" s="13">
        <f t="shared" si="70"/>
        <v>25221.388920000005</v>
      </c>
      <c r="AJ233" s="13">
        <f t="shared" si="71"/>
        <v>20436.400919999993</v>
      </c>
    </row>
    <row r="234" spans="1:36" x14ac:dyDescent="0.45">
      <c r="A234" s="3" t="s">
        <v>246</v>
      </c>
      <c r="B234" s="5">
        <v>45538</v>
      </c>
      <c r="C234" s="5">
        <v>45543</v>
      </c>
      <c r="D234" s="5">
        <f t="shared" si="72"/>
        <v>45538</v>
      </c>
      <c r="E234" s="5">
        <f t="shared" si="73"/>
        <v>45543</v>
      </c>
      <c r="F234" s="7">
        <f t="shared" si="74"/>
        <v>5</v>
      </c>
      <c r="G234" s="23" t="str">
        <f t="shared" si="75"/>
        <v>9-2024</v>
      </c>
      <c r="H234" s="3" t="s">
        <v>646</v>
      </c>
      <c r="I234" s="3" t="s">
        <v>651</v>
      </c>
      <c r="J234" s="3" t="s">
        <v>665</v>
      </c>
      <c r="K234" s="3" t="s">
        <v>705</v>
      </c>
      <c r="L234" s="3" t="s">
        <v>711</v>
      </c>
      <c r="M234" s="3" t="s">
        <v>723</v>
      </c>
      <c r="N234" s="3" t="s">
        <v>728</v>
      </c>
      <c r="O234" s="3" t="s">
        <v>966</v>
      </c>
      <c r="P234" s="19">
        <v>197.63</v>
      </c>
      <c r="Q234" s="19">
        <v>325.79000000000002</v>
      </c>
      <c r="R234" s="15">
        <v>0.11600000000000001</v>
      </c>
      <c r="S234" s="7">
        <v>10</v>
      </c>
      <c r="T234" s="13">
        <f t="shared" si="63"/>
        <v>2879.9836</v>
      </c>
      <c r="U234" s="13">
        <f t="shared" si="64"/>
        <v>1976.3</v>
      </c>
      <c r="V234" s="13">
        <f t="shared" si="76"/>
        <v>903.68360000000007</v>
      </c>
      <c r="W234" s="15">
        <f t="shared" si="77"/>
        <v>0.31378081458519419</v>
      </c>
      <c r="X234" s="17" t="str">
        <f t="shared" si="78"/>
        <v>Q3-2024</v>
      </c>
      <c r="Y234" t="str">
        <f t="shared" si="79"/>
        <v>Africa → Nigeria → Lagos</v>
      </c>
      <c r="Z234" t="str">
        <f t="shared" si="80"/>
        <v>Low</v>
      </c>
      <c r="AA234">
        <f t="shared" si="65"/>
        <v>2024</v>
      </c>
      <c r="AB234">
        <f t="shared" si="66"/>
        <v>9</v>
      </c>
      <c r="AC234" t="str">
        <f t="shared" si="67"/>
        <v>Yes</v>
      </c>
      <c r="AD234" t="str">
        <f t="shared" si="68"/>
        <v>No</v>
      </c>
      <c r="AE234" s="36">
        <f>IF(Dashboard!$P$47&gt;'Staging Data'!R234,'Staging Data'!R234,Dashboard!$P$47)</f>
        <v>0.1</v>
      </c>
      <c r="AF234">
        <f>(100%+Dashboard!$P$48)*'Staging Data'!P234</f>
        <v>207.51150000000001</v>
      </c>
      <c r="AG234">
        <f>(100%+Dashboard!$P$49)*S234</f>
        <v>10.4</v>
      </c>
      <c r="AH234" s="13">
        <f t="shared" si="69"/>
        <v>3049.3944000000006</v>
      </c>
      <c r="AI234" s="13">
        <f t="shared" si="70"/>
        <v>2158.1196</v>
      </c>
      <c r="AJ234" s="13">
        <f t="shared" si="71"/>
        <v>891.2748000000006</v>
      </c>
    </row>
    <row r="235" spans="1:36" x14ac:dyDescent="0.45">
      <c r="A235" s="3" t="s">
        <v>247</v>
      </c>
      <c r="B235" s="5">
        <v>45540</v>
      </c>
      <c r="C235" s="5">
        <v>45560</v>
      </c>
      <c r="D235" s="5">
        <f t="shared" si="72"/>
        <v>45540</v>
      </c>
      <c r="E235" s="5">
        <f t="shared" si="73"/>
        <v>45560</v>
      </c>
      <c r="F235" s="7">
        <f t="shared" si="74"/>
        <v>20</v>
      </c>
      <c r="G235" s="23" t="str">
        <f t="shared" si="75"/>
        <v>9-2024</v>
      </c>
      <c r="H235" s="3" t="s">
        <v>647</v>
      </c>
      <c r="I235" s="3" t="s">
        <v>652</v>
      </c>
      <c r="J235" s="3" t="s">
        <v>666</v>
      </c>
      <c r="K235" s="3" t="s">
        <v>706</v>
      </c>
      <c r="L235" s="3" t="s">
        <v>710</v>
      </c>
      <c r="M235" s="3" t="s">
        <v>726</v>
      </c>
      <c r="N235" s="3" t="s">
        <v>732</v>
      </c>
      <c r="O235" s="3" t="s">
        <v>967</v>
      </c>
      <c r="P235" s="19">
        <v>195.54</v>
      </c>
      <c r="Q235" s="19">
        <v>405.97</v>
      </c>
      <c r="R235" s="15">
        <v>0.187</v>
      </c>
      <c r="S235" s="7">
        <v>16</v>
      </c>
      <c r="T235" s="13">
        <f t="shared" si="63"/>
        <v>5280.8577599999999</v>
      </c>
      <c r="U235" s="13">
        <f t="shared" si="64"/>
        <v>3128.64</v>
      </c>
      <c r="V235" s="13">
        <f t="shared" si="76"/>
        <v>2152.21776</v>
      </c>
      <c r="W235" s="15">
        <f t="shared" si="77"/>
        <v>0.40755079152141377</v>
      </c>
      <c r="X235" s="17" t="str">
        <f t="shared" si="78"/>
        <v>Q3-2024</v>
      </c>
      <c r="Y235" t="str">
        <f t="shared" si="79"/>
        <v>Asia → Japan → Osaka</v>
      </c>
      <c r="Z235" t="str">
        <f t="shared" si="80"/>
        <v>Low</v>
      </c>
      <c r="AA235">
        <f t="shared" si="65"/>
        <v>2024</v>
      </c>
      <c r="AB235">
        <f t="shared" si="66"/>
        <v>9</v>
      </c>
      <c r="AC235" t="str">
        <f t="shared" si="67"/>
        <v>No</v>
      </c>
      <c r="AD235" t="str">
        <f t="shared" si="68"/>
        <v>No</v>
      </c>
      <c r="AE235" s="36">
        <f>IF(Dashboard!$P$47&gt;'Staging Data'!R235,'Staging Data'!R235,Dashboard!$P$47)</f>
        <v>0.1</v>
      </c>
      <c r="AF235">
        <f>(100%+Dashboard!$P$48)*'Staging Data'!P235</f>
        <v>205.31700000000001</v>
      </c>
      <c r="AG235">
        <f>(100%+Dashboard!$P$49)*S235</f>
        <v>16.64</v>
      </c>
      <c r="AH235" s="13">
        <f t="shared" si="69"/>
        <v>6079.8067200000005</v>
      </c>
      <c r="AI235" s="13">
        <f t="shared" si="70"/>
        <v>3416.4748800000002</v>
      </c>
      <c r="AJ235" s="13">
        <f t="shared" si="71"/>
        <v>2663.3318400000003</v>
      </c>
    </row>
    <row r="236" spans="1:36" x14ac:dyDescent="0.45">
      <c r="A236" s="3" t="s">
        <v>248</v>
      </c>
      <c r="B236" s="5">
        <v>44999</v>
      </c>
      <c r="C236" s="5">
        <v>45015</v>
      </c>
      <c r="D236" s="5">
        <f t="shared" si="72"/>
        <v>44999</v>
      </c>
      <c r="E236" s="5">
        <f t="shared" si="73"/>
        <v>45015</v>
      </c>
      <c r="F236" s="7">
        <f t="shared" si="74"/>
        <v>16</v>
      </c>
      <c r="G236" s="23" t="str">
        <f t="shared" si="75"/>
        <v>3-2023</v>
      </c>
      <c r="H236" s="3" t="s">
        <v>646</v>
      </c>
      <c r="I236" s="3" t="s">
        <v>661</v>
      </c>
      <c r="J236" s="3" t="s">
        <v>695</v>
      </c>
      <c r="K236" s="3" t="s">
        <v>704</v>
      </c>
      <c r="L236" s="3" t="s">
        <v>710</v>
      </c>
      <c r="M236" s="3" t="s">
        <v>723</v>
      </c>
      <c r="N236" s="3" t="s">
        <v>727</v>
      </c>
      <c r="O236" s="3" t="s">
        <v>968</v>
      </c>
      <c r="P236" s="19">
        <v>1309.77</v>
      </c>
      <c r="Q236" s="19">
        <v>1589.07</v>
      </c>
      <c r="R236" s="15">
        <v>0.10199999999999999</v>
      </c>
      <c r="S236" s="7">
        <v>10</v>
      </c>
      <c r="T236" s="13">
        <f t="shared" si="63"/>
        <v>14269.848599999999</v>
      </c>
      <c r="U236" s="13">
        <f t="shared" si="64"/>
        <v>13097.7</v>
      </c>
      <c r="V236" s="13">
        <f t="shared" si="76"/>
        <v>1172.1485999999986</v>
      </c>
      <c r="W236" s="15">
        <f t="shared" si="77"/>
        <v>8.2141628328137886E-2</v>
      </c>
      <c r="X236" s="17" t="str">
        <f t="shared" si="78"/>
        <v>Q1-2023</v>
      </c>
      <c r="Y236" t="str">
        <f t="shared" si="79"/>
        <v>Africa → South Africa → Cape Town</v>
      </c>
      <c r="Z236" t="str">
        <f t="shared" si="80"/>
        <v>Medium</v>
      </c>
      <c r="AA236">
        <f t="shared" si="65"/>
        <v>2023</v>
      </c>
      <c r="AB236">
        <f t="shared" si="66"/>
        <v>3</v>
      </c>
      <c r="AC236" t="str">
        <f t="shared" si="67"/>
        <v>No</v>
      </c>
      <c r="AD236" t="str">
        <f t="shared" si="68"/>
        <v>No</v>
      </c>
      <c r="AE236" s="36">
        <f>IF(Dashboard!$P$47&gt;'Staging Data'!R236,'Staging Data'!R236,Dashboard!$P$47)</f>
        <v>0.1</v>
      </c>
      <c r="AF236">
        <f>(100%+Dashboard!$P$48)*'Staging Data'!P236</f>
        <v>1375.2585000000001</v>
      </c>
      <c r="AG236">
        <f>(100%+Dashboard!$P$49)*S236</f>
        <v>10.4</v>
      </c>
      <c r="AH236" s="13">
        <f t="shared" si="69"/>
        <v>14873.695200000002</v>
      </c>
      <c r="AI236" s="13">
        <f t="shared" si="70"/>
        <v>14302.688400000003</v>
      </c>
      <c r="AJ236" s="13">
        <f t="shared" si="71"/>
        <v>571.0067999999992</v>
      </c>
    </row>
    <row r="237" spans="1:36" x14ac:dyDescent="0.45">
      <c r="A237" s="3" t="s">
        <v>249</v>
      </c>
      <c r="B237" s="5">
        <v>45302</v>
      </c>
      <c r="C237" s="5">
        <v>45324</v>
      </c>
      <c r="D237" s="5">
        <f t="shared" si="72"/>
        <v>45302</v>
      </c>
      <c r="E237" s="5">
        <f t="shared" si="73"/>
        <v>45324</v>
      </c>
      <c r="F237" s="7">
        <f t="shared" si="74"/>
        <v>22</v>
      </c>
      <c r="G237" s="23" t="str">
        <f t="shared" si="75"/>
        <v>1-2024</v>
      </c>
      <c r="H237" s="3" t="s">
        <v>647</v>
      </c>
      <c r="I237" s="3" t="s">
        <v>652</v>
      </c>
      <c r="J237" s="3" t="s">
        <v>694</v>
      </c>
      <c r="K237" s="3" t="s">
        <v>705</v>
      </c>
      <c r="L237" s="3" t="s">
        <v>708</v>
      </c>
      <c r="M237" s="3" t="s">
        <v>1424</v>
      </c>
      <c r="N237" s="3" t="s">
        <v>728</v>
      </c>
      <c r="O237" s="3" t="s">
        <v>969</v>
      </c>
      <c r="P237" s="19">
        <v>1237.68</v>
      </c>
      <c r="Q237" s="19">
        <v>1432.8</v>
      </c>
      <c r="R237" s="15">
        <v>6.8000000000000005E-2</v>
      </c>
      <c r="S237" s="7">
        <v>13</v>
      </c>
      <c r="T237" s="13">
        <f t="shared" si="63"/>
        <v>17359.804799999998</v>
      </c>
      <c r="U237" s="13">
        <f t="shared" si="64"/>
        <v>16089.84</v>
      </c>
      <c r="V237" s="13">
        <f t="shared" si="76"/>
        <v>1269.9647999999979</v>
      </c>
      <c r="W237" s="15">
        <f t="shared" si="77"/>
        <v>7.315547695559331E-2</v>
      </c>
      <c r="X237" s="17" t="str">
        <f t="shared" si="78"/>
        <v>Q1-2024</v>
      </c>
      <c r="Y237" t="str">
        <f t="shared" si="79"/>
        <v>Asia → Japan → Nagoya</v>
      </c>
      <c r="Z237" t="str">
        <f t="shared" si="80"/>
        <v>Medium</v>
      </c>
      <c r="AA237">
        <f t="shared" si="65"/>
        <v>2024</v>
      </c>
      <c r="AB237">
        <f t="shared" si="66"/>
        <v>1</v>
      </c>
      <c r="AC237" t="str">
        <f t="shared" si="67"/>
        <v>No</v>
      </c>
      <c r="AD237" t="str">
        <f t="shared" si="68"/>
        <v>No</v>
      </c>
      <c r="AE237" s="36">
        <f>IF(Dashboard!$P$47&gt;'Staging Data'!R237,'Staging Data'!R237,Dashboard!$P$47)</f>
        <v>6.8000000000000005E-2</v>
      </c>
      <c r="AF237">
        <f>(100%+Dashboard!$P$48)*'Staging Data'!P237</f>
        <v>1299.5640000000001</v>
      </c>
      <c r="AG237">
        <f>(100%+Dashboard!$P$49)*S237</f>
        <v>13.52</v>
      </c>
      <c r="AH237" s="13">
        <f t="shared" si="69"/>
        <v>18054.196991999997</v>
      </c>
      <c r="AI237" s="13">
        <f t="shared" si="70"/>
        <v>17570.10528</v>
      </c>
      <c r="AJ237" s="13">
        <f t="shared" si="71"/>
        <v>484.09171199999764</v>
      </c>
    </row>
    <row r="238" spans="1:36" x14ac:dyDescent="0.45">
      <c r="A238" s="3" t="s">
        <v>250</v>
      </c>
      <c r="B238" s="5">
        <v>45548</v>
      </c>
      <c r="C238" s="5">
        <v>45567</v>
      </c>
      <c r="D238" s="5">
        <f t="shared" si="72"/>
        <v>45548</v>
      </c>
      <c r="E238" s="5">
        <f t="shared" si="73"/>
        <v>45567</v>
      </c>
      <c r="F238" s="7">
        <f t="shared" si="74"/>
        <v>19</v>
      </c>
      <c r="G238" s="23" t="str">
        <f t="shared" si="75"/>
        <v>9-2024</v>
      </c>
      <c r="H238" s="3" t="s">
        <v>646</v>
      </c>
      <c r="I238" s="3" t="s">
        <v>650</v>
      </c>
      <c r="J238" s="3" t="s">
        <v>675</v>
      </c>
      <c r="K238" s="3" t="s">
        <v>705</v>
      </c>
      <c r="L238" s="3" t="s">
        <v>707</v>
      </c>
      <c r="M238" s="3" t="s">
        <v>724</v>
      </c>
      <c r="N238" s="3" t="s">
        <v>730</v>
      </c>
      <c r="O238" s="3" t="s">
        <v>970</v>
      </c>
      <c r="P238" s="19">
        <v>1338.99</v>
      </c>
      <c r="Q238" s="19">
        <v>1765.76</v>
      </c>
      <c r="R238" s="15">
        <v>0.126</v>
      </c>
      <c r="S238" s="7">
        <v>24</v>
      </c>
      <c r="T238" s="13">
        <f t="shared" si="63"/>
        <v>37038.581760000001</v>
      </c>
      <c r="U238" s="13">
        <f t="shared" si="64"/>
        <v>32135.760000000002</v>
      </c>
      <c r="V238" s="13">
        <f t="shared" si="76"/>
        <v>4902.8217599999989</v>
      </c>
      <c r="W238" s="15">
        <f t="shared" si="77"/>
        <v>0.1323706666677725</v>
      </c>
      <c r="X238" s="17" t="str">
        <f t="shared" si="78"/>
        <v>Q3-2024</v>
      </c>
      <c r="Y238" t="str">
        <f t="shared" si="79"/>
        <v>Africa → Kenya → Mombasa</v>
      </c>
      <c r="Z238" t="str">
        <f t="shared" si="80"/>
        <v>Medium</v>
      </c>
      <c r="AA238">
        <f t="shared" si="65"/>
        <v>2024</v>
      </c>
      <c r="AB238">
        <f t="shared" si="66"/>
        <v>9</v>
      </c>
      <c r="AC238" t="str">
        <f t="shared" si="67"/>
        <v>No</v>
      </c>
      <c r="AD238" t="str">
        <f t="shared" si="68"/>
        <v>No</v>
      </c>
      <c r="AE238" s="36">
        <f>IF(Dashboard!$P$47&gt;'Staging Data'!R238,'Staging Data'!R238,Dashboard!$P$47)</f>
        <v>0.1</v>
      </c>
      <c r="AF238">
        <f>(100%+Dashboard!$P$48)*'Staging Data'!P238</f>
        <v>1405.9395000000002</v>
      </c>
      <c r="AG238">
        <f>(100%+Dashboard!$P$49)*S238</f>
        <v>24.96</v>
      </c>
      <c r="AH238" s="13">
        <f t="shared" si="69"/>
        <v>39666.032639999998</v>
      </c>
      <c r="AI238" s="13">
        <f t="shared" si="70"/>
        <v>35092.249920000009</v>
      </c>
      <c r="AJ238" s="13">
        <f t="shared" si="71"/>
        <v>4573.7827199999883</v>
      </c>
    </row>
    <row r="239" spans="1:36" x14ac:dyDescent="0.45">
      <c r="A239" s="3" t="s">
        <v>251</v>
      </c>
      <c r="B239" s="5">
        <v>45855</v>
      </c>
      <c r="C239" s="5">
        <v>45861</v>
      </c>
      <c r="D239" s="5">
        <f t="shared" si="72"/>
        <v>45855</v>
      </c>
      <c r="E239" s="5">
        <f t="shared" si="73"/>
        <v>45861</v>
      </c>
      <c r="F239" s="7">
        <f t="shared" si="74"/>
        <v>6</v>
      </c>
      <c r="G239" s="23" t="str">
        <f t="shared" si="75"/>
        <v>7-2025</v>
      </c>
      <c r="H239" s="3" t="s">
        <v>648</v>
      </c>
      <c r="I239" s="3" t="s">
        <v>653</v>
      </c>
      <c r="J239" s="3" t="s">
        <v>688</v>
      </c>
      <c r="K239" s="3" t="s">
        <v>704</v>
      </c>
      <c r="L239" s="3" t="s">
        <v>708</v>
      </c>
      <c r="M239" s="3" t="s">
        <v>722</v>
      </c>
      <c r="N239" s="3" t="s">
        <v>727</v>
      </c>
      <c r="O239" s="3" t="s">
        <v>971</v>
      </c>
      <c r="P239" s="19">
        <v>1364.89</v>
      </c>
      <c r="Q239" s="19">
        <v>2757.54</v>
      </c>
      <c r="R239" s="15">
        <v>0.17199999999999999</v>
      </c>
      <c r="S239" s="7">
        <v>61</v>
      </c>
      <c r="T239" s="13">
        <f t="shared" si="63"/>
        <v>139277.83032000001</v>
      </c>
      <c r="U239" s="13">
        <f t="shared" si="64"/>
        <v>83258.290000000008</v>
      </c>
      <c r="V239" s="13">
        <f t="shared" si="76"/>
        <v>56019.54032</v>
      </c>
      <c r="W239" s="15">
        <f t="shared" si="77"/>
        <v>0.4022143379983118</v>
      </c>
      <c r="X239" s="17" t="str">
        <f t="shared" si="78"/>
        <v>Q3-2025</v>
      </c>
      <c r="Y239" t="str">
        <f t="shared" si="79"/>
        <v>Americas → Canada → Vancouver</v>
      </c>
      <c r="Z239" t="str">
        <f t="shared" si="80"/>
        <v>High</v>
      </c>
      <c r="AA239">
        <f t="shared" si="65"/>
        <v>2025</v>
      </c>
      <c r="AB239">
        <f t="shared" si="66"/>
        <v>7</v>
      </c>
      <c r="AC239" t="str">
        <f t="shared" si="67"/>
        <v>Yes</v>
      </c>
      <c r="AD239" t="str">
        <f t="shared" si="68"/>
        <v>No</v>
      </c>
      <c r="AE239" s="36">
        <f>IF(Dashboard!$P$47&gt;'Staging Data'!R239,'Staging Data'!R239,Dashboard!$P$47)</f>
        <v>0.1</v>
      </c>
      <c r="AF239">
        <f>(100%+Dashboard!$P$48)*'Staging Data'!P239</f>
        <v>1433.1345000000001</v>
      </c>
      <c r="AG239">
        <f>(100%+Dashboard!$P$49)*S239</f>
        <v>63.440000000000005</v>
      </c>
      <c r="AH239" s="13">
        <f t="shared" si="69"/>
        <v>157444.50383999999</v>
      </c>
      <c r="AI239" s="13">
        <f t="shared" si="70"/>
        <v>90918.052680000008</v>
      </c>
      <c r="AJ239" s="13">
        <f t="shared" si="71"/>
        <v>66526.451159999982</v>
      </c>
    </row>
    <row r="240" spans="1:36" x14ac:dyDescent="0.45">
      <c r="A240" s="3" t="s">
        <v>252</v>
      </c>
      <c r="B240" s="5">
        <v>45258</v>
      </c>
      <c r="C240" s="5">
        <v>45267</v>
      </c>
      <c r="D240" s="5">
        <f t="shared" si="72"/>
        <v>45258</v>
      </c>
      <c r="E240" s="5">
        <f t="shared" si="73"/>
        <v>45267</v>
      </c>
      <c r="F240" s="7">
        <f t="shared" si="74"/>
        <v>9</v>
      </c>
      <c r="G240" s="23" t="str">
        <f t="shared" si="75"/>
        <v>11-2023</v>
      </c>
      <c r="H240" s="3" t="s">
        <v>647</v>
      </c>
      <c r="I240" s="3" t="s">
        <v>654</v>
      </c>
      <c r="J240" s="3" t="s">
        <v>680</v>
      </c>
      <c r="K240" s="3" t="s">
        <v>706</v>
      </c>
      <c r="L240" s="3" t="s">
        <v>709</v>
      </c>
      <c r="M240" s="3" t="s">
        <v>716</v>
      </c>
      <c r="N240" s="3" t="s">
        <v>730</v>
      </c>
      <c r="O240" s="3" t="s">
        <v>972</v>
      </c>
      <c r="P240" s="19">
        <v>699.33</v>
      </c>
      <c r="Q240" s="19">
        <v>873.75</v>
      </c>
      <c r="R240" s="15">
        <v>0.23499999999999999</v>
      </c>
      <c r="S240" s="7">
        <v>10</v>
      </c>
      <c r="T240" s="13">
        <f t="shared" si="63"/>
        <v>6684.1875</v>
      </c>
      <c r="U240" s="13">
        <f t="shared" si="64"/>
        <v>6993.3</v>
      </c>
      <c r="V240" s="13">
        <f t="shared" si="76"/>
        <v>-309.11250000000018</v>
      </c>
      <c r="W240" s="15">
        <f t="shared" si="77"/>
        <v>-4.6245336475076469E-2</v>
      </c>
      <c r="X240" s="17" t="str">
        <f t="shared" si="78"/>
        <v>Q4-2023</v>
      </c>
      <c r="Y240" t="str">
        <f t="shared" si="79"/>
        <v>Asia → India → Delhi</v>
      </c>
      <c r="Z240" t="str">
        <f t="shared" si="80"/>
        <v>Low</v>
      </c>
      <c r="AA240">
        <f t="shared" si="65"/>
        <v>2023</v>
      </c>
      <c r="AB240">
        <f t="shared" si="66"/>
        <v>11</v>
      </c>
      <c r="AC240" t="str">
        <f t="shared" si="67"/>
        <v>No</v>
      </c>
      <c r="AD240" t="str">
        <f t="shared" si="68"/>
        <v>Yes</v>
      </c>
      <c r="AE240" s="36">
        <f>IF(Dashboard!$P$47&gt;'Staging Data'!R240,'Staging Data'!R240,Dashboard!$P$47)</f>
        <v>0.1</v>
      </c>
      <c r="AF240">
        <f>(100%+Dashboard!$P$48)*'Staging Data'!P240</f>
        <v>734.29650000000004</v>
      </c>
      <c r="AG240">
        <f>(100%+Dashboard!$P$49)*S240</f>
        <v>10.4</v>
      </c>
      <c r="AH240" s="13">
        <f t="shared" si="69"/>
        <v>8178.3</v>
      </c>
      <c r="AI240" s="13">
        <f t="shared" si="70"/>
        <v>7636.6836000000003</v>
      </c>
      <c r="AJ240" s="13">
        <f t="shared" si="71"/>
        <v>541.61639999999989</v>
      </c>
    </row>
    <row r="241" spans="1:36" x14ac:dyDescent="0.45">
      <c r="A241" s="3" t="s">
        <v>253</v>
      </c>
      <c r="B241" s="5">
        <v>45381</v>
      </c>
      <c r="C241" s="5">
        <v>45406</v>
      </c>
      <c r="D241" s="5">
        <f t="shared" si="72"/>
        <v>45381</v>
      </c>
      <c r="E241" s="5">
        <f t="shared" si="73"/>
        <v>45406</v>
      </c>
      <c r="F241" s="7">
        <f t="shared" si="74"/>
        <v>25</v>
      </c>
      <c r="G241" s="23" t="str">
        <f t="shared" si="75"/>
        <v>3-2024</v>
      </c>
      <c r="H241" s="3" t="s">
        <v>648</v>
      </c>
      <c r="I241" s="3" t="s">
        <v>660</v>
      </c>
      <c r="J241" s="3" t="s">
        <v>697</v>
      </c>
      <c r="K241" s="3" t="s">
        <v>703</v>
      </c>
      <c r="L241" s="3" t="s">
        <v>708</v>
      </c>
      <c r="M241" s="3" t="s">
        <v>715</v>
      </c>
      <c r="N241" s="3" t="s">
        <v>731</v>
      </c>
      <c r="O241" s="3" t="s">
        <v>973</v>
      </c>
      <c r="P241" s="19">
        <v>160.82</v>
      </c>
      <c r="Q241" s="19">
        <v>258.52</v>
      </c>
      <c r="R241" s="15">
        <v>0.13</v>
      </c>
      <c r="S241" s="7">
        <v>17</v>
      </c>
      <c r="T241" s="13">
        <f t="shared" si="63"/>
        <v>3823.5108</v>
      </c>
      <c r="U241" s="13">
        <f t="shared" si="64"/>
        <v>2733.94</v>
      </c>
      <c r="V241" s="13">
        <f t="shared" si="76"/>
        <v>1089.5708</v>
      </c>
      <c r="W241" s="15">
        <f t="shared" si="77"/>
        <v>0.28496605789631874</v>
      </c>
      <c r="X241" s="17" t="str">
        <f t="shared" si="78"/>
        <v>Q1-2024</v>
      </c>
      <c r="Y241" t="str">
        <f t="shared" si="79"/>
        <v>Americas → USA → Austin</v>
      </c>
      <c r="Z241" t="str">
        <f t="shared" si="80"/>
        <v>Low</v>
      </c>
      <c r="AA241">
        <f t="shared" si="65"/>
        <v>2024</v>
      </c>
      <c r="AB241">
        <f t="shared" si="66"/>
        <v>3</v>
      </c>
      <c r="AC241" t="str">
        <f t="shared" si="67"/>
        <v>No</v>
      </c>
      <c r="AD241" t="str">
        <f t="shared" si="68"/>
        <v>No</v>
      </c>
      <c r="AE241" s="36">
        <f>IF(Dashboard!$P$47&gt;'Staging Data'!R241,'Staging Data'!R241,Dashboard!$P$47)</f>
        <v>0.1</v>
      </c>
      <c r="AF241">
        <f>(100%+Dashboard!$P$48)*'Staging Data'!P241</f>
        <v>168.86099999999999</v>
      </c>
      <c r="AG241">
        <f>(100%+Dashboard!$P$49)*S241</f>
        <v>17.68</v>
      </c>
      <c r="AH241" s="13">
        <f t="shared" si="69"/>
        <v>4113.5702399999991</v>
      </c>
      <c r="AI241" s="13">
        <f t="shared" si="70"/>
        <v>2985.4624799999997</v>
      </c>
      <c r="AJ241" s="13">
        <f t="shared" si="71"/>
        <v>1128.1077599999994</v>
      </c>
    </row>
    <row r="242" spans="1:36" x14ac:dyDescent="0.45">
      <c r="A242" s="3" t="s">
        <v>254</v>
      </c>
      <c r="B242" s="5">
        <v>45188</v>
      </c>
      <c r="C242" s="5">
        <v>45207</v>
      </c>
      <c r="D242" s="5">
        <f t="shared" si="72"/>
        <v>45188</v>
      </c>
      <c r="E242" s="5">
        <f t="shared" si="73"/>
        <v>45207</v>
      </c>
      <c r="F242" s="7">
        <f t="shared" si="74"/>
        <v>19</v>
      </c>
      <c r="G242" s="23" t="str">
        <f t="shared" si="75"/>
        <v>9-2023</v>
      </c>
      <c r="H242" s="3" t="s">
        <v>647</v>
      </c>
      <c r="I242" s="3" t="s">
        <v>654</v>
      </c>
      <c r="J242" s="3" t="s">
        <v>668</v>
      </c>
      <c r="K242" s="3" t="s">
        <v>702</v>
      </c>
      <c r="L242" s="3" t="s">
        <v>711</v>
      </c>
      <c r="M242" s="3" t="s">
        <v>713</v>
      </c>
      <c r="N242" s="3" t="s">
        <v>728</v>
      </c>
      <c r="O242" s="3" t="s">
        <v>974</v>
      </c>
      <c r="P242" s="19">
        <v>385.32</v>
      </c>
      <c r="Q242" s="19">
        <v>606.76</v>
      </c>
      <c r="R242" s="15">
        <v>8.5999999999999993E-2</v>
      </c>
      <c r="S242" s="7">
        <v>8</v>
      </c>
      <c r="T242" s="13">
        <f t="shared" si="63"/>
        <v>4436.6291200000005</v>
      </c>
      <c r="U242" s="13">
        <f t="shared" si="64"/>
        <v>3082.56</v>
      </c>
      <c r="V242" s="13">
        <f t="shared" si="76"/>
        <v>1354.0691200000006</v>
      </c>
      <c r="W242" s="15">
        <f t="shared" si="77"/>
        <v>0.30520223425842735</v>
      </c>
      <c r="X242" s="17" t="str">
        <f t="shared" si="78"/>
        <v>Q3-2023</v>
      </c>
      <c r="Y242" t="str">
        <f t="shared" si="79"/>
        <v>Asia → India → Bengaluru</v>
      </c>
      <c r="Z242" t="str">
        <f t="shared" si="80"/>
        <v>Low</v>
      </c>
      <c r="AA242">
        <f t="shared" si="65"/>
        <v>2023</v>
      </c>
      <c r="AB242">
        <f t="shared" si="66"/>
        <v>9</v>
      </c>
      <c r="AC242" t="str">
        <f t="shared" si="67"/>
        <v>No</v>
      </c>
      <c r="AD242" t="str">
        <f t="shared" si="68"/>
        <v>No</v>
      </c>
      <c r="AE242" s="36">
        <f>IF(Dashboard!$P$47&gt;'Staging Data'!R242,'Staging Data'!R242,Dashboard!$P$47)</f>
        <v>8.5999999999999993E-2</v>
      </c>
      <c r="AF242">
        <f>(100%+Dashboard!$P$48)*'Staging Data'!P242</f>
        <v>404.58600000000001</v>
      </c>
      <c r="AG242">
        <f>(100%+Dashboard!$P$49)*S242</f>
        <v>8.32</v>
      </c>
      <c r="AH242" s="13">
        <f t="shared" si="69"/>
        <v>4614.0942848000004</v>
      </c>
      <c r="AI242" s="13">
        <f t="shared" si="70"/>
        <v>3366.1555200000003</v>
      </c>
      <c r="AJ242" s="13">
        <f t="shared" si="71"/>
        <v>1247.9387648000002</v>
      </c>
    </row>
    <row r="243" spans="1:36" x14ac:dyDescent="0.45">
      <c r="A243" s="3" t="s">
        <v>255</v>
      </c>
      <c r="B243" s="5">
        <v>45793</v>
      </c>
      <c r="C243" s="5">
        <v>45804</v>
      </c>
      <c r="D243" s="5">
        <f t="shared" si="72"/>
        <v>45793</v>
      </c>
      <c r="E243" s="5">
        <f t="shared" si="73"/>
        <v>45804</v>
      </c>
      <c r="F243" s="7">
        <f t="shared" si="74"/>
        <v>11</v>
      </c>
      <c r="G243" s="23" t="str">
        <f t="shared" si="75"/>
        <v>5-2025</v>
      </c>
      <c r="H243" s="3" t="s">
        <v>647</v>
      </c>
      <c r="I243" s="3" t="s">
        <v>659</v>
      </c>
      <c r="J243" s="3" t="s">
        <v>699</v>
      </c>
      <c r="K243" s="3" t="s">
        <v>706</v>
      </c>
      <c r="L243" s="3" t="s">
        <v>708</v>
      </c>
      <c r="M243" s="3" t="s">
        <v>721</v>
      </c>
      <c r="N243" s="3" t="s">
        <v>730</v>
      </c>
      <c r="O243" s="3" t="s">
        <v>975</v>
      </c>
      <c r="P243" s="19">
        <v>918.12</v>
      </c>
      <c r="Q243" s="19">
        <v>1337.69</v>
      </c>
      <c r="R243" s="15">
        <v>9.5000000000000001E-2</v>
      </c>
      <c r="S243" s="7">
        <v>8</v>
      </c>
      <c r="T243" s="13">
        <f t="shared" si="63"/>
        <v>9684.8756000000012</v>
      </c>
      <c r="U243" s="13">
        <f t="shared" si="64"/>
        <v>7344.96</v>
      </c>
      <c r="V243" s="13">
        <f t="shared" si="76"/>
        <v>2339.9156000000012</v>
      </c>
      <c r="W243" s="15">
        <f t="shared" si="77"/>
        <v>0.24160512707050164</v>
      </c>
      <c r="X243" s="17" t="str">
        <f t="shared" si="78"/>
        <v>Q2-2025</v>
      </c>
      <c r="Y243" t="str">
        <f t="shared" si="79"/>
        <v>Asia → China → Beijing</v>
      </c>
      <c r="Z243" t="str">
        <f t="shared" si="80"/>
        <v>Medium</v>
      </c>
      <c r="AA243">
        <f t="shared" si="65"/>
        <v>2025</v>
      </c>
      <c r="AB243">
        <f t="shared" si="66"/>
        <v>5</v>
      </c>
      <c r="AC243" t="str">
        <f t="shared" si="67"/>
        <v>No</v>
      </c>
      <c r="AD243" t="str">
        <f t="shared" si="68"/>
        <v>No</v>
      </c>
      <c r="AE243" s="36">
        <f>IF(Dashboard!$P$47&gt;'Staging Data'!R243,'Staging Data'!R243,Dashboard!$P$47)</f>
        <v>9.5000000000000001E-2</v>
      </c>
      <c r="AF243">
        <f>(100%+Dashboard!$P$48)*'Staging Data'!P243</f>
        <v>964.02600000000007</v>
      </c>
      <c r="AG243">
        <f>(100%+Dashboard!$P$49)*S243</f>
        <v>8.32</v>
      </c>
      <c r="AH243" s="13">
        <f t="shared" si="69"/>
        <v>10072.270624000002</v>
      </c>
      <c r="AI243" s="13">
        <f t="shared" si="70"/>
        <v>8020.6963200000009</v>
      </c>
      <c r="AJ243" s="13">
        <f t="shared" si="71"/>
        <v>2051.5743040000016</v>
      </c>
    </row>
    <row r="244" spans="1:36" x14ac:dyDescent="0.45">
      <c r="A244" s="3" t="s">
        <v>256</v>
      </c>
      <c r="B244" s="5">
        <v>45871</v>
      </c>
      <c r="C244" s="5">
        <v>45877</v>
      </c>
      <c r="D244" s="5">
        <f t="shared" si="72"/>
        <v>45871</v>
      </c>
      <c r="E244" s="5">
        <f t="shared" si="73"/>
        <v>45877</v>
      </c>
      <c r="F244" s="7">
        <f t="shared" si="74"/>
        <v>6</v>
      </c>
      <c r="G244" s="23" t="str">
        <f t="shared" si="75"/>
        <v>8-2025</v>
      </c>
      <c r="H244" s="3" t="s">
        <v>647</v>
      </c>
      <c r="I244" s="3" t="s">
        <v>652</v>
      </c>
      <c r="J244" s="3" t="s">
        <v>666</v>
      </c>
      <c r="K244" s="3" t="s">
        <v>704</v>
      </c>
      <c r="L244" s="3" t="s">
        <v>711</v>
      </c>
      <c r="M244" s="3" t="s">
        <v>725</v>
      </c>
      <c r="N244" s="3" t="s">
        <v>731</v>
      </c>
      <c r="O244" s="3" t="s">
        <v>976</v>
      </c>
      <c r="P244" s="19">
        <v>1225.94</v>
      </c>
      <c r="Q244" s="19">
        <v>1793.08</v>
      </c>
      <c r="R244" s="15">
        <v>0.13600000000000001</v>
      </c>
      <c r="S244" s="7">
        <v>22</v>
      </c>
      <c r="T244" s="13">
        <f t="shared" si="63"/>
        <v>34082.864639999993</v>
      </c>
      <c r="U244" s="13">
        <f t="shared" si="64"/>
        <v>26970.68</v>
      </c>
      <c r="V244" s="13">
        <f t="shared" si="76"/>
        <v>7112.1846399999922</v>
      </c>
      <c r="W244" s="15">
        <f t="shared" si="77"/>
        <v>0.20867332353434462</v>
      </c>
      <c r="X244" s="17" t="str">
        <f t="shared" si="78"/>
        <v>Q3-2025</v>
      </c>
      <c r="Y244" t="str">
        <f t="shared" si="79"/>
        <v>Asia → Japan → Osaka</v>
      </c>
      <c r="Z244" t="str">
        <f t="shared" si="80"/>
        <v>Medium</v>
      </c>
      <c r="AA244">
        <f t="shared" si="65"/>
        <v>2025</v>
      </c>
      <c r="AB244">
        <f t="shared" si="66"/>
        <v>8</v>
      </c>
      <c r="AC244" t="str">
        <f t="shared" si="67"/>
        <v>Yes</v>
      </c>
      <c r="AD244" t="str">
        <f t="shared" si="68"/>
        <v>No</v>
      </c>
      <c r="AE244" s="36">
        <f>IF(Dashboard!$P$47&gt;'Staging Data'!R244,'Staging Data'!R244,Dashboard!$P$47)</f>
        <v>0.1</v>
      </c>
      <c r="AF244">
        <f>(100%+Dashboard!$P$48)*'Staging Data'!P244</f>
        <v>1287.2370000000001</v>
      </c>
      <c r="AG244">
        <f>(100%+Dashboard!$P$49)*S244</f>
        <v>22.880000000000003</v>
      </c>
      <c r="AH244" s="13">
        <f t="shared" si="69"/>
        <v>36923.103360000001</v>
      </c>
      <c r="AI244" s="13">
        <f t="shared" si="70"/>
        <v>29451.982560000004</v>
      </c>
      <c r="AJ244" s="13">
        <f t="shared" si="71"/>
        <v>7471.120799999997</v>
      </c>
    </row>
    <row r="245" spans="1:36" x14ac:dyDescent="0.45">
      <c r="A245" s="3" t="s">
        <v>257</v>
      </c>
      <c r="B245" s="5">
        <v>45630</v>
      </c>
      <c r="C245" s="5">
        <v>45638</v>
      </c>
      <c r="D245" s="5">
        <f t="shared" si="72"/>
        <v>45630</v>
      </c>
      <c r="E245" s="5">
        <f t="shared" si="73"/>
        <v>45638</v>
      </c>
      <c r="F245" s="7">
        <f t="shared" si="74"/>
        <v>8</v>
      </c>
      <c r="G245" s="23" t="str">
        <f t="shared" si="75"/>
        <v>12-2024</v>
      </c>
      <c r="H245" s="3" t="s">
        <v>649</v>
      </c>
      <c r="I245" s="3" t="s">
        <v>656</v>
      </c>
      <c r="J245" s="3" t="s">
        <v>698</v>
      </c>
      <c r="K245" s="3" t="s">
        <v>706</v>
      </c>
      <c r="L245" s="3" t="s">
        <v>709</v>
      </c>
      <c r="M245" s="3" t="s">
        <v>717</v>
      </c>
      <c r="N245" s="3" t="s">
        <v>728</v>
      </c>
      <c r="O245" s="3" t="s">
        <v>977</v>
      </c>
      <c r="P245" s="19">
        <v>72.06</v>
      </c>
      <c r="Q245" s="19">
        <v>122.74</v>
      </c>
      <c r="R245" s="15">
        <v>0.23799999999999999</v>
      </c>
      <c r="S245" s="7">
        <v>8</v>
      </c>
      <c r="T245" s="13">
        <f t="shared" si="63"/>
        <v>748.22303999999997</v>
      </c>
      <c r="U245" s="13">
        <f t="shared" si="64"/>
        <v>576.48</v>
      </c>
      <c r="V245" s="13">
        <f t="shared" si="76"/>
        <v>171.74303999999995</v>
      </c>
      <c r="W245" s="15">
        <f t="shared" si="77"/>
        <v>0.22953455162246802</v>
      </c>
      <c r="X245" s="17" t="str">
        <f t="shared" si="78"/>
        <v>Q4-2024</v>
      </c>
      <c r="Y245" t="str">
        <f t="shared" si="79"/>
        <v>Europe → Germany → Frankfurt</v>
      </c>
      <c r="Z245" t="str">
        <f t="shared" si="80"/>
        <v>Low</v>
      </c>
      <c r="AA245">
        <f t="shared" si="65"/>
        <v>2024</v>
      </c>
      <c r="AB245">
        <f t="shared" si="66"/>
        <v>12</v>
      </c>
      <c r="AC245" t="str">
        <f t="shared" si="67"/>
        <v>No</v>
      </c>
      <c r="AD245" t="str">
        <f t="shared" si="68"/>
        <v>Yes</v>
      </c>
      <c r="AE245" s="36">
        <f>IF(Dashboard!$P$47&gt;'Staging Data'!R245,'Staging Data'!R245,Dashboard!$P$47)</f>
        <v>0.1</v>
      </c>
      <c r="AF245">
        <f>(100%+Dashboard!$P$48)*'Staging Data'!P245</f>
        <v>75.663000000000011</v>
      </c>
      <c r="AG245">
        <f>(100%+Dashboard!$P$49)*S245</f>
        <v>8.32</v>
      </c>
      <c r="AH245" s="13">
        <f t="shared" si="69"/>
        <v>919.07711999999992</v>
      </c>
      <c r="AI245" s="13">
        <f t="shared" si="70"/>
        <v>629.51616000000013</v>
      </c>
      <c r="AJ245" s="13">
        <f t="shared" si="71"/>
        <v>289.5609599999998</v>
      </c>
    </row>
    <row r="246" spans="1:36" x14ac:dyDescent="0.45">
      <c r="A246" s="3" t="s">
        <v>507</v>
      </c>
      <c r="B246" s="5">
        <v>45352</v>
      </c>
      <c r="C246" s="5">
        <v>45351</v>
      </c>
      <c r="D246" s="5">
        <f t="shared" si="72"/>
        <v>45351</v>
      </c>
      <c r="E246" s="5">
        <f t="shared" si="73"/>
        <v>45352</v>
      </c>
      <c r="F246" s="7">
        <f t="shared" si="74"/>
        <v>1</v>
      </c>
      <c r="G246" s="23" t="str">
        <f t="shared" si="75"/>
        <v>2-2024</v>
      </c>
      <c r="H246" s="3" t="s">
        <v>648</v>
      </c>
      <c r="I246" s="3" t="s">
        <v>655</v>
      </c>
      <c r="J246" s="3" t="s">
        <v>670</v>
      </c>
      <c r="K246" s="3" t="s">
        <v>703</v>
      </c>
      <c r="L246" s="3" t="s">
        <v>711</v>
      </c>
      <c r="M246" s="3" t="s">
        <v>714</v>
      </c>
      <c r="N246" s="3" t="s">
        <v>730</v>
      </c>
      <c r="O246" s="3" t="s">
        <v>1226</v>
      </c>
      <c r="P246" s="19">
        <v>5.34</v>
      </c>
      <c r="Q246" s="19">
        <v>12.69</v>
      </c>
      <c r="R246" s="15">
        <v>0.13200000000000001</v>
      </c>
      <c r="S246" s="7">
        <v>10</v>
      </c>
      <c r="T246" s="13">
        <f t="shared" si="63"/>
        <v>110.14919999999999</v>
      </c>
      <c r="U246" s="13">
        <f t="shared" si="64"/>
        <v>53.4</v>
      </c>
      <c r="V246" s="13">
        <f t="shared" si="76"/>
        <v>56.749199999999995</v>
      </c>
      <c r="W246" s="15">
        <f t="shared" si="77"/>
        <v>0.51520301554618642</v>
      </c>
      <c r="X246" s="17" t="str">
        <f t="shared" si="78"/>
        <v>Q1-2024</v>
      </c>
      <c r="Y246" t="str">
        <f t="shared" si="79"/>
        <v>Americas → Brazil → São Paulo</v>
      </c>
      <c r="Z246" t="str">
        <f t="shared" si="80"/>
        <v>Low</v>
      </c>
      <c r="AA246">
        <f t="shared" si="65"/>
        <v>2024</v>
      </c>
      <c r="AB246">
        <f t="shared" si="66"/>
        <v>2</v>
      </c>
      <c r="AC246" t="str">
        <f t="shared" si="67"/>
        <v>Yes</v>
      </c>
      <c r="AD246" t="str">
        <f t="shared" si="68"/>
        <v>No</v>
      </c>
      <c r="AE246" s="36">
        <f>IF(Dashboard!$P$47&gt;'Staging Data'!R246,'Staging Data'!R246,Dashboard!$P$47)</f>
        <v>0.1</v>
      </c>
      <c r="AF246">
        <f>(100%+Dashboard!$P$48)*'Staging Data'!P246</f>
        <v>5.6070000000000002</v>
      </c>
      <c r="AG246">
        <f>(100%+Dashboard!$P$49)*S246</f>
        <v>10.4</v>
      </c>
      <c r="AH246" s="13">
        <f t="shared" si="69"/>
        <v>118.7784</v>
      </c>
      <c r="AI246" s="13">
        <f t="shared" si="70"/>
        <v>58.312800000000003</v>
      </c>
      <c r="AJ246" s="13">
        <f t="shared" si="71"/>
        <v>60.465600000000002</v>
      </c>
    </row>
    <row r="247" spans="1:36" x14ac:dyDescent="0.45">
      <c r="A247" s="3" t="s">
        <v>259</v>
      </c>
      <c r="B247" s="5">
        <v>45357</v>
      </c>
      <c r="C247" s="5">
        <v>45377</v>
      </c>
      <c r="D247" s="5">
        <f t="shared" si="72"/>
        <v>45357</v>
      </c>
      <c r="E247" s="5">
        <f t="shared" si="73"/>
        <v>45377</v>
      </c>
      <c r="F247" s="7">
        <f t="shared" si="74"/>
        <v>20</v>
      </c>
      <c r="G247" s="23" t="str">
        <f t="shared" si="75"/>
        <v>3-2024</v>
      </c>
      <c r="H247" s="3" t="s">
        <v>646</v>
      </c>
      <c r="I247" s="3" t="s">
        <v>651</v>
      </c>
      <c r="J247" s="3" t="s">
        <v>663</v>
      </c>
      <c r="K247" s="3" t="s">
        <v>704</v>
      </c>
      <c r="L247" s="3" t="s">
        <v>709</v>
      </c>
      <c r="M247" s="3" t="s">
        <v>714</v>
      </c>
      <c r="N247" s="3" t="s">
        <v>730</v>
      </c>
      <c r="O247" s="3" t="s">
        <v>979</v>
      </c>
      <c r="P247" s="19">
        <v>65.64</v>
      </c>
      <c r="Q247" s="19">
        <v>151.88</v>
      </c>
      <c r="R247" s="15">
        <v>0.16700000000000001</v>
      </c>
      <c r="S247" s="7">
        <v>23</v>
      </c>
      <c r="T247" s="13">
        <f t="shared" si="63"/>
        <v>2909.8689199999999</v>
      </c>
      <c r="U247" s="13">
        <f t="shared" si="64"/>
        <v>1509.72</v>
      </c>
      <c r="V247" s="13">
        <f t="shared" si="76"/>
        <v>1400.1489199999999</v>
      </c>
      <c r="W247" s="15">
        <f t="shared" si="77"/>
        <v>0.48117250587356353</v>
      </c>
      <c r="X247" s="17" t="str">
        <f t="shared" si="78"/>
        <v>Q1-2024</v>
      </c>
      <c r="Y247" t="str">
        <f t="shared" si="79"/>
        <v>Africa → Nigeria → Port Harcourt</v>
      </c>
      <c r="Z247" t="str">
        <f t="shared" si="80"/>
        <v>Low</v>
      </c>
      <c r="AA247">
        <f t="shared" si="65"/>
        <v>2024</v>
      </c>
      <c r="AB247">
        <f t="shared" si="66"/>
        <v>3</v>
      </c>
      <c r="AC247" t="str">
        <f t="shared" si="67"/>
        <v>No</v>
      </c>
      <c r="AD247" t="str">
        <f t="shared" si="68"/>
        <v>No</v>
      </c>
      <c r="AE247" s="36">
        <f>IF(Dashboard!$P$47&gt;'Staging Data'!R247,'Staging Data'!R247,Dashboard!$P$47)</f>
        <v>0.1</v>
      </c>
      <c r="AF247">
        <f>(100%+Dashboard!$P$48)*'Staging Data'!P247</f>
        <v>68.921999999999997</v>
      </c>
      <c r="AG247">
        <f>(100%+Dashboard!$P$49)*S247</f>
        <v>23.92</v>
      </c>
      <c r="AH247" s="13">
        <f t="shared" si="69"/>
        <v>3269.6726400000002</v>
      </c>
      <c r="AI247" s="13">
        <f t="shared" si="70"/>
        <v>1648.6142400000001</v>
      </c>
      <c r="AJ247" s="13">
        <f t="shared" si="71"/>
        <v>1621.0584000000001</v>
      </c>
    </row>
    <row r="248" spans="1:36" x14ac:dyDescent="0.45">
      <c r="A248" s="3" t="s">
        <v>260</v>
      </c>
      <c r="B248" s="5">
        <v>45338</v>
      </c>
      <c r="C248" s="5">
        <v>45355</v>
      </c>
      <c r="D248" s="5">
        <f t="shared" si="72"/>
        <v>45338</v>
      </c>
      <c r="E248" s="5">
        <f t="shared" si="73"/>
        <v>45355</v>
      </c>
      <c r="F248" s="7">
        <f t="shared" si="74"/>
        <v>17</v>
      </c>
      <c r="G248" s="23" t="str">
        <f t="shared" si="75"/>
        <v>2-2024</v>
      </c>
      <c r="H248" s="3" t="s">
        <v>648</v>
      </c>
      <c r="I248" s="3" t="s">
        <v>653</v>
      </c>
      <c r="J248" s="3" t="s">
        <v>681</v>
      </c>
      <c r="K248" s="3" t="s">
        <v>703</v>
      </c>
      <c r="L248" s="3" t="s">
        <v>707</v>
      </c>
      <c r="M248" s="3" t="s">
        <v>726</v>
      </c>
      <c r="N248" s="3" t="s">
        <v>731</v>
      </c>
      <c r="O248" s="3" t="s">
        <v>980</v>
      </c>
      <c r="P248" s="19">
        <v>1350.98</v>
      </c>
      <c r="Q248" s="19">
        <v>2210.4</v>
      </c>
      <c r="R248" s="15">
        <v>0.26300000000000001</v>
      </c>
      <c r="S248" s="7">
        <v>6</v>
      </c>
      <c r="T248" s="13">
        <f t="shared" si="63"/>
        <v>9774.3888000000006</v>
      </c>
      <c r="U248" s="13">
        <f t="shared" si="64"/>
        <v>8105.88</v>
      </c>
      <c r="V248" s="13">
        <f t="shared" si="76"/>
        <v>1668.5088000000005</v>
      </c>
      <c r="W248" s="15">
        <f t="shared" si="77"/>
        <v>0.17070211080615091</v>
      </c>
      <c r="X248" s="17" t="str">
        <f t="shared" si="78"/>
        <v>Q1-2024</v>
      </c>
      <c r="Y248" t="str">
        <f t="shared" si="79"/>
        <v>Americas → Canada → Montreal</v>
      </c>
      <c r="Z248" t="str">
        <f t="shared" si="80"/>
        <v>High</v>
      </c>
      <c r="AA248">
        <f t="shared" si="65"/>
        <v>2024</v>
      </c>
      <c r="AB248">
        <f t="shared" si="66"/>
        <v>2</v>
      </c>
      <c r="AC248" t="str">
        <f t="shared" si="67"/>
        <v>No</v>
      </c>
      <c r="AD248" t="str">
        <f t="shared" si="68"/>
        <v>Yes</v>
      </c>
      <c r="AE248" s="36">
        <f>IF(Dashboard!$P$47&gt;'Staging Data'!R248,'Staging Data'!R248,Dashboard!$P$47)</f>
        <v>0.1</v>
      </c>
      <c r="AF248">
        <f>(100%+Dashboard!$P$48)*'Staging Data'!P248</f>
        <v>1418.529</v>
      </c>
      <c r="AG248">
        <f>(100%+Dashboard!$P$49)*S248</f>
        <v>6.24</v>
      </c>
      <c r="AH248" s="13">
        <f t="shared" si="69"/>
        <v>12413.606400000001</v>
      </c>
      <c r="AI248" s="13">
        <f t="shared" si="70"/>
        <v>8851.6209600000002</v>
      </c>
      <c r="AJ248" s="13">
        <f t="shared" si="71"/>
        <v>3561.9854400000004</v>
      </c>
    </row>
    <row r="249" spans="1:36" x14ac:dyDescent="0.45">
      <c r="A249" s="3" t="s">
        <v>261</v>
      </c>
      <c r="B249" s="5">
        <v>45769</v>
      </c>
      <c r="C249" s="5">
        <v>45779</v>
      </c>
      <c r="D249" s="5">
        <f t="shared" si="72"/>
        <v>45769</v>
      </c>
      <c r="E249" s="5">
        <f t="shared" si="73"/>
        <v>45779</v>
      </c>
      <c r="F249" s="7">
        <f t="shared" si="74"/>
        <v>10</v>
      </c>
      <c r="G249" s="23" t="str">
        <f t="shared" si="75"/>
        <v>4-2025</v>
      </c>
      <c r="H249" s="3" t="s">
        <v>649</v>
      </c>
      <c r="I249" s="3" t="s">
        <v>656</v>
      </c>
      <c r="J249" s="3" t="s">
        <v>671</v>
      </c>
      <c r="K249" s="3" t="s">
        <v>701</v>
      </c>
      <c r="L249" s="3" t="s">
        <v>709</v>
      </c>
      <c r="M249" s="3" t="s">
        <v>712</v>
      </c>
      <c r="N249" s="3" t="s">
        <v>732</v>
      </c>
      <c r="O249" s="3" t="s">
        <v>981</v>
      </c>
      <c r="P249" s="19">
        <v>20.149999999999999</v>
      </c>
      <c r="Q249" s="19">
        <v>39.74</v>
      </c>
      <c r="R249" s="15">
        <v>0.151</v>
      </c>
      <c r="S249" s="7">
        <v>18</v>
      </c>
      <c r="T249" s="13">
        <f t="shared" si="63"/>
        <v>607.30668000000003</v>
      </c>
      <c r="U249" s="13">
        <f t="shared" si="64"/>
        <v>362.7</v>
      </c>
      <c r="V249" s="13">
        <f t="shared" si="76"/>
        <v>244.60668000000004</v>
      </c>
      <c r="W249" s="15">
        <f t="shared" si="77"/>
        <v>0.4027729120318585</v>
      </c>
      <c r="X249" s="17" t="str">
        <f t="shared" si="78"/>
        <v>Q2-2025</v>
      </c>
      <c r="Y249" t="str">
        <f t="shared" si="79"/>
        <v>Europe → Germany → Berlin</v>
      </c>
      <c r="Z249" t="str">
        <f t="shared" si="80"/>
        <v>Low</v>
      </c>
      <c r="AA249">
        <f t="shared" si="65"/>
        <v>2025</v>
      </c>
      <c r="AB249">
        <f t="shared" si="66"/>
        <v>4</v>
      </c>
      <c r="AC249" t="str">
        <f t="shared" si="67"/>
        <v>No</v>
      </c>
      <c r="AD249" t="str">
        <f t="shared" si="68"/>
        <v>No</v>
      </c>
      <c r="AE249" s="36">
        <f>IF(Dashboard!$P$47&gt;'Staging Data'!R249,'Staging Data'!R249,Dashboard!$P$47)</f>
        <v>0.1</v>
      </c>
      <c r="AF249">
        <f>(100%+Dashboard!$P$48)*'Staging Data'!P249</f>
        <v>21.157499999999999</v>
      </c>
      <c r="AG249">
        <f>(100%+Dashboard!$P$49)*S249</f>
        <v>18.72</v>
      </c>
      <c r="AH249" s="13">
        <f t="shared" si="69"/>
        <v>669.53952000000004</v>
      </c>
      <c r="AI249" s="13">
        <f t="shared" si="70"/>
        <v>396.06839999999994</v>
      </c>
      <c r="AJ249" s="13">
        <f t="shared" si="71"/>
        <v>273.4711200000001</v>
      </c>
    </row>
    <row r="250" spans="1:36" x14ac:dyDescent="0.45">
      <c r="A250" s="3" t="s">
        <v>262</v>
      </c>
      <c r="B250" s="5">
        <v>45604</v>
      </c>
      <c r="C250" s="5">
        <v>45604</v>
      </c>
      <c r="D250" s="5">
        <f t="shared" si="72"/>
        <v>45604</v>
      </c>
      <c r="E250" s="5">
        <f t="shared" si="73"/>
        <v>45604</v>
      </c>
      <c r="F250" s="7">
        <f t="shared" si="74"/>
        <v>0</v>
      </c>
      <c r="G250" s="23" t="str">
        <f t="shared" si="75"/>
        <v>11-2024</v>
      </c>
      <c r="H250" s="3" t="s">
        <v>646</v>
      </c>
      <c r="I250" s="3" t="s">
        <v>650</v>
      </c>
      <c r="J250" s="3" t="s">
        <v>678</v>
      </c>
      <c r="K250" s="3" t="s">
        <v>706</v>
      </c>
      <c r="L250" s="3" t="s">
        <v>709</v>
      </c>
      <c r="M250" s="3" t="s">
        <v>724</v>
      </c>
      <c r="N250" s="3" t="s">
        <v>729</v>
      </c>
      <c r="O250" s="3" t="s">
        <v>982</v>
      </c>
      <c r="P250" s="19">
        <v>803.28</v>
      </c>
      <c r="Q250" s="19">
        <v>1009</v>
      </c>
      <c r="R250" s="15">
        <v>0.11</v>
      </c>
      <c r="S250" s="7">
        <v>4</v>
      </c>
      <c r="T250" s="13">
        <f t="shared" si="63"/>
        <v>3592.04</v>
      </c>
      <c r="U250" s="13">
        <f t="shared" si="64"/>
        <v>3213.12</v>
      </c>
      <c r="V250" s="13">
        <f t="shared" si="76"/>
        <v>378.92000000000007</v>
      </c>
      <c r="W250" s="15">
        <f t="shared" si="77"/>
        <v>0.10548880302001093</v>
      </c>
      <c r="X250" s="17" t="str">
        <f t="shared" si="78"/>
        <v>Q4-2024</v>
      </c>
      <c r="Y250" t="str">
        <f t="shared" si="79"/>
        <v>Africa → Kenya → Nakuru</v>
      </c>
      <c r="Z250" t="str">
        <f t="shared" si="80"/>
        <v>Low</v>
      </c>
      <c r="AA250">
        <f t="shared" si="65"/>
        <v>2024</v>
      </c>
      <c r="AB250">
        <f t="shared" si="66"/>
        <v>11</v>
      </c>
      <c r="AC250" t="str">
        <f t="shared" si="67"/>
        <v>Yes</v>
      </c>
      <c r="AD250" t="str">
        <f t="shared" si="68"/>
        <v>No</v>
      </c>
      <c r="AE250" s="36">
        <f>IF(Dashboard!$P$47&gt;'Staging Data'!R250,'Staging Data'!R250,Dashboard!$P$47)</f>
        <v>0.1</v>
      </c>
      <c r="AF250">
        <f>(100%+Dashboard!$P$48)*'Staging Data'!P250</f>
        <v>843.44399999999996</v>
      </c>
      <c r="AG250">
        <f>(100%+Dashboard!$P$49)*S250</f>
        <v>4.16</v>
      </c>
      <c r="AH250" s="13">
        <f t="shared" si="69"/>
        <v>3777.6960000000004</v>
      </c>
      <c r="AI250" s="13">
        <f t="shared" si="70"/>
        <v>3508.7270399999998</v>
      </c>
      <c r="AJ250" s="13">
        <f t="shared" si="71"/>
        <v>268.96896000000061</v>
      </c>
    </row>
    <row r="251" spans="1:36" x14ac:dyDescent="0.45">
      <c r="A251" s="3" t="s">
        <v>263</v>
      </c>
      <c r="B251" s="5">
        <v>45912</v>
      </c>
      <c r="C251" s="5">
        <v>45930</v>
      </c>
      <c r="D251" s="5">
        <f t="shared" si="72"/>
        <v>45912</v>
      </c>
      <c r="E251" s="5">
        <f t="shared" si="73"/>
        <v>45930</v>
      </c>
      <c r="F251" s="7">
        <f t="shared" si="74"/>
        <v>18</v>
      </c>
      <c r="G251" s="23" t="str">
        <f t="shared" si="75"/>
        <v>9-2025</v>
      </c>
      <c r="H251" s="3" t="s">
        <v>647</v>
      </c>
      <c r="I251" s="3" t="s">
        <v>652</v>
      </c>
      <c r="J251" s="3" t="s">
        <v>694</v>
      </c>
      <c r="K251" s="3" t="s">
        <v>703</v>
      </c>
      <c r="L251" s="3" t="s">
        <v>709</v>
      </c>
      <c r="M251" s="3" t="s">
        <v>721</v>
      </c>
      <c r="N251" s="3" t="s">
        <v>732</v>
      </c>
      <c r="O251" s="3" t="s">
        <v>983</v>
      </c>
      <c r="P251" s="19">
        <v>1212.99</v>
      </c>
      <c r="Q251" s="19">
        <v>1653.64</v>
      </c>
      <c r="R251" s="15">
        <v>0.107</v>
      </c>
      <c r="S251" s="7">
        <v>8</v>
      </c>
      <c r="T251" s="13">
        <f t="shared" si="63"/>
        <v>11813.604160000001</v>
      </c>
      <c r="U251" s="13">
        <f t="shared" si="64"/>
        <v>9703.92</v>
      </c>
      <c r="V251" s="13">
        <f t="shared" si="76"/>
        <v>2109.6841600000007</v>
      </c>
      <c r="W251" s="15">
        <f t="shared" si="77"/>
        <v>0.17858090819931455</v>
      </c>
      <c r="X251" s="17" t="str">
        <f t="shared" si="78"/>
        <v>Q3-2025</v>
      </c>
      <c r="Y251" t="str">
        <f t="shared" si="79"/>
        <v>Asia → Japan → Nagoya</v>
      </c>
      <c r="Z251" t="str">
        <f t="shared" si="80"/>
        <v>Medium</v>
      </c>
      <c r="AA251">
        <f t="shared" si="65"/>
        <v>2025</v>
      </c>
      <c r="AB251">
        <f t="shared" si="66"/>
        <v>9</v>
      </c>
      <c r="AC251" t="str">
        <f t="shared" si="67"/>
        <v>No</v>
      </c>
      <c r="AD251" t="str">
        <f t="shared" si="68"/>
        <v>No</v>
      </c>
      <c r="AE251" s="36">
        <f>IF(Dashboard!$P$47&gt;'Staging Data'!R251,'Staging Data'!R251,Dashboard!$P$47)</f>
        <v>0.1</v>
      </c>
      <c r="AF251">
        <f>(100%+Dashboard!$P$48)*'Staging Data'!P251</f>
        <v>1273.6395</v>
      </c>
      <c r="AG251">
        <f>(100%+Dashboard!$P$49)*S251</f>
        <v>8.32</v>
      </c>
      <c r="AH251" s="13">
        <f t="shared" si="69"/>
        <v>12382.456320000001</v>
      </c>
      <c r="AI251" s="13">
        <f t="shared" si="70"/>
        <v>10596.68064</v>
      </c>
      <c r="AJ251" s="13">
        <f t="shared" si="71"/>
        <v>1785.7756800000006</v>
      </c>
    </row>
    <row r="252" spans="1:36" x14ac:dyDescent="0.45">
      <c r="A252" s="3" t="s">
        <v>264</v>
      </c>
      <c r="B252" s="5">
        <v>45537</v>
      </c>
      <c r="C252" s="5">
        <v>45543</v>
      </c>
      <c r="D252" s="5">
        <f t="shared" si="72"/>
        <v>45537</v>
      </c>
      <c r="E252" s="5">
        <f t="shared" si="73"/>
        <v>45543</v>
      </c>
      <c r="F252" s="7">
        <f t="shared" si="74"/>
        <v>6</v>
      </c>
      <c r="G252" s="23" t="str">
        <f t="shared" si="75"/>
        <v>9-2024</v>
      </c>
      <c r="H252" s="3" t="s">
        <v>648</v>
      </c>
      <c r="I252" s="3" t="s">
        <v>660</v>
      </c>
      <c r="J252" s="3" t="s">
        <v>697</v>
      </c>
      <c r="K252" s="3" t="s">
        <v>704</v>
      </c>
      <c r="L252" s="3" t="s">
        <v>711</v>
      </c>
      <c r="M252" s="3" t="s">
        <v>722</v>
      </c>
      <c r="N252" s="3" t="s">
        <v>727</v>
      </c>
      <c r="O252" s="3" t="s">
        <v>984</v>
      </c>
      <c r="P252" s="19">
        <v>462.94</v>
      </c>
      <c r="Q252" s="19">
        <v>1015.7</v>
      </c>
      <c r="R252" s="15">
        <v>0.14299999999999999</v>
      </c>
      <c r="S252" s="7">
        <v>14</v>
      </c>
      <c r="T252" s="13">
        <f t="shared" si="63"/>
        <v>12186.368600000002</v>
      </c>
      <c r="U252" s="13">
        <f t="shared" si="64"/>
        <v>6481.16</v>
      </c>
      <c r="V252" s="13">
        <f t="shared" si="76"/>
        <v>5705.2086000000018</v>
      </c>
      <c r="W252" s="15">
        <f t="shared" si="77"/>
        <v>0.46816314090483041</v>
      </c>
      <c r="X252" s="17" t="str">
        <f t="shared" si="78"/>
        <v>Q3-2024</v>
      </c>
      <c r="Y252" t="str">
        <f t="shared" si="79"/>
        <v>Americas → USA → Austin</v>
      </c>
      <c r="Z252" t="str">
        <f t="shared" si="80"/>
        <v>Low</v>
      </c>
      <c r="AA252">
        <f t="shared" si="65"/>
        <v>2024</v>
      </c>
      <c r="AB252">
        <f t="shared" si="66"/>
        <v>9</v>
      </c>
      <c r="AC252" t="str">
        <f t="shared" si="67"/>
        <v>Yes</v>
      </c>
      <c r="AD252" t="str">
        <f t="shared" si="68"/>
        <v>No</v>
      </c>
      <c r="AE252" s="36">
        <f>IF(Dashboard!$P$47&gt;'Staging Data'!R252,'Staging Data'!R252,Dashboard!$P$47)</f>
        <v>0.1</v>
      </c>
      <c r="AF252">
        <f>(100%+Dashboard!$P$48)*'Staging Data'!P252</f>
        <v>486.08700000000005</v>
      </c>
      <c r="AG252">
        <f>(100%+Dashboard!$P$49)*S252</f>
        <v>14.56</v>
      </c>
      <c r="AH252" s="13">
        <f t="shared" si="69"/>
        <v>13309.732800000002</v>
      </c>
      <c r="AI252" s="13">
        <f t="shared" si="70"/>
        <v>7077.4267200000013</v>
      </c>
      <c r="AJ252" s="13">
        <f t="shared" si="71"/>
        <v>6232.3060800000003</v>
      </c>
    </row>
    <row r="253" spans="1:36" x14ac:dyDescent="0.45">
      <c r="A253" s="3" t="s">
        <v>265</v>
      </c>
      <c r="B253" s="5">
        <v>44989</v>
      </c>
      <c r="C253" s="5">
        <v>45009</v>
      </c>
      <c r="D253" s="5">
        <f t="shared" si="72"/>
        <v>44989</v>
      </c>
      <c r="E253" s="5">
        <f t="shared" si="73"/>
        <v>45009</v>
      </c>
      <c r="F253" s="7">
        <f t="shared" si="74"/>
        <v>20</v>
      </c>
      <c r="G253" s="23" t="str">
        <f t="shared" si="75"/>
        <v>3-2023</v>
      </c>
      <c r="H253" s="3" t="s">
        <v>648</v>
      </c>
      <c r="I253" s="3" t="s">
        <v>653</v>
      </c>
      <c r="J253" s="3" t="s">
        <v>681</v>
      </c>
      <c r="K253" s="3" t="s">
        <v>704</v>
      </c>
      <c r="L253" s="3" t="s">
        <v>710</v>
      </c>
      <c r="M253" s="3" t="s">
        <v>714</v>
      </c>
      <c r="N253" s="3" t="s">
        <v>731</v>
      </c>
      <c r="O253" s="3" t="s">
        <v>985</v>
      </c>
      <c r="P253" s="19">
        <v>481.71</v>
      </c>
      <c r="Q253" s="19">
        <v>912.45</v>
      </c>
      <c r="R253" s="15">
        <v>0.20300000000000001</v>
      </c>
      <c r="S253" s="7">
        <v>24</v>
      </c>
      <c r="T253" s="13">
        <f t="shared" si="63"/>
        <v>17453.3436</v>
      </c>
      <c r="U253" s="13">
        <f t="shared" si="64"/>
        <v>11561.039999999999</v>
      </c>
      <c r="V253" s="13">
        <f t="shared" si="76"/>
        <v>5892.3036000000011</v>
      </c>
      <c r="W253" s="15">
        <f t="shared" si="77"/>
        <v>0.33760313983619739</v>
      </c>
      <c r="X253" s="17" t="str">
        <f t="shared" si="78"/>
        <v>Q1-2023</v>
      </c>
      <c r="Y253" t="str">
        <f t="shared" si="79"/>
        <v>Americas → Canada → Montreal</v>
      </c>
      <c r="Z253" t="str">
        <f t="shared" si="80"/>
        <v>Low</v>
      </c>
      <c r="AA253">
        <f t="shared" si="65"/>
        <v>2023</v>
      </c>
      <c r="AB253">
        <f t="shared" si="66"/>
        <v>3</v>
      </c>
      <c r="AC253" t="str">
        <f t="shared" si="67"/>
        <v>No</v>
      </c>
      <c r="AD253" t="str">
        <f t="shared" si="68"/>
        <v>Yes</v>
      </c>
      <c r="AE253" s="36">
        <f>IF(Dashboard!$P$47&gt;'Staging Data'!R253,'Staging Data'!R253,Dashboard!$P$47)</f>
        <v>0.1</v>
      </c>
      <c r="AF253">
        <f>(100%+Dashboard!$P$48)*'Staging Data'!P253</f>
        <v>505.7955</v>
      </c>
      <c r="AG253">
        <f>(100%+Dashboard!$P$49)*S253</f>
        <v>24.96</v>
      </c>
      <c r="AH253" s="13">
        <f t="shared" si="69"/>
        <v>20497.2768</v>
      </c>
      <c r="AI253" s="13">
        <f t="shared" si="70"/>
        <v>12624.65568</v>
      </c>
      <c r="AJ253" s="13">
        <f t="shared" si="71"/>
        <v>7872.6211199999998</v>
      </c>
    </row>
    <row r="254" spans="1:36" x14ac:dyDescent="0.45">
      <c r="A254" s="3" t="s">
        <v>266</v>
      </c>
      <c r="B254" s="5">
        <v>45366</v>
      </c>
      <c r="C254" s="5">
        <v>45391</v>
      </c>
      <c r="D254" s="5">
        <f t="shared" si="72"/>
        <v>45366</v>
      </c>
      <c r="E254" s="5">
        <f t="shared" si="73"/>
        <v>45391</v>
      </c>
      <c r="F254" s="7">
        <f t="shared" si="74"/>
        <v>25</v>
      </c>
      <c r="G254" s="23" t="str">
        <f t="shared" si="75"/>
        <v>3-2024</v>
      </c>
      <c r="H254" s="3" t="s">
        <v>648</v>
      </c>
      <c r="I254" s="3" t="s">
        <v>653</v>
      </c>
      <c r="J254" s="3" t="s">
        <v>688</v>
      </c>
      <c r="K254" s="3" t="s">
        <v>704</v>
      </c>
      <c r="L254" s="3" t="s">
        <v>708</v>
      </c>
      <c r="M254" s="3" t="s">
        <v>721</v>
      </c>
      <c r="N254" s="3" t="s">
        <v>732</v>
      </c>
      <c r="O254" s="3" t="s">
        <v>986</v>
      </c>
      <c r="P254" s="19">
        <v>648.64</v>
      </c>
      <c r="Q254" s="19">
        <v>815.19</v>
      </c>
      <c r="R254" s="15">
        <v>0.22500000000000001</v>
      </c>
      <c r="S254" s="7">
        <v>28</v>
      </c>
      <c r="T254" s="13">
        <f t="shared" si="63"/>
        <v>17689.623</v>
      </c>
      <c r="U254" s="13">
        <f t="shared" si="64"/>
        <v>18161.919999999998</v>
      </c>
      <c r="V254" s="13">
        <f t="shared" si="76"/>
        <v>-472.29699999999866</v>
      </c>
      <c r="W254" s="15">
        <f t="shared" si="77"/>
        <v>-2.6699099240272032E-2</v>
      </c>
      <c r="X254" s="17" t="str">
        <f t="shared" si="78"/>
        <v>Q1-2024</v>
      </c>
      <c r="Y254" t="str">
        <f t="shared" si="79"/>
        <v>Americas → Canada → Vancouver</v>
      </c>
      <c r="Z254" t="str">
        <f t="shared" si="80"/>
        <v>Low</v>
      </c>
      <c r="AA254">
        <f t="shared" si="65"/>
        <v>2024</v>
      </c>
      <c r="AB254">
        <f t="shared" si="66"/>
        <v>3</v>
      </c>
      <c r="AC254" t="str">
        <f t="shared" si="67"/>
        <v>No</v>
      </c>
      <c r="AD254" t="str">
        <f t="shared" si="68"/>
        <v>Yes</v>
      </c>
      <c r="AE254" s="36">
        <f>IF(Dashboard!$P$47&gt;'Staging Data'!R254,'Staging Data'!R254,Dashboard!$P$47)</f>
        <v>0.1</v>
      </c>
      <c r="AF254">
        <f>(100%+Dashboard!$P$48)*'Staging Data'!P254</f>
        <v>681.072</v>
      </c>
      <c r="AG254">
        <f>(100%+Dashboard!$P$49)*S254</f>
        <v>29.12</v>
      </c>
      <c r="AH254" s="13">
        <f t="shared" si="69"/>
        <v>21364.499520000005</v>
      </c>
      <c r="AI254" s="13">
        <f t="shared" si="70"/>
        <v>19832.816640000001</v>
      </c>
      <c r="AJ254" s="13">
        <f t="shared" si="71"/>
        <v>1531.6828800000039</v>
      </c>
    </row>
    <row r="255" spans="1:36" x14ac:dyDescent="0.45">
      <c r="A255" s="3" t="s">
        <v>267</v>
      </c>
      <c r="B255" s="5">
        <v>45502</v>
      </c>
      <c r="C255" s="5">
        <v>45504</v>
      </c>
      <c r="D255" s="5">
        <f t="shared" si="72"/>
        <v>45502</v>
      </c>
      <c r="E255" s="5">
        <f t="shared" si="73"/>
        <v>45504</v>
      </c>
      <c r="F255" s="7">
        <f t="shared" si="74"/>
        <v>2</v>
      </c>
      <c r="G255" s="23" t="str">
        <f t="shared" si="75"/>
        <v>7-2024</v>
      </c>
      <c r="H255" s="3" t="s">
        <v>648</v>
      </c>
      <c r="I255" s="3" t="s">
        <v>660</v>
      </c>
      <c r="J255" s="3" t="s">
        <v>700</v>
      </c>
      <c r="K255" s="3" t="s">
        <v>702</v>
      </c>
      <c r="L255" s="3" t="s">
        <v>709</v>
      </c>
      <c r="M255" s="3" t="s">
        <v>714</v>
      </c>
      <c r="N255" s="3" t="s">
        <v>728</v>
      </c>
      <c r="O255" s="3" t="s">
        <v>987</v>
      </c>
      <c r="P255" s="19">
        <v>798.97</v>
      </c>
      <c r="Q255" s="19">
        <v>1814.06</v>
      </c>
      <c r="R255" s="15">
        <v>0.122</v>
      </c>
      <c r="S255" s="7">
        <v>16</v>
      </c>
      <c r="T255" s="13">
        <f t="shared" si="63"/>
        <v>25483.91488</v>
      </c>
      <c r="U255" s="13">
        <f t="shared" si="64"/>
        <v>12783.52</v>
      </c>
      <c r="V255" s="13">
        <f t="shared" si="76"/>
        <v>12700.39488</v>
      </c>
      <c r="W255" s="15">
        <f t="shared" si="77"/>
        <v>0.49836906691159061</v>
      </c>
      <c r="X255" s="17" t="str">
        <f t="shared" si="78"/>
        <v>Q3-2024</v>
      </c>
      <c r="Y255" t="str">
        <f t="shared" si="79"/>
        <v>Americas → USA → New York</v>
      </c>
      <c r="Z255" t="str">
        <f t="shared" si="80"/>
        <v>Medium</v>
      </c>
      <c r="AA255">
        <f t="shared" si="65"/>
        <v>2024</v>
      </c>
      <c r="AB255">
        <f t="shared" si="66"/>
        <v>7</v>
      </c>
      <c r="AC255" t="str">
        <f t="shared" si="67"/>
        <v>Yes</v>
      </c>
      <c r="AD255" t="str">
        <f t="shared" si="68"/>
        <v>No</v>
      </c>
      <c r="AE255" s="36">
        <f>IF(Dashboard!$P$47&gt;'Staging Data'!R255,'Staging Data'!R255,Dashboard!$P$47)</f>
        <v>0.1</v>
      </c>
      <c r="AF255">
        <f>(100%+Dashboard!$P$48)*'Staging Data'!P255</f>
        <v>838.91850000000011</v>
      </c>
      <c r="AG255">
        <f>(100%+Dashboard!$P$49)*S255</f>
        <v>16.64</v>
      </c>
      <c r="AH255" s="13">
        <f t="shared" si="69"/>
        <v>27167.362560000001</v>
      </c>
      <c r="AI255" s="13">
        <f t="shared" si="70"/>
        <v>13959.603840000002</v>
      </c>
      <c r="AJ255" s="13">
        <f t="shared" si="71"/>
        <v>13207.75872</v>
      </c>
    </row>
    <row r="256" spans="1:36" x14ac:dyDescent="0.45">
      <c r="A256" s="3" t="s">
        <v>268</v>
      </c>
      <c r="B256" s="5">
        <v>45592</v>
      </c>
      <c r="C256" s="5">
        <v>45616</v>
      </c>
      <c r="D256" s="5">
        <f t="shared" si="72"/>
        <v>45592</v>
      </c>
      <c r="E256" s="5">
        <f t="shared" si="73"/>
        <v>45616</v>
      </c>
      <c r="F256" s="7">
        <f t="shared" si="74"/>
        <v>24</v>
      </c>
      <c r="G256" s="23" t="str">
        <f t="shared" si="75"/>
        <v>10-2024</v>
      </c>
      <c r="H256" s="3" t="s">
        <v>647</v>
      </c>
      <c r="I256" s="3" t="s">
        <v>652</v>
      </c>
      <c r="J256" s="3" t="s">
        <v>694</v>
      </c>
      <c r="K256" s="3" t="s">
        <v>703</v>
      </c>
      <c r="L256" s="3" t="s">
        <v>708</v>
      </c>
      <c r="M256" s="3" t="s">
        <v>722</v>
      </c>
      <c r="N256" s="3" t="s">
        <v>732</v>
      </c>
      <c r="O256" s="3" t="s">
        <v>988</v>
      </c>
      <c r="P256" s="19">
        <v>317.25</v>
      </c>
      <c r="Q256" s="19">
        <v>758.92</v>
      </c>
      <c r="R256" s="15">
        <v>5.2999999999999999E-2</v>
      </c>
      <c r="S256" s="7">
        <v>9</v>
      </c>
      <c r="T256" s="13">
        <f t="shared" si="63"/>
        <v>6468.2751599999992</v>
      </c>
      <c r="U256" s="13">
        <f t="shared" si="64"/>
        <v>2855.25</v>
      </c>
      <c r="V256" s="13">
        <f t="shared" si="76"/>
        <v>3613.0251599999992</v>
      </c>
      <c r="W256" s="15">
        <f t="shared" si="77"/>
        <v>0.5585762928489888</v>
      </c>
      <c r="X256" s="17" t="str">
        <f t="shared" si="78"/>
        <v>Q4-2024</v>
      </c>
      <c r="Y256" t="str">
        <f t="shared" si="79"/>
        <v>Asia → Japan → Nagoya</v>
      </c>
      <c r="Z256" t="str">
        <f t="shared" si="80"/>
        <v>Low</v>
      </c>
      <c r="AA256">
        <f t="shared" si="65"/>
        <v>2024</v>
      </c>
      <c r="AB256">
        <f t="shared" si="66"/>
        <v>10</v>
      </c>
      <c r="AC256" t="str">
        <f t="shared" si="67"/>
        <v>No</v>
      </c>
      <c r="AD256" t="str">
        <f t="shared" si="68"/>
        <v>No</v>
      </c>
      <c r="AE256" s="36">
        <f>IF(Dashboard!$P$47&gt;'Staging Data'!R256,'Staging Data'!R256,Dashboard!$P$47)</f>
        <v>5.2999999999999999E-2</v>
      </c>
      <c r="AF256">
        <f>(100%+Dashboard!$P$48)*'Staging Data'!P256</f>
        <v>333.11250000000001</v>
      </c>
      <c r="AG256">
        <f>(100%+Dashboard!$P$49)*S256</f>
        <v>9.36</v>
      </c>
      <c r="AH256" s="13">
        <f t="shared" si="69"/>
        <v>6727.0061663999995</v>
      </c>
      <c r="AI256" s="13">
        <f t="shared" si="70"/>
        <v>3117.933</v>
      </c>
      <c r="AJ256" s="13">
        <f t="shared" si="71"/>
        <v>3609.0731663999995</v>
      </c>
    </row>
    <row r="257" spans="1:36" x14ac:dyDescent="0.45">
      <c r="A257" s="3" t="s">
        <v>269</v>
      </c>
      <c r="B257" s="5">
        <v>45411</v>
      </c>
      <c r="C257" s="5">
        <v>45431</v>
      </c>
      <c r="D257" s="5">
        <f t="shared" si="72"/>
        <v>45411</v>
      </c>
      <c r="E257" s="5">
        <f t="shared" si="73"/>
        <v>45431</v>
      </c>
      <c r="F257" s="7">
        <f t="shared" si="74"/>
        <v>20</v>
      </c>
      <c r="G257" s="23" t="str">
        <f t="shared" si="75"/>
        <v>4-2024</v>
      </c>
      <c r="H257" s="3" t="s">
        <v>649</v>
      </c>
      <c r="I257" s="3" t="s">
        <v>656</v>
      </c>
      <c r="J257" s="3" t="s">
        <v>698</v>
      </c>
      <c r="K257" s="3" t="s">
        <v>706</v>
      </c>
      <c r="L257" s="3" t="s">
        <v>709</v>
      </c>
      <c r="M257" s="3" t="s">
        <v>712</v>
      </c>
      <c r="N257" s="3" t="s">
        <v>731</v>
      </c>
      <c r="O257" s="3" t="s">
        <v>989</v>
      </c>
      <c r="P257" s="19">
        <v>668.97</v>
      </c>
      <c r="Q257" s="19">
        <v>1667.44</v>
      </c>
      <c r="R257" s="15">
        <v>3.4000000000000002E-2</v>
      </c>
      <c r="S257" s="7">
        <v>15</v>
      </c>
      <c r="T257" s="13">
        <f t="shared" si="63"/>
        <v>24161.205600000001</v>
      </c>
      <c r="U257" s="13">
        <f t="shared" si="64"/>
        <v>10034.550000000001</v>
      </c>
      <c r="V257" s="13">
        <f t="shared" si="76"/>
        <v>14126.6556</v>
      </c>
      <c r="W257" s="15">
        <f t="shared" si="77"/>
        <v>0.58468339013679016</v>
      </c>
      <c r="X257" s="17" t="str">
        <f t="shared" si="78"/>
        <v>Q2-2024</v>
      </c>
      <c r="Y257" t="str">
        <f t="shared" si="79"/>
        <v>Europe → Germany → Frankfurt</v>
      </c>
      <c r="Z257" t="str">
        <f t="shared" si="80"/>
        <v>Medium</v>
      </c>
      <c r="AA257">
        <f t="shared" si="65"/>
        <v>2024</v>
      </c>
      <c r="AB257">
        <f t="shared" si="66"/>
        <v>4</v>
      </c>
      <c r="AC257" t="str">
        <f t="shared" si="67"/>
        <v>No</v>
      </c>
      <c r="AD257" t="str">
        <f t="shared" si="68"/>
        <v>No</v>
      </c>
      <c r="AE257" s="36">
        <f>IF(Dashboard!$P$47&gt;'Staging Data'!R257,'Staging Data'!R257,Dashboard!$P$47)</f>
        <v>3.4000000000000002E-2</v>
      </c>
      <c r="AF257">
        <f>(100%+Dashboard!$P$48)*'Staging Data'!P257</f>
        <v>702.41850000000011</v>
      </c>
      <c r="AG257">
        <f>(100%+Dashboard!$P$49)*S257</f>
        <v>15.600000000000001</v>
      </c>
      <c r="AH257" s="13">
        <f t="shared" si="69"/>
        <v>25127.653824000001</v>
      </c>
      <c r="AI257" s="13">
        <f t="shared" si="70"/>
        <v>10957.728600000002</v>
      </c>
      <c r="AJ257" s="13">
        <f t="shared" si="71"/>
        <v>14169.925223999999</v>
      </c>
    </row>
    <row r="258" spans="1:36" x14ac:dyDescent="0.45">
      <c r="A258" s="3" t="s">
        <v>270</v>
      </c>
      <c r="B258" s="5">
        <v>45204</v>
      </c>
      <c r="C258" s="5">
        <v>45205</v>
      </c>
      <c r="D258" s="5">
        <f t="shared" si="72"/>
        <v>45204</v>
      </c>
      <c r="E258" s="5">
        <f t="shared" si="73"/>
        <v>45205</v>
      </c>
      <c r="F258" s="7">
        <f t="shared" si="74"/>
        <v>1</v>
      </c>
      <c r="G258" s="23" t="str">
        <f t="shared" si="75"/>
        <v>10-2023</v>
      </c>
      <c r="H258" s="3" t="s">
        <v>647</v>
      </c>
      <c r="I258" s="3" t="s">
        <v>654</v>
      </c>
      <c r="J258" s="3" t="s">
        <v>668</v>
      </c>
      <c r="K258" s="3" t="s">
        <v>703</v>
      </c>
      <c r="L258" s="3" t="s">
        <v>708</v>
      </c>
      <c r="M258" s="3" t="s">
        <v>714</v>
      </c>
      <c r="N258" s="3" t="s">
        <v>727</v>
      </c>
      <c r="O258" s="3" t="s">
        <v>990</v>
      </c>
      <c r="P258" s="19">
        <v>1470.26</v>
      </c>
      <c r="Q258" s="19">
        <v>2562.5500000000002</v>
      </c>
      <c r="R258" s="15">
        <v>0.17299999999999999</v>
      </c>
      <c r="S258" s="7">
        <v>9</v>
      </c>
      <c r="T258" s="13">
        <f t="shared" si="63"/>
        <v>19073.059649999999</v>
      </c>
      <c r="U258" s="13">
        <f t="shared" si="64"/>
        <v>13232.34</v>
      </c>
      <c r="V258" s="13">
        <f t="shared" si="76"/>
        <v>5840.7196499999991</v>
      </c>
      <c r="W258" s="15">
        <f t="shared" si="77"/>
        <v>0.30622877279157462</v>
      </c>
      <c r="X258" s="17" t="str">
        <f t="shared" si="78"/>
        <v>Q4-2023</v>
      </c>
      <c r="Y258" t="str">
        <f t="shared" si="79"/>
        <v>Asia → India → Bengaluru</v>
      </c>
      <c r="Z258" t="str">
        <f t="shared" si="80"/>
        <v>High</v>
      </c>
      <c r="AA258">
        <f t="shared" si="65"/>
        <v>2023</v>
      </c>
      <c r="AB258">
        <f t="shared" si="66"/>
        <v>10</v>
      </c>
      <c r="AC258" t="str">
        <f t="shared" si="67"/>
        <v>Yes</v>
      </c>
      <c r="AD258" t="str">
        <f t="shared" si="68"/>
        <v>No</v>
      </c>
      <c r="AE258" s="36">
        <f>IF(Dashboard!$P$47&gt;'Staging Data'!R258,'Staging Data'!R258,Dashboard!$P$47)</f>
        <v>0.1</v>
      </c>
      <c r="AF258">
        <f>(100%+Dashboard!$P$48)*'Staging Data'!P258</f>
        <v>1543.7730000000001</v>
      </c>
      <c r="AG258">
        <f>(100%+Dashboard!$P$49)*S258</f>
        <v>9.36</v>
      </c>
      <c r="AH258" s="13">
        <f t="shared" si="69"/>
        <v>21586.921200000001</v>
      </c>
      <c r="AI258" s="13">
        <f t="shared" si="70"/>
        <v>14449.71528</v>
      </c>
      <c r="AJ258" s="13">
        <f t="shared" si="71"/>
        <v>7137.2059200000003</v>
      </c>
    </row>
    <row r="259" spans="1:36" x14ac:dyDescent="0.45">
      <c r="A259" s="3" t="s">
        <v>271</v>
      </c>
      <c r="B259" s="5">
        <v>45035</v>
      </c>
      <c r="C259" s="5">
        <v>45053</v>
      </c>
      <c r="D259" s="5">
        <f t="shared" si="72"/>
        <v>45035</v>
      </c>
      <c r="E259" s="5">
        <f t="shared" si="73"/>
        <v>45053</v>
      </c>
      <c r="F259" s="7">
        <f t="shared" si="74"/>
        <v>18</v>
      </c>
      <c r="G259" s="23" t="str">
        <f t="shared" si="75"/>
        <v>4-2023</v>
      </c>
      <c r="H259" s="3" t="s">
        <v>649</v>
      </c>
      <c r="I259" s="3" t="s">
        <v>658</v>
      </c>
      <c r="J259" s="3" t="s">
        <v>683</v>
      </c>
      <c r="K259" s="3" t="s">
        <v>703</v>
      </c>
      <c r="L259" s="3" t="s">
        <v>711</v>
      </c>
      <c r="M259" s="3" t="s">
        <v>722</v>
      </c>
      <c r="N259" s="3" t="s">
        <v>729</v>
      </c>
      <c r="O259" s="3" t="s">
        <v>991</v>
      </c>
      <c r="P259" s="19">
        <v>516.96</v>
      </c>
      <c r="Q259" s="19">
        <v>745.38</v>
      </c>
      <c r="R259" s="15">
        <v>0.19700000000000001</v>
      </c>
      <c r="S259" s="7">
        <v>4</v>
      </c>
      <c r="T259" s="13">
        <f t="shared" ref="T259:T322" si="81">(Q259*S259)*(1-R259)</f>
        <v>2394.1605599999998</v>
      </c>
      <c r="U259" s="13">
        <f t="shared" ref="U259:U322" si="82">P259*S259</f>
        <v>2067.84</v>
      </c>
      <c r="V259" s="13">
        <f t="shared" si="76"/>
        <v>326.32055999999966</v>
      </c>
      <c r="W259" s="15">
        <f t="shared" si="77"/>
        <v>0.13629852794835101</v>
      </c>
      <c r="X259" s="17" t="str">
        <f t="shared" si="78"/>
        <v>Q2-2023</v>
      </c>
      <c r="Y259" t="str">
        <f t="shared" si="79"/>
        <v>Europe → United Kingdom → London</v>
      </c>
      <c r="Z259" t="str">
        <f t="shared" si="80"/>
        <v>Low</v>
      </c>
      <c r="AA259">
        <f t="shared" ref="AA259:AA322" si="83">YEAR(D259)</f>
        <v>2023</v>
      </c>
      <c r="AB259">
        <f t="shared" ref="AB259:AB322" si="84">MONTH(D259)</f>
        <v>4</v>
      </c>
      <c r="AC259" t="str">
        <f t="shared" ref="AC259:AC322" si="85">IF(F259&lt;=7,"Yes", "No")</f>
        <v>No</v>
      </c>
      <c r="AD259" t="str">
        <f t="shared" ref="AD259:AD322" si="86">IF(R259&gt;20%,"Yes","No")</f>
        <v>No</v>
      </c>
      <c r="AE259" s="36">
        <f>IF(Dashboard!$P$47&gt;'Staging Data'!R259,'Staging Data'!R259,Dashboard!$P$47)</f>
        <v>0.1</v>
      </c>
      <c r="AF259">
        <f>(100%+Dashboard!$P$48)*'Staging Data'!P259</f>
        <v>542.80800000000011</v>
      </c>
      <c r="AG259">
        <f>(100%+Dashboard!$P$49)*S259</f>
        <v>4.16</v>
      </c>
      <c r="AH259" s="13">
        <f t="shared" ref="AH259:AH322" si="87">(Q259*AG259)*(1-AE259)</f>
        <v>2790.7027200000002</v>
      </c>
      <c r="AI259" s="13">
        <f t="shared" ref="AI259:AI322" si="88">AF259*AG259</f>
        <v>2258.0812800000003</v>
      </c>
      <c r="AJ259" s="13">
        <f t="shared" ref="AJ259:AJ322" si="89">AH259-AI259</f>
        <v>532.62143999999989</v>
      </c>
    </row>
    <row r="260" spans="1:36" x14ac:dyDescent="0.45">
      <c r="A260" s="3" t="s">
        <v>272</v>
      </c>
      <c r="B260" s="5">
        <v>45835</v>
      </c>
      <c r="C260" s="5">
        <v>45843</v>
      </c>
      <c r="D260" s="5">
        <f t="shared" si="72"/>
        <v>45835</v>
      </c>
      <c r="E260" s="5">
        <f t="shared" si="73"/>
        <v>45843</v>
      </c>
      <c r="F260" s="7">
        <f t="shared" si="74"/>
        <v>8</v>
      </c>
      <c r="G260" s="23" t="str">
        <f t="shared" si="75"/>
        <v>6-2025</v>
      </c>
      <c r="H260" s="3" t="s">
        <v>649</v>
      </c>
      <c r="I260" s="3" t="s">
        <v>656</v>
      </c>
      <c r="J260" s="3" t="s">
        <v>684</v>
      </c>
      <c r="K260" s="3" t="s">
        <v>705</v>
      </c>
      <c r="L260" s="3" t="s">
        <v>711</v>
      </c>
      <c r="M260" s="3" t="s">
        <v>715</v>
      </c>
      <c r="N260" s="3" t="s">
        <v>732</v>
      </c>
      <c r="O260" s="3" t="s">
        <v>992</v>
      </c>
      <c r="P260" s="19">
        <v>314.93</v>
      </c>
      <c r="Q260" s="19">
        <v>687.95</v>
      </c>
      <c r="R260" s="15">
        <v>0.20499999999999999</v>
      </c>
      <c r="S260" s="7">
        <v>8</v>
      </c>
      <c r="T260" s="13">
        <f t="shared" si="81"/>
        <v>4375.3620000000001</v>
      </c>
      <c r="U260" s="13">
        <f t="shared" si="82"/>
        <v>2519.44</v>
      </c>
      <c r="V260" s="13">
        <f t="shared" si="76"/>
        <v>1855.922</v>
      </c>
      <c r="W260" s="15">
        <f t="shared" si="77"/>
        <v>0.424175645352316</v>
      </c>
      <c r="X260" s="17" t="str">
        <f t="shared" si="78"/>
        <v>Q2-2025</v>
      </c>
      <c r="Y260" t="str">
        <f t="shared" si="79"/>
        <v>Europe → Germany → Munich</v>
      </c>
      <c r="Z260" t="str">
        <f t="shared" si="80"/>
        <v>Low</v>
      </c>
      <c r="AA260">
        <f t="shared" si="83"/>
        <v>2025</v>
      </c>
      <c r="AB260">
        <f t="shared" si="84"/>
        <v>6</v>
      </c>
      <c r="AC260" t="str">
        <f t="shared" si="85"/>
        <v>No</v>
      </c>
      <c r="AD260" t="str">
        <f t="shared" si="86"/>
        <v>Yes</v>
      </c>
      <c r="AE260" s="36">
        <f>IF(Dashboard!$P$47&gt;'Staging Data'!R260,'Staging Data'!R260,Dashboard!$P$47)</f>
        <v>0.1</v>
      </c>
      <c r="AF260">
        <f>(100%+Dashboard!$P$48)*'Staging Data'!P260</f>
        <v>330.67650000000003</v>
      </c>
      <c r="AG260">
        <f>(100%+Dashboard!$P$49)*S260</f>
        <v>8.32</v>
      </c>
      <c r="AH260" s="13">
        <f t="shared" si="87"/>
        <v>5151.3696000000009</v>
      </c>
      <c r="AI260" s="13">
        <f t="shared" si="88"/>
        <v>2751.2284800000002</v>
      </c>
      <c r="AJ260" s="13">
        <f t="shared" si="89"/>
        <v>2400.1411200000007</v>
      </c>
    </row>
    <row r="261" spans="1:36" x14ac:dyDescent="0.45">
      <c r="A261" s="3" t="s">
        <v>177</v>
      </c>
      <c r="B261" s="5">
        <v>45385</v>
      </c>
      <c r="C261" s="5">
        <v>45389</v>
      </c>
      <c r="D261" s="5">
        <f t="shared" si="72"/>
        <v>45385</v>
      </c>
      <c r="E261" s="5">
        <f t="shared" si="73"/>
        <v>45389</v>
      </c>
      <c r="F261" s="7">
        <f t="shared" si="74"/>
        <v>4</v>
      </c>
      <c r="G261" s="23" t="str">
        <f t="shared" si="75"/>
        <v>4-2024</v>
      </c>
      <c r="H261" s="3" t="s">
        <v>648</v>
      </c>
      <c r="I261" s="3" t="s">
        <v>655</v>
      </c>
      <c r="J261" s="3" t="s">
        <v>672</v>
      </c>
      <c r="K261" s="3" t="s">
        <v>703</v>
      </c>
      <c r="L261" s="3" t="s">
        <v>711</v>
      </c>
      <c r="M261" s="3" t="s">
        <v>725</v>
      </c>
      <c r="N261" s="3" t="s">
        <v>730</v>
      </c>
      <c r="O261" s="3" t="s">
        <v>896</v>
      </c>
      <c r="P261" s="19">
        <v>1023.27</v>
      </c>
      <c r="Q261" s="19">
        <v>1343.64</v>
      </c>
      <c r="R261" s="15">
        <v>0.13300000000000001</v>
      </c>
      <c r="S261" s="7">
        <v>7</v>
      </c>
      <c r="T261" s="13">
        <f t="shared" si="81"/>
        <v>8154.5511600000009</v>
      </c>
      <c r="U261" s="13">
        <f t="shared" si="82"/>
        <v>7162.8899999999994</v>
      </c>
      <c r="V261" s="13">
        <f t="shared" si="76"/>
        <v>991.66116000000147</v>
      </c>
      <c r="W261" s="15">
        <f t="shared" si="77"/>
        <v>0.12160830688810116</v>
      </c>
      <c r="X261" s="17" t="str">
        <f t="shared" si="78"/>
        <v>Q2-2024</v>
      </c>
      <c r="Y261" t="str">
        <f t="shared" si="79"/>
        <v>Americas → Brazil → Brasília</v>
      </c>
      <c r="Z261" t="str">
        <f t="shared" si="80"/>
        <v>Medium</v>
      </c>
      <c r="AA261">
        <f t="shared" si="83"/>
        <v>2024</v>
      </c>
      <c r="AB261">
        <f t="shared" si="84"/>
        <v>4</v>
      </c>
      <c r="AC261" t="str">
        <f t="shared" si="85"/>
        <v>Yes</v>
      </c>
      <c r="AD261" t="str">
        <f t="shared" si="86"/>
        <v>No</v>
      </c>
      <c r="AE261" s="36">
        <f>IF(Dashboard!$P$47&gt;'Staging Data'!R261,'Staging Data'!R261,Dashboard!$P$47)</f>
        <v>0.1</v>
      </c>
      <c r="AF261">
        <f>(100%+Dashboard!$P$48)*'Staging Data'!P261</f>
        <v>1074.4335000000001</v>
      </c>
      <c r="AG261">
        <f>(100%+Dashboard!$P$49)*S261</f>
        <v>7.28</v>
      </c>
      <c r="AH261" s="13">
        <f t="shared" si="87"/>
        <v>8803.5292800000007</v>
      </c>
      <c r="AI261" s="13">
        <f t="shared" si="88"/>
        <v>7821.8758800000005</v>
      </c>
      <c r="AJ261" s="13">
        <f t="shared" si="89"/>
        <v>981.65340000000015</v>
      </c>
    </row>
    <row r="262" spans="1:36" x14ac:dyDescent="0.45">
      <c r="A262" s="3" t="s">
        <v>274</v>
      </c>
      <c r="B262" s="5">
        <v>45066</v>
      </c>
      <c r="C262" s="5">
        <v>45084</v>
      </c>
      <c r="D262" s="5">
        <f t="shared" si="72"/>
        <v>45066</v>
      </c>
      <c r="E262" s="5">
        <f t="shared" si="73"/>
        <v>45084</v>
      </c>
      <c r="F262" s="7">
        <f t="shared" si="74"/>
        <v>18</v>
      </c>
      <c r="G262" s="23" t="str">
        <f t="shared" si="75"/>
        <v>5-2023</v>
      </c>
      <c r="H262" s="3" t="s">
        <v>646</v>
      </c>
      <c r="I262" s="3" t="s">
        <v>651</v>
      </c>
      <c r="J262" s="3" t="s">
        <v>663</v>
      </c>
      <c r="K262" s="3" t="s">
        <v>706</v>
      </c>
      <c r="L262" s="3" t="s">
        <v>710</v>
      </c>
      <c r="M262" s="3" t="s">
        <v>718</v>
      </c>
      <c r="N262" s="3" t="s">
        <v>727</v>
      </c>
      <c r="O262" s="3" t="s">
        <v>994</v>
      </c>
      <c r="P262" s="19">
        <v>1120.06</v>
      </c>
      <c r="Q262" s="19">
        <v>2068.21</v>
      </c>
      <c r="R262" s="15">
        <v>7.8E-2</v>
      </c>
      <c r="S262" s="7">
        <v>12</v>
      </c>
      <c r="T262" s="13">
        <f t="shared" si="81"/>
        <v>22882.675440000003</v>
      </c>
      <c r="U262" s="13">
        <f t="shared" si="82"/>
        <v>13440.72</v>
      </c>
      <c r="V262" s="13">
        <f t="shared" si="76"/>
        <v>9441.9554400000034</v>
      </c>
      <c r="W262" s="15">
        <f t="shared" si="77"/>
        <v>0.41262462795303284</v>
      </c>
      <c r="X262" s="17" t="str">
        <f t="shared" si="78"/>
        <v>Q2-2023</v>
      </c>
      <c r="Y262" t="str">
        <f t="shared" si="79"/>
        <v>Africa → Nigeria → Port Harcourt</v>
      </c>
      <c r="Z262" t="str">
        <f t="shared" si="80"/>
        <v>High</v>
      </c>
      <c r="AA262">
        <f t="shared" si="83"/>
        <v>2023</v>
      </c>
      <c r="AB262">
        <f t="shared" si="84"/>
        <v>5</v>
      </c>
      <c r="AC262" t="str">
        <f t="shared" si="85"/>
        <v>No</v>
      </c>
      <c r="AD262" t="str">
        <f t="shared" si="86"/>
        <v>No</v>
      </c>
      <c r="AE262" s="36">
        <f>IF(Dashboard!$P$47&gt;'Staging Data'!R262,'Staging Data'!R262,Dashboard!$P$47)</f>
        <v>7.8E-2</v>
      </c>
      <c r="AF262">
        <f>(100%+Dashboard!$P$48)*'Staging Data'!P262</f>
        <v>1176.0630000000001</v>
      </c>
      <c r="AG262">
        <f>(100%+Dashboard!$P$49)*S262</f>
        <v>12.48</v>
      </c>
      <c r="AH262" s="13">
        <f t="shared" si="87"/>
        <v>23797.982457600003</v>
      </c>
      <c r="AI262" s="13">
        <f t="shared" si="88"/>
        <v>14677.266240000003</v>
      </c>
      <c r="AJ262" s="13">
        <f t="shared" si="89"/>
        <v>9120.7162176000002</v>
      </c>
    </row>
    <row r="263" spans="1:36" x14ac:dyDescent="0.45">
      <c r="A263" s="3" t="s">
        <v>568</v>
      </c>
      <c r="B263" s="5">
        <v>45703</v>
      </c>
      <c r="C263" s="5">
        <v>45717</v>
      </c>
      <c r="D263" s="5">
        <f t="shared" si="72"/>
        <v>45703</v>
      </c>
      <c r="E263" s="5">
        <f t="shared" si="73"/>
        <v>45717</v>
      </c>
      <c r="F263" s="7">
        <f t="shared" si="74"/>
        <v>14</v>
      </c>
      <c r="G263" s="23" t="str">
        <f t="shared" si="75"/>
        <v>2-2025</v>
      </c>
      <c r="H263" s="3" t="s">
        <v>646</v>
      </c>
      <c r="I263" s="3" t="s">
        <v>650</v>
      </c>
      <c r="J263" s="3" t="s">
        <v>675</v>
      </c>
      <c r="K263" s="3" t="s">
        <v>702</v>
      </c>
      <c r="L263" s="3" t="s">
        <v>711</v>
      </c>
      <c r="M263" s="3" t="s">
        <v>716</v>
      </c>
      <c r="N263" s="3" t="s">
        <v>733</v>
      </c>
      <c r="O263" s="3" t="s">
        <v>1286</v>
      </c>
      <c r="P263" s="19">
        <v>1162.8599999999999</v>
      </c>
      <c r="Q263" s="19">
        <v>1447.68</v>
      </c>
      <c r="R263" s="15">
        <v>8.6999999999999994E-2</v>
      </c>
      <c r="S263" s="7">
        <v>12</v>
      </c>
      <c r="T263" s="13">
        <f t="shared" si="81"/>
        <v>15860.782080000001</v>
      </c>
      <c r="U263" s="13">
        <f t="shared" si="82"/>
        <v>13954.32</v>
      </c>
      <c r="V263" s="13">
        <f t="shared" si="76"/>
        <v>1906.4620800000012</v>
      </c>
      <c r="W263" s="15">
        <f t="shared" si="77"/>
        <v>0.12019975247021369</v>
      </c>
      <c r="X263" s="17" t="str">
        <f t="shared" si="78"/>
        <v>Q1-2025</v>
      </c>
      <c r="Y263" t="str">
        <f t="shared" si="79"/>
        <v>Africa → Kenya → Mombasa</v>
      </c>
      <c r="Z263" t="str">
        <f t="shared" si="80"/>
        <v>Medium</v>
      </c>
      <c r="AA263">
        <f t="shared" si="83"/>
        <v>2025</v>
      </c>
      <c r="AB263">
        <f t="shared" si="84"/>
        <v>2</v>
      </c>
      <c r="AC263" t="str">
        <f t="shared" si="85"/>
        <v>No</v>
      </c>
      <c r="AD263" t="str">
        <f t="shared" si="86"/>
        <v>No</v>
      </c>
      <c r="AE263" s="36">
        <f>IF(Dashboard!$P$47&gt;'Staging Data'!R263,'Staging Data'!R263,Dashboard!$P$47)</f>
        <v>8.6999999999999994E-2</v>
      </c>
      <c r="AF263">
        <f>(100%+Dashboard!$P$48)*'Staging Data'!P263</f>
        <v>1221.0029999999999</v>
      </c>
      <c r="AG263">
        <f>(100%+Dashboard!$P$49)*S263</f>
        <v>12.48</v>
      </c>
      <c r="AH263" s="13">
        <f t="shared" si="87"/>
        <v>16495.213363200004</v>
      </c>
      <c r="AI263" s="13">
        <f t="shared" si="88"/>
        <v>15238.11744</v>
      </c>
      <c r="AJ263" s="13">
        <f t="shared" si="89"/>
        <v>1257.0959232000041</v>
      </c>
    </row>
    <row r="264" spans="1:36" x14ac:dyDescent="0.45">
      <c r="A264" s="3" t="s">
        <v>371</v>
      </c>
      <c r="B264" s="5">
        <v>45385</v>
      </c>
      <c r="C264" s="5">
        <v>45403</v>
      </c>
      <c r="D264" s="5">
        <f t="shared" si="72"/>
        <v>45385</v>
      </c>
      <c r="E264" s="5">
        <f t="shared" si="73"/>
        <v>45403</v>
      </c>
      <c r="F264" s="7">
        <f t="shared" si="74"/>
        <v>18</v>
      </c>
      <c r="G264" s="23" t="str">
        <f t="shared" si="75"/>
        <v>4-2024</v>
      </c>
      <c r="H264" s="3" t="s">
        <v>648</v>
      </c>
      <c r="I264" s="3" t="s">
        <v>655</v>
      </c>
      <c r="J264" s="3" t="s">
        <v>672</v>
      </c>
      <c r="K264" s="3" t="s">
        <v>705</v>
      </c>
      <c r="L264" s="3" t="s">
        <v>710</v>
      </c>
      <c r="M264" s="3" t="s">
        <v>717</v>
      </c>
      <c r="N264" s="3" t="s">
        <v>729</v>
      </c>
      <c r="O264" s="3" t="s">
        <v>1091</v>
      </c>
      <c r="P264" s="19">
        <v>1176.69</v>
      </c>
      <c r="Q264" s="19">
        <v>2201.54</v>
      </c>
      <c r="R264" s="15">
        <v>0.17</v>
      </c>
      <c r="S264" s="7">
        <v>27</v>
      </c>
      <c r="T264" s="13">
        <f t="shared" si="81"/>
        <v>49336.511399999996</v>
      </c>
      <c r="U264" s="13">
        <f t="shared" si="82"/>
        <v>31770.63</v>
      </c>
      <c r="V264" s="13">
        <f t="shared" si="76"/>
        <v>17565.881399999995</v>
      </c>
      <c r="W264" s="15">
        <f t="shared" si="77"/>
        <v>0.35604222717701106</v>
      </c>
      <c r="X264" s="17" t="str">
        <f t="shared" si="78"/>
        <v>Q2-2024</v>
      </c>
      <c r="Y264" t="str">
        <f t="shared" si="79"/>
        <v>Americas → Brazil → Brasília</v>
      </c>
      <c r="Z264" t="str">
        <f t="shared" si="80"/>
        <v>High</v>
      </c>
      <c r="AA264">
        <f t="shared" si="83"/>
        <v>2024</v>
      </c>
      <c r="AB264">
        <f t="shared" si="84"/>
        <v>4</v>
      </c>
      <c r="AC264" t="str">
        <f t="shared" si="85"/>
        <v>No</v>
      </c>
      <c r="AD264" t="str">
        <f t="shared" si="86"/>
        <v>No</v>
      </c>
      <c r="AE264" s="36">
        <f>IF(Dashboard!$P$47&gt;'Staging Data'!R264,'Staging Data'!R264,Dashboard!$P$47)</f>
        <v>0.1</v>
      </c>
      <c r="AF264">
        <f>(100%+Dashboard!$P$48)*'Staging Data'!P264</f>
        <v>1235.5245000000002</v>
      </c>
      <c r="AG264">
        <f>(100%+Dashboard!$P$49)*S264</f>
        <v>28.080000000000002</v>
      </c>
      <c r="AH264" s="13">
        <f t="shared" si="87"/>
        <v>55637.318880000006</v>
      </c>
      <c r="AI264" s="13">
        <f t="shared" si="88"/>
        <v>34693.527960000007</v>
      </c>
      <c r="AJ264" s="13">
        <f t="shared" si="89"/>
        <v>20943.790919999999</v>
      </c>
    </row>
    <row r="265" spans="1:36" x14ac:dyDescent="0.45">
      <c r="A265" s="3" t="s">
        <v>277</v>
      </c>
      <c r="B265" s="5">
        <v>45829</v>
      </c>
      <c r="C265" s="5">
        <v>45835</v>
      </c>
      <c r="D265" s="5">
        <f t="shared" si="72"/>
        <v>45829</v>
      </c>
      <c r="E265" s="5">
        <f t="shared" si="73"/>
        <v>45835</v>
      </c>
      <c r="F265" s="7">
        <f t="shared" si="74"/>
        <v>6</v>
      </c>
      <c r="G265" s="23" t="str">
        <f t="shared" si="75"/>
        <v>6-2025</v>
      </c>
      <c r="H265" s="3" t="s">
        <v>646</v>
      </c>
      <c r="I265" s="3" t="s">
        <v>661</v>
      </c>
      <c r="J265" s="3" t="s">
        <v>687</v>
      </c>
      <c r="K265" s="3" t="s">
        <v>706</v>
      </c>
      <c r="L265" s="3" t="s">
        <v>710</v>
      </c>
      <c r="M265" s="3" t="s">
        <v>725</v>
      </c>
      <c r="N265" s="3" t="s">
        <v>730</v>
      </c>
      <c r="O265" s="3" t="s">
        <v>997</v>
      </c>
      <c r="P265" s="19">
        <v>93.91</v>
      </c>
      <c r="Q265" s="19">
        <v>99.04</v>
      </c>
      <c r="R265" s="15">
        <v>5.7000000000000002E-2</v>
      </c>
      <c r="S265" s="7">
        <v>6</v>
      </c>
      <c r="T265" s="13">
        <f t="shared" si="81"/>
        <v>560.36831999999993</v>
      </c>
      <c r="U265" s="13">
        <f t="shared" si="82"/>
        <v>563.46</v>
      </c>
      <c r="V265" s="13">
        <f t="shared" si="76"/>
        <v>-3.0916800000001103</v>
      </c>
      <c r="W265" s="15">
        <f t="shared" si="77"/>
        <v>-5.5172283829323376E-3</v>
      </c>
      <c r="X265" s="17" t="str">
        <f t="shared" si="78"/>
        <v>Q2-2025</v>
      </c>
      <c r="Y265" t="str">
        <f t="shared" si="79"/>
        <v>Africa → South Africa → Durban</v>
      </c>
      <c r="Z265" t="str">
        <f t="shared" si="80"/>
        <v>Low</v>
      </c>
      <c r="AA265">
        <f t="shared" si="83"/>
        <v>2025</v>
      </c>
      <c r="AB265">
        <f t="shared" si="84"/>
        <v>6</v>
      </c>
      <c r="AC265" t="str">
        <f t="shared" si="85"/>
        <v>Yes</v>
      </c>
      <c r="AD265" t="str">
        <f t="shared" si="86"/>
        <v>No</v>
      </c>
      <c r="AE265" s="36">
        <f>IF(Dashboard!$P$47&gt;'Staging Data'!R265,'Staging Data'!R265,Dashboard!$P$47)</f>
        <v>5.7000000000000002E-2</v>
      </c>
      <c r="AF265">
        <f>(100%+Dashboard!$P$48)*'Staging Data'!P265</f>
        <v>98.605500000000006</v>
      </c>
      <c r="AG265">
        <f>(100%+Dashboard!$P$49)*S265</f>
        <v>6.24</v>
      </c>
      <c r="AH265" s="13">
        <f t="shared" si="87"/>
        <v>582.78305280000006</v>
      </c>
      <c r="AI265" s="13">
        <f t="shared" si="88"/>
        <v>615.2983200000001</v>
      </c>
      <c r="AJ265" s="13">
        <f t="shared" si="89"/>
        <v>-32.515267200000039</v>
      </c>
    </row>
    <row r="266" spans="1:36" x14ac:dyDescent="0.45">
      <c r="A266" s="3" t="s">
        <v>278</v>
      </c>
      <c r="B266" s="5">
        <v>45763</v>
      </c>
      <c r="C266" s="5">
        <v>45773</v>
      </c>
      <c r="D266" s="5">
        <f t="shared" si="72"/>
        <v>45763</v>
      </c>
      <c r="E266" s="5">
        <f t="shared" si="73"/>
        <v>45773</v>
      </c>
      <c r="F266" s="7">
        <f t="shared" si="74"/>
        <v>10</v>
      </c>
      <c r="G266" s="23" t="str">
        <f t="shared" si="75"/>
        <v>4-2025</v>
      </c>
      <c r="H266" s="3" t="s">
        <v>646</v>
      </c>
      <c r="I266" s="3" t="s">
        <v>651</v>
      </c>
      <c r="J266" s="3" t="s">
        <v>663</v>
      </c>
      <c r="K266" s="3" t="s">
        <v>706</v>
      </c>
      <c r="L266" s="3" t="s">
        <v>709</v>
      </c>
      <c r="M266" s="3" t="s">
        <v>721</v>
      </c>
      <c r="N266" s="3" t="s">
        <v>731</v>
      </c>
      <c r="O266" s="3" t="s">
        <v>998</v>
      </c>
      <c r="P266" s="19">
        <v>1457.44</v>
      </c>
      <c r="Q266" s="19">
        <v>1996.81</v>
      </c>
      <c r="R266" s="15">
        <v>0.126</v>
      </c>
      <c r="S266" s="7">
        <v>23</v>
      </c>
      <c r="T266" s="13">
        <f t="shared" si="81"/>
        <v>40139.874619999995</v>
      </c>
      <c r="U266" s="13">
        <f t="shared" si="82"/>
        <v>33521.120000000003</v>
      </c>
      <c r="V266" s="13">
        <f t="shared" si="76"/>
        <v>6618.7546199999924</v>
      </c>
      <c r="W266" s="15">
        <f t="shared" si="77"/>
        <v>0.16489225944672353</v>
      </c>
      <c r="X266" s="17" t="str">
        <f t="shared" si="78"/>
        <v>Q2-2025</v>
      </c>
      <c r="Y266" t="str">
        <f t="shared" si="79"/>
        <v>Africa → Nigeria → Port Harcourt</v>
      </c>
      <c r="Z266" t="str">
        <f t="shared" si="80"/>
        <v>High</v>
      </c>
      <c r="AA266">
        <f t="shared" si="83"/>
        <v>2025</v>
      </c>
      <c r="AB266">
        <f t="shared" si="84"/>
        <v>4</v>
      </c>
      <c r="AC266" t="str">
        <f t="shared" si="85"/>
        <v>No</v>
      </c>
      <c r="AD266" t="str">
        <f t="shared" si="86"/>
        <v>No</v>
      </c>
      <c r="AE266" s="36">
        <f>IF(Dashboard!$P$47&gt;'Staging Data'!R266,'Staging Data'!R266,Dashboard!$P$47)</f>
        <v>0.1</v>
      </c>
      <c r="AF266">
        <f>(100%+Dashboard!$P$48)*'Staging Data'!P266</f>
        <v>1530.3120000000001</v>
      </c>
      <c r="AG266">
        <f>(100%+Dashboard!$P$49)*S266</f>
        <v>23.92</v>
      </c>
      <c r="AH266" s="13">
        <f t="shared" si="87"/>
        <v>42987.325680000002</v>
      </c>
      <c r="AI266" s="13">
        <f t="shared" si="88"/>
        <v>36605.063040000008</v>
      </c>
      <c r="AJ266" s="13">
        <f t="shared" si="89"/>
        <v>6382.2626399999936</v>
      </c>
    </row>
    <row r="267" spans="1:36" x14ac:dyDescent="0.45">
      <c r="A267" s="3" t="s">
        <v>279</v>
      </c>
      <c r="B267" s="5">
        <v>45902</v>
      </c>
      <c r="C267" s="5">
        <v>45911</v>
      </c>
      <c r="D267" s="5">
        <f t="shared" ref="D267:D330" si="90">IF(C267&gt;B267,B267,C267)</f>
        <v>45902</v>
      </c>
      <c r="E267" s="5">
        <f t="shared" ref="E267:E330" si="91">IF(C267&gt;B267,C267,B267)</f>
        <v>45911</v>
      </c>
      <c r="F267" s="7">
        <f t="shared" ref="F267:F330" si="92">DATEDIF(D267,E267,"D")</f>
        <v>9</v>
      </c>
      <c r="G267" s="23" t="str">
        <f t="shared" ref="G267:G330" si="93">CONCATENATE(MONTH(D267), "-",YEAR(D267))</f>
        <v>9-2025</v>
      </c>
      <c r="H267" s="3" t="s">
        <v>648</v>
      </c>
      <c r="I267" s="3" t="s">
        <v>653</v>
      </c>
      <c r="J267" s="3" t="s">
        <v>667</v>
      </c>
      <c r="K267" s="3" t="s">
        <v>701</v>
      </c>
      <c r="L267" s="3" t="s">
        <v>710</v>
      </c>
      <c r="M267" s="3" t="s">
        <v>724</v>
      </c>
      <c r="N267" s="3" t="s">
        <v>728</v>
      </c>
      <c r="O267" s="3" t="s">
        <v>999</v>
      </c>
      <c r="P267" s="19">
        <v>1207.6300000000001</v>
      </c>
      <c r="Q267" s="19">
        <v>921.68</v>
      </c>
      <c r="R267" s="15">
        <v>0.19600000000000001</v>
      </c>
      <c r="S267" s="7">
        <v>17</v>
      </c>
      <c r="T267" s="13">
        <f t="shared" si="81"/>
        <v>12597.52224</v>
      </c>
      <c r="U267" s="13">
        <f t="shared" si="82"/>
        <v>20529.710000000003</v>
      </c>
      <c r="V267" s="13">
        <f t="shared" ref="V267:V330" si="94">T267-U267</f>
        <v>-7932.1877600000025</v>
      </c>
      <c r="W267" s="15">
        <f t="shared" ref="W267:W330" si="95">IF(T267=0, 0,V267/T267)</f>
        <v>-0.62966253274897988</v>
      </c>
      <c r="X267" s="17" t="str">
        <f t="shared" ref="X267:X330" si="96">CONCATENATE(IF(MONTH(D267)&lt;=3,"Q1", IF(MONTH(D267)&lt;=6, "Q2", IF(MONTH(D267)&lt;= 9, "Q3", "Q4"))), "-", YEAR(D267))</f>
        <v>Q3-2025</v>
      </c>
      <c r="Y267" t="str">
        <f t="shared" ref="Y267:Y330" si="97">CONCATENATE(H267," → ",I267," → ",J267)</f>
        <v>Americas → Canada → Toronto</v>
      </c>
      <c r="Z267" t="str">
        <f t="shared" ref="Z267:Z330" si="98">IF(Q267&lt;=1193.97, "Low",IF(Q267&lt;1912.05,"Medium", "High"))</f>
        <v>Low</v>
      </c>
      <c r="AA267">
        <f t="shared" si="83"/>
        <v>2025</v>
      </c>
      <c r="AB267">
        <f t="shared" si="84"/>
        <v>9</v>
      </c>
      <c r="AC267" t="str">
        <f t="shared" si="85"/>
        <v>No</v>
      </c>
      <c r="AD267" t="str">
        <f t="shared" si="86"/>
        <v>No</v>
      </c>
      <c r="AE267" s="36">
        <f>IF(Dashboard!$P$47&gt;'Staging Data'!R267,'Staging Data'!R267,Dashboard!$P$47)</f>
        <v>0.1</v>
      </c>
      <c r="AF267">
        <f>(100%+Dashboard!$P$48)*'Staging Data'!P267</f>
        <v>1268.0115000000001</v>
      </c>
      <c r="AG267">
        <f>(100%+Dashboard!$P$49)*S267</f>
        <v>17.68</v>
      </c>
      <c r="AH267" s="13">
        <f t="shared" si="87"/>
        <v>14665.772159999999</v>
      </c>
      <c r="AI267" s="13">
        <f t="shared" si="88"/>
        <v>22418.443320000002</v>
      </c>
      <c r="AJ267" s="13">
        <f t="shared" si="89"/>
        <v>-7752.6711600000035</v>
      </c>
    </row>
    <row r="268" spans="1:36" x14ac:dyDescent="0.45">
      <c r="A268" s="3" t="s">
        <v>280</v>
      </c>
      <c r="B268" s="5">
        <v>45573</v>
      </c>
      <c r="C268" s="5">
        <v>45573</v>
      </c>
      <c r="D268" s="5">
        <f t="shared" si="90"/>
        <v>45573</v>
      </c>
      <c r="E268" s="5">
        <f t="shared" si="91"/>
        <v>45573</v>
      </c>
      <c r="F268" s="7">
        <f t="shared" si="92"/>
        <v>0</v>
      </c>
      <c r="G268" s="23" t="str">
        <f t="shared" si="93"/>
        <v>10-2024</v>
      </c>
      <c r="H268" s="3" t="s">
        <v>649</v>
      </c>
      <c r="I268" s="3" t="s">
        <v>658</v>
      </c>
      <c r="J268" s="3" t="s">
        <v>683</v>
      </c>
      <c r="K268" s="3" t="s">
        <v>701</v>
      </c>
      <c r="L268" s="3" t="s">
        <v>708</v>
      </c>
      <c r="M268" s="3" t="s">
        <v>718</v>
      </c>
      <c r="N268" s="3" t="s">
        <v>732</v>
      </c>
      <c r="O268" s="3" t="s">
        <v>1000</v>
      </c>
      <c r="P268" s="19">
        <v>1108.1099999999999</v>
      </c>
      <c r="Q268" s="19">
        <v>2503.79</v>
      </c>
      <c r="R268" s="15">
        <v>0.184</v>
      </c>
      <c r="S268" s="7">
        <v>19</v>
      </c>
      <c r="T268" s="13">
        <f t="shared" si="81"/>
        <v>38818.760160000005</v>
      </c>
      <c r="U268" s="13">
        <f t="shared" si="82"/>
        <v>21054.089999999997</v>
      </c>
      <c r="V268" s="13">
        <f t="shared" si="94"/>
        <v>17764.670160000009</v>
      </c>
      <c r="W268" s="15">
        <f t="shared" si="95"/>
        <v>0.45763105485025896</v>
      </c>
      <c r="X268" s="17" t="str">
        <f t="shared" si="96"/>
        <v>Q4-2024</v>
      </c>
      <c r="Y268" t="str">
        <f t="shared" si="97"/>
        <v>Europe → United Kingdom → London</v>
      </c>
      <c r="Z268" t="str">
        <f t="shared" si="98"/>
        <v>High</v>
      </c>
      <c r="AA268">
        <f t="shared" si="83"/>
        <v>2024</v>
      </c>
      <c r="AB268">
        <f t="shared" si="84"/>
        <v>10</v>
      </c>
      <c r="AC268" t="str">
        <f t="shared" si="85"/>
        <v>Yes</v>
      </c>
      <c r="AD268" t="str">
        <f t="shared" si="86"/>
        <v>No</v>
      </c>
      <c r="AE268" s="36">
        <f>IF(Dashboard!$P$47&gt;'Staging Data'!R268,'Staging Data'!R268,Dashboard!$P$47)</f>
        <v>0.1</v>
      </c>
      <c r="AF268">
        <f>(100%+Dashboard!$P$48)*'Staging Data'!P268</f>
        <v>1163.5155</v>
      </c>
      <c r="AG268">
        <f>(100%+Dashboard!$P$49)*S268</f>
        <v>19.760000000000002</v>
      </c>
      <c r="AH268" s="13">
        <f t="shared" si="87"/>
        <v>44527.401360000003</v>
      </c>
      <c r="AI268" s="13">
        <f t="shared" si="88"/>
        <v>22991.066280000003</v>
      </c>
      <c r="AJ268" s="13">
        <f t="shared" si="89"/>
        <v>21536.335080000001</v>
      </c>
    </row>
    <row r="269" spans="1:36" x14ac:dyDescent="0.45">
      <c r="A269" s="3" t="s">
        <v>281</v>
      </c>
      <c r="B269" s="5">
        <v>45053</v>
      </c>
      <c r="C269" s="5">
        <v>45051</v>
      </c>
      <c r="D269" s="5">
        <f t="shared" si="90"/>
        <v>45051</v>
      </c>
      <c r="E269" s="5">
        <f t="shared" si="91"/>
        <v>45053</v>
      </c>
      <c r="F269" s="7">
        <f t="shared" si="92"/>
        <v>2</v>
      </c>
      <c r="G269" s="23" t="str">
        <f t="shared" si="93"/>
        <v>5-2023</v>
      </c>
      <c r="H269" s="3" t="s">
        <v>646</v>
      </c>
      <c r="I269" s="3" t="s">
        <v>651</v>
      </c>
      <c r="J269" s="3" t="s">
        <v>663</v>
      </c>
      <c r="K269" s="3" t="s">
        <v>703</v>
      </c>
      <c r="L269" s="3" t="s">
        <v>709</v>
      </c>
      <c r="M269" s="3" t="s">
        <v>720</v>
      </c>
      <c r="N269" s="3" t="s">
        <v>727</v>
      </c>
      <c r="O269" s="3" t="s">
        <v>1001</v>
      </c>
      <c r="P269" s="19">
        <v>1269.6500000000001</v>
      </c>
      <c r="Q269" s="19">
        <v>2462.77</v>
      </c>
      <c r="R269" s="15">
        <v>0.107</v>
      </c>
      <c r="S269" s="7">
        <v>8</v>
      </c>
      <c r="T269" s="13">
        <f t="shared" si="81"/>
        <v>17594.028880000002</v>
      </c>
      <c r="U269" s="13">
        <f t="shared" si="82"/>
        <v>10157.200000000001</v>
      </c>
      <c r="V269" s="13">
        <f t="shared" si="94"/>
        <v>7436.8288800000009</v>
      </c>
      <c r="W269" s="15">
        <f t="shared" si="95"/>
        <v>0.42269050089225502</v>
      </c>
      <c r="X269" s="17" t="str">
        <f t="shared" si="96"/>
        <v>Q2-2023</v>
      </c>
      <c r="Y269" t="str">
        <f t="shared" si="97"/>
        <v>Africa → Nigeria → Port Harcourt</v>
      </c>
      <c r="Z269" t="str">
        <f t="shared" si="98"/>
        <v>High</v>
      </c>
      <c r="AA269">
        <f t="shared" si="83"/>
        <v>2023</v>
      </c>
      <c r="AB269">
        <f t="shared" si="84"/>
        <v>5</v>
      </c>
      <c r="AC269" t="str">
        <f t="shared" si="85"/>
        <v>Yes</v>
      </c>
      <c r="AD269" t="str">
        <f t="shared" si="86"/>
        <v>No</v>
      </c>
      <c r="AE269" s="36">
        <f>IF(Dashboard!$P$47&gt;'Staging Data'!R269,'Staging Data'!R269,Dashboard!$P$47)</f>
        <v>0.1</v>
      </c>
      <c r="AF269">
        <f>(100%+Dashboard!$P$48)*'Staging Data'!P269</f>
        <v>1333.1325000000002</v>
      </c>
      <c r="AG269">
        <f>(100%+Dashboard!$P$49)*S269</f>
        <v>8.32</v>
      </c>
      <c r="AH269" s="13">
        <f t="shared" si="87"/>
        <v>18441.22176</v>
      </c>
      <c r="AI269" s="13">
        <f t="shared" si="88"/>
        <v>11091.662400000001</v>
      </c>
      <c r="AJ269" s="13">
        <f t="shared" si="89"/>
        <v>7349.5593599999993</v>
      </c>
    </row>
    <row r="270" spans="1:36" x14ac:dyDescent="0.45">
      <c r="A270" s="3" t="s">
        <v>203</v>
      </c>
      <c r="B270" s="5">
        <v>45431</v>
      </c>
      <c r="C270" s="5">
        <v>45451</v>
      </c>
      <c r="D270" s="5">
        <f t="shared" si="90"/>
        <v>45431</v>
      </c>
      <c r="E270" s="5">
        <f t="shared" si="91"/>
        <v>45451</v>
      </c>
      <c r="F270" s="7">
        <f t="shared" si="92"/>
        <v>20</v>
      </c>
      <c r="G270" s="23" t="str">
        <f t="shared" si="93"/>
        <v>5-2024</v>
      </c>
      <c r="H270" s="3" t="s">
        <v>648</v>
      </c>
      <c r="I270" s="3" t="s">
        <v>655</v>
      </c>
      <c r="J270" s="3" t="s">
        <v>672</v>
      </c>
      <c r="K270" s="3" t="s">
        <v>705</v>
      </c>
      <c r="L270" s="3" t="s">
        <v>707</v>
      </c>
      <c r="M270" s="3" t="s">
        <v>718</v>
      </c>
      <c r="N270" s="3" t="s">
        <v>732</v>
      </c>
      <c r="O270" s="3" t="s">
        <v>923</v>
      </c>
      <c r="P270" s="19">
        <v>1075.9000000000001</v>
      </c>
      <c r="Q270" s="19">
        <v>1242.1500000000001</v>
      </c>
      <c r="R270" s="15">
        <v>1.2E-2</v>
      </c>
      <c r="S270" s="7">
        <v>7</v>
      </c>
      <c r="T270" s="13">
        <f t="shared" si="81"/>
        <v>8590.7094000000016</v>
      </c>
      <c r="U270" s="13">
        <f t="shared" si="82"/>
        <v>7531.3000000000011</v>
      </c>
      <c r="V270" s="13">
        <f t="shared" si="94"/>
        <v>1059.4094000000005</v>
      </c>
      <c r="W270" s="15">
        <f t="shared" si="95"/>
        <v>0.12332036280961853</v>
      </c>
      <c r="X270" s="17" t="str">
        <f t="shared" si="96"/>
        <v>Q2-2024</v>
      </c>
      <c r="Y270" t="str">
        <f t="shared" si="97"/>
        <v>Americas → Brazil → Brasília</v>
      </c>
      <c r="Z270" t="str">
        <f t="shared" si="98"/>
        <v>Medium</v>
      </c>
      <c r="AA270">
        <f t="shared" si="83"/>
        <v>2024</v>
      </c>
      <c r="AB270">
        <f t="shared" si="84"/>
        <v>5</v>
      </c>
      <c r="AC270" t="str">
        <f t="shared" si="85"/>
        <v>No</v>
      </c>
      <c r="AD270" t="str">
        <f t="shared" si="86"/>
        <v>No</v>
      </c>
      <c r="AE270" s="36">
        <f>IF(Dashboard!$P$47&gt;'Staging Data'!R270,'Staging Data'!R270,Dashboard!$P$47)</f>
        <v>1.2E-2</v>
      </c>
      <c r="AF270">
        <f>(100%+Dashboard!$P$48)*'Staging Data'!P270</f>
        <v>1129.6950000000002</v>
      </c>
      <c r="AG270">
        <f>(100%+Dashboard!$P$49)*S270</f>
        <v>7.28</v>
      </c>
      <c r="AH270" s="13">
        <f t="shared" si="87"/>
        <v>8934.3377760000003</v>
      </c>
      <c r="AI270" s="13">
        <f t="shared" si="88"/>
        <v>8224.1796000000013</v>
      </c>
      <c r="AJ270" s="13">
        <f t="shared" si="89"/>
        <v>710.158175999999</v>
      </c>
    </row>
    <row r="271" spans="1:36" x14ac:dyDescent="0.45">
      <c r="A271" s="3" t="s">
        <v>283</v>
      </c>
      <c r="B271" s="5">
        <v>45301</v>
      </c>
      <c r="C271" s="5">
        <v>45314</v>
      </c>
      <c r="D271" s="5">
        <f t="shared" si="90"/>
        <v>45301</v>
      </c>
      <c r="E271" s="5">
        <f t="shared" si="91"/>
        <v>45314</v>
      </c>
      <c r="F271" s="7">
        <f t="shared" si="92"/>
        <v>13</v>
      </c>
      <c r="G271" s="23" t="str">
        <f t="shared" si="93"/>
        <v>1-2024</v>
      </c>
      <c r="H271" s="3" t="s">
        <v>649</v>
      </c>
      <c r="I271" s="3" t="s">
        <v>657</v>
      </c>
      <c r="J271" s="3" t="s">
        <v>673</v>
      </c>
      <c r="K271" s="3" t="s">
        <v>701</v>
      </c>
      <c r="L271" s="3" t="s">
        <v>711</v>
      </c>
      <c r="M271" s="3" t="s">
        <v>720</v>
      </c>
      <c r="N271" s="3" t="s">
        <v>728</v>
      </c>
      <c r="O271" s="3" t="s">
        <v>1003</v>
      </c>
      <c r="P271" s="19">
        <v>720</v>
      </c>
      <c r="Q271" s="19">
        <v>907.59</v>
      </c>
      <c r="R271" s="15">
        <v>0.154</v>
      </c>
      <c r="S271" s="7">
        <v>10</v>
      </c>
      <c r="T271" s="13">
        <f t="shared" si="81"/>
        <v>7678.2113999999992</v>
      </c>
      <c r="U271" s="13">
        <f t="shared" si="82"/>
        <v>7200</v>
      </c>
      <c r="V271" s="13">
        <f t="shared" si="94"/>
        <v>478.21139999999923</v>
      </c>
      <c r="W271" s="15">
        <f t="shared" si="95"/>
        <v>6.2281614179052078E-2</v>
      </c>
      <c r="X271" s="17" t="str">
        <f t="shared" si="96"/>
        <v>Q1-2024</v>
      </c>
      <c r="Y271" t="str">
        <f t="shared" si="97"/>
        <v>Europe → France → Marseille</v>
      </c>
      <c r="Z271" t="str">
        <f t="shared" si="98"/>
        <v>Low</v>
      </c>
      <c r="AA271">
        <f t="shared" si="83"/>
        <v>2024</v>
      </c>
      <c r="AB271">
        <f t="shared" si="84"/>
        <v>1</v>
      </c>
      <c r="AC271" t="str">
        <f t="shared" si="85"/>
        <v>No</v>
      </c>
      <c r="AD271" t="str">
        <f t="shared" si="86"/>
        <v>No</v>
      </c>
      <c r="AE271" s="36">
        <f>IF(Dashboard!$P$47&gt;'Staging Data'!R271,'Staging Data'!R271,Dashboard!$P$47)</f>
        <v>0.1</v>
      </c>
      <c r="AF271">
        <f>(100%+Dashboard!$P$48)*'Staging Data'!P271</f>
        <v>756</v>
      </c>
      <c r="AG271">
        <f>(100%+Dashboard!$P$49)*S271</f>
        <v>10.4</v>
      </c>
      <c r="AH271" s="13">
        <f t="shared" si="87"/>
        <v>8495.0424000000021</v>
      </c>
      <c r="AI271" s="13">
        <f t="shared" si="88"/>
        <v>7862.4000000000005</v>
      </c>
      <c r="AJ271" s="13">
        <f t="shared" si="89"/>
        <v>632.64240000000154</v>
      </c>
    </row>
    <row r="272" spans="1:36" x14ac:dyDescent="0.45">
      <c r="A272" s="3" t="s">
        <v>325</v>
      </c>
      <c r="B272" s="5">
        <v>45435</v>
      </c>
      <c r="C272" s="5">
        <v>45449</v>
      </c>
      <c r="D272" s="5">
        <f t="shared" si="90"/>
        <v>45435</v>
      </c>
      <c r="E272" s="5">
        <f t="shared" si="91"/>
        <v>45449</v>
      </c>
      <c r="F272" s="7">
        <f t="shared" si="92"/>
        <v>14</v>
      </c>
      <c r="G272" s="23" t="str">
        <f t="shared" si="93"/>
        <v>5-2024</v>
      </c>
      <c r="H272" s="3" t="s">
        <v>648</v>
      </c>
      <c r="I272" s="3" t="s">
        <v>655</v>
      </c>
      <c r="J272" s="3" t="s">
        <v>692</v>
      </c>
      <c r="K272" s="3" t="s">
        <v>703</v>
      </c>
      <c r="L272" s="3" t="s">
        <v>708</v>
      </c>
      <c r="M272" s="3" t="s">
        <v>714</v>
      </c>
      <c r="N272" s="3" t="s">
        <v>729</v>
      </c>
      <c r="O272" s="3" t="s">
        <v>1045</v>
      </c>
      <c r="P272" s="19">
        <v>51.13</v>
      </c>
      <c r="Q272" s="19">
        <v>57.53</v>
      </c>
      <c r="R272" s="15">
        <v>4.4999999999999998E-2</v>
      </c>
      <c r="S272" s="7">
        <v>16</v>
      </c>
      <c r="T272" s="13">
        <f t="shared" si="81"/>
        <v>879.05840000000001</v>
      </c>
      <c r="U272" s="13">
        <f t="shared" si="82"/>
        <v>818.08</v>
      </c>
      <c r="V272" s="13">
        <f t="shared" si="94"/>
        <v>60.978399999999965</v>
      </c>
      <c r="W272" s="15">
        <f t="shared" si="95"/>
        <v>6.9367859973808302E-2</v>
      </c>
      <c r="X272" s="17" t="str">
        <f t="shared" si="96"/>
        <v>Q2-2024</v>
      </c>
      <c r="Y272" t="str">
        <f t="shared" si="97"/>
        <v>Americas → Brazil → Rio de Janeiro</v>
      </c>
      <c r="Z272" t="str">
        <f t="shared" si="98"/>
        <v>Low</v>
      </c>
      <c r="AA272">
        <f t="shared" si="83"/>
        <v>2024</v>
      </c>
      <c r="AB272">
        <f t="shared" si="84"/>
        <v>5</v>
      </c>
      <c r="AC272" t="str">
        <f t="shared" si="85"/>
        <v>No</v>
      </c>
      <c r="AD272" t="str">
        <f t="shared" si="86"/>
        <v>No</v>
      </c>
      <c r="AE272" s="36">
        <f>IF(Dashboard!$P$47&gt;'Staging Data'!R272,'Staging Data'!R272,Dashboard!$P$47)</f>
        <v>4.4999999999999998E-2</v>
      </c>
      <c r="AF272">
        <f>(100%+Dashboard!$P$48)*'Staging Data'!P272</f>
        <v>53.686500000000002</v>
      </c>
      <c r="AG272">
        <f>(100%+Dashboard!$P$49)*S272</f>
        <v>16.64</v>
      </c>
      <c r="AH272" s="13">
        <f t="shared" si="87"/>
        <v>914.22073599999999</v>
      </c>
      <c r="AI272" s="13">
        <f t="shared" si="88"/>
        <v>893.34336000000008</v>
      </c>
      <c r="AJ272" s="13">
        <f t="shared" si="89"/>
        <v>20.877375999999913</v>
      </c>
    </row>
    <row r="273" spans="1:36" x14ac:dyDescent="0.45">
      <c r="A273" s="3" t="s">
        <v>285</v>
      </c>
      <c r="B273" s="5">
        <v>45707</v>
      </c>
      <c r="C273" s="5">
        <v>45725</v>
      </c>
      <c r="D273" s="5">
        <f t="shared" si="90"/>
        <v>45707</v>
      </c>
      <c r="E273" s="5">
        <f t="shared" si="91"/>
        <v>45725</v>
      </c>
      <c r="F273" s="7">
        <f t="shared" si="92"/>
        <v>18</v>
      </c>
      <c r="G273" s="23" t="str">
        <f t="shared" si="93"/>
        <v>2-2025</v>
      </c>
      <c r="H273" s="3" t="s">
        <v>647</v>
      </c>
      <c r="I273" s="3" t="s">
        <v>654</v>
      </c>
      <c r="J273" s="3" t="s">
        <v>680</v>
      </c>
      <c r="K273" s="3" t="s">
        <v>705</v>
      </c>
      <c r="L273" s="3" t="s">
        <v>711</v>
      </c>
      <c r="M273" s="3" t="s">
        <v>719</v>
      </c>
      <c r="N273" s="3" t="s">
        <v>732</v>
      </c>
      <c r="O273" s="3" t="s">
        <v>1005</v>
      </c>
      <c r="P273" s="19">
        <v>325.87</v>
      </c>
      <c r="Q273" s="19">
        <v>538.79</v>
      </c>
      <c r="R273" s="15">
        <v>0.17399999999999999</v>
      </c>
      <c r="S273" s="7">
        <v>16</v>
      </c>
      <c r="T273" s="13">
        <f t="shared" si="81"/>
        <v>7120.6486400000003</v>
      </c>
      <c r="U273" s="13">
        <f t="shared" si="82"/>
        <v>5213.92</v>
      </c>
      <c r="V273" s="13">
        <f t="shared" si="94"/>
        <v>1906.7286400000003</v>
      </c>
      <c r="W273" s="15">
        <f t="shared" si="95"/>
        <v>0.26777457172778013</v>
      </c>
      <c r="X273" s="17" t="str">
        <f t="shared" si="96"/>
        <v>Q1-2025</v>
      </c>
      <c r="Y273" t="str">
        <f t="shared" si="97"/>
        <v>Asia → India → Delhi</v>
      </c>
      <c r="Z273" t="str">
        <f t="shared" si="98"/>
        <v>Low</v>
      </c>
      <c r="AA273">
        <f t="shared" si="83"/>
        <v>2025</v>
      </c>
      <c r="AB273">
        <f t="shared" si="84"/>
        <v>2</v>
      </c>
      <c r="AC273" t="str">
        <f t="shared" si="85"/>
        <v>No</v>
      </c>
      <c r="AD273" t="str">
        <f t="shared" si="86"/>
        <v>No</v>
      </c>
      <c r="AE273" s="36">
        <f>IF(Dashboard!$P$47&gt;'Staging Data'!R273,'Staging Data'!R273,Dashboard!$P$47)</f>
        <v>0.1</v>
      </c>
      <c r="AF273">
        <f>(100%+Dashboard!$P$48)*'Staging Data'!P273</f>
        <v>342.1635</v>
      </c>
      <c r="AG273">
        <f>(100%+Dashboard!$P$49)*S273</f>
        <v>16.64</v>
      </c>
      <c r="AH273" s="13">
        <f t="shared" si="87"/>
        <v>8068.9190399999998</v>
      </c>
      <c r="AI273" s="13">
        <f t="shared" si="88"/>
        <v>5693.6006400000006</v>
      </c>
      <c r="AJ273" s="13">
        <f t="shared" si="89"/>
        <v>2375.3183999999992</v>
      </c>
    </row>
    <row r="274" spans="1:36" x14ac:dyDescent="0.45">
      <c r="A274" s="3" t="s">
        <v>286</v>
      </c>
      <c r="B274" s="5">
        <v>45382</v>
      </c>
      <c r="C274" s="5">
        <v>45399</v>
      </c>
      <c r="D274" s="5">
        <f t="shared" si="90"/>
        <v>45382</v>
      </c>
      <c r="E274" s="5">
        <f t="shared" si="91"/>
        <v>45399</v>
      </c>
      <c r="F274" s="7">
        <f t="shared" si="92"/>
        <v>17</v>
      </c>
      <c r="G274" s="23" t="str">
        <f t="shared" si="93"/>
        <v>3-2024</v>
      </c>
      <c r="H274" s="3" t="s">
        <v>649</v>
      </c>
      <c r="I274" s="3" t="s">
        <v>656</v>
      </c>
      <c r="J274" s="3" t="s">
        <v>698</v>
      </c>
      <c r="K274" s="3" t="s">
        <v>702</v>
      </c>
      <c r="L274" s="3" t="s">
        <v>711</v>
      </c>
      <c r="M274" s="3" t="s">
        <v>722</v>
      </c>
      <c r="N274" s="3" t="s">
        <v>732</v>
      </c>
      <c r="O274" s="3" t="s">
        <v>1006</v>
      </c>
      <c r="P274" s="19">
        <v>1025.51</v>
      </c>
      <c r="Q274" s="19">
        <v>1436.54</v>
      </c>
      <c r="R274" s="15">
        <v>0.13900000000000001</v>
      </c>
      <c r="S274" s="7">
        <v>28</v>
      </c>
      <c r="T274" s="13">
        <f t="shared" si="81"/>
        <v>34632.106319999999</v>
      </c>
      <c r="U274" s="13">
        <f t="shared" si="82"/>
        <v>28714.28</v>
      </c>
      <c r="V274" s="13">
        <f t="shared" si="94"/>
        <v>5917.8263200000001</v>
      </c>
      <c r="W274" s="15">
        <f t="shared" si="95"/>
        <v>0.17087688127656453</v>
      </c>
      <c r="X274" s="17" t="str">
        <f t="shared" si="96"/>
        <v>Q1-2024</v>
      </c>
      <c r="Y274" t="str">
        <f t="shared" si="97"/>
        <v>Europe → Germany → Frankfurt</v>
      </c>
      <c r="Z274" t="str">
        <f t="shared" si="98"/>
        <v>Medium</v>
      </c>
      <c r="AA274">
        <f t="shared" si="83"/>
        <v>2024</v>
      </c>
      <c r="AB274">
        <f t="shared" si="84"/>
        <v>3</v>
      </c>
      <c r="AC274" t="str">
        <f t="shared" si="85"/>
        <v>No</v>
      </c>
      <c r="AD274" t="str">
        <f t="shared" si="86"/>
        <v>No</v>
      </c>
      <c r="AE274" s="36">
        <f>IF(Dashboard!$P$47&gt;'Staging Data'!R274,'Staging Data'!R274,Dashboard!$P$47)</f>
        <v>0.1</v>
      </c>
      <c r="AF274">
        <f>(100%+Dashboard!$P$48)*'Staging Data'!P274</f>
        <v>1076.7855</v>
      </c>
      <c r="AG274">
        <f>(100%+Dashboard!$P$49)*S274</f>
        <v>29.12</v>
      </c>
      <c r="AH274" s="13">
        <f t="shared" si="87"/>
        <v>37648.840320000003</v>
      </c>
      <c r="AI274" s="13">
        <f t="shared" si="88"/>
        <v>31355.993760000001</v>
      </c>
      <c r="AJ274" s="13">
        <f t="shared" si="89"/>
        <v>6292.8465600000018</v>
      </c>
    </row>
    <row r="275" spans="1:36" x14ac:dyDescent="0.45">
      <c r="A275" s="3" t="s">
        <v>287</v>
      </c>
      <c r="B275" s="5">
        <v>45131</v>
      </c>
      <c r="C275" s="5">
        <v>45151</v>
      </c>
      <c r="D275" s="5">
        <f t="shared" si="90"/>
        <v>45131</v>
      </c>
      <c r="E275" s="5">
        <f t="shared" si="91"/>
        <v>45151</v>
      </c>
      <c r="F275" s="7">
        <f t="shared" si="92"/>
        <v>20</v>
      </c>
      <c r="G275" s="23" t="str">
        <f t="shared" si="93"/>
        <v>7-2023</v>
      </c>
      <c r="H275" s="3" t="s">
        <v>648</v>
      </c>
      <c r="I275" s="3" t="s">
        <v>653</v>
      </c>
      <c r="J275" s="3" t="s">
        <v>681</v>
      </c>
      <c r="K275" s="3" t="s">
        <v>702</v>
      </c>
      <c r="L275" s="3" t="s">
        <v>711</v>
      </c>
      <c r="M275" s="3" t="s">
        <v>712</v>
      </c>
      <c r="N275" s="3" t="s">
        <v>732</v>
      </c>
      <c r="O275" s="3" t="s">
        <v>1007</v>
      </c>
      <c r="P275" s="19">
        <v>1082.3800000000001</v>
      </c>
      <c r="Q275" s="19">
        <v>1766.55</v>
      </c>
      <c r="R275" s="15">
        <v>0.16400000000000001</v>
      </c>
      <c r="S275" s="7">
        <v>20</v>
      </c>
      <c r="T275" s="13">
        <f t="shared" si="81"/>
        <v>29536.716</v>
      </c>
      <c r="U275" s="13">
        <f t="shared" si="82"/>
        <v>21647.600000000002</v>
      </c>
      <c r="V275" s="13">
        <f t="shared" si="94"/>
        <v>7889.1159999999982</v>
      </c>
      <c r="W275" s="15">
        <f t="shared" si="95"/>
        <v>0.26709523157550752</v>
      </c>
      <c r="X275" s="17" t="str">
        <f t="shared" si="96"/>
        <v>Q3-2023</v>
      </c>
      <c r="Y275" t="str">
        <f t="shared" si="97"/>
        <v>Americas → Canada → Montreal</v>
      </c>
      <c r="Z275" t="str">
        <f t="shared" si="98"/>
        <v>Medium</v>
      </c>
      <c r="AA275">
        <f t="shared" si="83"/>
        <v>2023</v>
      </c>
      <c r="AB275">
        <f t="shared" si="84"/>
        <v>7</v>
      </c>
      <c r="AC275" t="str">
        <f t="shared" si="85"/>
        <v>No</v>
      </c>
      <c r="AD275" t="str">
        <f t="shared" si="86"/>
        <v>No</v>
      </c>
      <c r="AE275" s="36">
        <f>IF(Dashboard!$P$47&gt;'Staging Data'!R275,'Staging Data'!R275,Dashboard!$P$47)</f>
        <v>0.1</v>
      </c>
      <c r="AF275">
        <f>(100%+Dashboard!$P$48)*'Staging Data'!P275</f>
        <v>1136.4990000000003</v>
      </c>
      <c r="AG275">
        <f>(100%+Dashboard!$P$49)*S275</f>
        <v>20.8</v>
      </c>
      <c r="AH275" s="13">
        <f t="shared" si="87"/>
        <v>33069.815999999999</v>
      </c>
      <c r="AI275" s="13">
        <f t="shared" si="88"/>
        <v>23639.179200000006</v>
      </c>
      <c r="AJ275" s="13">
        <f t="shared" si="89"/>
        <v>9430.6367999999929</v>
      </c>
    </row>
    <row r="276" spans="1:36" x14ac:dyDescent="0.45">
      <c r="A276" s="3" t="s">
        <v>288</v>
      </c>
      <c r="B276" s="5">
        <v>45367</v>
      </c>
      <c r="C276" s="5">
        <v>45395</v>
      </c>
      <c r="D276" s="5">
        <f t="shared" si="90"/>
        <v>45367</v>
      </c>
      <c r="E276" s="5">
        <f t="shared" si="91"/>
        <v>45395</v>
      </c>
      <c r="F276" s="7">
        <f t="shared" si="92"/>
        <v>28</v>
      </c>
      <c r="G276" s="23" t="str">
        <f t="shared" si="93"/>
        <v>3-2024</v>
      </c>
      <c r="H276" s="3" t="s">
        <v>649</v>
      </c>
      <c r="I276" s="3" t="s">
        <v>657</v>
      </c>
      <c r="J276" s="3" t="s">
        <v>690</v>
      </c>
      <c r="K276" s="3" t="s">
        <v>705</v>
      </c>
      <c r="L276" s="3" t="s">
        <v>708</v>
      </c>
      <c r="M276" s="3" t="s">
        <v>723</v>
      </c>
      <c r="N276" s="3" t="s">
        <v>728</v>
      </c>
      <c r="O276" s="3" t="s">
        <v>1008</v>
      </c>
      <c r="P276" s="19">
        <v>287.61</v>
      </c>
      <c r="Q276" s="19">
        <v>628.54</v>
      </c>
      <c r="R276" s="15">
        <v>0.13500000000000001</v>
      </c>
      <c r="S276" s="7">
        <v>21</v>
      </c>
      <c r="T276" s="13">
        <f t="shared" si="81"/>
        <v>11417.429099999999</v>
      </c>
      <c r="U276" s="13">
        <f t="shared" si="82"/>
        <v>6039.81</v>
      </c>
      <c r="V276" s="13">
        <f t="shared" si="94"/>
        <v>5377.619099999999</v>
      </c>
      <c r="W276" s="15">
        <f t="shared" si="95"/>
        <v>0.47100087531964613</v>
      </c>
      <c r="X276" s="17" t="str">
        <f t="shared" si="96"/>
        <v>Q1-2024</v>
      </c>
      <c r="Y276" t="str">
        <f t="shared" si="97"/>
        <v>Europe → France → Paris</v>
      </c>
      <c r="Z276" t="str">
        <f t="shared" si="98"/>
        <v>Low</v>
      </c>
      <c r="AA276">
        <f t="shared" si="83"/>
        <v>2024</v>
      </c>
      <c r="AB276">
        <f t="shared" si="84"/>
        <v>3</v>
      </c>
      <c r="AC276" t="str">
        <f t="shared" si="85"/>
        <v>No</v>
      </c>
      <c r="AD276" t="str">
        <f t="shared" si="86"/>
        <v>No</v>
      </c>
      <c r="AE276" s="36">
        <f>IF(Dashboard!$P$47&gt;'Staging Data'!R276,'Staging Data'!R276,Dashboard!$P$47)</f>
        <v>0.1</v>
      </c>
      <c r="AF276">
        <f>(100%+Dashboard!$P$48)*'Staging Data'!P276</f>
        <v>301.99050000000005</v>
      </c>
      <c r="AG276">
        <f>(100%+Dashboard!$P$49)*S276</f>
        <v>21.84</v>
      </c>
      <c r="AH276" s="13">
        <f t="shared" si="87"/>
        <v>12354.58224</v>
      </c>
      <c r="AI276" s="13">
        <f t="shared" si="88"/>
        <v>6595.4725200000012</v>
      </c>
      <c r="AJ276" s="13">
        <f t="shared" si="89"/>
        <v>5759.1097199999986</v>
      </c>
    </row>
    <row r="277" spans="1:36" x14ac:dyDescent="0.45">
      <c r="A277" s="3" t="s">
        <v>561</v>
      </c>
      <c r="B277" s="5">
        <v>45177</v>
      </c>
      <c r="C277" s="5">
        <v>45201</v>
      </c>
      <c r="D277" s="5">
        <f t="shared" si="90"/>
        <v>45177</v>
      </c>
      <c r="E277" s="5">
        <f t="shared" si="91"/>
        <v>45201</v>
      </c>
      <c r="F277" s="7">
        <f t="shared" si="92"/>
        <v>24</v>
      </c>
      <c r="G277" s="23" t="str">
        <f t="shared" si="93"/>
        <v>9-2023</v>
      </c>
      <c r="H277" s="3" t="s">
        <v>648</v>
      </c>
      <c r="I277" s="3" t="s">
        <v>653</v>
      </c>
      <c r="J277" s="3" t="s">
        <v>667</v>
      </c>
      <c r="K277" s="3" t="s">
        <v>702</v>
      </c>
      <c r="L277" s="3" t="s">
        <v>711</v>
      </c>
      <c r="M277" s="3" t="s">
        <v>720</v>
      </c>
      <c r="N277" s="3" t="s">
        <v>733</v>
      </c>
      <c r="O277" s="3" t="s">
        <v>1279</v>
      </c>
      <c r="P277" s="19">
        <v>1299.03</v>
      </c>
      <c r="Q277" s="19">
        <v>2451.2199999999998</v>
      </c>
      <c r="R277" s="15">
        <v>0.20799999999999999</v>
      </c>
      <c r="S277" s="7">
        <v>8</v>
      </c>
      <c r="T277" s="13">
        <f t="shared" si="81"/>
        <v>15530.929919999999</v>
      </c>
      <c r="U277" s="13">
        <f t="shared" si="82"/>
        <v>10392.24</v>
      </c>
      <c r="V277" s="13">
        <f t="shared" si="94"/>
        <v>5138.6899199999989</v>
      </c>
      <c r="W277" s="15">
        <f t="shared" si="95"/>
        <v>0.3308681416032041</v>
      </c>
      <c r="X277" s="17" t="str">
        <f t="shared" si="96"/>
        <v>Q3-2023</v>
      </c>
      <c r="Y277" t="str">
        <f t="shared" si="97"/>
        <v>Americas → Canada → Toronto</v>
      </c>
      <c r="Z277" t="str">
        <f t="shared" si="98"/>
        <v>High</v>
      </c>
      <c r="AA277">
        <f t="shared" si="83"/>
        <v>2023</v>
      </c>
      <c r="AB277">
        <f t="shared" si="84"/>
        <v>9</v>
      </c>
      <c r="AC277" t="str">
        <f t="shared" si="85"/>
        <v>No</v>
      </c>
      <c r="AD277" t="str">
        <f t="shared" si="86"/>
        <v>Yes</v>
      </c>
      <c r="AE277" s="36">
        <f>IF(Dashboard!$P$47&gt;'Staging Data'!R277,'Staging Data'!R277,Dashboard!$P$47)</f>
        <v>0.1</v>
      </c>
      <c r="AF277">
        <f>(100%+Dashboard!$P$48)*'Staging Data'!P277</f>
        <v>1363.9815000000001</v>
      </c>
      <c r="AG277">
        <f>(100%+Dashboard!$P$49)*S277</f>
        <v>8.32</v>
      </c>
      <c r="AH277" s="13">
        <f t="shared" si="87"/>
        <v>18354.735359999999</v>
      </c>
      <c r="AI277" s="13">
        <f t="shared" si="88"/>
        <v>11348.326080000001</v>
      </c>
      <c r="AJ277" s="13">
        <f t="shared" si="89"/>
        <v>7006.409279999998</v>
      </c>
    </row>
    <row r="278" spans="1:36" x14ac:dyDescent="0.45">
      <c r="A278" s="3" t="s">
        <v>290</v>
      </c>
      <c r="B278" s="5">
        <v>45378</v>
      </c>
      <c r="C278" s="5">
        <v>45393</v>
      </c>
      <c r="D278" s="5">
        <f t="shared" si="90"/>
        <v>45378</v>
      </c>
      <c r="E278" s="5">
        <f t="shared" si="91"/>
        <v>45393</v>
      </c>
      <c r="F278" s="7">
        <f t="shared" si="92"/>
        <v>15</v>
      </c>
      <c r="G278" s="23" t="str">
        <f t="shared" si="93"/>
        <v>3-2024</v>
      </c>
      <c r="H278" s="3" t="s">
        <v>648</v>
      </c>
      <c r="I278" s="3" t="s">
        <v>660</v>
      </c>
      <c r="J278" s="3" t="s">
        <v>686</v>
      </c>
      <c r="K278" s="3" t="s">
        <v>705</v>
      </c>
      <c r="L278" s="3" t="s">
        <v>711</v>
      </c>
      <c r="M278" s="3" t="s">
        <v>719</v>
      </c>
      <c r="N278" s="3" t="s">
        <v>729</v>
      </c>
      <c r="O278" s="3" t="s">
        <v>1010</v>
      </c>
      <c r="P278" s="19">
        <v>1338.35</v>
      </c>
      <c r="Q278" s="19">
        <v>2247.14</v>
      </c>
      <c r="R278" s="15">
        <v>0.115</v>
      </c>
      <c r="S278" s="7">
        <v>40</v>
      </c>
      <c r="T278" s="13">
        <f t="shared" si="81"/>
        <v>79548.755999999994</v>
      </c>
      <c r="U278" s="13">
        <f t="shared" si="82"/>
        <v>53534</v>
      </c>
      <c r="V278" s="13">
        <f t="shared" si="94"/>
        <v>26014.755999999994</v>
      </c>
      <c r="W278" s="15">
        <f t="shared" si="95"/>
        <v>0.32702907384246205</v>
      </c>
      <c r="X278" s="17" t="str">
        <f t="shared" si="96"/>
        <v>Q1-2024</v>
      </c>
      <c r="Y278" t="str">
        <f t="shared" si="97"/>
        <v>Americas → USA → San Francisco</v>
      </c>
      <c r="Z278" t="str">
        <f t="shared" si="98"/>
        <v>High</v>
      </c>
      <c r="AA278">
        <f t="shared" si="83"/>
        <v>2024</v>
      </c>
      <c r="AB278">
        <f t="shared" si="84"/>
        <v>3</v>
      </c>
      <c r="AC278" t="str">
        <f t="shared" si="85"/>
        <v>No</v>
      </c>
      <c r="AD278" t="str">
        <f t="shared" si="86"/>
        <v>No</v>
      </c>
      <c r="AE278" s="36">
        <f>IF(Dashboard!$P$47&gt;'Staging Data'!R278,'Staging Data'!R278,Dashboard!$P$47)</f>
        <v>0.1</v>
      </c>
      <c r="AF278">
        <f>(100%+Dashboard!$P$48)*'Staging Data'!P278</f>
        <v>1405.2674999999999</v>
      </c>
      <c r="AG278">
        <f>(100%+Dashboard!$P$49)*S278</f>
        <v>41.6</v>
      </c>
      <c r="AH278" s="13">
        <f t="shared" si="87"/>
        <v>84132.921600000001</v>
      </c>
      <c r="AI278" s="13">
        <f t="shared" si="88"/>
        <v>58459.127999999997</v>
      </c>
      <c r="AJ278" s="13">
        <f t="shared" si="89"/>
        <v>25673.793600000005</v>
      </c>
    </row>
    <row r="279" spans="1:36" x14ac:dyDescent="0.45">
      <c r="A279" s="3" t="s">
        <v>65</v>
      </c>
      <c r="B279" s="5">
        <v>45602</v>
      </c>
      <c r="C279" s="5">
        <v>45618</v>
      </c>
      <c r="D279" s="5">
        <f t="shared" si="90"/>
        <v>45602</v>
      </c>
      <c r="E279" s="5">
        <f t="shared" si="91"/>
        <v>45618</v>
      </c>
      <c r="F279" s="7">
        <f t="shared" si="92"/>
        <v>16</v>
      </c>
      <c r="G279" s="23" t="str">
        <f t="shared" si="93"/>
        <v>11-2024</v>
      </c>
      <c r="H279" s="3" t="s">
        <v>648</v>
      </c>
      <c r="I279" s="3" t="s">
        <v>653</v>
      </c>
      <c r="J279" s="3" t="s">
        <v>667</v>
      </c>
      <c r="K279" s="3" t="s">
        <v>703</v>
      </c>
      <c r="L279" s="3" t="s">
        <v>710</v>
      </c>
      <c r="M279" s="3" t="s">
        <v>726</v>
      </c>
      <c r="N279" s="3" t="s">
        <v>733</v>
      </c>
      <c r="O279" s="3" t="s">
        <v>784</v>
      </c>
      <c r="P279" s="19">
        <v>1454.11</v>
      </c>
      <c r="Q279" s="19">
        <v>2629.75</v>
      </c>
      <c r="R279" s="15">
        <v>0.29199999999999998</v>
      </c>
      <c r="S279" s="7">
        <v>8</v>
      </c>
      <c r="T279" s="13">
        <f t="shared" si="81"/>
        <v>14894.903999999999</v>
      </c>
      <c r="U279" s="13">
        <f t="shared" si="82"/>
        <v>11632.88</v>
      </c>
      <c r="V279" s="13">
        <f t="shared" si="94"/>
        <v>3262.0239999999994</v>
      </c>
      <c r="W279" s="15">
        <f t="shared" si="95"/>
        <v>0.21900268709351867</v>
      </c>
      <c r="X279" s="17" t="str">
        <f t="shared" si="96"/>
        <v>Q4-2024</v>
      </c>
      <c r="Y279" t="str">
        <f t="shared" si="97"/>
        <v>Americas → Canada → Toronto</v>
      </c>
      <c r="Z279" t="str">
        <f t="shared" si="98"/>
        <v>High</v>
      </c>
      <c r="AA279">
        <f t="shared" si="83"/>
        <v>2024</v>
      </c>
      <c r="AB279">
        <f t="shared" si="84"/>
        <v>11</v>
      </c>
      <c r="AC279" t="str">
        <f t="shared" si="85"/>
        <v>No</v>
      </c>
      <c r="AD279" t="str">
        <f t="shared" si="86"/>
        <v>Yes</v>
      </c>
      <c r="AE279" s="36">
        <f>IF(Dashboard!$P$47&gt;'Staging Data'!R279,'Staging Data'!R279,Dashboard!$P$47)</f>
        <v>0.1</v>
      </c>
      <c r="AF279">
        <f>(100%+Dashboard!$P$48)*'Staging Data'!P279</f>
        <v>1526.8154999999999</v>
      </c>
      <c r="AG279">
        <f>(100%+Dashboard!$P$49)*S279</f>
        <v>8.32</v>
      </c>
      <c r="AH279" s="13">
        <f t="shared" si="87"/>
        <v>19691.567999999999</v>
      </c>
      <c r="AI279" s="13">
        <f t="shared" si="88"/>
        <v>12703.104960000001</v>
      </c>
      <c r="AJ279" s="13">
        <f t="shared" si="89"/>
        <v>6988.4630399999987</v>
      </c>
    </row>
    <row r="280" spans="1:36" x14ac:dyDescent="0.45">
      <c r="A280" s="3" t="s">
        <v>292</v>
      </c>
      <c r="B280" s="5">
        <v>45459</v>
      </c>
      <c r="C280" s="5">
        <v>45476</v>
      </c>
      <c r="D280" s="5">
        <f t="shared" si="90"/>
        <v>45459</v>
      </c>
      <c r="E280" s="5">
        <f t="shared" si="91"/>
        <v>45476</v>
      </c>
      <c r="F280" s="7">
        <f t="shared" si="92"/>
        <v>17</v>
      </c>
      <c r="G280" s="23" t="str">
        <f t="shared" si="93"/>
        <v>6-2024</v>
      </c>
      <c r="H280" s="3" t="s">
        <v>646</v>
      </c>
      <c r="I280" s="3" t="s">
        <v>661</v>
      </c>
      <c r="J280" s="3" t="s">
        <v>682</v>
      </c>
      <c r="K280" s="3" t="s">
        <v>706</v>
      </c>
      <c r="L280" s="3" t="s">
        <v>709</v>
      </c>
      <c r="M280" s="3" t="s">
        <v>721</v>
      </c>
      <c r="N280" s="3" t="s">
        <v>730</v>
      </c>
      <c r="O280" s="3" t="s">
        <v>1012</v>
      </c>
      <c r="P280" s="19">
        <v>1173.83</v>
      </c>
      <c r="Q280" s="19">
        <v>2328.9</v>
      </c>
      <c r="R280" s="15">
        <v>0.12</v>
      </c>
      <c r="S280" s="7">
        <v>17</v>
      </c>
      <c r="T280" s="13">
        <f t="shared" si="81"/>
        <v>34840.344000000005</v>
      </c>
      <c r="U280" s="13">
        <f t="shared" si="82"/>
        <v>19955.11</v>
      </c>
      <c r="V280" s="13">
        <f t="shared" si="94"/>
        <v>14885.234000000004</v>
      </c>
      <c r="W280" s="15">
        <f t="shared" si="95"/>
        <v>0.42724130393201637</v>
      </c>
      <c r="X280" s="17" t="str">
        <f t="shared" si="96"/>
        <v>Q2-2024</v>
      </c>
      <c r="Y280" t="str">
        <f t="shared" si="97"/>
        <v>Africa → South Africa → Johannesburg</v>
      </c>
      <c r="Z280" t="str">
        <f t="shared" si="98"/>
        <v>High</v>
      </c>
      <c r="AA280">
        <f t="shared" si="83"/>
        <v>2024</v>
      </c>
      <c r="AB280">
        <f t="shared" si="84"/>
        <v>6</v>
      </c>
      <c r="AC280" t="str">
        <f t="shared" si="85"/>
        <v>No</v>
      </c>
      <c r="AD280" t="str">
        <f t="shared" si="86"/>
        <v>No</v>
      </c>
      <c r="AE280" s="36">
        <f>IF(Dashboard!$P$47&gt;'Staging Data'!R280,'Staging Data'!R280,Dashboard!$P$47)</f>
        <v>0.1</v>
      </c>
      <c r="AF280">
        <f>(100%+Dashboard!$P$48)*'Staging Data'!P280</f>
        <v>1232.5215000000001</v>
      </c>
      <c r="AG280">
        <f>(100%+Dashboard!$P$49)*S280</f>
        <v>17.68</v>
      </c>
      <c r="AH280" s="13">
        <f t="shared" si="87"/>
        <v>37057.4568</v>
      </c>
      <c r="AI280" s="13">
        <f t="shared" si="88"/>
        <v>21790.98012</v>
      </c>
      <c r="AJ280" s="13">
        <f t="shared" si="89"/>
        <v>15266.47668</v>
      </c>
    </row>
    <row r="281" spans="1:36" x14ac:dyDescent="0.45">
      <c r="A281" s="3" t="s">
        <v>293</v>
      </c>
      <c r="B281" s="5">
        <v>45229</v>
      </c>
      <c r="C281" s="5">
        <v>45244</v>
      </c>
      <c r="D281" s="5">
        <f t="shared" si="90"/>
        <v>45229</v>
      </c>
      <c r="E281" s="5">
        <f t="shared" si="91"/>
        <v>45244</v>
      </c>
      <c r="F281" s="7">
        <f t="shared" si="92"/>
        <v>15</v>
      </c>
      <c r="G281" s="23" t="str">
        <f t="shared" si="93"/>
        <v>10-2023</v>
      </c>
      <c r="H281" s="3" t="s">
        <v>647</v>
      </c>
      <c r="I281" s="3" t="s">
        <v>654</v>
      </c>
      <c r="J281" s="3" t="s">
        <v>668</v>
      </c>
      <c r="K281" s="3" t="s">
        <v>701</v>
      </c>
      <c r="L281" s="3" t="s">
        <v>708</v>
      </c>
      <c r="M281" s="3" t="s">
        <v>721</v>
      </c>
      <c r="N281" s="3" t="s">
        <v>731</v>
      </c>
      <c r="O281" s="3" t="s">
        <v>1013</v>
      </c>
      <c r="P281" s="19">
        <v>953.46</v>
      </c>
      <c r="Q281" s="19">
        <v>2066.75</v>
      </c>
      <c r="R281" s="15">
        <v>0.13800000000000001</v>
      </c>
      <c r="S281" s="7">
        <v>5</v>
      </c>
      <c r="T281" s="13">
        <f t="shared" si="81"/>
        <v>8907.6924999999992</v>
      </c>
      <c r="U281" s="13">
        <f t="shared" si="82"/>
        <v>4767.3</v>
      </c>
      <c r="V281" s="13">
        <f t="shared" si="94"/>
        <v>4140.392499999999</v>
      </c>
      <c r="W281" s="15">
        <f t="shared" si="95"/>
        <v>0.46481089238318446</v>
      </c>
      <c r="X281" s="17" t="str">
        <f t="shared" si="96"/>
        <v>Q4-2023</v>
      </c>
      <c r="Y281" t="str">
        <f t="shared" si="97"/>
        <v>Asia → India → Bengaluru</v>
      </c>
      <c r="Z281" t="str">
        <f t="shared" si="98"/>
        <v>High</v>
      </c>
      <c r="AA281">
        <f t="shared" si="83"/>
        <v>2023</v>
      </c>
      <c r="AB281">
        <f t="shared" si="84"/>
        <v>10</v>
      </c>
      <c r="AC281" t="str">
        <f t="shared" si="85"/>
        <v>No</v>
      </c>
      <c r="AD281" t="str">
        <f t="shared" si="86"/>
        <v>No</v>
      </c>
      <c r="AE281" s="36">
        <f>IF(Dashboard!$P$47&gt;'Staging Data'!R281,'Staging Data'!R281,Dashboard!$P$47)</f>
        <v>0.1</v>
      </c>
      <c r="AF281">
        <f>(100%+Dashboard!$P$48)*'Staging Data'!P281</f>
        <v>1001.133</v>
      </c>
      <c r="AG281">
        <f>(100%+Dashboard!$P$49)*S281</f>
        <v>5.2</v>
      </c>
      <c r="AH281" s="13">
        <f t="shared" si="87"/>
        <v>9672.3900000000012</v>
      </c>
      <c r="AI281" s="13">
        <f t="shared" si="88"/>
        <v>5205.8915999999999</v>
      </c>
      <c r="AJ281" s="13">
        <f t="shared" si="89"/>
        <v>4466.4984000000013</v>
      </c>
    </row>
    <row r="282" spans="1:36" x14ac:dyDescent="0.45">
      <c r="A282" s="3" t="s">
        <v>294</v>
      </c>
      <c r="B282" s="5">
        <v>45092</v>
      </c>
      <c r="C282" s="5">
        <v>45100</v>
      </c>
      <c r="D282" s="5">
        <f t="shared" si="90"/>
        <v>45092</v>
      </c>
      <c r="E282" s="5">
        <f t="shared" si="91"/>
        <v>45100</v>
      </c>
      <c r="F282" s="7">
        <f t="shared" si="92"/>
        <v>8</v>
      </c>
      <c r="G282" s="23" t="str">
        <f t="shared" si="93"/>
        <v>6-2023</v>
      </c>
      <c r="H282" s="3" t="s">
        <v>648</v>
      </c>
      <c r="I282" s="3" t="s">
        <v>660</v>
      </c>
      <c r="J282" s="3" t="s">
        <v>686</v>
      </c>
      <c r="K282" s="3" t="s">
        <v>704</v>
      </c>
      <c r="L282" s="3" t="s">
        <v>710</v>
      </c>
      <c r="M282" s="3" t="s">
        <v>719</v>
      </c>
      <c r="N282" s="3" t="s">
        <v>732</v>
      </c>
      <c r="O282" s="3" t="s">
        <v>1014</v>
      </c>
      <c r="P282" s="19">
        <v>1097.0899999999999</v>
      </c>
      <c r="Q282" s="19">
        <v>2182.31</v>
      </c>
      <c r="R282" s="15">
        <v>0.112</v>
      </c>
      <c r="S282" s="7">
        <v>9</v>
      </c>
      <c r="T282" s="13">
        <f t="shared" si="81"/>
        <v>17441.021520000002</v>
      </c>
      <c r="U282" s="13">
        <f t="shared" si="82"/>
        <v>9873.81</v>
      </c>
      <c r="V282" s="13">
        <f t="shared" si="94"/>
        <v>7567.2115200000026</v>
      </c>
      <c r="W282" s="15">
        <f t="shared" si="95"/>
        <v>0.43387432962699546</v>
      </c>
      <c r="X282" s="17" t="str">
        <f t="shared" si="96"/>
        <v>Q2-2023</v>
      </c>
      <c r="Y282" t="str">
        <f t="shared" si="97"/>
        <v>Americas → USA → San Francisco</v>
      </c>
      <c r="Z282" t="str">
        <f t="shared" si="98"/>
        <v>High</v>
      </c>
      <c r="AA282">
        <f t="shared" si="83"/>
        <v>2023</v>
      </c>
      <c r="AB282">
        <f t="shared" si="84"/>
        <v>6</v>
      </c>
      <c r="AC282" t="str">
        <f t="shared" si="85"/>
        <v>No</v>
      </c>
      <c r="AD282" t="str">
        <f t="shared" si="86"/>
        <v>No</v>
      </c>
      <c r="AE282" s="36">
        <f>IF(Dashboard!$P$47&gt;'Staging Data'!R282,'Staging Data'!R282,Dashboard!$P$47)</f>
        <v>0.1</v>
      </c>
      <c r="AF282">
        <f>(100%+Dashboard!$P$48)*'Staging Data'!P282</f>
        <v>1151.9445000000001</v>
      </c>
      <c r="AG282">
        <f>(100%+Dashboard!$P$49)*S282</f>
        <v>9.36</v>
      </c>
      <c r="AH282" s="13">
        <f t="shared" si="87"/>
        <v>18383.779439999998</v>
      </c>
      <c r="AI282" s="13">
        <f t="shared" si="88"/>
        <v>10782.20052</v>
      </c>
      <c r="AJ282" s="13">
        <f t="shared" si="89"/>
        <v>7601.5789199999981</v>
      </c>
    </row>
    <row r="283" spans="1:36" x14ac:dyDescent="0.45">
      <c r="A283" s="3" t="s">
        <v>295</v>
      </c>
      <c r="B283" s="5">
        <v>45730</v>
      </c>
      <c r="C283" s="5">
        <v>45745</v>
      </c>
      <c r="D283" s="5">
        <f t="shared" si="90"/>
        <v>45730</v>
      </c>
      <c r="E283" s="5">
        <f t="shared" si="91"/>
        <v>45745</v>
      </c>
      <c r="F283" s="7">
        <f t="shared" si="92"/>
        <v>15</v>
      </c>
      <c r="G283" s="23" t="str">
        <f t="shared" si="93"/>
        <v>3-2025</v>
      </c>
      <c r="H283" s="3" t="s">
        <v>647</v>
      </c>
      <c r="I283" s="3" t="s">
        <v>652</v>
      </c>
      <c r="J283" s="3" t="s">
        <v>689</v>
      </c>
      <c r="K283" s="3" t="s">
        <v>703</v>
      </c>
      <c r="L283" s="3" t="s">
        <v>711</v>
      </c>
      <c r="M283" s="3" t="s">
        <v>722</v>
      </c>
      <c r="N283" s="3" t="s">
        <v>729</v>
      </c>
      <c r="O283" s="3" t="s">
        <v>1015</v>
      </c>
      <c r="P283" s="19">
        <v>1106.96</v>
      </c>
      <c r="Q283" s="19">
        <v>2726.62</v>
      </c>
      <c r="R283" s="15">
        <v>0.1186</v>
      </c>
      <c r="S283" s="7">
        <v>7</v>
      </c>
      <c r="T283" s="13">
        <f t="shared" si="81"/>
        <v>16822.700076000001</v>
      </c>
      <c r="U283" s="13">
        <f t="shared" si="82"/>
        <v>7748.72</v>
      </c>
      <c r="V283" s="13">
        <f t="shared" si="94"/>
        <v>9073.9800759999998</v>
      </c>
      <c r="W283" s="15">
        <f t="shared" si="95"/>
        <v>0.53938904189020975</v>
      </c>
      <c r="X283" s="17" t="str">
        <f t="shared" si="96"/>
        <v>Q1-2025</v>
      </c>
      <c r="Y283" t="str">
        <f t="shared" si="97"/>
        <v>Asia → Japan → Tokyo</v>
      </c>
      <c r="Z283" t="str">
        <f t="shared" si="98"/>
        <v>High</v>
      </c>
      <c r="AA283">
        <f t="shared" si="83"/>
        <v>2025</v>
      </c>
      <c r="AB283">
        <f t="shared" si="84"/>
        <v>3</v>
      </c>
      <c r="AC283" t="str">
        <f t="shared" si="85"/>
        <v>No</v>
      </c>
      <c r="AD283" t="str">
        <f t="shared" si="86"/>
        <v>No</v>
      </c>
      <c r="AE283" s="36">
        <f>IF(Dashboard!$P$47&gt;'Staging Data'!R283,'Staging Data'!R283,Dashboard!$P$47)</f>
        <v>0.1</v>
      </c>
      <c r="AF283">
        <f>(100%+Dashboard!$P$48)*'Staging Data'!P283</f>
        <v>1162.308</v>
      </c>
      <c r="AG283">
        <f>(100%+Dashboard!$P$49)*S283</f>
        <v>7.28</v>
      </c>
      <c r="AH283" s="13">
        <f t="shared" si="87"/>
        <v>17864.81424</v>
      </c>
      <c r="AI283" s="13">
        <f t="shared" si="88"/>
        <v>8461.6022400000002</v>
      </c>
      <c r="AJ283" s="13">
        <f t="shared" si="89"/>
        <v>9403.2119999999995</v>
      </c>
    </row>
    <row r="284" spans="1:36" x14ac:dyDescent="0.45">
      <c r="A284" s="3" t="s">
        <v>296</v>
      </c>
      <c r="B284" s="5">
        <v>45153</v>
      </c>
      <c r="C284" s="5">
        <v>45163</v>
      </c>
      <c r="D284" s="5">
        <f t="shared" si="90"/>
        <v>45153</v>
      </c>
      <c r="E284" s="5">
        <f t="shared" si="91"/>
        <v>45163</v>
      </c>
      <c r="F284" s="7">
        <f t="shared" si="92"/>
        <v>10</v>
      </c>
      <c r="G284" s="23" t="str">
        <f t="shared" si="93"/>
        <v>8-2023</v>
      </c>
      <c r="H284" s="3" t="s">
        <v>646</v>
      </c>
      <c r="I284" s="3" t="s">
        <v>650</v>
      </c>
      <c r="J284" s="3" t="s">
        <v>664</v>
      </c>
      <c r="K284" s="3" t="s">
        <v>705</v>
      </c>
      <c r="L284" s="3" t="s">
        <v>707</v>
      </c>
      <c r="M284" s="3" t="s">
        <v>725</v>
      </c>
      <c r="N284" s="3" t="s">
        <v>730</v>
      </c>
      <c r="O284" s="3" t="s">
        <v>1016</v>
      </c>
      <c r="P284" s="19">
        <v>91.85</v>
      </c>
      <c r="Q284" s="19">
        <v>111.29</v>
      </c>
      <c r="R284" s="15">
        <v>0</v>
      </c>
      <c r="S284" s="7">
        <v>6</v>
      </c>
      <c r="T284" s="13">
        <f t="shared" si="81"/>
        <v>667.74</v>
      </c>
      <c r="U284" s="13">
        <f t="shared" si="82"/>
        <v>551.09999999999991</v>
      </c>
      <c r="V284" s="13">
        <f t="shared" si="94"/>
        <v>116.6400000000001</v>
      </c>
      <c r="W284" s="15">
        <f t="shared" si="95"/>
        <v>0.17467876718483258</v>
      </c>
      <c r="X284" s="17" t="str">
        <f t="shared" si="96"/>
        <v>Q3-2023</v>
      </c>
      <c r="Y284" t="str">
        <f t="shared" si="97"/>
        <v>Africa → Kenya → Nairobi</v>
      </c>
      <c r="Z284" t="str">
        <f t="shared" si="98"/>
        <v>Low</v>
      </c>
      <c r="AA284">
        <f t="shared" si="83"/>
        <v>2023</v>
      </c>
      <c r="AB284">
        <f t="shared" si="84"/>
        <v>8</v>
      </c>
      <c r="AC284" t="str">
        <f t="shared" si="85"/>
        <v>No</v>
      </c>
      <c r="AD284" t="str">
        <f t="shared" si="86"/>
        <v>No</v>
      </c>
      <c r="AE284" s="36">
        <f>IF(Dashboard!$P$47&gt;'Staging Data'!R284,'Staging Data'!R284,Dashboard!$P$47)</f>
        <v>0</v>
      </c>
      <c r="AF284">
        <f>(100%+Dashboard!$P$48)*'Staging Data'!P284</f>
        <v>96.442499999999995</v>
      </c>
      <c r="AG284">
        <f>(100%+Dashboard!$P$49)*S284</f>
        <v>6.24</v>
      </c>
      <c r="AH284" s="13">
        <f t="shared" si="87"/>
        <v>694.44960000000003</v>
      </c>
      <c r="AI284" s="13">
        <f t="shared" si="88"/>
        <v>601.80119999999999</v>
      </c>
      <c r="AJ284" s="13">
        <f t="shared" si="89"/>
        <v>92.648400000000038</v>
      </c>
    </row>
    <row r="285" spans="1:36" x14ac:dyDescent="0.45">
      <c r="A285" s="3" t="s">
        <v>297</v>
      </c>
      <c r="B285" s="5">
        <v>45794</v>
      </c>
      <c r="C285" s="5">
        <v>45805</v>
      </c>
      <c r="D285" s="5">
        <f t="shared" si="90"/>
        <v>45794</v>
      </c>
      <c r="E285" s="5">
        <f t="shared" si="91"/>
        <v>45805</v>
      </c>
      <c r="F285" s="7">
        <f t="shared" si="92"/>
        <v>11</v>
      </c>
      <c r="G285" s="23" t="str">
        <f t="shared" si="93"/>
        <v>5-2025</v>
      </c>
      <c r="H285" s="3" t="s">
        <v>647</v>
      </c>
      <c r="I285" s="3" t="s">
        <v>654</v>
      </c>
      <c r="J285" s="3" t="s">
        <v>668</v>
      </c>
      <c r="K285" s="3" t="s">
        <v>701</v>
      </c>
      <c r="L285" s="3" t="s">
        <v>710</v>
      </c>
      <c r="M285" s="3" t="s">
        <v>717</v>
      </c>
      <c r="N285" s="3" t="s">
        <v>731</v>
      </c>
      <c r="O285" s="3" t="s">
        <v>1017</v>
      </c>
      <c r="P285" s="19">
        <v>623.4</v>
      </c>
      <c r="Q285" s="19">
        <v>1100.0899999999999</v>
      </c>
      <c r="R285" s="15">
        <v>0.114</v>
      </c>
      <c r="S285" s="7">
        <v>12</v>
      </c>
      <c r="T285" s="13">
        <f t="shared" si="81"/>
        <v>11696.156879999999</v>
      </c>
      <c r="U285" s="13">
        <f t="shared" si="82"/>
        <v>7480.7999999999993</v>
      </c>
      <c r="V285" s="13">
        <f t="shared" si="94"/>
        <v>4215.3568799999994</v>
      </c>
      <c r="W285" s="15">
        <f t="shared" si="95"/>
        <v>0.36040529579490388</v>
      </c>
      <c r="X285" s="17" t="str">
        <f t="shared" si="96"/>
        <v>Q2-2025</v>
      </c>
      <c r="Y285" t="str">
        <f t="shared" si="97"/>
        <v>Asia → India → Bengaluru</v>
      </c>
      <c r="Z285" t="str">
        <f t="shared" si="98"/>
        <v>Low</v>
      </c>
      <c r="AA285">
        <f t="shared" si="83"/>
        <v>2025</v>
      </c>
      <c r="AB285">
        <f t="shared" si="84"/>
        <v>5</v>
      </c>
      <c r="AC285" t="str">
        <f t="shared" si="85"/>
        <v>No</v>
      </c>
      <c r="AD285" t="str">
        <f t="shared" si="86"/>
        <v>No</v>
      </c>
      <c r="AE285" s="36">
        <f>IF(Dashboard!$P$47&gt;'Staging Data'!R285,'Staging Data'!R285,Dashboard!$P$47)</f>
        <v>0.1</v>
      </c>
      <c r="AF285">
        <f>(100%+Dashboard!$P$48)*'Staging Data'!P285</f>
        <v>654.57000000000005</v>
      </c>
      <c r="AG285">
        <f>(100%+Dashboard!$P$49)*S285</f>
        <v>12.48</v>
      </c>
      <c r="AH285" s="13">
        <f t="shared" si="87"/>
        <v>12356.210880000001</v>
      </c>
      <c r="AI285" s="13">
        <f t="shared" si="88"/>
        <v>8169.0336000000007</v>
      </c>
      <c r="AJ285" s="13">
        <f t="shared" si="89"/>
        <v>4187.1772799999999</v>
      </c>
    </row>
    <row r="286" spans="1:36" x14ac:dyDescent="0.45">
      <c r="A286" s="3" t="s">
        <v>298</v>
      </c>
      <c r="B286" s="5">
        <v>45304</v>
      </c>
      <c r="C286" s="5">
        <v>45327</v>
      </c>
      <c r="D286" s="5">
        <f t="shared" si="90"/>
        <v>45304</v>
      </c>
      <c r="E286" s="5">
        <f t="shared" si="91"/>
        <v>45327</v>
      </c>
      <c r="F286" s="7">
        <f t="shared" si="92"/>
        <v>23</v>
      </c>
      <c r="G286" s="23" t="str">
        <f t="shared" si="93"/>
        <v>1-2024</v>
      </c>
      <c r="H286" s="3" t="s">
        <v>649</v>
      </c>
      <c r="I286" s="3" t="s">
        <v>656</v>
      </c>
      <c r="J286" s="3" t="s">
        <v>698</v>
      </c>
      <c r="K286" s="3" t="s">
        <v>702</v>
      </c>
      <c r="L286" s="3" t="s">
        <v>711</v>
      </c>
      <c r="M286" s="3" t="s">
        <v>717</v>
      </c>
      <c r="N286" s="3" t="s">
        <v>731</v>
      </c>
      <c r="O286" s="3" t="s">
        <v>1018</v>
      </c>
      <c r="P286" s="19">
        <v>1017.93</v>
      </c>
      <c r="Q286" s="19">
        <v>1529.14</v>
      </c>
      <c r="R286" s="15">
        <v>0.155</v>
      </c>
      <c r="S286" s="7">
        <v>12</v>
      </c>
      <c r="T286" s="13">
        <f t="shared" si="81"/>
        <v>15505.479600000001</v>
      </c>
      <c r="U286" s="13">
        <f t="shared" si="82"/>
        <v>12215.16</v>
      </c>
      <c r="V286" s="13">
        <f t="shared" si="94"/>
        <v>3290.3196000000007</v>
      </c>
      <c r="W286" s="15">
        <f t="shared" si="95"/>
        <v>0.21220366508366503</v>
      </c>
      <c r="X286" s="17" t="str">
        <f t="shared" si="96"/>
        <v>Q1-2024</v>
      </c>
      <c r="Y286" t="str">
        <f t="shared" si="97"/>
        <v>Europe → Germany → Frankfurt</v>
      </c>
      <c r="Z286" t="str">
        <f t="shared" si="98"/>
        <v>Medium</v>
      </c>
      <c r="AA286">
        <f t="shared" si="83"/>
        <v>2024</v>
      </c>
      <c r="AB286">
        <f t="shared" si="84"/>
        <v>1</v>
      </c>
      <c r="AC286" t="str">
        <f t="shared" si="85"/>
        <v>No</v>
      </c>
      <c r="AD286" t="str">
        <f t="shared" si="86"/>
        <v>No</v>
      </c>
      <c r="AE286" s="36">
        <f>IF(Dashboard!$P$47&gt;'Staging Data'!R286,'Staging Data'!R286,Dashboard!$P$47)</f>
        <v>0.1</v>
      </c>
      <c r="AF286">
        <f>(100%+Dashboard!$P$48)*'Staging Data'!P286</f>
        <v>1068.8264999999999</v>
      </c>
      <c r="AG286">
        <f>(100%+Dashboard!$P$49)*S286</f>
        <v>12.48</v>
      </c>
      <c r="AH286" s="13">
        <f t="shared" si="87"/>
        <v>17175.300480000005</v>
      </c>
      <c r="AI286" s="13">
        <f t="shared" si="88"/>
        <v>13338.95472</v>
      </c>
      <c r="AJ286" s="13">
        <f t="shared" si="89"/>
        <v>3836.3457600000056</v>
      </c>
    </row>
    <row r="287" spans="1:36" x14ac:dyDescent="0.45">
      <c r="A287" s="3" t="s">
        <v>299</v>
      </c>
      <c r="B287" s="5">
        <v>45101</v>
      </c>
      <c r="C287" s="5">
        <v>45128</v>
      </c>
      <c r="D287" s="5">
        <f t="shared" si="90"/>
        <v>45101</v>
      </c>
      <c r="E287" s="5">
        <f t="shared" si="91"/>
        <v>45128</v>
      </c>
      <c r="F287" s="7">
        <f t="shared" si="92"/>
        <v>27</v>
      </c>
      <c r="G287" s="23" t="str">
        <f t="shared" si="93"/>
        <v>6-2023</v>
      </c>
      <c r="H287" s="3" t="s">
        <v>647</v>
      </c>
      <c r="I287" s="3" t="s">
        <v>652</v>
      </c>
      <c r="J287" s="3" t="s">
        <v>694</v>
      </c>
      <c r="K287" s="3" t="s">
        <v>704</v>
      </c>
      <c r="L287" s="3" t="s">
        <v>709</v>
      </c>
      <c r="M287" s="3" t="s">
        <v>713</v>
      </c>
      <c r="N287" s="3" t="s">
        <v>730</v>
      </c>
      <c r="O287" s="3" t="s">
        <v>1019</v>
      </c>
      <c r="P287" s="19">
        <v>554.76</v>
      </c>
      <c r="Q287" s="19">
        <v>728.69</v>
      </c>
      <c r="R287" s="15">
        <v>0.22</v>
      </c>
      <c r="S287" s="7">
        <v>7</v>
      </c>
      <c r="T287" s="13">
        <f t="shared" si="81"/>
        <v>3978.6474000000003</v>
      </c>
      <c r="U287" s="13">
        <f t="shared" si="82"/>
        <v>3883.3199999999997</v>
      </c>
      <c r="V287" s="13">
        <f t="shared" si="94"/>
        <v>95.32740000000058</v>
      </c>
      <c r="W287" s="15">
        <f t="shared" si="95"/>
        <v>2.395975074343119E-2</v>
      </c>
      <c r="X287" s="17" t="str">
        <f t="shared" si="96"/>
        <v>Q2-2023</v>
      </c>
      <c r="Y287" t="str">
        <f t="shared" si="97"/>
        <v>Asia → Japan → Nagoya</v>
      </c>
      <c r="Z287" t="str">
        <f t="shared" si="98"/>
        <v>Low</v>
      </c>
      <c r="AA287">
        <f t="shared" si="83"/>
        <v>2023</v>
      </c>
      <c r="AB287">
        <f t="shared" si="84"/>
        <v>6</v>
      </c>
      <c r="AC287" t="str">
        <f t="shared" si="85"/>
        <v>No</v>
      </c>
      <c r="AD287" t="str">
        <f t="shared" si="86"/>
        <v>Yes</v>
      </c>
      <c r="AE287" s="36">
        <f>IF(Dashboard!$P$47&gt;'Staging Data'!R287,'Staging Data'!R287,Dashboard!$P$47)</f>
        <v>0.1</v>
      </c>
      <c r="AF287">
        <f>(100%+Dashboard!$P$48)*'Staging Data'!P287</f>
        <v>582.49800000000005</v>
      </c>
      <c r="AG287">
        <f>(100%+Dashboard!$P$49)*S287</f>
        <v>7.28</v>
      </c>
      <c r="AH287" s="13">
        <f t="shared" si="87"/>
        <v>4774.3768800000007</v>
      </c>
      <c r="AI287" s="13">
        <f t="shared" si="88"/>
        <v>4240.5854400000007</v>
      </c>
      <c r="AJ287" s="13">
        <f t="shared" si="89"/>
        <v>533.79143999999997</v>
      </c>
    </row>
    <row r="288" spans="1:36" x14ac:dyDescent="0.45">
      <c r="A288" s="3" t="s">
        <v>300</v>
      </c>
      <c r="B288" s="5">
        <v>45751</v>
      </c>
      <c r="C288" s="5">
        <v>45760</v>
      </c>
      <c r="D288" s="5">
        <f t="shared" si="90"/>
        <v>45751</v>
      </c>
      <c r="E288" s="5">
        <f t="shared" si="91"/>
        <v>45760</v>
      </c>
      <c r="F288" s="7">
        <f t="shared" si="92"/>
        <v>9</v>
      </c>
      <c r="G288" s="23" t="str">
        <f t="shared" si="93"/>
        <v>4-2025</v>
      </c>
      <c r="H288" s="3" t="s">
        <v>649</v>
      </c>
      <c r="I288" s="3" t="s">
        <v>656</v>
      </c>
      <c r="J288" s="3" t="s">
        <v>684</v>
      </c>
      <c r="K288" s="3" t="s">
        <v>704</v>
      </c>
      <c r="L288" s="3" t="s">
        <v>709</v>
      </c>
      <c r="M288" s="3" t="s">
        <v>721</v>
      </c>
      <c r="N288" s="3" t="s">
        <v>730</v>
      </c>
      <c r="O288" s="3" t="s">
        <v>1020</v>
      </c>
      <c r="P288" s="19">
        <v>7.02</v>
      </c>
      <c r="Q288" s="19">
        <v>6.28</v>
      </c>
      <c r="R288" s="15">
        <v>0.13400000000000001</v>
      </c>
      <c r="S288" s="7">
        <v>14</v>
      </c>
      <c r="T288" s="13">
        <f t="shared" si="81"/>
        <v>76.138720000000006</v>
      </c>
      <c r="U288" s="13">
        <f t="shared" si="82"/>
        <v>98.28</v>
      </c>
      <c r="V288" s="13">
        <f t="shared" si="94"/>
        <v>-22.141279999999995</v>
      </c>
      <c r="W288" s="15">
        <f t="shared" si="95"/>
        <v>-0.29080184169106066</v>
      </c>
      <c r="X288" s="17" t="str">
        <f t="shared" si="96"/>
        <v>Q2-2025</v>
      </c>
      <c r="Y288" t="str">
        <f t="shared" si="97"/>
        <v>Europe → Germany → Munich</v>
      </c>
      <c r="Z288" t="str">
        <f t="shared" si="98"/>
        <v>Low</v>
      </c>
      <c r="AA288">
        <f t="shared" si="83"/>
        <v>2025</v>
      </c>
      <c r="AB288">
        <f t="shared" si="84"/>
        <v>4</v>
      </c>
      <c r="AC288" t="str">
        <f t="shared" si="85"/>
        <v>No</v>
      </c>
      <c r="AD288" t="str">
        <f t="shared" si="86"/>
        <v>No</v>
      </c>
      <c r="AE288" s="36">
        <f>IF(Dashboard!$P$47&gt;'Staging Data'!R288,'Staging Data'!R288,Dashboard!$P$47)</f>
        <v>0.1</v>
      </c>
      <c r="AF288">
        <f>(100%+Dashboard!$P$48)*'Staging Data'!P288</f>
        <v>7.3709999999999996</v>
      </c>
      <c r="AG288">
        <f>(100%+Dashboard!$P$49)*S288</f>
        <v>14.56</v>
      </c>
      <c r="AH288" s="13">
        <f t="shared" si="87"/>
        <v>82.293120000000002</v>
      </c>
      <c r="AI288" s="13">
        <f t="shared" si="88"/>
        <v>107.32176</v>
      </c>
      <c r="AJ288" s="13">
        <f t="shared" si="89"/>
        <v>-25.028639999999996</v>
      </c>
    </row>
    <row r="289" spans="1:36" x14ac:dyDescent="0.45">
      <c r="A289" s="3" t="s">
        <v>301</v>
      </c>
      <c r="B289" s="5">
        <v>45542</v>
      </c>
      <c r="C289" s="5">
        <v>45542</v>
      </c>
      <c r="D289" s="5">
        <f t="shared" si="90"/>
        <v>45542</v>
      </c>
      <c r="E289" s="5">
        <f t="shared" si="91"/>
        <v>45542</v>
      </c>
      <c r="F289" s="7">
        <f t="shared" si="92"/>
        <v>0</v>
      </c>
      <c r="G289" s="23" t="str">
        <f t="shared" si="93"/>
        <v>9-2024</v>
      </c>
      <c r="H289" s="3" t="s">
        <v>647</v>
      </c>
      <c r="I289" s="3" t="s">
        <v>654</v>
      </c>
      <c r="J289" s="3" t="s">
        <v>691</v>
      </c>
      <c r="K289" s="3" t="s">
        <v>702</v>
      </c>
      <c r="L289" s="3" t="s">
        <v>710</v>
      </c>
      <c r="M289" s="3" t="s">
        <v>717</v>
      </c>
      <c r="N289" s="3" t="s">
        <v>729</v>
      </c>
      <c r="O289" s="3" t="s">
        <v>1021</v>
      </c>
      <c r="P289" s="19">
        <v>1066.6500000000001</v>
      </c>
      <c r="Q289" s="19">
        <v>2569.77</v>
      </c>
      <c r="R289" s="15">
        <v>0.13400000000000001</v>
      </c>
      <c r="S289" s="7">
        <v>9</v>
      </c>
      <c r="T289" s="13">
        <f t="shared" si="81"/>
        <v>20028.787380000002</v>
      </c>
      <c r="U289" s="13">
        <f t="shared" si="82"/>
        <v>9599.85</v>
      </c>
      <c r="V289" s="13">
        <f t="shared" si="94"/>
        <v>10428.937380000001</v>
      </c>
      <c r="W289" s="15">
        <f t="shared" si="95"/>
        <v>0.52069739331368348</v>
      </c>
      <c r="X289" s="17" t="str">
        <f t="shared" si="96"/>
        <v>Q3-2024</v>
      </c>
      <c r="Y289" t="str">
        <f t="shared" si="97"/>
        <v>Asia → India → Mumbai</v>
      </c>
      <c r="Z289" t="str">
        <f t="shared" si="98"/>
        <v>High</v>
      </c>
      <c r="AA289">
        <f t="shared" si="83"/>
        <v>2024</v>
      </c>
      <c r="AB289">
        <f t="shared" si="84"/>
        <v>9</v>
      </c>
      <c r="AC289" t="str">
        <f t="shared" si="85"/>
        <v>Yes</v>
      </c>
      <c r="AD289" t="str">
        <f t="shared" si="86"/>
        <v>No</v>
      </c>
      <c r="AE289" s="36">
        <f>IF(Dashboard!$P$47&gt;'Staging Data'!R289,'Staging Data'!R289,Dashboard!$P$47)</f>
        <v>0.1</v>
      </c>
      <c r="AF289">
        <f>(100%+Dashboard!$P$48)*'Staging Data'!P289</f>
        <v>1119.9825000000001</v>
      </c>
      <c r="AG289">
        <f>(100%+Dashboard!$P$49)*S289</f>
        <v>9.36</v>
      </c>
      <c r="AH289" s="13">
        <f t="shared" si="87"/>
        <v>21647.742479999997</v>
      </c>
      <c r="AI289" s="13">
        <f t="shared" si="88"/>
        <v>10483.0362</v>
      </c>
      <c r="AJ289" s="13">
        <f t="shared" si="89"/>
        <v>11164.706279999997</v>
      </c>
    </row>
    <row r="290" spans="1:36" x14ac:dyDescent="0.45">
      <c r="A290" s="3" t="s">
        <v>469</v>
      </c>
      <c r="B290" s="5">
        <v>45653</v>
      </c>
      <c r="C290" s="5">
        <v>45655</v>
      </c>
      <c r="D290" s="5">
        <f t="shared" si="90"/>
        <v>45653</v>
      </c>
      <c r="E290" s="5">
        <f t="shared" si="91"/>
        <v>45655</v>
      </c>
      <c r="F290" s="7">
        <f t="shared" si="92"/>
        <v>2</v>
      </c>
      <c r="G290" s="23" t="str">
        <f t="shared" si="93"/>
        <v>12-2024</v>
      </c>
      <c r="H290" s="3" t="s">
        <v>648</v>
      </c>
      <c r="I290" s="3" t="s">
        <v>653</v>
      </c>
      <c r="J290" s="3" t="s">
        <v>688</v>
      </c>
      <c r="K290" s="3" t="s">
        <v>706</v>
      </c>
      <c r="L290" s="3" t="s">
        <v>709</v>
      </c>
      <c r="M290" s="3" t="s">
        <v>712</v>
      </c>
      <c r="N290" s="3" t="s">
        <v>733</v>
      </c>
      <c r="O290" s="3" t="s">
        <v>1188</v>
      </c>
      <c r="P290" s="19">
        <v>1146.72</v>
      </c>
      <c r="Q290" s="19">
        <v>2074.34</v>
      </c>
      <c r="R290" s="15">
        <v>0.111</v>
      </c>
      <c r="S290" s="7">
        <v>8</v>
      </c>
      <c r="T290" s="13">
        <f t="shared" si="81"/>
        <v>14752.706080000002</v>
      </c>
      <c r="U290" s="13">
        <f t="shared" si="82"/>
        <v>9173.76</v>
      </c>
      <c r="V290" s="13">
        <f t="shared" si="94"/>
        <v>5578.9460800000015</v>
      </c>
      <c r="W290" s="15">
        <f t="shared" si="95"/>
        <v>0.37816425337472737</v>
      </c>
      <c r="X290" s="17" t="str">
        <f t="shared" si="96"/>
        <v>Q4-2024</v>
      </c>
      <c r="Y290" t="str">
        <f t="shared" si="97"/>
        <v>Americas → Canada → Vancouver</v>
      </c>
      <c r="Z290" t="str">
        <f t="shared" si="98"/>
        <v>High</v>
      </c>
      <c r="AA290">
        <f t="shared" si="83"/>
        <v>2024</v>
      </c>
      <c r="AB290">
        <f t="shared" si="84"/>
        <v>12</v>
      </c>
      <c r="AC290" t="str">
        <f t="shared" si="85"/>
        <v>Yes</v>
      </c>
      <c r="AD290" t="str">
        <f t="shared" si="86"/>
        <v>No</v>
      </c>
      <c r="AE290" s="36">
        <f>IF(Dashboard!$P$47&gt;'Staging Data'!R290,'Staging Data'!R290,Dashboard!$P$47)</f>
        <v>0.1</v>
      </c>
      <c r="AF290">
        <f>(100%+Dashboard!$P$48)*'Staging Data'!P290</f>
        <v>1204.056</v>
      </c>
      <c r="AG290">
        <f>(100%+Dashboard!$P$49)*S290</f>
        <v>8.32</v>
      </c>
      <c r="AH290" s="13">
        <f t="shared" si="87"/>
        <v>15532.657920000003</v>
      </c>
      <c r="AI290" s="13">
        <f t="shared" si="88"/>
        <v>10017.745920000001</v>
      </c>
      <c r="AJ290" s="13">
        <f t="shared" si="89"/>
        <v>5514.9120000000021</v>
      </c>
    </row>
    <row r="291" spans="1:36" x14ac:dyDescent="0.45">
      <c r="A291" s="3" t="s">
        <v>303</v>
      </c>
      <c r="B291" s="5">
        <v>45125</v>
      </c>
      <c r="C291" s="5">
        <v>45148</v>
      </c>
      <c r="D291" s="5">
        <f t="shared" si="90"/>
        <v>45125</v>
      </c>
      <c r="E291" s="5">
        <f t="shared" si="91"/>
        <v>45148</v>
      </c>
      <c r="F291" s="7">
        <f t="shared" si="92"/>
        <v>23</v>
      </c>
      <c r="G291" s="23" t="str">
        <f t="shared" si="93"/>
        <v>7-2023</v>
      </c>
      <c r="H291" s="3" t="s">
        <v>646</v>
      </c>
      <c r="I291" s="3" t="s">
        <v>661</v>
      </c>
      <c r="J291" s="3" t="s">
        <v>682</v>
      </c>
      <c r="K291" s="3" t="s">
        <v>705</v>
      </c>
      <c r="L291" s="3" t="s">
        <v>707</v>
      </c>
      <c r="M291" s="3" t="s">
        <v>716</v>
      </c>
      <c r="N291" s="3" t="s">
        <v>727</v>
      </c>
      <c r="O291" s="3" t="s">
        <v>1023</v>
      </c>
      <c r="P291" s="19">
        <v>1271.56</v>
      </c>
      <c r="Q291" s="19">
        <v>995.47</v>
      </c>
      <c r="R291" s="15">
        <v>0.192</v>
      </c>
      <c r="S291" s="7">
        <v>13</v>
      </c>
      <c r="T291" s="13">
        <f t="shared" si="81"/>
        <v>10456.416880000001</v>
      </c>
      <c r="U291" s="13">
        <f t="shared" si="82"/>
        <v>16530.28</v>
      </c>
      <c r="V291" s="13">
        <f t="shared" si="94"/>
        <v>-6073.8631199999982</v>
      </c>
      <c r="W291" s="15">
        <f t="shared" si="95"/>
        <v>-0.58087423155607754</v>
      </c>
      <c r="X291" s="17" t="str">
        <f t="shared" si="96"/>
        <v>Q3-2023</v>
      </c>
      <c r="Y291" t="str">
        <f t="shared" si="97"/>
        <v>Africa → South Africa → Johannesburg</v>
      </c>
      <c r="Z291" t="str">
        <f t="shared" si="98"/>
        <v>Low</v>
      </c>
      <c r="AA291">
        <f t="shared" si="83"/>
        <v>2023</v>
      </c>
      <c r="AB291">
        <f t="shared" si="84"/>
        <v>7</v>
      </c>
      <c r="AC291" t="str">
        <f t="shared" si="85"/>
        <v>No</v>
      </c>
      <c r="AD291" t="str">
        <f t="shared" si="86"/>
        <v>No</v>
      </c>
      <c r="AE291" s="36">
        <f>IF(Dashboard!$P$47&gt;'Staging Data'!R291,'Staging Data'!R291,Dashboard!$P$47)</f>
        <v>0.1</v>
      </c>
      <c r="AF291">
        <f>(100%+Dashboard!$P$48)*'Staging Data'!P291</f>
        <v>1335.1379999999999</v>
      </c>
      <c r="AG291">
        <f>(100%+Dashboard!$P$49)*S291</f>
        <v>13.52</v>
      </c>
      <c r="AH291" s="13">
        <f t="shared" si="87"/>
        <v>12112.87896</v>
      </c>
      <c r="AI291" s="13">
        <f t="shared" si="88"/>
        <v>18051.065759999998</v>
      </c>
      <c r="AJ291" s="13">
        <f t="shared" si="89"/>
        <v>-5938.1867999999977</v>
      </c>
    </row>
    <row r="292" spans="1:36" x14ac:dyDescent="0.45">
      <c r="A292" s="3" t="s">
        <v>185</v>
      </c>
      <c r="B292" s="5">
        <v>45488</v>
      </c>
      <c r="C292" s="5">
        <v>45488</v>
      </c>
      <c r="D292" s="5">
        <f t="shared" si="90"/>
        <v>45488</v>
      </c>
      <c r="E292" s="5">
        <f t="shared" si="91"/>
        <v>45488</v>
      </c>
      <c r="F292" s="7">
        <f t="shared" si="92"/>
        <v>0</v>
      </c>
      <c r="G292" s="23" t="str">
        <f t="shared" si="93"/>
        <v>7-2024</v>
      </c>
      <c r="H292" s="3" t="s">
        <v>647</v>
      </c>
      <c r="I292" s="3" t="s">
        <v>652</v>
      </c>
      <c r="J292" s="3" t="s">
        <v>689</v>
      </c>
      <c r="K292" s="3" t="s">
        <v>705</v>
      </c>
      <c r="L292" s="3" t="s">
        <v>709</v>
      </c>
      <c r="M292" s="3" t="s">
        <v>715</v>
      </c>
      <c r="N292" s="3" t="s">
        <v>733</v>
      </c>
      <c r="O292" s="3" t="s">
        <v>904</v>
      </c>
      <c r="P292" s="19">
        <v>801.77</v>
      </c>
      <c r="Q292" s="19">
        <v>1218.92</v>
      </c>
      <c r="R292" s="15">
        <v>0.254</v>
      </c>
      <c r="S292" s="7">
        <v>16</v>
      </c>
      <c r="T292" s="13">
        <f t="shared" si="81"/>
        <v>14549.029120000001</v>
      </c>
      <c r="U292" s="13">
        <f t="shared" si="82"/>
        <v>12828.32</v>
      </c>
      <c r="V292" s="13">
        <f t="shared" si="94"/>
        <v>1720.7091200000013</v>
      </c>
      <c r="W292" s="15">
        <f t="shared" si="95"/>
        <v>0.11826968698788344</v>
      </c>
      <c r="X292" s="17" t="str">
        <f t="shared" si="96"/>
        <v>Q3-2024</v>
      </c>
      <c r="Y292" t="str">
        <f t="shared" si="97"/>
        <v>Asia → Japan → Tokyo</v>
      </c>
      <c r="Z292" t="str">
        <f t="shared" si="98"/>
        <v>Medium</v>
      </c>
      <c r="AA292">
        <f t="shared" si="83"/>
        <v>2024</v>
      </c>
      <c r="AB292">
        <f t="shared" si="84"/>
        <v>7</v>
      </c>
      <c r="AC292" t="str">
        <f t="shared" si="85"/>
        <v>Yes</v>
      </c>
      <c r="AD292" t="str">
        <f t="shared" si="86"/>
        <v>Yes</v>
      </c>
      <c r="AE292" s="36">
        <f>IF(Dashboard!$P$47&gt;'Staging Data'!R292,'Staging Data'!R292,Dashboard!$P$47)</f>
        <v>0.1</v>
      </c>
      <c r="AF292">
        <f>(100%+Dashboard!$P$48)*'Staging Data'!P292</f>
        <v>841.85850000000005</v>
      </c>
      <c r="AG292">
        <f>(100%+Dashboard!$P$49)*S292</f>
        <v>16.64</v>
      </c>
      <c r="AH292" s="13">
        <f t="shared" si="87"/>
        <v>18254.545920000004</v>
      </c>
      <c r="AI292" s="13">
        <f t="shared" si="88"/>
        <v>14008.525440000001</v>
      </c>
      <c r="AJ292" s="13">
        <f t="shared" si="89"/>
        <v>4246.0204800000029</v>
      </c>
    </row>
    <row r="293" spans="1:36" x14ac:dyDescent="0.45">
      <c r="A293" s="3" t="s">
        <v>409</v>
      </c>
      <c r="B293" s="5">
        <v>45804</v>
      </c>
      <c r="C293" s="5">
        <v>45816</v>
      </c>
      <c r="D293" s="5">
        <f t="shared" si="90"/>
        <v>45804</v>
      </c>
      <c r="E293" s="5">
        <f t="shared" si="91"/>
        <v>45816</v>
      </c>
      <c r="F293" s="7">
        <f t="shared" si="92"/>
        <v>12</v>
      </c>
      <c r="G293" s="23" t="str">
        <f t="shared" si="93"/>
        <v>5-2025</v>
      </c>
      <c r="H293" s="3" t="s">
        <v>647</v>
      </c>
      <c r="I293" s="3" t="s">
        <v>652</v>
      </c>
      <c r="J293" s="3" t="s">
        <v>666</v>
      </c>
      <c r="K293" s="3" t="s">
        <v>701</v>
      </c>
      <c r="L293" s="3" t="s">
        <v>707</v>
      </c>
      <c r="M293" s="3" t="s">
        <v>722</v>
      </c>
      <c r="N293" s="3" t="s">
        <v>733</v>
      </c>
      <c r="O293" s="3" t="s">
        <v>1128</v>
      </c>
      <c r="P293" s="19">
        <v>653.6</v>
      </c>
      <c r="Q293" s="19">
        <v>842.09</v>
      </c>
      <c r="R293" s="15">
        <v>9.8000000000000004E-2</v>
      </c>
      <c r="S293" s="7">
        <v>19</v>
      </c>
      <c r="T293" s="13">
        <f t="shared" si="81"/>
        <v>14431.738420000001</v>
      </c>
      <c r="U293" s="13">
        <f t="shared" si="82"/>
        <v>12418.4</v>
      </c>
      <c r="V293" s="13">
        <f t="shared" si="94"/>
        <v>2013.3384200000019</v>
      </c>
      <c r="W293" s="15">
        <f t="shared" si="95"/>
        <v>0.13950768517324622</v>
      </c>
      <c r="X293" s="17" t="str">
        <f t="shared" si="96"/>
        <v>Q2-2025</v>
      </c>
      <c r="Y293" t="str">
        <f t="shared" si="97"/>
        <v>Asia → Japan → Osaka</v>
      </c>
      <c r="Z293" t="str">
        <f t="shared" si="98"/>
        <v>Low</v>
      </c>
      <c r="AA293">
        <f t="shared" si="83"/>
        <v>2025</v>
      </c>
      <c r="AB293">
        <f t="shared" si="84"/>
        <v>5</v>
      </c>
      <c r="AC293" t="str">
        <f t="shared" si="85"/>
        <v>No</v>
      </c>
      <c r="AD293" t="str">
        <f t="shared" si="86"/>
        <v>No</v>
      </c>
      <c r="AE293" s="36">
        <f>IF(Dashboard!$P$47&gt;'Staging Data'!R293,'Staging Data'!R293,Dashboard!$P$47)</f>
        <v>9.8000000000000004E-2</v>
      </c>
      <c r="AF293">
        <f>(100%+Dashboard!$P$48)*'Staging Data'!P293</f>
        <v>686.28000000000009</v>
      </c>
      <c r="AG293">
        <f>(100%+Dashboard!$P$49)*S293</f>
        <v>19.760000000000002</v>
      </c>
      <c r="AH293" s="13">
        <f t="shared" si="87"/>
        <v>15009.007956800002</v>
      </c>
      <c r="AI293" s="13">
        <f t="shared" si="88"/>
        <v>13560.892800000003</v>
      </c>
      <c r="AJ293" s="13">
        <f t="shared" si="89"/>
        <v>1448.1151567999987</v>
      </c>
    </row>
    <row r="294" spans="1:36" x14ac:dyDescent="0.45">
      <c r="A294" s="3" t="s">
        <v>620</v>
      </c>
      <c r="B294" s="5">
        <v>45038</v>
      </c>
      <c r="C294" s="5">
        <v>45060</v>
      </c>
      <c r="D294" s="5">
        <f t="shared" si="90"/>
        <v>45038</v>
      </c>
      <c r="E294" s="5">
        <f t="shared" si="91"/>
        <v>45060</v>
      </c>
      <c r="F294" s="7">
        <f t="shared" si="92"/>
        <v>22</v>
      </c>
      <c r="G294" s="23" t="str">
        <f t="shared" si="93"/>
        <v>4-2023</v>
      </c>
      <c r="H294" s="3" t="s">
        <v>647</v>
      </c>
      <c r="I294" s="3" t="s">
        <v>652</v>
      </c>
      <c r="J294" s="3" t="s">
        <v>694</v>
      </c>
      <c r="K294" s="3" t="s">
        <v>706</v>
      </c>
      <c r="L294" s="3" t="s">
        <v>707</v>
      </c>
      <c r="M294" s="3" t="s">
        <v>720</v>
      </c>
      <c r="N294" s="3" t="s">
        <v>733</v>
      </c>
      <c r="O294" s="3" t="s">
        <v>1338</v>
      </c>
      <c r="P294" s="19">
        <v>1209.22</v>
      </c>
      <c r="Q294" s="19">
        <v>1404.33</v>
      </c>
      <c r="R294" s="15">
        <v>0.10299999999999999</v>
      </c>
      <c r="S294" s="7">
        <v>11</v>
      </c>
      <c r="T294" s="13">
        <f t="shared" si="81"/>
        <v>13856.52411</v>
      </c>
      <c r="U294" s="13">
        <f t="shared" si="82"/>
        <v>13301.42</v>
      </c>
      <c r="V294" s="13">
        <f t="shared" si="94"/>
        <v>555.10411000000022</v>
      </c>
      <c r="W294" s="15">
        <f t="shared" si="95"/>
        <v>4.0060848275751328E-2</v>
      </c>
      <c r="X294" s="17" t="str">
        <f t="shared" si="96"/>
        <v>Q2-2023</v>
      </c>
      <c r="Y294" t="str">
        <f t="shared" si="97"/>
        <v>Asia → Japan → Nagoya</v>
      </c>
      <c r="Z294" t="str">
        <f t="shared" si="98"/>
        <v>Medium</v>
      </c>
      <c r="AA294">
        <f t="shared" si="83"/>
        <v>2023</v>
      </c>
      <c r="AB294">
        <f t="shared" si="84"/>
        <v>4</v>
      </c>
      <c r="AC294" t="str">
        <f t="shared" si="85"/>
        <v>No</v>
      </c>
      <c r="AD294" t="str">
        <f t="shared" si="86"/>
        <v>No</v>
      </c>
      <c r="AE294" s="36">
        <f>IF(Dashboard!$P$47&gt;'Staging Data'!R294,'Staging Data'!R294,Dashboard!$P$47)</f>
        <v>0.1</v>
      </c>
      <c r="AF294">
        <f>(100%+Dashboard!$P$48)*'Staging Data'!P294</f>
        <v>1269.681</v>
      </c>
      <c r="AG294">
        <f>(100%+Dashboard!$P$49)*S294</f>
        <v>11.440000000000001</v>
      </c>
      <c r="AH294" s="13">
        <f t="shared" si="87"/>
        <v>14458.981680000001</v>
      </c>
      <c r="AI294" s="13">
        <f t="shared" si="88"/>
        <v>14525.150640000002</v>
      </c>
      <c r="AJ294" s="13">
        <f t="shared" si="89"/>
        <v>-66.16896000000088</v>
      </c>
    </row>
    <row r="295" spans="1:36" x14ac:dyDescent="0.45">
      <c r="A295" s="3" t="s">
        <v>162</v>
      </c>
      <c r="B295" s="5">
        <v>45386</v>
      </c>
      <c r="C295" s="5">
        <v>45406</v>
      </c>
      <c r="D295" s="5">
        <f t="shared" si="90"/>
        <v>45386</v>
      </c>
      <c r="E295" s="5">
        <f t="shared" si="91"/>
        <v>45406</v>
      </c>
      <c r="F295" s="7">
        <f t="shared" si="92"/>
        <v>20</v>
      </c>
      <c r="G295" s="23" t="str">
        <f t="shared" si="93"/>
        <v>4-2024</v>
      </c>
      <c r="H295" s="3" t="s">
        <v>649</v>
      </c>
      <c r="I295" s="3" t="s">
        <v>656</v>
      </c>
      <c r="J295" s="3" t="s">
        <v>698</v>
      </c>
      <c r="K295" s="3" t="s">
        <v>703</v>
      </c>
      <c r="L295" s="3" t="s">
        <v>711</v>
      </c>
      <c r="M295" s="3" t="s">
        <v>719</v>
      </c>
      <c r="N295" s="3" t="s">
        <v>733</v>
      </c>
      <c r="O295" s="3" t="s">
        <v>881</v>
      </c>
      <c r="P295" s="19">
        <v>683.42</v>
      </c>
      <c r="Q295" s="19">
        <v>951.51</v>
      </c>
      <c r="R295" s="15">
        <v>0</v>
      </c>
      <c r="S295" s="7">
        <v>14</v>
      </c>
      <c r="T295" s="13">
        <f t="shared" si="81"/>
        <v>13321.14</v>
      </c>
      <c r="U295" s="13">
        <f t="shared" si="82"/>
        <v>9567.8799999999992</v>
      </c>
      <c r="V295" s="13">
        <f t="shared" si="94"/>
        <v>3753.26</v>
      </c>
      <c r="W295" s="15">
        <f t="shared" si="95"/>
        <v>0.28175216235247136</v>
      </c>
      <c r="X295" s="17" t="str">
        <f t="shared" si="96"/>
        <v>Q2-2024</v>
      </c>
      <c r="Y295" t="str">
        <f t="shared" si="97"/>
        <v>Europe → Germany → Frankfurt</v>
      </c>
      <c r="Z295" t="str">
        <f t="shared" si="98"/>
        <v>Low</v>
      </c>
      <c r="AA295">
        <f t="shared" si="83"/>
        <v>2024</v>
      </c>
      <c r="AB295">
        <f t="shared" si="84"/>
        <v>4</v>
      </c>
      <c r="AC295" t="str">
        <f t="shared" si="85"/>
        <v>No</v>
      </c>
      <c r="AD295" t="str">
        <f t="shared" si="86"/>
        <v>No</v>
      </c>
      <c r="AE295" s="36">
        <f>IF(Dashboard!$P$47&gt;'Staging Data'!R295,'Staging Data'!R295,Dashboard!$P$47)</f>
        <v>0</v>
      </c>
      <c r="AF295">
        <f>(100%+Dashboard!$P$48)*'Staging Data'!P295</f>
        <v>717.59100000000001</v>
      </c>
      <c r="AG295">
        <f>(100%+Dashboard!$P$49)*S295</f>
        <v>14.56</v>
      </c>
      <c r="AH295" s="13">
        <f t="shared" si="87"/>
        <v>13853.9856</v>
      </c>
      <c r="AI295" s="13">
        <f t="shared" si="88"/>
        <v>10448.124960000001</v>
      </c>
      <c r="AJ295" s="13">
        <f t="shared" si="89"/>
        <v>3405.860639999999</v>
      </c>
    </row>
    <row r="296" spans="1:36" x14ac:dyDescent="0.45">
      <c r="A296" s="3" t="s">
        <v>308</v>
      </c>
      <c r="B296" s="5">
        <v>45758</v>
      </c>
      <c r="C296" s="5">
        <v>45781</v>
      </c>
      <c r="D296" s="5">
        <f t="shared" si="90"/>
        <v>45758</v>
      </c>
      <c r="E296" s="5">
        <f t="shared" si="91"/>
        <v>45781</v>
      </c>
      <c r="F296" s="7">
        <f t="shared" si="92"/>
        <v>23</v>
      </c>
      <c r="G296" s="23" t="str">
        <f t="shared" si="93"/>
        <v>4-2025</v>
      </c>
      <c r="H296" s="3" t="s">
        <v>647</v>
      </c>
      <c r="I296" s="3" t="s">
        <v>652</v>
      </c>
      <c r="J296" s="3" t="s">
        <v>666</v>
      </c>
      <c r="K296" s="3" t="s">
        <v>705</v>
      </c>
      <c r="L296" s="3" t="s">
        <v>708</v>
      </c>
      <c r="M296" s="3" t="s">
        <v>724</v>
      </c>
      <c r="N296" s="3" t="s">
        <v>727</v>
      </c>
      <c r="O296" s="3" t="s">
        <v>1028</v>
      </c>
      <c r="P296" s="19">
        <v>786.2</v>
      </c>
      <c r="Q296" s="19">
        <v>1075.3</v>
      </c>
      <c r="R296" s="15">
        <v>0.08</v>
      </c>
      <c r="S296" s="7">
        <v>9</v>
      </c>
      <c r="T296" s="13">
        <f t="shared" si="81"/>
        <v>8903.4839999999986</v>
      </c>
      <c r="U296" s="13">
        <f t="shared" si="82"/>
        <v>7075.8</v>
      </c>
      <c r="V296" s="13">
        <f t="shared" si="94"/>
        <v>1827.6839999999984</v>
      </c>
      <c r="W296" s="15">
        <f t="shared" si="95"/>
        <v>0.20527739478163815</v>
      </c>
      <c r="X296" s="17" t="str">
        <f t="shared" si="96"/>
        <v>Q2-2025</v>
      </c>
      <c r="Y296" t="str">
        <f t="shared" si="97"/>
        <v>Asia → Japan → Osaka</v>
      </c>
      <c r="Z296" t="str">
        <f t="shared" si="98"/>
        <v>Low</v>
      </c>
      <c r="AA296">
        <f t="shared" si="83"/>
        <v>2025</v>
      </c>
      <c r="AB296">
        <f t="shared" si="84"/>
        <v>4</v>
      </c>
      <c r="AC296" t="str">
        <f t="shared" si="85"/>
        <v>No</v>
      </c>
      <c r="AD296" t="str">
        <f t="shared" si="86"/>
        <v>No</v>
      </c>
      <c r="AE296" s="36">
        <f>IF(Dashboard!$P$47&gt;'Staging Data'!R296,'Staging Data'!R296,Dashboard!$P$47)</f>
        <v>0.08</v>
      </c>
      <c r="AF296">
        <f>(100%+Dashboard!$P$48)*'Staging Data'!P296</f>
        <v>825.5100000000001</v>
      </c>
      <c r="AG296">
        <f>(100%+Dashboard!$P$49)*S296</f>
        <v>9.36</v>
      </c>
      <c r="AH296" s="13">
        <f t="shared" si="87"/>
        <v>9259.6233599999996</v>
      </c>
      <c r="AI296" s="13">
        <f t="shared" si="88"/>
        <v>7726.7736000000004</v>
      </c>
      <c r="AJ296" s="13">
        <f t="shared" si="89"/>
        <v>1532.8497599999992</v>
      </c>
    </row>
    <row r="297" spans="1:36" x14ac:dyDescent="0.45">
      <c r="A297" s="3" t="s">
        <v>309</v>
      </c>
      <c r="B297" s="5">
        <v>45809</v>
      </c>
      <c r="C297" s="5">
        <v>45835</v>
      </c>
      <c r="D297" s="5">
        <f t="shared" si="90"/>
        <v>45809</v>
      </c>
      <c r="E297" s="5">
        <f t="shared" si="91"/>
        <v>45835</v>
      </c>
      <c r="F297" s="7">
        <f t="shared" si="92"/>
        <v>26</v>
      </c>
      <c r="G297" s="23" t="str">
        <f t="shared" si="93"/>
        <v>6-2025</v>
      </c>
      <c r="H297" s="3" t="s">
        <v>649</v>
      </c>
      <c r="I297" s="3" t="s">
        <v>656</v>
      </c>
      <c r="J297" s="3" t="s">
        <v>684</v>
      </c>
      <c r="K297" s="3" t="s">
        <v>704</v>
      </c>
      <c r="L297" s="3" t="s">
        <v>710</v>
      </c>
      <c r="M297" s="3" t="s">
        <v>718</v>
      </c>
      <c r="N297" s="3" t="s">
        <v>731</v>
      </c>
      <c r="O297" s="3" t="s">
        <v>1029</v>
      </c>
      <c r="P297" s="19">
        <v>1362.31</v>
      </c>
      <c r="Q297" s="19">
        <v>3294.57</v>
      </c>
      <c r="R297" s="15">
        <v>0.113</v>
      </c>
      <c r="S297" s="7">
        <v>7</v>
      </c>
      <c r="T297" s="13">
        <f t="shared" si="81"/>
        <v>20455.985130000001</v>
      </c>
      <c r="U297" s="13">
        <f t="shared" si="82"/>
        <v>9536.17</v>
      </c>
      <c r="V297" s="13">
        <f t="shared" si="94"/>
        <v>10919.815130000001</v>
      </c>
      <c r="W297" s="15">
        <f t="shared" si="95"/>
        <v>0.5338200561157721</v>
      </c>
      <c r="X297" s="17" t="str">
        <f t="shared" si="96"/>
        <v>Q2-2025</v>
      </c>
      <c r="Y297" t="str">
        <f t="shared" si="97"/>
        <v>Europe → Germany → Munich</v>
      </c>
      <c r="Z297" t="str">
        <f t="shared" si="98"/>
        <v>High</v>
      </c>
      <c r="AA297">
        <f t="shared" si="83"/>
        <v>2025</v>
      </c>
      <c r="AB297">
        <f t="shared" si="84"/>
        <v>6</v>
      </c>
      <c r="AC297" t="str">
        <f t="shared" si="85"/>
        <v>No</v>
      </c>
      <c r="AD297" t="str">
        <f t="shared" si="86"/>
        <v>No</v>
      </c>
      <c r="AE297" s="36">
        <f>IF(Dashboard!$P$47&gt;'Staging Data'!R297,'Staging Data'!R297,Dashboard!$P$47)</f>
        <v>0.1</v>
      </c>
      <c r="AF297">
        <f>(100%+Dashboard!$P$48)*'Staging Data'!P297</f>
        <v>1430.4255000000001</v>
      </c>
      <c r="AG297">
        <f>(100%+Dashboard!$P$49)*S297</f>
        <v>7.28</v>
      </c>
      <c r="AH297" s="13">
        <f t="shared" si="87"/>
        <v>21586.022639999999</v>
      </c>
      <c r="AI297" s="13">
        <f t="shared" si="88"/>
        <v>10413.497640000001</v>
      </c>
      <c r="AJ297" s="13">
        <f t="shared" si="89"/>
        <v>11172.524999999998</v>
      </c>
    </row>
    <row r="298" spans="1:36" x14ac:dyDescent="0.45">
      <c r="A298" s="3" t="s">
        <v>310</v>
      </c>
      <c r="B298" s="5">
        <v>45353</v>
      </c>
      <c r="C298" s="5">
        <v>45367</v>
      </c>
      <c r="D298" s="5">
        <f t="shared" si="90"/>
        <v>45353</v>
      </c>
      <c r="E298" s="5">
        <f t="shared" si="91"/>
        <v>45367</v>
      </c>
      <c r="F298" s="7">
        <f t="shared" si="92"/>
        <v>14</v>
      </c>
      <c r="G298" s="23" t="str">
        <f t="shared" si="93"/>
        <v>3-2024</v>
      </c>
      <c r="H298" s="3" t="s">
        <v>648</v>
      </c>
      <c r="I298" s="3" t="s">
        <v>653</v>
      </c>
      <c r="J298" s="3" t="s">
        <v>688</v>
      </c>
      <c r="K298" s="3" t="s">
        <v>703</v>
      </c>
      <c r="L298" s="3" t="s">
        <v>711</v>
      </c>
      <c r="M298" s="3" t="s">
        <v>719</v>
      </c>
      <c r="N298" s="3" t="s">
        <v>728</v>
      </c>
      <c r="O298" s="3" t="s">
        <v>1030</v>
      </c>
      <c r="P298" s="19">
        <v>248.24</v>
      </c>
      <c r="Q298" s="19">
        <v>464.05</v>
      </c>
      <c r="R298" s="15">
        <v>0.16900000000000001</v>
      </c>
      <c r="S298" s="7">
        <v>11</v>
      </c>
      <c r="T298" s="13">
        <f t="shared" si="81"/>
        <v>4241.88105</v>
      </c>
      <c r="U298" s="13">
        <f t="shared" si="82"/>
        <v>2730.6400000000003</v>
      </c>
      <c r="V298" s="13">
        <f t="shared" si="94"/>
        <v>1511.2410499999996</v>
      </c>
      <c r="W298" s="15">
        <f t="shared" si="95"/>
        <v>0.3562667203975462</v>
      </c>
      <c r="X298" s="17" t="str">
        <f t="shared" si="96"/>
        <v>Q1-2024</v>
      </c>
      <c r="Y298" t="str">
        <f t="shared" si="97"/>
        <v>Americas → Canada → Vancouver</v>
      </c>
      <c r="Z298" t="str">
        <f t="shared" si="98"/>
        <v>Low</v>
      </c>
      <c r="AA298">
        <f t="shared" si="83"/>
        <v>2024</v>
      </c>
      <c r="AB298">
        <f t="shared" si="84"/>
        <v>3</v>
      </c>
      <c r="AC298" t="str">
        <f t="shared" si="85"/>
        <v>No</v>
      </c>
      <c r="AD298" t="str">
        <f t="shared" si="86"/>
        <v>No</v>
      </c>
      <c r="AE298" s="36">
        <f>IF(Dashboard!$P$47&gt;'Staging Data'!R298,'Staging Data'!R298,Dashboard!$P$47)</f>
        <v>0.1</v>
      </c>
      <c r="AF298">
        <f>(100%+Dashboard!$P$48)*'Staging Data'!P298</f>
        <v>260.65200000000004</v>
      </c>
      <c r="AG298">
        <f>(100%+Dashboard!$P$49)*S298</f>
        <v>11.440000000000001</v>
      </c>
      <c r="AH298" s="13">
        <f t="shared" si="87"/>
        <v>4777.8588000000009</v>
      </c>
      <c r="AI298" s="13">
        <f t="shared" si="88"/>
        <v>2981.8588800000007</v>
      </c>
      <c r="AJ298" s="13">
        <f t="shared" si="89"/>
        <v>1795.9999200000002</v>
      </c>
    </row>
    <row r="299" spans="1:36" x14ac:dyDescent="0.45">
      <c r="A299" s="3" t="s">
        <v>311</v>
      </c>
      <c r="B299" s="5">
        <v>45097</v>
      </c>
      <c r="C299" s="5">
        <v>45115</v>
      </c>
      <c r="D299" s="5">
        <f t="shared" si="90"/>
        <v>45097</v>
      </c>
      <c r="E299" s="5">
        <f t="shared" si="91"/>
        <v>45115</v>
      </c>
      <c r="F299" s="7">
        <f t="shared" si="92"/>
        <v>18</v>
      </c>
      <c r="G299" s="23" t="str">
        <f t="shared" si="93"/>
        <v>6-2023</v>
      </c>
      <c r="H299" s="3" t="s">
        <v>648</v>
      </c>
      <c r="I299" s="3" t="s">
        <v>660</v>
      </c>
      <c r="J299" s="3" t="s">
        <v>697</v>
      </c>
      <c r="K299" s="3" t="s">
        <v>703</v>
      </c>
      <c r="L299" s="3" t="s">
        <v>711</v>
      </c>
      <c r="M299" s="3" t="s">
        <v>721</v>
      </c>
      <c r="N299" s="3" t="s">
        <v>732</v>
      </c>
      <c r="O299" s="3" t="s">
        <v>1031</v>
      </c>
      <c r="P299" s="19">
        <v>337</v>
      </c>
      <c r="Q299" s="19">
        <v>511.03</v>
      </c>
      <c r="R299" s="15">
        <v>0.108</v>
      </c>
      <c r="S299" s="7">
        <v>7</v>
      </c>
      <c r="T299" s="13">
        <f t="shared" si="81"/>
        <v>3190.8713200000002</v>
      </c>
      <c r="U299" s="13">
        <f t="shared" si="82"/>
        <v>2359</v>
      </c>
      <c r="V299" s="13">
        <f t="shared" si="94"/>
        <v>831.8713200000002</v>
      </c>
      <c r="W299" s="15">
        <f t="shared" si="95"/>
        <v>0.26070349963219458</v>
      </c>
      <c r="X299" s="17" t="str">
        <f t="shared" si="96"/>
        <v>Q2-2023</v>
      </c>
      <c r="Y299" t="str">
        <f t="shared" si="97"/>
        <v>Americas → USA → Austin</v>
      </c>
      <c r="Z299" t="str">
        <f t="shared" si="98"/>
        <v>Low</v>
      </c>
      <c r="AA299">
        <f t="shared" si="83"/>
        <v>2023</v>
      </c>
      <c r="AB299">
        <f t="shared" si="84"/>
        <v>6</v>
      </c>
      <c r="AC299" t="str">
        <f t="shared" si="85"/>
        <v>No</v>
      </c>
      <c r="AD299" t="str">
        <f t="shared" si="86"/>
        <v>No</v>
      </c>
      <c r="AE299" s="36">
        <f>IF(Dashboard!$P$47&gt;'Staging Data'!R299,'Staging Data'!R299,Dashboard!$P$47)</f>
        <v>0.1</v>
      </c>
      <c r="AF299">
        <f>(100%+Dashboard!$P$48)*'Staging Data'!P299</f>
        <v>353.85</v>
      </c>
      <c r="AG299">
        <f>(100%+Dashboard!$P$49)*S299</f>
        <v>7.28</v>
      </c>
      <c r="AH299" s="13">
        <f t="shared" si="87"/>
        <v>3348.26856</v>
      </c>
      <c r="AI299" s="13">
        <f t="shared" si="88"/>
        <v>2576.0280000000002</v>
      </c>
      <c r="AJ299" s="13">
        <f t="shared" si="89"/>
        <v>772.24055999999973</v>
      </c>
    </row>
    <row r="300" spans="1:36" x14ac:dyDescent="0.45">
      <c r="A300" s="3" t="s">
        <v>312</v>
      </c>
      <c r="B300" s="5">
        <v>45377</v>
      </c>
      <c r="C300" s="5">
        <v>45387</v>
      </c>
      <c r="D300" s="5">
        <f t="shared" si="90"/>
        <v>45377</v>
      </c>
      <c r="E300" s="5">
        <f t="shared" si="91"/>
        <v>45387</v>
      </c>
      <c r="F300" s="7">
        <f t="shared" si="92"/>
        <v>10</v>
      </c>
      <c r="G300" s="23" t="str">
        <f t="shared" si="93"/>
        <v>3-2024</v>
      </c>
      <c r="H300" s="3" t="s">
        <v>648</v>
      </c>
      <c r="I300" s="3" t="s">
        <v>660</v>
      </c>
      <c r="J300" s="3" t="s">
        <v>697</v>
      </c>
      <c r="K300" s="3" t="s">
        <v>704</v>
      </c>
      <c r="L300" s="3" t="s">
        <v>711</v>
      </c>
      <c r="M300" s="3" t="s">
        <v>713</v>
      </c>
      <c r="N300" s="3" t="s">
        <v>732</v>
      </c>
      <c r="O300" s="3" t="s">
        <v>1032</v>
      </c>
      <c r="P300" s="19">
        <v>5.66</v>
      </c>
      <c r="Q300" s="19">
        <v>4.22</v>
      </c>
      <c r="R300" s="15">
        <v>0.11899999999999999</v>
      </c>
      <c r="S300" s="7">
        <v>18</v>
      </c>
      <c r="T300" s="13">
        <f t="shared" si="81"/>
        <v>66.920760000000001</v>
      </c>
      <c r="U300" s="13">
        <f t="shared" si="82"/>
        <v>101.88</v>
      </c>
      <c r="V300" s="13">
        <f t="shared" si="94"/>
        <v>-34.959239999999994</v>
      </c>
      <c r="W300" s="15">
        <f t="shared" si="95"/>
        <v>-0.52239753403876454</v>
      </c>
      <c r="X300" s="17" t="str">
        <f t="shared" si="96"/>
        <v>Q1-2024</v>
      </c>
      <c r="Y300" t="str">
        <f t="shared" si="97"/>
        <v>Americas → USA → Austin</v>
      </c>
      <c r="Z300" t="str">
        <f t="shared" si="98"/>
        <v>Low</v>
      </c>
      <c r="AA300">
        <f t="shared" si="83"/>
        <v>2024</v>
      </c>
      <c r="AB300">
        <f t="shared" si="84"/>
        <v>3</v>
      </c>
      <c r="AC300" t="str">
        <f t="shared" si="85"/>
        <v>No</v>
      </c>
      <c r="AD300" t="str">
        <f t="shared" si="86"/>
        <v>No</v>
      </c>
      <c r="AE300" s="36">
        <f>IF(Dashboard!$P$47&gt;'Staging Data'!R300,'Staging Data'!R300,Dashboard!$P$47)</f>
        <v>0.1</v>
      </c>
      <c r="AF300">
        <f>(100%+Dashboard!$P$48)*'Staging Data'!P300</f>
        <v>5.9430000000000005</v>
      </c>
      <c r="AG300">
        <f>(100%+Dashboard!$P$49)*S300</f>
        <v>18.72</v>
      </c>
      <c r="AH300" s="13">
        <f t="shared" si="87"/>
        <v>71.098559999999992</v>
      </c>
      <c r="AI300" s="13">
        <f t="shared" si="88"/>
        <v>111.25296</v>
      </c>
      <c r="AJ300" s="13">
        <f t="shared" si="89"/>
        <v>-40.15440000000001</v>
      </c>
    </row>
    <row r="301" spans="1:36" x14ac:dyDescent="0.45">
      <c r="A301" s="3" t="s">
        <v>573</v>
      </c>
      <c r="B301" s="5">
        <v>45430</v>
      </c>
      <c r="C301" s="5">
        <v>45434</v>
      </c>
      <c r="D301" s="5">
        <f t="shared" si="90"/>
        <v>45430</v>
      </c>
      <c r="E301" s="5">
        <f t="shared" si="91"/>
        <v>45434</v>
      </c>
      <c r="F301" s="7">
        <f t="shared" si="92"/>
        <v>4</v>
      </c>
      <c r="G301" s="23" t="str">
        <f t="shared" si="93"/>
        <v>5-2024</v>
      </c>
      <c r="H301" s="3" t="s">
        <v>646</v>
      </c>
      <c r="I301" s="3" t="s">
        <v>650</v>
      </c>
      <c r="J301" s="3" t="s">
        <v>664</v>
      </c>
      <c r="K301" s="3" t="s">
        <v>701</v>
      </c>
      <c r="L301" s="3" t="s">
        <v>711</v>
      </c>
      <c r="M301" s="3" t="s">
        <v>722</v>
      </c>
      <c r="N301" s="3" t="s">
        <v>733</v>
      </c>
      <c r="O301" s="3" t="s">
        <v>1291</v>
      </c>
      <c r="P301" s="19">
        <v>857.42</v>
      </c>
      <c r="Q301" s="19">
        <v>1658.92</v>
      </c>
      <c r="R301" s="15">
        <v>0.122</v>
      </c>
      <c r="S301" s="7">
        <v>9</v>
      </c>
      <c r="T301" s="13">
        <f t="shared" si="81"/>
        <v>13108.78584</v>
      </c>
      <c r="U301" s="13">
        <f t="shared" si="82"/>
        <v>7716.78</v>
      </c>
      <c r="V301" s="13">
        <f t="shared" si="94"/>
        <v>5392.0058400000007</v>
      </c>
      <c r="W301" s="15">
        <f t="shared" si="95"/>
        <v>0.41132763215544305</v>
      </c>
      <c r="X301" s="17" t="str">
        <f t="shared" si="96"/>
        <v>Q2-2024</v>
      </c>
      <c r="Y301" t="str">
        <f t="shared" si="97"/>
        <v>Africa → Kenya → Nairobi</v>
      </c>
      <c r="Z301" t="str">
        <f t="shared" si="98"/>
        <v>Medium</v>
      </c>
      <c r="AA301">
        <f t="shared" si="83"/>
        <v>2024</v>
      </c>
      <c r="AB301">
        <f t="shared" si="84"/>
        <v>5</v>
      </c>
      <c r="AC301" t="str">
        <f t="shared" si="85"/>
        <v>Yes</v>
      </c>
      <c r="AD301" t="str">
        <f t="shared" si="86"/>
        <v>No</v>
      </c>
      <c r="AE301" s="36">
        <f>IF(Dashboard!$P$47&gt;'Staging Data'!R301,'Staging Data'!R301,Dashboard!$P$47)</f>
        <v>0.1</v>
      </c>
      <c r="AF301">
        <f>(100%+Dashboard!$P$48)*'Staging Data'!P301</f>
        <v>900.29099999999994</v>
      </c>
      <c r="AG301">
        <f>(100%+Dashboard!$P$49)*S301</f>
        <v>9.36</v>
      </c>
      <c r="AH301" s="13">
        <f t="shared" si="87"/>
        <v>13974.74208</v>
      </c>
      <c r="AI301" s="13">
        <f t="shared" si="88"/>
        <v>8426.7237599999989</v>
      </c>
      <c r="AJ301" s="13">
        <f t="shared" si="89"/>
        <v>5548.018320000001</v>
      </c>
    </row>
    <row r="302" spans="1:36" x14ac:dyDescent="0.45">
      <c r="A302" s="3" t="s">
        <v>314</v>
      </c>
      <c r="B302" s="5">
        <v>45787</v>
      </c>
      <c r="C302" s="5">
        <v>45804</v>
      </c>
      <c r="D302" s="5">
        <f t="shared" si="90"/>
        <v>45787</v>
      </c>
      <c r="E302" s="5">
        <f t="shared" si="91"/>
        <v>45804</v>
      </c>
      <c r="F302" s="7">
        <f t="shared" si="92"/>
        <v>17</v>
      </c>
      <c r="G302" s="23" t="str">
        <f t="shared" si="93"/>
        <v>5-2025</v>
      </c>
      <c r="H302" s="3" t="s">
        <v>648</v>
      </c>
      <c r="I302" s="3" t="s">
        <v>653</v>
      </c>
      <c r="J302" s="3" t="s">
        <v>688</v>
      </c>
      <c r="K302" s="3" t="s">
        <v>702</v>
      </c>
      <c r="L302" s="3" t="s">
        <v>711</v>
      </c>
      <c r="M302" s="3" t="s">
        <v>712</v>
      </c>
      <c r="N302" s="3" t="s">
        <v>727</v>
      </c>
      <c r="O302" s="3" t="s">
        <v>1034</v>
      </c>
      <c r="P302" s="19">
        <v>862.89</v>
      </c>
      <c r="Q302" s="19">
        <v>1426.03</v>
      </c>
      <c r="R302" s="15">
        <v>5.6000000000000001E-2</v>
      </c>
      <c r="S302" s="7">
        <v>19</v>
      </c>
      <c r="T302" s="13">
        <f t="shared" si="81"/>
        <v>25577.274079999999</v>
      </c>
      <c r="U302" s="13">
        <f t="shared" si="82"/>
        <v>16394.91</v>
      </c>
      <c r="V302" s="13">
        <f t="shared" si="94"/>
        <v>9182.3640799999994</v>
      </c>
      <c r="W302" s="15">
        <f t="shared" si="95"/>
        <v>0.35900479665188778</v>
      </c>
      <c r="X302" s="17" t="str">
        <f t="shared" si="96"/>
        <v>Q2-2025</v>
      </c>
      <c r="Y302" t="str">
        <f t="shared" si="97"/>
        <v>Americas → Canada → Vancouver</v>
      </c>
      <c r="Z302" t="str">
        <f t="shared" si="98"/>
        <v>Medium</v>
      </c>
      <c r="AA302">
        <f t="shared" si="83"/>
        <v>2025</v>
      </c>
      <c r="AB302">
        <f t="shared" si="84"/>
        <v>5</v>
      </c>
      <c r="AC302" t="str">
        <f t="shared" si="85"/>
        <v>No</v>
      </c>
      <c r="AD302" t="str">
        <f t="shared" si="86"/>
        <v>No</v>
      </c>
      <c r="AE302" s="36">
        <f>IF(Dashboard!$P$47&gt;'Staging Data'!R302,'Staging Data'!R302,Dashboard!$P$47)</f>
        <v>5.6000000000000001E-2</v>
      </c>
      <c r="AF302">
        <f>(100%+Dashboard!$P$48)*'Staging Data'!P302</f>
        <v>906.03449999999998</v>
      </c>
      <c r="AG302">
        <f>(100%+Dashboard!$P$49)*S302</f>
        <v>19.760000000000002</v>
      </c>
      <c r="AH302" s="13">
        <f t="shared" si="87"/>
        <v>26600.365043199999</v>
      </c>
      <c r="AI302" s="13">
        <f t="shared" si="88"/>
        <v>17903.241720000002</v>
      </c>
      <c r="AJ302" s="13">
        <f t="shared" si="89"/>
        <v>8697.1233231999977</v>
      </c>
    </row>
    <row r="303" spans="1:36" x14ac:dyDescent="0.45">
      <c r="A303" s="3" t="s">
        <v>315</v>
      </c>
      <c r="B303" s="5">
        <v>45204</v>
      </c>
      <c r="C303" s="5">
        <v>45230</v>
      </c>
      <c r="D303" s="5">
        <f t="shared" si="90"/>
        <v>45204</v>
      </c>
      <c r="E303" s="5">
        <f t="shared" si="91"/>
        <v>45230</v>
      </c>
      <c r="F303" s="7">
        <f t="shared" si="92"/>
        <v>26</v>
      </c>
      <c r="G303" s="23" t="str">
        <f t="shared" si="93"/>
        <v>10-2023</v>
      </c>
      <c r="H303" s="3" t="s">
        <v>647</v>
      </c>
      <c r="I303" s="3" t="s">
        <v>659</v>
      </c>
      <c r="J303" s="3" t="s">
        <v>685</v>
      </c>
      <c r="K303" s="3" t="s">
        <v>704</v>
      </c>
      <c r="L303" s="3" t="s">
        <v>1423</v>
      </c>
      <c r="M303" s="3" t="s">
        <v>713</v>
      </c>
      <c r="N303" s="3" t="s">
        <v>728</v>
      </c>
      <c r="O303" s="3" t="s">
        <v>1035</v>
      </c>
      <c r="P303" s="19">
        <v>649.91</v>
      </c>
      <c r="Q303" s="19">
        <v>1360.12</v>
      </c>
      <c r="R303" s="15">
        <v>0.19400000000000001</v>
      </c>
      <c r="S303" s="7">
        <v>9</v>
      </c>
      <c r="T303" s="13">
        <f t="shared" si="81"/>
        <v>9866.3104799999983</v>
      </c>
      <c r="U303" s="13">
        <f t="shared" si="82"/>
        <v>5849.19</v>
      </c>
      <c r="V303" s="13">
        <f t="shared" si="94"/>
        <v>4017.1204799999987</v>
      </c>
      <c r="W303" s="15">
        <f t="shared" si="95"/>
        <v>0.40715528749506769</v>
      </c>
      <c r="X303" s="17" t="str">
        <f t="shared" si="96"/>
        <v>Q4-2023</v>
      </c>
      <c r="Y303" t="str">
        <f t="shared" si="97"/>
        <v>Asia → China → Shanghai</v>
      </c>
      <c r="Z303" t="str">
        <f t="shared" si="98"/>
        <v>Medium</v>
      </c>
      <c r="AA303">
        <f t="shared" si="83"/>
        <v>2023</v>
      </c>
      <c r="AB303">
        <f t="shared" si="84"/>
        <v>10</v>
      </c>
      <c r="AC303" t="str">
        <f t="shared" si="85"/>
        <v>No</v>
      </c>
      <c r="AD303" t="str">
        <f t="shared" si="86"/>
        <v>No</v>
      </c>
      <c r="AE303" s="36">
        <f>IF(Dashboard!$P$47&gt;'Staging Data'!R303,'Staging Data'!R303,Dashboard!$P$47)</f>
        <v>0.1</v>
      </c>
      <c r="AF303">
        <f>(100%+Dashboard!$P$48)*'Staging Data'!P303</f>
        <v>682.40549999999996</v>
      </c>
      <c r="AG303">
        <f>(100%+Dashboard!$P$49)*S303</f>
        <v>9.36</v>
      </c>
      <c r="AH303" s="13">
        <f t="shared" si="87"/>
        <v>11457.650879999999</v>
      </c>
      <c r="AI303" s="13">
        <f t="shared" si="88"/>
        <v>6387.3154799999993</v>
      </c>
      <c r="AJ303" s="13">
        <f t="shared" si="89"/>
        <v>5070.3353999999999</v>
      </c>
    </row>
    <row r="304" spans="1:36" x14ac:dyDescent="0.45">
      <c r="A304" s="3" t="s">
        <v>563</v>
      </c>
      <c r="B304" s="5">
        <v>45486</v>
      </c>
      <c r="C304" s="5">
        <v>45507</v>
      </c>
      <c r="D304" s="5">
        <f t="shared" si="90"/>
        <v>45486</v>
      </c>
      <c r="E304" s="5">
        <f t="shared" si="91"/>
        <v>45507</v>
      </c>
      <c r="F304" s="7">
        <f t="shared" si="92"/>
        <v>21</v>
      </c>
      <c r="G304" s="23" t="str">
        <f t="shared" si="93"/>
        <v>7-2024</v>
      </c>
      <c r="H304" s="3" t="s">
        <v>648</v>
      </c>
      <c r="I304" s="3" t="s">
        <v>655</v>
      </c>
      <c r="J304" s="3" t="s">
        <v>692</v>
      </c>
      <c r="K304" s="3" t="s">
        <v>701</v>
      </c>
      <c r="L304" s="3" t="s">
        <v>709</v>
      </c>
      <c r="M304" s="3" t="s">
        <v>724</v>
      </c>
      <c r="N304" s="3" t="s">
        <v>732</v>
      </c>
      <c r="O304" s="3" t="s">
        <v>1281</v>
      </c>
      <c r="P304" s="19">
        <v>702.98</v>
      </c>
      <c r="Q304" s="19">
        <v>1104.8</v>
      </c>
      <c r="R304" s="15">
        <v>0.17499999999999999</v>
      </c>
      <c r="S304" s="7">
        <v>12</v>
      </c>
      <c r="T304" s="13">
        <f t="shared" si="81"/>
        <v>10937.519999999999</v>
      </c>
      <c r="U304" s="13">
        <f t="shared" si="82"/>
        <v>8435.76</v>
      </c>
      <c r="V304" s="13">
        <f t="shared" si="94"/>
        <v>2501.7599999999984</v>
      </c>
      <c r="W304" s="15">
        <f t="shared" si="95"/>
        <v>0.22873192460448061</v>
      </c>
      <c r="X304" s="17" t="str">
        <f t="shared" si="96"/>
        <v>Q3-2024</v>
      </c>
      <c r="Y304" t="str">
        <f t="shared" si="97"/>
        <v>Americas → Brazil → Rio de Janeiro</v>
      </c>
      <c r="Z304" t="str">
        <f t="shared" si="98"/>
        <v>Low</v>
      </c>
      <c r="AA304">
        <f t="shared" si="83"/>
        <v>2024</v>
      </c>
      <c r="AB304">
        <f t="shared" si="84"/>
        <v>7</v>
      </c>
      <c r="AC304" t="str">
        <f t="shared" si="85"/>
        <v>No</v>
      </c>
      <c r="AD304" t="str">
        <f t="shared" si="86"/>
        <v>No</v>
      </c>
      <c r="AE304" s="36">
        <f>IF(Dashboard!$P$47&gt;'Staging Data'!R304,'Staging Data'!R304,Dashboard!$P$47)</f>
        <v>0.1</v>
      </c>
      <c r="AF304">
        <f>(100%+Dashboard!$P$48)*'Staging Data'!P304</f>
        <v>738.12900000000002</v>
      </c>
      <c r="AG304">
        <f>(100%+Dashboard!$P$49)*S304</f>
        <v>12.48</v>
      </c>
      <c r="AH304" s="13">
        <f t="shared" si="87"/>
        <v>12409.113600000001</v>
      </c>
      <c r="AI304" s="13">
        <f t="shared" si="88"/>
        <v>9211.8499200000006</v>
      </c>
      <c r="AJ304" s="13">
        <f t="shared" si="89"/>
        <v>3197.26368</v>
      </c>
    </row>
    <row r="305" spans="1:36" x14ac:dyDescent="0.45">
      <c r="A305" s="3" t="s">
        <v>317</v>
      </c>
      <c r="B305" s="5">
        <v>45830</v>
      </c>
      <c r="C305" s="5">
        <v>45846</v>
      </c>
      <c r="D305" s="5">
        <f t="shared" si="90"/>
        <v>45830</v>
      </c>
      <c r="E305" s="5">
        <f t="shared" si="91"/>
        <v>45846</v>
      </c>
      <c r="F305" s="7">
        <f t="shared" si="92"/>
        <v>16</v>
      </c>
      <c r="G305" s="23" t="str">
        <f t="shared" si="93"/>
        <v>6-2025</v>
      </c>
      <c r="H305" s="3" t="s">
        <v>649</v>
      </c>
      <c r="I305" s="3" t="s">
        <v>658</v>
      </c>
      <c r="J305" s="3" t="s">
        <v>683</v>
      </c>
      <c r="K305" s="3" t="s">
        <v>702</v>
      </c>
      <c r="L305" s="3" t="s">
        <v>711</v>
      </c>
      <c r="M305" s="3" t="s">
        <v>720</v>
      </c>
      <c r="N305" s="3" t="s">
        <v>730</v>
      </c>
      <c r="O305" s="3" t="s">
        <v>1037</v>
      </c>
      <c r="P305" s="19">
        <v>892.73</v>
      </c>
      <c r="Q305" s="19">
        <v>979.84</v>
      </c>
      <c r="R305" s="15">
        <v>0.17399999999999999</v>
      </c>
      <c r="S305" s="7">
        <v>10</v>
      </c>
      <c r="T305" s="13">
        <f t="shared" si="81"/>
        <v>8093.4784</v>
      </c>
      <c r="U305" s="13">
        <f t="shared" si="82"/>
        <v>8927.2999999999993</v>
      </c>
      <c r="V305" s="13">
        <f t="shared" si="94"/>
        <v>-833.82159999999931</v>
      </c>
      <c r="W305" s="15">
        <f t="shared" si="95"/>
        <v>-0.10302388649112838</v>
      </c>
      <c r="X305" s="17" t="str">
        <f t="shared" si="96"/>
        <v>Q2-2025</v>
      </c>
      <c r="Y305" t="str">
        <f t="shared" si="97"/>
        <v>Europe → United Kingdom → London</v>
      </c>
      <c r="Z305" t="str">
        <f t="shared" si="98"/>
        <v>Low</v>
      </c>
      <c r="AA305">
        <f t="shared" si="83"/>
        <v>2025</v>
      </c>
      <c r="AB305">
        <f t="shared" si="84"/>
        <v>6</v>
      </c>
      <c r="AC305" t="str">
        <f t="shared" si="85"/>
        <v>No</v>
      </c>
      <c r="AD305" t="str">
        <f t="shared" si="86"/>
        <v>No</v>
      </c>
      <c r="AE305" s="36">
        <f>IF(Dashboard!$P$47&gt;'Staging Data'!R305,'Staging Data'!R305,Dashboard!$P$47)</f>
        <v>0.1</v>
      </c>
      <c r="AF305">
        <f>(100%+Dashboard!$P$48)*'Staging Data'!P305</f>
        <v>937.36650000000009</v>
      </c>
      <c r="AG305">
        <f>(100%+Dashboard!$P$49)*S305</f>
        <v>10.4</v>
      </c>
      <c r="AH305" s="13">
        <f t="shared" si="87"/>
        <v>9171.3024000000005</v>
      </c>
      <c r="AI305" s="13">
        <f t="shared" si="88"/>
        <v>9748.611600000002</v>
      </c>
      <c r="AJ305" s="13">
        <f t="shared" si="89"/>
        <v>-577.30920000000151</v>
      </c>
    </row>
    <row r="306" spans="1:36" x14ac:dyDescent="0.45">
      <c r="A306" s="3" t="s">
        <v>318</v>
      </c>
      <c r="B306" s="5">
        <v>45462</v>
      </c>
      <c r="C306" s="5">
        <v>45463</v>
      </c>
      <c r="D306" s="5">
        <f t="shared" si="90"/>
        <v>45462</v>
      </c>
      <c r="E306" s="5">
        <f t="shared" si="91"/>
        <v>45463</v>
      </c>
      <c r="F306" s="7">
        <f t="shared" si="92"/>
        <v>1</v>
      </c>
      <c r="G306" s="23" t="str">
        <f t="shared" si="93"/>
        <v>6-2024</v>
      </c>
      <c r="H306" s="3" t="s">
        <v>646</v>
      </c>
      <c r="I306" s="3" t="s">
        <v>650</v>
      </c>
      <c r="J306" s="3" t="s">
        <v>662</v>
      </c>
      <c r="K306" s="3" t="s">
        <v>705</v>
      </c>
      <c r="L306" s="3" t="s">
        <v>711</v>
      </c>
      <c r="M306" s="3" t="s">
        <v>713</v>
      </c>
      <c r="N306" s="3" t="s">
        <v>731</v>
      </c>
      <c r="O306" s="3" t="s">
        <v>1038</v>
      </c>
      <c r="P306" s="19">
        <v>231.63</v>
      </c>
      <c r="Q306" s="19">
        <v>537.39</v>
      </c>
      <c r="R306" s="15">
        <v>0.08</v>
      </c>
      <c r="S306" s="7">
        <v>12</v>
      </c>
      <c r="T306" s="13">
        <f t="shared" si="81"/>
        <v>5932.7856000000002</v>
      </c>
      <c r="U306" s="13">
        <f t="shared" si="82"/>
        <v>2779.56</v>
      </c>
      <c r="V306" s="13">
        <f t="shared" si="94"/>
        <v>3153.2256000000002</v>
      </c>
      <c r="W306" s="15">
        <f t="shared" si="95"/>
        <v>0.53149158129024587</v>
      </c>
      <c r="X306" s="17" t="str">
        <f t="shared" si="96"/>
        <v>Q2-2024</v>
      </c>
      <c r="Y306" t="str">
        <f t="shared" si="97"/>
        <v>Africa → Kenya → Kisumu</v>
      </c>
      <c r="Z306" t="str">
        <f t="shared" si="98"/>
        <v>Low</v>
      </c>
      <c r="AA306">
        <f t="shared" si="83"/>
        <v>2024</v>
      </c>
      <c r="AB306">
        <f t="shared" si="84"/>
        <v>6</v>
      </c>
      <c r="AC306" t="str">
        <f t="shared" si="85"/>
        <v>Yes</v>
      </c>
      <c r="AD306" t="str">
        <f t="shared" si="86"/>
        <v>No</v>
      </c>
      <c r="AE306" s="36">
        <f>IF(Dashboard!$P$47&gt;'Staging Data'!R306,'Staging Data'!R306,Dashboard!$P$47)</f>
        <v>0.08</v>
      </c>
      <c r="AF306">
        <f>(100%+Dashboard!$P$48)*'Staging Data'!P306</f>
        <v>243.2115</v>
      </c>
      <c r="AG306">
        <f>(100%+Dashboard!$P$49)*S306</f>
        <v>12.48</v>
      </c>
      <c r="AH306" s="13">
        <f t="shared" si="87"/>
        <v>6170.0970240000006</v>
      </c>
      <c r="AI306" s="13">
        <f t="shared" si="88"/>
        <v>3035.27952</v>
      </c>
      <c r="AJ306" s="13">
        <f t="shared" si="89"/>
        <v>3134.8175040000006</v>
      </c>
    </row>
    <row r="307" spans="1:36" x14ac:dyDescent="0.45">
      <c r="A307" s="3" t="s">
        <v>319</v>
      </c>
      <c r="B307" s="5">
        <v>45756</v>
      </c>
      <c r="C307" s="5">
        <v>45759</v>
      </c>
      <c r="D307" s="5">
        <f t="shared" si="90"/>
        <v>45756</v>
      </c>
      <c r="E307" s="5">
        <f t="shared" si="91"/>
        <v>45759</v>
      </c>
      <c r="F307" s="7">
        <f t="shared" si="92"/>
        <v>3</v>
      </c>
      <c r="G307" s="23" t="str">
        <f t="shared" si="93"/>
        <v>4-2025</v>
      </c>
      <c r="H307" s="3" t="s">
        <v>649</v>
      </c>
      <c r="I307" s="3" t="s">
        <v>657</v>
      </c>
      <c r="J307" s="3" t="s">
        <v>679</v>
      </c>
      <c r="K307" s="3" t="s">
        <v>705</v>
      </c>
      <c r="L307" s="3" t="s">
        <v>710</v>
      </c>
      <c r="M307" s="3" t="s">
        <v>722</v>
      </c>
      <c r="N307" s="3" t="s">
        <v>732</v>
      </c>
      <c r="O307" s="3" t="s">
        <v>1039</v>
      </c>
      <c r="P307" s="19">
        <v>86.68</v>
      </c>
      <c r="Q307" s="19">
        <v>213.32</v>
      </c>
      <c r="R307" s="15">
        <v>3.7999999999999999E-2</v>
      </c>
      <c r="S307" s="7">
        <v>8</v>
      </c>
      <c r="T307" s="13">
        <f t="shared" si="81"/>
        <v>1641.7107199999998</v>
      </c>
      <c r="U307" s="13">
        <f t="shared" si="82"/>
        <v>693.44</v>
      </c>
      <c r="V307" s="13">
        <f t="shared" si="94"/>
        <v>948.27071999999976</v>
      </c>
      <c r="W307" s="15">
        <f t="shared" si="95"/>
        <v>0.57761133459614611</v>
      </c>
      <c r="X307" s="17" t="str">
        <f t="shared" si="96"/>
        <v>Q2-2025</v>
      </c>
      <c r="Y307" t="str">
        <f t="shared" si="97"/>
        <v>Europe → France → Lyon</v>
      </c>
      <c r="Z307" t="str">
        <f t="shared" si="98"/>
        <v>Low</v>
      </c>
      <c r="AA307">
        <f t="shared" si="83"/>
        <v>2025</v>
      </c>
      <c r="AB307">
        <f t="shared" si="84"/>
        <v>4</v>
      </c>
      <c r="AC307" t="str">
        <f t="shared" si="85"/>
        <v>Yes</v>
      </c>
      <c r="AD307" t="str">
        <f t="shared" si="86"/>
        <v>No</v>
      </c>
      <c r="AE307" s="36">
        <f>IF(Dashboard!$P$47&gt;'Staging Data'!R307,'Staging Data'!R307,Dashboard!$P$47)</f>
        <v>3.7999999999999999E-2</v>
      </c>
      <c r="AF307">
        <f>(100%+Dashboard!$P$48)*'Staging Data'!P307</f>
        <v>91.01400000000001</v>
      </c>
      <c r="AG307">
        <f>(100%+Dashboard!$P$49)*S307</f>
        <v>8.32</v>
      </c>
      <c r="AH307" s="13">
        <f t="shared" si="87"/>
        <v>1707.3791487999999</v>
      </c>
      <c r="AI307" s="13">
        <f t="shared" si="88"/>
        <v>757.23648000000014</v>
      </c>
      <c r="AJ307" s="13">
        <f t="shared" si="89"/>
        <v>950.1426687999998</v>
      </c>
    </row>
    <row r="308" spans="1:36" x14ac:dyDescent="0.45">
      <c r="A308" s="3" t="s">
        <v>313</v>
      </c>
      <c r="B308" s="5">
        <v>45679</v>
      </c>
      <c r="C308" s="5">
        <v>45679</v>
      </c>
      <c r="D308" s="5">
        <f t="shared" si="90"/>
        <v>45679</v>
      </c>
      <c r="E308" s="5">
        <f t="shared" si="91"/>
        <v>45679</v>
      </c>
      <c r="F308" s="7">
        <f t="shared" si="92"/>
        <v>0</v>
      </c>
      <c r="G308" s="23" t="str">
        <f t="shared" si="93"/>
        <v>1-2025</v>
      </c>
      <c r="H308" s="3" t="s">
        <v>649</v>
      </c>
      <c r="I308" s="3" t="s">
        <v>657</v>
      </c>
      <c r="J308" s="3" t="s">
        <v>679</v>
      </c>
      <c r="K308" s="3" t="s">
        <v>705</v>
      </c>
      <c r="L308" s="3" t="s">
        <v>708</v>
      </c>
      <c r="M308" s="3" t="s">
        <v>717</v>
      </c>
      <c r="N308" s="3" t="s">
        <v>733</v>
      </c>
      <c r="O308" s="3" t="s">
        <v>1033</v>
      </c>
      <c r="P308" s="19">
        <v>591.72</v>
      </c>
      <c r="Q308" s="19">
        <v>577.24</v>
      </c>
      <c r="R308" s="15">
        <v>0</v>
      </c>
      <c r="S308" s="7">
        <v>22</v>
      </c>
      <c r="T308" s="13">
        <f t="shared" si="81"/>
        <v>12699.28</v>
      </c>
      <c r="U308" s="13">
        <f t="shared" si="82"/>
        <v>13017.84</v>
      </c>
      <c r="V308" s="13">
        <f t="shared" si="94"/>
        <v>-318.55999999999949</v>
      </c>
      <c r="W308" s="15">
        <f t="shared" si="95"/>
        <v>-2.5084886702238195E-2</v>
      </c>
      <c r="X308" s="17" t="str">
        <f t="shared" si="96"/>
        <v>Q1-2025</v>
      </c>
      <c r="Y308" t="str">
        <f t="shared" si="97"/>
        <v>Europe → France → Lyon</v>
      </c>
      <c r="Z308" t="str">
        <f t="shared" si="98"/>
        <v>Low</v>
      </c>
      <c r="AA308">
        <f t="shared" si="83"/>
        <v>2025</v>
      </c>
      <c r="AB308">
        <f t="shared" si="84"/>
        <v>1</v>
      </c>
      <c r="AC308" t="str">
        <f t="shared" si="85"/>
        <v>Yes</v>
      </c>
      <c r="AD308" t="str">
        <f t="shared" si="86"/>
        <v>No</v>
      </c>
      <c r="AE308" s="36">
        <f>IF(Dashboard!$P$47&gt;'Staging Data'!R308,'Staging Data'!R308,Dashboard!$P$47)</f>
        <v>0</v>
      </c>
      <c r="AF308">
        <f>(100%+Dashboard!$P$48)*'Staging Data'!P308</f>
        <v>621.30600000000004</v>
      </c>
      <c r="AG308">
        <f>(100%+Dashboard!$P$49)*S308</f>
        <v>22.880000000000003</v>
      </c>
      <c r="AH308" s="13">
        <f t="shared" si="87"/>
        <v>13207.251200000002</v>
      </c>
      <c r="AI308" s="13">
        <f t="shared" si="88"/>
        <v>14215.481280000002</v>
      </c>
      <c r="AJ308" s="13">
        <f t="shared" si="89"/>
        <v>-1008.2300799999994</v>
      </c>
    </row>
    <row r="309" spans="1:36" x14ac:dyDescent="0.45">
      <c r="A309" s="3" t="s">
        <v>321</v>
      </c>
      <c r="B309" s="5">
        <v>45795</v>
      </c>
      <c r="C309" s="5">
        <v>45817</v>
      </c>
      <c r="D309" s="5">
        <f t="shared" si="90"/>
        <v>45795</v>
      </c>
      <c r="E309" s="5">
        <f t="shared" si="91"/>
        <v>45817</v>
      </c>
      <c r="F309" s="7">
        <f t="shared" si="92"/>
        <v>22</v>
      </c>
      <c r="G309" s="23" t="str">
        <f t="shared" si="93"/>
        <v>5-2025</v>
      </c>
      <c r="H309" s="3" t="s">
        <v>648</v>
      </c>
      <c r="I309" s="3" t="s">
        <v>660</v>
      </c>
      <c r="J309" s="3" t="s">
        <v>700</v>
      </c>
      <c r="K309" s="3" t="s">
        <v>704</v>
      </c>
      <c r="L309" s="3" t="s">
        <v>707</v>
      </c>
      <c r="M309" s="3" t="s">
        <v>722</v>
      </c>
      <c r="N309" s="3" t="s">
        <v>729</v>
      </c>
      <c r="O309" s="3" t="s">
        <v>1041</v>
      </c>
      <c r="P309" s="19">
        <v>382.96</v>
      </c>
      <c r="Q309" s="19">
        <v>552.84</v>
      </c>
      <c r="R309" s="15">
        <v>0.17599999999999999</v>
      </c>
      <c r="S309" s="7">
        <v>8</v>
      </c>
      <c r="T309" s="13">
        <f t="shared" si="81"/>
        <v>3644.3212800000006</v>
      </c>
      <c r="U309" s="13">
        <f t="shared" si="82"/>
        <v>3063.68</v>
      </c>
      <c r="V309" s="13">
        <f t="shared" si="94"/>
        <v>580.64128000000073</v>
      </c>
      <c r="W309" s="15">
        <f t="shared" si="95"/>
        <v>0.15932768693763483</v>
      </c>
      <c r="X309" s="17" t="str">
        <f t="shared" si="96"/>
        <v>Q2-2025</v>
      </c>
      <c r="Y309" t="str">
        <f t="shared" si="97"/>
        <v>Americas → USA → New York</v>
      </c>
      <c r="Z309" t="str">
        <f t="shared" si="98"/>
        <v>Low</v>
      </c>
      <c r="AA309">
        <f t="shared" si="83"/>
        <v>2025</v>
      </c>
      <c r="AB309">
        <f t="shared" si="84"/>
        <v>5</v>
      </c>
      <c r="AC309" t="str">
        <f t="shared" si="85"/>
        <v>No</v>
      </c>
      <c r="AD309" t="str">
        <f t="shared" si="86"/>
        <v>No</v>
      </c>
      <c r="AE309" s="36">
        <f>IF(Dashboard!$P$47&gt;'Staging Data'!R309,'Staging Data'!R309,Dashboard!$P$47)</f>
        <v>0.1</v>
      </c>
      <c r="AF309">
        <f>(100%+Dashboard!$P$48)*'Staging Data'!P309</f>
        <v>402.108</v>
      </c>
      <c r="AG309">
        <f>(100%+Dashboard!$P$49)*S309</f>
        <v>8.32</v>
      </c>
      <c r="AH309" s="13">
        <f t="shared" si="87"/>
        <v>4139.6659200000004</v>
      </c>
      <c r="AI309" s="13">
        <f t="shared" si="88"/>
        <v>3345.53856</v>
      </c>
      <c r="AJ309" s="13">
        <f t="shared" si="89"/>
        <v>794.12736000000041</v>
      </c>
    </row>
    <row r="310" spans="1:36" x14ac:dyDescent="0.45">
      <c r="A310" s="3" t="s">
        <v>322</v>
      </c>
      <c r="B310" s="5">
        <v>45679</v>
      </c>
      <c r="C310" s="5">
        <v>45692</v>
      </c>
      <c r="D310" s="5">
        <f t="shared" si="90"/>
        <v>45679</v>
      </c>
      <c r="E310" s="5">
        <f t="shared" si="91"/>
        <v>45692</v>
      </c>
      <c r="F310" s="7">
        <f t="shared" si="92"/>
        <v>13</v>
      </c>
      <c r="G310" s="23" t="str">
        <f t="shared" si="93"/>
        <v>1-2025</v>
      </c>
      <c r="H310" s="3" t="s">
        <v>647</v>
      </c>
      <c r="I310" s="3" t="s">
        <v>652</v>
      </c>
      <c r="J310" s="3" t="s">
        <v>689</v>
      </c>
      <c r="K310" s="3" t="s">
        <v>705</v>
      </c>
      <c r="L310" s="3" t="s">
        <v>710</v>
      </c>
      <c r="M310" s="3" t="s">
        <v>716</v>
      </c>
      <c r="N310" s="3" t="s">
        <v>728</v>
      </c>
      <c r="O310" s="3" t="s">
        <v>1042</v>
      </c>
      <c r="P310" s="19">
        <v>122.29</v>
      </c>
      <c r="Q310" s="19">
        <v>224.95</v>
      </c>
      <c r="R310" s="15">
        <v>0.153</v>
      </c>
      <c r="S310" s="7">
        <v>28</v>
      </c>
      <c r="T310" s="13">
        <f t="shared" si="81"/>
        <v>5334.9141999999993</v>
      </c>
      <c r="U310" s="13">
        <f t="shared" si="82"/>
        <v>3424.1200000000003</v>
      </c>
      <c r="V310" s="13">
        <f t="shared" si="94"/>
        <v>1910.7941999999989</v>
      </c>
      <c r="W310" s="15">
        <f t="shared" si="95"/>
        <v>0.3581677471026618</v>
      </c>
      <c r="X310" s="17" t="str">
        <f t="shared" si="96"/>
        <v>Q1-2025</v>
      </c>
      <c r="Y310" t="str">
        <f t="shared" si="97"/>
        <v>Asia → Japan → Tokyo</v>
      </c>
      <c r="Z310" t="str">
        <f t="shared" si="98"/>
        <v>Low</v>
      </c>
      <c r="AA310">
        <f t="shared" si="83"/>
        <v>2025</v>
      </c>
      <c r="AB310">
        <f t="shared" si="84"/>
        <v>1</v>
      </c>
      <c r="AC310" t="str">
        <f t="shared" si="85"/>
        <v>No</v>
      </c>
      <c r="AD310" t="str">
        <f t="shared" si="86"/>
        <v>No</v>
      </c>
      <c r="AE310" s="36">
        <f>IF(Dashboard!$P$47&gt;'Staging Data'!R310,'Staging Data'!R310,Dashboard!$P$47)</f>
        <v>0.1</v>
      </c>
      <c r="AF310">
        <f>(100%+Dashboard!$P$48)*'Staging Data'!P310</f>
        <v>128.40450000000001</v>
      </c>
      <c r="AG310">
        <f>(100%+Dashboard!$P$49)*S310</f>
        <v>29.12</v>
      </c>
      <c r="AH310" s="13">
        <f t="shared" si="87"/>
        <v>5895.4895999999999</v>
      </c>
      <c r="AI310" s="13">
        <f t="shared" si="88"/>
        <v>3739.1390400000005</v>
      </c>
      <c r="AJ310" s="13">
        <f t="shared" si="89"/>
        <v>2156.3505599999994</v>
      </c>
    </row>
    <row r="311" spans="1:36" x14ac:dyDescent="0.45">
      <c r="A311" s="3" t="s">
        <v>323</v>
      </c>
      <c r="B311" s="5">
        <v>44936</v>
      </c>
      <c r="C311" s="5">
        <v>44955</v>
      </c>
      <c r="D311" s="5">
        <f t="shared" si="90"/>
        <v>44936</v>
      </c>
      <c r="E311" s="5">
        <f t="shared" si="91"/>
        <v>44955</v>
      </c>
      <c r="F311" s="7">
        <f t="shared" si="92"/>
        <v>19</v>
      </c>
      <c r="G311" s="23" t="str">
        <f t="shared" si="93"/>
        <v>1-2023</v>
      </c>
      <c r="H311" s="3" t="s">
        <v>649</v>
      </c>
      <c r="I311" s="3" t="s">
        <v>657</v>
      </c>
      <c r="J311" s="3" t="s">
        <v>679</v>
      </c>
      <c r="K311" s="3" t="s">
        <v>703</v>
      </c>
      <c r="L311" s="3" t="s">
        <v>711</v>
      </c>
      <c r="M311" s="3" t="s">
        <v>726</v>
      </c>
      <c r="N311" s="3" t="s">
        <v>731</v>
      </c>
      <c r="O311" s="3" t="s">
        <v>1043</v>
      </c>
      <c r="P311" s="19">
        <v>401.66</v>
      </c>
      <c r="Q311" s="19">
        <v>772.09</v>
      </c>
      <c r="R311" s="15">
        <v>8.8999999999999996E-2</v>
      </c>
      <c r="S311" s="7">
        <v>14</v>
      </c>
      <c r="T311" s="13">
        <f t="shared" si="81"/>
        <v>9847.2358600000007</v>
      </c>
      <c r="U311" s="13">
        <f t="shared" si="82"/>
        <v>5623.2400000000007</v>
      </c>
      <c r="V311" s="13">
        <f t="shared" si="94"/>
        <v>4223.99586</v>
      </c>
      <c r="W311" s="15">
        <f t="shared" si="95"/>
        <v>0.42895244107619046</v>
      </c>
      <c r="X311" s="17" t="str">
        <f t="shared" si="96"/>
        <v>Q1-2023</v>
      </c>
      <c r="Y311" t="str">
        <f t="shared" si="97"/>
        <v>Europe → France → Lyon</v>
      </c>
      <c r="Z311" t="str">
        <f t="shared" si="98"/>
        <v>Low</v>
      </c>
      <c r="AA311">
        <f t="shared" si="83"/>
        <v>2023</v>
      </c>
      <c r="AB311">
        <f t="shared" si="84"/>
        <v>1</v>
      </c>
      <c r="AC311" t="str">
        <f t="shared" si="85"/>
        <v>No</v>
      </c>
      <c r="AD311" t="str">
        <f t="shared" si="86"/>
        <v>No</v>
      </c>
      <c r="AE311" s="36">
        <f>IF(Dashboard!$P$47&gt;'Staging Data'!R311,'Staging Data'!R311,Dashboard!$P$47)</f>
        <v>8.8999999999999996E-2</v>
      </c>
      <c r="AF311">
        <f>(100%+Dashboard!$P$48)*'Staging Data'!P311</f>
        <v>421.74300000000005</v>
      </c>
      <c r="AG311">
        <f>(100%+Dashboard!$P$49)*S311</f>
        <v>14.56</v>
      </c>
      <c r="AH311" s="13">
        <f t="shared" si="87"/>
        <v>10241.125294400001</v>
      </c>
      <c r="AI311" s="13">
        <f t="shared" si="88"/>
        <v>6140.5780800000011</v>
      </c>
      <c r="AJ311" s="13">
        <f t="shared" si="89"/>
        <v>4100.5472143999996</v>
      </c>
    </row>
    <row r="312" spans="1:36" x14ac:dyDescent="0.45">
      <c r="A312" s="3" t="s">
        <v>324</v>
      </c>
      <c r="B312" s="5">
        <v>45655</v>
      </c>
      <c r="C312" s="5">
        <v>45669</v>
      </c>
      <c r="D312" s="5">
        <f t="shared" si="90"/>
        <v>45655</v>
      </c>
      <c r="E312" s="5">
        <f t="shared" si="91"/>
        <v>45669</v>
      </c>
      <c r="F312" s="7">
        <f t="shared" si="92"/>
        <v>14</v>
      </c>
      <c r="G312" s="23" t="str">
        <f t="shared" si="93"/>
        <v>12-2024</v>
      </c>
      <c r="H312" s="3" t="s">
        <v>649</v>
      </c>
      <c r="I312" s="3" t="s">
        <v>658</v>
      </c>
      <c r="J312" s="3" t="s">
        <v>693</v>
      </c>
      <c r="K312" s="3" t="s">
        <v>701</v>
      </c>
      <c r="L312" s="3" t="s">
        <v>711</v>
      </c>
      <c r="M312" s="3" t="s">
        <v>717</v>
      </c>
      <c r="N312" s="3" t="s">
        <v>732</v>
      </c>
      <c r="O312" s="3" t="s">
        <v>1044</v>
      </c>
      <c r="P312" s="19">
        <v>1399.72</v>
      </c>
      <c r="Q312" s="19">
        <v>3149.21</v>
      </c>
      <c r="R312" s="15">
        <v>0.185</v>
      </c>
      <c r="S312" s="7">
        <v>12</v>
      </c>
      <c r="T312" s="13">
        <f t="shared" si="81"/>
        <v>30799.273800000003</v>
      </c>
      <c r="U312" s="13">
        <f t="shared" si="82"/>
        <v>16796.64</v>
      </c>
      <c r="V312" s="13">
        <f t="shared" si="94"/>
        <v>14002.633800000003</v>
      </c>
      <c r="W312" s="15">
        <f t="shared" si="95"/>
        <v>0.45464168703873797</v>
      </c>
      <c r="X312" s="17" t="str">
        <f t="shared" si="96"/>
        <v>Q4-2024</v>
      </c>
      <c r="Y312" t="str">
        <f t="shared" si="97"/>
        <v>Europe → United Kingdom → Manchester</v>
      </c>
      <c r="Z312" t="str">
        <f t="shared" si="98"/>
        <v>High</v>
      </c>
      <c r="AA312">
        <f t="shared" si="83"/>
        <v>2024</v>
      </c>
      <c r="AB312">
        <f t="shared" si="84"/>
        <v>12</v>
      </c>
      <c r="AC312" t="str">
        <f t="shared" si="85"/>
        <v>No</v>
      </c>
      <c r="AD312" t="str">
        <f t="shared" si="86"/>
        <v>No</v>
      </c>
      <c r="AE312" s="36">
        <f>IF(Dashboard!$P$47&gt;'Staging Data'!R312,'Staging Data'!R312,Dashboard!$P$47)</f>
        <v>0.1</v>
      </c>
      <c r="AF312">
        <f>(100%+Dashboard!$P$48)*'Staging Data'!P312</f>
        <v>1469.7060000000001</v>
      </c>
      <c r="AG312">
        <f>(100%+Dashboard!$P$49)*S312</f>
        <v>12.48</v>
      </c>
      <c r="AH312" s="13">
        <f t="shared" si="87"/>
        <v>35371.926720000003</v>
      </c>
      <c r="AI312" s="13">
        <f t="shared" si="88"/>
        <v>18341.930880000004</v>
      </c>
      <c r="AJ312" s="13">
        <f t="shared" si="89"/>
        <v>17029.99584</v>
      </c>
    </row>
    <row r="313" spans="1:36" x14ac:dyDescent="0.45">
      <c r="A313" s="3" t="s">
        <v>613</v>
      </c>
      <c r="B313" s="5">
        <v>45521</v>
      </c>
      <c r="C313" s="5">
        <v>45519</v>
      </c>
      <c r="D313" s="5">
        <f t="shared" si="90"/>
        <v>45519</v>
      </c>
      <c r="E313" s="5">
        <f t="shared" si="91"/>
        <v>45521</v>
      </c>
      <c r="F313" s="7">
        <f t="shared" si="92"/>
        <v>2</v>
      </c>
      <c r="G313" s="23" t="str">
        <f t="shared" si="93"/>
        <v>8-2024</v>
      </c>
      <c r="H313" s="3" t="s">
        <v>648</v>
      </c>
      <c r="I313" s="3" t="s">
        <v>655</v>
      </c>
      <c r="J313" s="3" t="s">
        <v>692</v>
      </c>
      <c r="K313" s="3" t="s">
        <v>704</v>
      </c>
      <c r="L313" s="3" t="s">
        <v>711</v>
      </c>
      <c r="M313" s="3" t="s">
        <v>724</v>
      </c>
      <c r="N313" s="3" t="s">
        <v>732</v>
      </c>
      <c r="O313" s="3" t="s">
        <v>1331</v>
      </c>
      <c r="P313" s="19">
        <v>165.3</v>
      </c>
      <c r="Q313" s="19">
        <v>275.07</v>
      </c>
      <c r="R313" s="15">
        <v>0.13300000000000001</v>
      </c>
      <c r="S313" s="7">
        <v>25</v>
      </c>
      <c r="T313" s="13">
        <f t="shared" si="81"/>
        <v>5962.1422499999999</v>
      </c>
      <c r="U313" s="13">
        <f t="shared" si="82"/>
        <v>4132.5</v>
      </c>
      <c r="V313" s="13">
        <f t="shared" si="94"/>
        <v>1829.6422499999999</v>
      </c>
      <c r="W313" s="15">
        <f t="shared" si="95"/>
        <v>0.30687665159280625</v>
      </c>
      <c r="X313" s="17" t="str">
        <f t="shared" si="96"/>
        <v>Q3-2024</v>
      </c>
      <c r="Y313" t="str">
        <f t="shared" si="97"/>
        <v>Americas → Brazil → Rio de Janeiro</v>
      </c>
      <c r="Z313" t="str">
        <f t="shared" si="98"/>
        <v>Low</v>
      </c>
      <c r="AA313">
        <f t="shared" si="83"/>
        <v>2024</v>
      </c>
      <c r="AB313">
        <f t="shared" si="84"/>
        <v>8</v>
      </c>
      <c r="AC313" t="str">
        <f t="shared" si="85"/>
        <v>Yes</v>
      </c>
      <c r="AD313" t="str">
        <f t="shared" si="86"/>
        <v>No</v>
      </c>
      <c r="AE313" s="36">
        <f>IF(Dashboard!$P$47&gt;'Staging Data'!R313,'Staging Data'!R313,Dashboard!$P$47)</f>
        <v>0.1</v>
      </c>
      <c r="AF313">
        <f>(100%+Dashboard!$P$48)*'Staging Data'!P313</f>
        <v>173.56500000000003</v>
      </c>
      <c r="AG313">
        <f>(100%+Dashboard!$P$49)*S313</f>
        <v>26</v>
      </c>
      <c r="AH313" s="13">
        <f t="shared" si="87"/>
        <v>6436.6379999999999</v>
      </c>
      <c r="AI313" s="13">
        <f t="shared" si="88"/>
        <v>4512.6900000000005</v>
      </c>
      <c r="AJ313" s="13">
        <f t="shared" si="89"/>
        <v>1923.9479999999994</v>
      </c>
    </row>
    <row r="314" spans="1:36" x14ac:dyDescent="0.45">
      <c r="A314" s="3" t="s">
        <v>603</v>
      </c>
      <c r="B314" s="5">
        <v>45703</v>
      </c>
      <c r="C314" s="5">
        <v>45715</v>
      </c>
      <c r="D314" s="5">
        <f t="shared" si="90"/>
        <v>45703</v>
      </c>
      <c r="E314" s="5">
        <f t="shared" si="91"/>
        <v>45715</v>
      </c>
      <c r="F314" s="7">
        <f t="shared" si="92"/>
        <v>12</v>
      </c>
      <c r="G314" s="23" t="str">
        <f t="shared" si="93"/>
        <v>2-2025</v>
      </c>
      <c r="H314" s="3" t="s">
        <v>649</v>
      </c>
      <c r="I314" s="3" t="s">
        <v>657</v>
      </c>
      <c r="J314" s="3" t="s">
        <v>679</v>
      </c>
      <c r="K314" s="3" t="s">
        <v>703</v>
      </c>
      <c r="L314" s="3" t="s">
        <v>711</v>
      </c>
      <c r="M314" s="3" t="s">
        <v>723</v>
      </c>
      <c r="N314" s="3" t="s">
        <v>733</v>
      </c>
      <c r="O314" s="3" t="s">
        <v>1321</v>
      </c>
      <c r="P314" s="19">
        <v>1027.26</v>
      </c>
      <c r="Q314" s="19">
        <v>2200.41</v>
      </c>
      <c r="R314" s="15">
        <v>8.7999999999999995E-2</v>
      </c>
      <c r="S314" s="7">
        <v>6</v>
      </c>
      <c r="T314" s="13">
        <f t="shared" si="81"/>
        <v>12040.64352</v>
      </c>
      <c r="U314" s="13">
        <f t="shared" si="82"/>
        <v>6163.5599999999995</v>
      </c>
      <c r="V314" s="13">
        <f t="shared" si="94"/>
        <v>5877.0835200000001</v>
      </c>
      <c r="W314" s="15">
        <f t="shared" si="95"/>
        <v>0.48810377204822358</v>
      </c>
      <c r="X314" s="17" t="str">
        <f t="shared" si="96"/>
        <v>Q1-2025</v>
      </c>
      <c r="Y314" t="str">
        <f t="shared" si="97"/>
        <v>Europe → France → Lyon</v>
      </c>
      <c r="Z314" t="str">
        <f t="shared" si="98"/>
        <v>High</v>
      </c>
      <c r="AA314">
        <f t="shared" si="83"/>
        <v>2025</v>
      </c>
      <c r="AB314">
        <f t="shared" si="84"/>
        <v>2</v>
      </c>
      <c r="AC314" t="str">
        <f t="shared" si="85"/>
        <v>No</v>
      </c>
      <c r="AD314" t="str">
        <f t="shared" si="86"/>
        <v>No</v>
      </c>
      <c r="AE314" s="36">
        <f>IF(Dashboard!$P$47&gt;'Staging Data'!R314,'Staging Data'!R314,Dashboard!$P$47)</f>
        <v>8.7999999999999995E-2</v>
      </c>
      <c r="AF314">
        <f>(100%+Dashboard!$P$48)*'Staging Data'!P314</f>
        <v>1078.623</v>
      </c>
      <c r="AG314">
        <f>(100%+Dashboard!$P$49)*S314</f>
        <v>6.24</v>
      </c>
      <c r="AH314" s="13">
        <f t="shared" si="87"/>
        <v>12522.2692608</v>
      </c>
      <c r="AI314" s="13">
        <f t="shared" si="88"/>
        <v>6730.6075200000005</v>
      </c>
      <c r="AJ314" s="13">
        <f t="shared" si="89"/>
        <v>5791.6617407999993</v>
      </c>
    </row>
    <row r="315" spans="1:36" x14ac:dyDescent="0.45">
      <c r="A315" s="3" t="s">
        <v>327</v>
      </c>
      <c r="B315" s="5">
        <v>45600</v>
      </c>
      <c r="C315" s="5">
        <v>45601</v>
      </c>
      <c r="D315" s="5">
        <f t="shared" si="90"/>
        <v>45600</v>
      </c>
      <c r="E315" s="5">
        <f t="shared" si="91"/>
        <v>45601</v>
      </c>
      <c r="F315" s="7">
        <f t="shared" si="92"/>
        <v>1</v>
      </c>
      <c r="G315" s="23" t="str">
        <f t="shared" si="93"/>
        <v>11-2024</v>
      </c>
      <c r="H315" s="3" t="s">
        <v>649</v>
      </c>
      <c r="I315" s="3" t="s">
        <v>658</v>
      </c>
      <c r="J315" s="3" t="s">
        <v>683</v>
      </c>
      <c r="K315" s="3" t="s">
        <v>701</v>
      </c>
      <c r="L315" s="3" t="s">
        <v>707</v>
      </c>
      <c r="M315" s="3" t="s">
        <v>724</v>
      </c>
      <c r="N315" s="3" t="s">
        <v>728</v>
      </c>
      <c r="O315" s="3" t="s">
        <v>1047</v>
      </c>
      <c r="P315" s="19">
        <v>840.68</v>
      </c>
      <c r="Q315" s="19">
        <v>1493.53</v>
      </c>
      <c r="R315" s="15">
        <v>0</v>
      </c>
      <c r="S315" s="7">
        <v>27</v>
      </c>
      <c r="T315" s="13">
        <f t="shared" si="81"/>
        <v>40325.31</v>
      </c>
      <c r="U315" s="13">
        <f t="shared" si="82"/>
        <v>22698.359999999997</v>
      </c>
      <c r="V315" s="13">
        <f t="shared" si="94"/>
        <v>17626.95</v>
      </c>
      <c r="W315" s="15">
        <f t="shared" si="95"/>
        <v>0.43711877230454027</v>
      </c>
      <c r="X315" s="17" t="str">
        <f t="shared" si="96"/>
        <v>Q4-2024</v>
      </c>
      <c r="Y315" t="str">
        <f t="shared" si="97"/>
        <v>Europe → United Kingdom → London</v>
      </c>
      <c r="Z315" t="str">
        <f t="shared" si="98"/>
        <v>Medium</v>
      </c>
      <c r="AA315">
        <f t="shared" si="83"/>
        <v>2024</v>
      </c>
      <c r="AB315">
        <f t="shared" si="84"/>
        <v>11</v>
      </c>
      <c r="AC315" t="str">
        <f t="shared" si="85"/>
        <v>Yes</v>
      </c>
      <c r="AD315" t="str">
        <f t="shared" si="86"/>
        <v>No</v>
      </c>
      <c r="AE315" s="36">
        <f>IF(Dashboard!$P$47&gt;'Staging Data'!R315,'Staging Data'!R315,Dashboard!$P$47)</f>
        <v>0</v>
      </c>
      <c r="AF315">
        <f>(100%+Dashboard!$P$48)*'Staging Data'!P315</f>
        <v>882.71399999999994</v>
      </c>
      <c r="AG315">
        <f>(100%+Dashboard!$P$49)*S315</f>
        <v>28.080000000000002</v>
      </c>
      <c r="AH315" s="13">
        <f t="shared" si="87"/>
        <v>41938.322400000005</v>
      </c>
      <c r="AI315" s="13">
        <f t="shared" si="88"/>
        <v>24786.609120000001</v>
      </c>
      <c r="AJ315" s="13">
        <f t="shared" si="89"/>
        <v>17151.713280000004</v>
      </c>
    </row>
    <row r="316" spans="1:36" x14ac:dyDescent="0.45">
      <c r="A316" s="3" t="s">
        <v>328</v>
      </c>
      <c r="B316" s="5">
        <v>45451</v>
      </c>
      <c r="C316" s="5">
        <v>45467</v>
      </c>
      <c r="D316" s="5">
        <f t="shared" si="90"/>
        <v>45451</v>
      </c>
      <c r="E316" s="5">
        <f t="shared" si="91"/>
        <v>45467</v>
      </c>
      <c r="F316" s="7">
        <f t="shared" si="92"/>
        <v>16</v>
      </c>
      <c r="G316" s="23" t="str">
        <f t="shared" si="93"/>
        <v>6-2024</v>
      </c>
      <c r="H316" s="3" t="s">
        <v>646</v>
      </c>
      <c r="I316" s="3" t="s">
        <v>661</v>
      </c>
      <c r="J316" s="3" t="s">
        <v>687</v>
      </c>
      <c r="K316" s="3" t="s">
        <v>702</v>
      </c>
      <c r="L316" s="3" t="s">
        <v>710</v>
      </c>
      <c r="M316" s="3" t="s">
        <v>722</v>
      </c>
      <c r="N316" s="3" t="s">
        <v>732</v>
      </c>
      <c r="O316" s="3" t="s">
        <v>1048</v>
      </c>
      <c r="P316" s="19">
        <v>597.85</v>
      </c>
      <c r="Q316" s="19">
        <v>741.92</v>
      </c>
      <c r="R316" s="15">
        <v>3.1E-2</v>
      </c>
      <c r="S316" s="7">
        <v>7</v>
      </c>
      <c r="T316" s="13">
        <f t="shared" si="81"/>
        <v>5032.4433599999993</v>
      </c>
      <c r="U316" s="13">
        <f t="shared" si="82"/>
        <v>4184.95</v>
      </c>
      <c r="V316" s="13">
        <f t="shared" si="94"/>
        <v>847.49335999999948</v>
      </c>
      <c r="W316" s="15">
        <f t="shared" si="95"/>
        <v>0.16840594108544515</v>
      </c>
      <c r="X316" s="17" t="str">
        <f t="shared" si="96"/>
        <v>Q2-2024</v>
      </c>
      <c r="Y316" t="str">
        <f t="shared" si="97"/>
        <v>Africa → South Africa → Durban</v>
      </c>
      <c r="Z316" t="str">
        <f t="shared" si="98"/>
        <v>Low</v>
      </c>
      <c r="AA316">
        <f t="shared" si="83"/>
        <v>2024</v>
      </c>
      <c r="AB316">
        <f t="shared" si="84"/>
        <v>6</v>
      </c>
      <c r="AC316" t="str">
        <f t="shared" si="85"/>
        <v>No</v>
      </c>
      <c r="AD316" t="str">
        <f t="shared" si="86"/>
        <v>No</v>
      </c>
      <c r="AE316" s="36">
        <f>IF(Dashboard!$P$47&gt;'Staging Data'!R316,'Staging Data'!R316,Dashboard!$P$47)</f>
        <v>3.1E-2</v>
      </c>
      <c r="AF316">
        <f>(100%+Dashboard!$P$48)*'Staging Data'!P316</f>
        <v>627.74250000000006</v>
      </c>
      <c r="AG316">
        <f>(100%+Dashboard!$P$49)*S316</f>
        <v>7.28</v>
      </c>
      <c r="AH316" s="13">
        <f t="shared" si="87"/>
        <v>5233.7410943999994</v>
      </c>
      <c r="AI316" s="13">
        <f t="shared" si="88"/>
        <v>4569.965400000001</v>
      </c>
      <c r="AJ316" s="13">
        <f t="shared" si="89"/>
        <v>663.77569439999843</v>
      </c>
    </row>
    <row r="317" spans="1:36" x14ac:dyDescent="0.45">
      <c r="A317" s="3" t="s">
        <v>329</v>
      </c>
      <c r="B317" s="5">
        <v>45809</v>
      </c>
      <c r="C317" s="5">
        <v>45814</v>
      </c>
      <c r="D317" s="5">
        <f t="shared" si="90"/>
        <v>45809</v>
      </c>
      <c r="E317" s="5">
        <f t="shared" si="91"/>
        <v>45814</v>
      </c>
      <c r="F317" s="7">
        <f t="shared" si="92"/>
        <v>5</v>
      </c>
      <c r="G317" s="23" t="str">
        <f t="shared" si="93"/>
        <v>6-2025</v>
      </c>
      <c r="H317" s="3" t="s">
        <v>649</v>
      </c>
      <c r="I317" s="3" t="s">
        <v>657</v>
      </c>
      <c r="J317" s="3" t="s">
        <v>690</v>
      </c>
      <c r="K317" s="3" t="s">
        <v>704</v>
      </c>
      <c r="L317" s="3" t="s">
        <v>710</v>
      </c>
      <c r="M317" s="3" t="s">
        <v>715</v>
      </c>
      <c r="N317" s="3" t="s">
        <v>727</v>
      </c>
      <c r="O317" s="3" t="s">
        <v>1049</v>
      </c>
      <c r="P317" s="19">
        <v>379.45</v>
      </c>
      <c r="Q317" s="19">
        <v>742.23</v>
      </c>
      <c r="R317" s="15">
        <v>0.09</v>
      </c>
      <c r="S317" s="7">
        <v>13</v>
      </c>
      <c r="T317" s="13">
        <f t="shared" si="81"/>
        <v>8780.5809000000008</v>
      </c>
      <c r="U317" s="13">
        <f t="shared" si="82"/>
        <v>4932.8499999999995</v>
      </c>
      <c r="V317" s="13">
        <f t="shared" si="94"/>
        <v>3847.7309000000014</v>
      </c>
      <c r="W317" s="15">
        <f t="shared" si="95"/>
        <v>0.43820915083192286</v>
      </c>
      <c r="X317" s="17" t="str">
        <f t="shared" si="96"/>
        <v>Q2-2025</v>
      </c>
      <c r="Y317" t="str">
        <f t="shared" si="97"/>
        <v>Europe → France → Paris</v>
      </c>
      <c r="Z317" t="str">
        <f t="shared" si="98"/>
        <v>Low</v>
      </c>
      <c r="AA317">
        <f t="shared" si="83"/>
        <v>2025</v>
      </c>
      <c r="AB317">
        <f t="shared" si="84"/>
        <v>6</v>
      </c>
      <c r="AC317" t="str">
        <f t="shared" si="85"/>
        <v>Yes</v>
      </c>
      <c r="AD317" t="str">
        <f t="shared" si="86"/>
        <v>No</v>
      </c>
      <c r="AE317" s="36">
        <f>IF(Dashboard!$P$47&gt;'Staging Data'!R317,'Staging Data'!R317,Dashboard!$P$47)</f>
        <v>0.09</v>
      </c>
      <c r="AF317">
        <f>(100%+Dashboard!$P$48)*'Staging Data'!P317</f>
        <v>398.42250000000001</v>
      </c>
      <c r="AG317">
        <f>(100%+Dashboard!$P$49)*S317</f>
        <v>13.52</v>
      </c>
      <c r="AH317" s="13">
        <f t="shared" si="87"/>
        <v>9131.8041360000007</v>
      </c>
      <c r="AI317" s="13">
        <f t="shared" si="88"/>
        <v>5386.6722</v>
      </c>
      <c r="AJ317" s="13">
        <f t="shared" si="89"/>
        <v>3745.1319360000007</v>
      </c>
    </row>
    <row r="318" spans="1:36" x14ac:dyDescent="0.45">
      <c r="A318" s="3" t="s">
        <v>330</v>
      </c>
      <c r="B318" s="5">
        <v>45052</v>
      </c>
      <c r="C318" s="5">
        <v>45060</v>
      </c>
      <c r="D318" s="5">
        <f t="shared" si="90"/>
        <v>45052</v>
      </c>
      <c r="E318" s="5">
        <f t="shared" si="91"/>
        <v>45060</v>
      </c>
      <c r="F318" s="7">
        <f t="shared" si="92"/>
        <v>8</v>
      </c>
      <c r="G318" s="23" t="str">
        <f t="shared" si="93"/>
        <v>5-2023</v>
      </c>
      <c r="H318" s="3" t="s">
        <v>647</v>
      </c>
      <c r="I318" s="3" t="s">
        <v>652</v>
      </c>
      <c r="J318" s="3" t="s">
        <v>666</v>
      </c>
      <c r="K318" s="3" t="s">
        <v>706</v>
      </c>
      <c r="L318" s="3" t="s">
        <v>709</v>
      </c>
      <c r="M318" s="3" t="s">
        <v>717</v>
      </c>
      <c r="N318" s="3" t="s">
        <v>730</v>
      </c>
      <c r="O318" s="3" t="s">
        <v>1050</v>
      </c>
      <c r="P318" s="19">
        <v>291.18</v>
      </c>
      <c r="Q318" s="19">
        <v>479.54</v>
      </c>
      <c r="R318" s="15">
        <v>0.14099999999999999</v>
      </c>
      <c r="S318" s="7">
        <v>22</v>
      </c>
      <c r="T318" s="13">
        <f t="shared" si="81"/>
        <v>9062.34692</v>
      </c>
      <c r="U318" s="13">
        <f t="shared" si="82"/>
        <v>6405.96</v>
      </c>
      <c r="V318" s="13">
        <f t="shared" si="94"/>
        <v>2656.3869199999999</v>
      </c>
      <c r="W318" s="15">
        <f t="shared" si="95"/>
        <v>0.29312350801066001</v>
      </c>
      <c r="X318" s="17" t="str">
        <f t="shared" si="96"/>
        <v>Q2-2023</v>
      </c>
      <c r="Y318" t="str">
        <f t="shared" si="97"/>
        <v>Asia → Japan → Osaka</v>
      </c>
      <c r="Z318" t="str">
        <f t="shared" si="98"/>
        <v>Low</v>
      </c>
      <c r="AA318">
        <f t="shared" si="83"/>
        <v>2023</v>
      </c>
      <c r="AB318">
        <f t="shared" si="84"/>
        <v>5</v>
      </c>
      <c r="AC318" t="str">
        <f t="shared" si="85"/>
        <v>No</v>
      </c>
      <c r="AD318" t="str">
        <f t="shared" si="86"/>
        <v>No</v>
      </c>
      <c r="AE318" s="36">
        <f>IF(Dashboard!$P$47&gt;'Staging Data'!R318,'Staging Data'!R318,Dashboard!$P$47)</f>
        <v>0.1</v>
      </c>
      <c r="AF318">
        <f>(100%+Dashboard!$P$48)*'Staging Data'!P318</f>
        <v>305.73900000000003</v>
      </c>
      <c r="AG318">
        <f>(100%+Dashboard!$P$49)*S318</f>
        <v>22.880000000000003</v>
      </c>
      <c r="AH318" s="13">
        <f t="shared" si="87"/>
        <v>9874.6876800000027</v>
      </c>
      <c r="AI318" s="13">
        <f t="shared" si="88"/>
        <v>6995.3083200000019</v>
      </c>
      <c r="AJ318" s="13">
        <f t="shared" si="89"/>
        <v>2879.3793600000008</v>
      </c>
    </row>
    <row r="319" spans="1:36" x14ac:dyDescent="0.45">
      <c r="A319" s="3" t="s">
        <v>508</v>
      </c>
      <c r="B319" s="5">
        <v>45439</v>
      </c>
      <c r="C319" s="5">
        <v>45460</v>
      </c>
      <c r="D319" s="5">
        <f t="shared" si="90"/>
        <v>45439</v>
      </c>
      <c r="E319" s="5">
        <f t="shared" si="91"/>
        <v>45460</v>
      </c>
      <c r="F319" s="7">
        <f t="shared" si="92"/>
        <v>21</v>
      </c>
      <c r="G319" s="23" t="str">
        <f t="shared" si="93"/>
        <v>5-2024</v>
      </c>
      <c r="H319" s="3" t="s">
        <v>647</v>
      </c>
      <c r="I319" s="3" t="s">
        <v>654</v>
      </c>
      <c r="J319" s="3" t="s">
        <v>680</v>
      </c>
      <c r="K319" s="3" t="s">
        <v>705</v>
      </c>
      <c r="L319" s="3" t="s">
        <v>708</v>
      </c>
      <c r="M319" s="3" t="s">
        <v>722</v>
      </c>
      <c r="N319" s="3" t="s">
        <v>733</v>
      </c>
      <c r="O319" s="3" t="s">
        <v>1227</v>
      </c>
      <c r="P319" s="19">
        <v>465.02</v>
      </c>
      <c r="Q319" s="19">
        <v>651.55999999999995</v>
      </c>
      <c r="R319" s="15">
        <v>4.2000000000000003E-2</v>
      </c>
      <c r="S319" s="7">
        <v>19</v>
      </c>
      <c r="T319" s="13">
        <f t="shared" si="81"/>
        <v>11859.695119999998</v>
      </c>
      <c r="U319" s="13">
        <f t="shared" si="82"/>
        <v>8835.3799999999992</v>
      </c>
      <c r="V319" s="13">
        <f t="shared" si="94"/>
        <v>3024.3151199999993</v>
      </c>
      <c r="W319" s="15">
        <f t="shared" si="95"/>
        <v>0.25500783025187918</v>
      </c>
      <c r="X319" s="17" t="str">
        <f t="shared" si="96"/>
        <v>Q2-2024</v>
      </c>
      <c r="Y319" t="str">
        <f t="shared" si="97"/>
        <v>Asia → India → Delhi</v>
      </c>
      <c r="Z319" t="str">
        <f t="shared" si="98"/>
        <v>Low</v>
      </c>
      <c r="AA319">
        <f t="shared" si="83"/>
        <v>2024</v>
      </c>
      <c r="AB319">
        <f t="shared" si="84"/>
        <v>5</v>
      </c>
      <c r="AC319" t="str">
        <f t="shared" si="85"/>
        <v>No</v>
      </c>
      <c r="AD319" t="str">
        <f t="shared" si="86"/>
        <v>No</v>
      </c>
      <c r="AE319" s="36">
        <f>IF(Dashboard!$P$47&gt;'Staging Data'!R319,'Staging Data'!R319,Dashboard!$P$47)</f>
        <v>4.2000000000000003E-2</v>
      </c>
      <c r="AF319">
        <f>(100%+Dashboard!$P$48)*'Staging Data'!P319</f>
        <v>488.27100000000002</v>
      </c>
      <c r="AG319">
        <f>(100%+Dashboard!$P$49)*S319</f>
        <v>19.760000000000002</v>
      </c>
      <c r="AH319" s="13">
        <f t="shared" si="87"/>
        <v>12334.082924799999</v>
      </c>
      <c r="AI319" s="13">
        <f t="shared" si="88"/>
        <v>9648.2349600000016</v>
      </c>
      <c r="AJ319" s="13">
        <f t="shared" si="89"/>
        <v>2685.8479647999975</v>
      </c>
    </row>
    <row r="320" spans="1:36" x14ac:dyDescent="0.45">
      <c r="A320" s="3" t="s">
        <v>332</v>
      </c>
      <c r="B320" s="5">
        <v>45748</v>
      </c>
      <c r="C320" s="5">
        <v>45774</v>
      </c>
      <c r="D320" s="5">
        <f t="shared" si="90"/>
        <v>45748</v>
      </c>
      <c r="E320" s="5">
        <f t="shared" si="91"/>
        <v>45774</v>
      </c>
      <c r="F320" s="7">
        <f t="shared" si="92"/>
        <v>26</v>
      </c>
      <c r="G320" s="23" t="str">
        <f t="shared" si="93"/>
        <v>4-2025</v>
      </c>
      <c r="H320" s="3" t="s">
        <v>648</v>
      </c>
      <c r="I320" s="3" t="s">
        <v>660</v>
      </c>
      <c r="J320" s="3" t="s">
        <v>686</v>
      </c>
      <c r="K320" s="3" t="s">
        <v>701</v>
      </c>
      <c r="L320" s="3" t="s">
        <v>711</v>
      </c>
      <c r="M320" s="3" t="s">
        <v>714</v>
      </c>
      <c r="N320" s="3" t="s">
        <v>732</v>
      </c>
      <c r="O320" s="3" t="s">
        <v>1052</v>
      </c>
      <c r="P320" s="19">
        <v>156.55000000000001</v>
      </c>
      <c r="Q320" s="19">
        <v>227.45</v>
      </c>
      <c r="R320" s="15">
        <v>1.4E-2</v>
      </c>
      <c r="S320" s="7">
        <v>13</v>
      </c>
      <c r="T320" s="13">
        <f t="shared" si="81"/>
        <v>2915.4540999999999</v>
      </c>
      <c r="U320" s="13">
        <f t="shared" si="82"/>
        <v>2035.15</v>
      </c>
      <c r="V320" s="13">
        <f t="shared" si="94"/>
        <v>880.30409999999983</v>
      </c>
      <c r="W320" s="15">
        <f t="shared" si="95"/>
        <v>0.3019440779396938</v>
      </c>
      <c r="X320" s="17" t="str">
        <f t="shared" si="96"/>
        <v>Q2-2025</v>
      </c>
      <c r="Y320" t="str">
        <f t="shared" si="97"/>
        <v>Americas → USA → San Francisco</v>
      </c>
      <c r="Z320" t="str">
        <f t="shared" si="98"/>
        <v>Low</v>
      </c>
      <c r="AA320">
        <f t="shared" si="83"/>
        <v>2025</v>
      </c>
      <c r="AB320">
        <f t="shared" si="84"/>
        <v>4</v>
      </c>
      <c r="AC320" t="str">
        <f t="shared" si="85"/>
        <v>No</v>
      </c>
      <c r="AD320" t="str">
        <f t="shared" si="86"/>
        <v>No</v>
      </c>
      <c r="AE320" s="36">
        <f>IF(Dashboard!$P$47&gt;'Staging Data'!R320,'Staging Data'!R320,Dashboard!$P$47)</f>
        <v>1.4E-2</v>
      </c>
      <c r="AF320">
        <f>(100%+Dashboard!$P$48)*'Staging Data'!P320</f>
        <v>164.37750000000003</v>
      </c>
      <c r="AG320">
        <f>(100%+Dashboard!$P$49)*S320</f>
        <v>13.52</v>
      </c>
      <c r="AH320" s="13">
        <f t="shared" si="87"/>
        <v>3032.0722639999999</v>
      </c>
      <c r="AI320" s="13">
        <f t="shared" si="88"/>
        <v>2222.3838000000001</v>
      </c>
      <c r="AJ320" s="13">
        <f t="shared" si="89"/>
        <v>809.68846399999984</v>
      </c>
    </row>
    <row r="321" spans="1:36" x14ac:dyDescent="0.45">
      <c r="A321" s="3" t="s">
        <v>326</v>
      </c>
      <c r="B321" s="5">
        <v>45101</v>
      </c>
      <c r="C321" s="5">
        <v>45099</v>
      </c>
      <c r="D321" s="5">
        <f t="shared" si="90"/>
        <v>45099</v>
      </c>
      <c r="E321" s="5">
        <f t="shared" si="91"/>
        <v>45101</v>
      </c>
      <c r="F321" s="7">
        <f t="shared" si="92"/>
        <v>2</v>
      </c>
      <c r="G321" s="23" t="str">
        <f t="shared" si="93"/>
        <v>6-2023</v>
      </c>
      <c r="H321" s="3" t="s">
        <v>648</v>
      </c>
      <c r="I321" s="3" t="s">
        <v>653</v>
      </c>
      <c r="J321" s="3" t="s">
        <v>667</v>
      </c>
      <c r="K321" s="3" t="s">
        <v>703</v>
      </c>
      <c r="L321" s="3" t="s">
        <v>707</v>
      </c>
      <c r="M321" s="3" t="s">
        <v>724</v>
      </c>
      <c r="N321" s="3" t="s">
        <v>733</v>
      </c>
      <c r="O321" s="3" t="s">
        <v>1046</v>
      </c>
      <c r="P321" s="19">
        <v>471.42</v>
      </c>
      <c r="Q321" s="19">
        <v>824.81</v>
      </c>
      <c r="R321" s="15">
        <v>8.7999999999999995E-2</v>
      </c>
      <c r="S321" s="7">
        <v>15</v>
      </c>
      <c r="T321" s="13">
        <f t="shared" si="81"/>
        <v>11283.400799999999</v>
      </c>
      <c r="U321" s="13">
        <f t="shared" si="82"/>
        <v>7071.3</v>
      </c>
      <c r="V321" s="13">
        <f t="shared" si="94"/>
        <v>4212.1007999999993</v>
      </c>
      <c r="W321" s="15">
        <f t="shared" si="95"/>
        <v>0.37330064531608231</v>
      </c>
      <c r="X321" s="17" t="str">
        <f t="shared" si="96"/>
        <v>Q2-2023</v>
      </c>
      <c r="Y321" t="str">
        <f t="shared" si="97"/>
        <v>Americas → Canada → Toronto</v>
      </c>
      <c r="Z321" t="str">
        <f t="shared" si="98"/>
        <v>Low</v>
      </c>
      <c r="AA321">
        <f t="shared" si="83"/>
        <v>2023</v>
      </c>
      <c r="AB321">
        <f t="shared" si="84"/>
        <v>6</v>
      </c>
      <c r="AC321" t="str">
        <f t="shared" si="85"/>
        <v>Yes</v>
      </c>
      <c r="AD321" t="str">
        <f t="shared" si="86"/>
        <v>No</v>
      </c>
      <c r="AE321" s="36">
        <f>IF(Dashboard!$P$47&gt;'Staging Data'!R321,'Staging Data'!R321,Dashboard!$P$47)</f>
        <v>8.7999999999999995E-2</v>
      </c>
      <c r="AF321">
        <f>(100%+Dashboard!$P$48)*'Staging Data'!P321</f>
        <v>494.99100000000004</v>
      </c>
      <c r="AG321">
        <f>(100%+Dashboard!$P$49)*S321</f>
        <v>15.600000000000001</v>
      </c>
      <c r="AH321" s="13">
        <f t="shared" si="87"/>
        <v>11734.736832000001</v>
      </c>
      <c r="AI321" s="13">
        <f t="shared" si="88"/>
        <v>7721.8596000000016</v>
      </c>
      <c r="AJ321" s="13">
        <f t="shared" si="89"/>
        <v>4012.8772319999989</v>
      </c>
    </row>
    <row r="322" spans="1:36" x14ac:dyDescent="0.45">
      <c r="A322" s="3" t="s">
        <v>334</v>
      </c>
      <c r="B322" s="5">
        <v>45440</v>
      </c>
      <c r="C322" s="5">
        <v>45461</v>
      </c>
      <c r="D322" s="5">
        <f t="shared" si="90"/>
        <v>45440</v>
      </c>
      <c r="E322" s="5">
        <f t="shared" si="91"/>
        <v>45461</v>
      </c>
      <c r="F322" s="7">
        <f t="shared" si="92"/>
        <v>21</v>
      </c>
      <c r="G322" s="23" t="str">
        <f t="shared" si="93"/>
        <v>5-2024</v>
      </c>
      <c r="H322" s="3" t="s">
        <v>649</v>
      </c>
      <c r="I322" s="3" t="s">
        <v>656</v>
      </c>
      <c r="J322" s="3" t="s">
        <v>698</v>
      </c>
      <c r="K322" s="3" t="s">
        <v>705</v>
      </c>
      <c r="L322" s="3" t="s">
        <v>708</v>
      </c>
      <c r="M322" s="3" t="s">
        <v>718</v>
      </c>
      <c r="N322" s="3" t="s">
        <v>730</v>
      </c>
      <c r="O322" s="3" t="s">
        <v>1054</v>
      </c>
      <c r="P322" s="19">
        <v>986.85</v>
      </c>
      <c r="Q322" s="19">
        <v>2422.1</v>
      </c>
      <c r="R322" s="15">
        <v>7.5999999999999998E-2</v>
      </c>
      <c r="S322" s="7">
        <v>10</v>
      </c>
      <c r="T322" s="13">
        <f t="shared" si="81"/>
        <v>22380.204000000002</v>
      </c>
      <c r="U322" s="13">
        <f t="shared" si="82"/>
        <v>9868.5</v>
      </c>
      <c r="V322" s="13">
        <f t="shared" si="94"/>
        <v>12511.704000000002</v>
      </c>
      <c r="W322" s="15">
        <f t="shared" si="95"/>
        <v>0.55905227673527913</v>
      </c>
      <c r="X322" s="17" t="str">
        <f t="shared" si="96"/>
        <v>Q2-2024</v>
      </c>
      <c r="Y322" t="str">
        <f t="shared" si="97"/>
        <v>Europe → Germany → Frankfurt</v>
      </c>
      <c r="Z322" t="str">
        <f t="shared" si="98"/>
        <v>High</v>
      </c>
      <c r="AA322">
        <f t="shared" si="83"/>
        <v>2024</v>
      </c>
      <c r="AB322">
        <f t="shared" si="84"/>
        <v>5</v>
      </c>
      <c r="AC322" t="str">
        <f t="shared" si="85"/>
        <v>No</v>
      </c>
      <c r="AD322" t="str">
        <f t="shared" si="86"/>
        <v>No</v>
      </c>
      <c r="AE322" s="36">
        <f>IF(Dashboard!$P$47&gt;'Staging Data'!R322,'Staging Data'!R322,Dashboard!$P$47)</f>
        <v>7.5999999999999998E-2</v>
      </c>
      <c r="AF322">
        <f>(100%+Dashboard!$P$48)*'Staging Data'!P322</f>
        <v>1036.1925000000001</v>
      </c>
      <c r="AG322">
        <f>(100%+Dashboard!$P$49)*S322</f>
        <v>10.4</v>
      </c>
      <c r="AH322" s="13">
        <f t="shared" si="87"/>
        <v>23275.41216</v>
      </c>
      <c r="AI322" s="13">
        <f t="shared" si="88"/>
        <v>10776.402000000002</v>
      </c>
      <c r="AJ322" s="13">
        <f t="shared" si="89"/>
        <v>12499.010159999998</v>
      </c>
    </row>
    <row r="323" spans="1:36" x14ac:dyDescent="0.45">
      <c r="A323" s="3" t="s">
        <v>335</v>
      </c>
      <c r="B323" s="5">
        <v>45293</v>
      </c>
      <c r="C323" s="5">
        <v>45292</v>
      </c>
      <c r="D323" s="5">
        <f t="shared" si="90"/>
        <v>45292</v>
      </c>
      <c r="E323" s="5">
        <f t="shared" si="91"/>
        <v>45293</v>
      </c>
      <c r="F323" s="7">
        <f t="shared" si="92"/>
        <v>1</v>
      </c>
      <c r="G323" s="23" t="str">
        <f t="shared" si="93"/>
        <v>1-2024</v>
      </c>
      <c r="H323" s="3" t="s">
        <v>648</v>
      </c>
      <c r="I323" s="3" t="s">
        <v>660</v>
      </c>
      <c r="J323" s="3" t="s">
        <v>677</v>
      </c>
      <c r="K323" s="3" t="s">
        <v>702</v>
      </c>
      <c r="L323" s="3" t="s">
        <v>709</v>
      </c>
      <c r="M323" s="3" t="s">
        <v>717</v>
      </c>
      <c r="N323" s="3" t="s">
        <v>729</v>
      </c>
      <c r="O323" s="3" t="s">
        <v>1055</v>
      </c>
      <c r="P323" s="19">
        <v>404.77</v>
      </c>
      <c r="Q323" s="19">
        <v>433.88</v>
      </c>
      <c r="R323" s="15">
        <v>0.215</v>
      </c>
      <c r="S323" s="7">
        <v>22</v>
      </c>
      <c r="T323" s="13">
        <f t="shared" ref="T323:T386" si="99">(Q323*S323)*(1-R323)</f>
        <v>7493.1076000000012</v>
      </c>
      <c r="U323" s="13">
        <f t="shared" ref="U323:U386" si="100">P323*S323</f>
        <v>8904.9399999999987</v>
      </c>
      <c r="V323" s="13">
        <f t="shared" si="94"/>
        <v>-1411.8323999999975</v>
      </c>
      <c r="W323" s="15">
        <f t="shared" si="95"/>
        <v>-0.18841747314558746</v>
      </c>
      <c r="X323" s="17" t="str">
        <f t="shared" si="96"/>
        <v>Q1-2024</v>
      </c>
      <c r="Y323" t="str">
        <f t="shared" si="97"/>
        <v>Americas → USA → Chicago</v>
      </c>
      <c r="Z323" t="str">
        <f t="shared" si="98"/>
        <v>Low</v>
      </c>
      <c r="AA323">
        <f t="shared" ref="AA323:AA386" si="101">YEAR(D323)</f>
        <v>2024</v>
      </c>
      <c r="AB323">
        <f t="shared" ref="AB323:AB386" si="102">MONTH(D323)</f>
        <v>1</v>
      </c>
      <c r="AC323" t="str">
        <f t="shared" ref="AC323:AC386" si="103">IF(F323&lt;=7,"Yes", "No")</f>
        <v>Yes</v>
      </c>
      <c r="AD323" t="str">
        <f t="shared" ref="AD323:AD386" si="104">IF(R323&gt;20%,"Yes","No")</f>
        <v>Yes</v>
      </c>
      <c r="AE323" s="36">
        <f>IF(Dashboard!$P$47&gt;'Staging Data'!R323,'Staging Data'!R323,Dashboard!$P$47)</f>
        <v>0.1</v>
      </c>
      <c r="AF323">
        <f>(100%+Dashboard!$P$48)*'Staging Data'!P323</f>
        <v>425.00850000000003</v>
      </c>
      <c r="AG323">
        <f>(100%+Dashboard!$P$49)*S323</f>
        <v>22.880000000000003</v>
      </c>
      <c r="AH323" s="13">
        <f t="shared" ref="AH323:AH386" si="105">(Q323*AG323)*(1-AE323)</f>
        <v>8934.4569600000013</v>
      </c>
      <c r="AI323" s="13">
        <f t="shared" ref="AI323:AI386" si="106">AF323*AG323</f>
        <v>9724.1944800000019</v>
      </c>
      <c r="AJ323" s="13">
        <f t="shared" ref="AJ323:AJ386" si="107">AH323-AI323</f>
        <v>-789.73752000000059</v>
      </c>
    </row>
    <row r="324" spans="1:36" x14ac:dyDescent="0.45">
      <c r="A324" s="3" t="s">
        <v>336</v>
      </c>
      <c r="B324" s="5">
        <v>44985</v>
      </c>
      <c r="C324" s="5">
        <v>44984</v>
      </c>
      <c r="D324" s="5">
        <f t="shared" si="90"/>
        <v>44984</v>
      </c>
      <c r="E324" s="5">
        <f t="shared" si="91"/>
        <v>44985</v>
      </c>
      <c r="F324" s="7">
        <f t="shared" si="92"/>
        <v>1</v>
      </c>
      <c r="G324" s="23" t="str">
        <f t="shared" si="93"/>
        <v>2-2023</v>
      </c>
      <c r="H324" s="3" t="s">
        <v>649</v>
      </c>
      <c r="I324" s="3" t="s">
        <v>657</v>
      </c>
      <c r="J324" s="3" t="s">
        <v>673</v>
      </c>
      <c r="K324" s="3" t="s">
        <v>701</v>
      </c>
      <c r="L324" s="3" t="s">
        <v>707</v>
      </c>
      <c r="M324" s="3" t="s">
        <v>723</v>
      </c>
      <c r="N324" s="3" t="s">
        <v>729</v>
      </c>
      <c r="O324" s="3" t="s">
        <v>1056</v>
      </c>
      <c r="P324" s="19">
        <v>1299.81</v>
      </c>
      <c r="Q324" s="19">
        <v>3149.13</v>
      </c>
      <c r="R324" s="15">
        <v>0.10299999999999999</v>
      </c>
      <c r="S324" s="7">
        <v>14</v>
      </c>
      <c r="T324" s="13">
        <f t="shared" si="99"/>
        <v>39546.774539999999</v>
      </c>
      <c r="U324" s="13">
        <f t="shared" si="100"/>
        <v>18197.34</v>
      </c>
      <c r="V324" s="13">
        <f t="shared" si="94"/>
        <v>21349.434539999998</v>
      </c>
      <c r="W324" s="15">
        <f t="shared" si="95"/>
        <v>0.53985273864511729</v>
      </c>
      <c r="X324" s="17" t="str">
        <f t="shared" si="96"/>
        <v>Q1-2023</v>
      </c>
      <c r="Y324" t="str">
        <f t="shared" si="97"/>
        <v>Europe → France → Marseille</v>
      </c>
      <c r="Z324" t="str">
        <f t="shared" si="98"/>
        <v>High</v>
      </c>
      <c r="AA324">
        <f t="shared" si="101"/>
        <v>2023</v>
      </c>
      <c r="AB324">
        <f t="shared" si="102"/>
        <v>2</v>
      </c>
      <c r="AC324" t="str">
        <f t="shared" si="103"/>
        <v>Yes</v>
      </c>
      <c r="AD324" t="str">
        <f t="shared" si="104"/>
        <v>No</v>
      </c>
      <c r="AE324" s="36">
        <f>IF(Dashboard!$P$47&gt;'Staging Data'!R324,'Staging Data'!R324,Dashboard!$P$47)</f>
        <v>0.1</v>
      </c>
      <c r="AF324">
        <f>(100%+Dashboard!$P$48)*'Staging Data'!P324</f>
        <v>1364.8005000000001</v>
      </c>
      <c r="AG324">
        <f>(100%+Dashboard!$P$49)*S324</f>
        <v>14.56</v>
      </c>
      <c r="AH324" s="13">
        <f t="shared" si="105"/>
        <v>41266.199520000002</v>
      </c>
      <c r="AI324" s="13">
        <f t="shared" si="106"/>
        <v>19871.495280000003</v>
      </c>
      <c r="AJ324" s="13">
        <f t="shared" si="107"/>
        <v>21394.704239999999</v>
      </c>
    </row>
    <row r="325" spans="1:36" x14ac:dyDescent="0.45">
      <c r="A325" s="3" t="s">
        <v>338</v>
      </c>
      <c r="B325" s="5">
        <v>45544</v>
      </c>
      <c r="C325" s="5">
        <v>45573</v>
      </c>
      <c r="D325" s="5">
        <f t="shared" si="90"/>
        <v>45544</v>
      </c>
      <c r="E325" s="5">
        <f t="shared" si="91"/>
        <v>45573</v>
      </c>
      <c r="F325" s="7">
        <f t="shared" si="92"/>
        <v>29</v>
      </c>
      <c r="G325" s="23" t="str">
        <f t="shared" si="93"/>
        <v>9-2024</v>
      </c>
      <c r="H325" s="3" t="s">
        <v>648</v>
      </c>
      <c r="I325" s="3" t="s">
        <v>655</v>
      </c>
      <c r="J325" s="3" t="s">
        <v>670</v>
      </c>
      <c r="K325" s="3" t="s">
        <v>702</v>
      </c>
      <c r="L325" s="3" t="s">
        <v>711</v>
      </c>
      <c r="M325" s="3" t="s">
        <v>713</v>
      </c>
      <c r="N325" s="3" t="s">
        <v>727</v>
      </c>
      <c r="O325" s="3" t="s">
        <v>1058</v>
      </c>
      <c r="P325" s="19">
        <v>1010.33</v>
      </c>
      <c r="Q325" s="19">
        <v>2492.14</v>
      </c>
      <c r="R325" s="15">
        <v>5.0999999999999997E-2</v>
      </c>
      <c r="S325" s="7">
        <v>11</v>
      </c>
      <c r="T325" s="13">
        <f t="shared" si="99"/>
        <v>26015.449459999996</v>
      </c>
      <c r="U325" s="13">
        <f t="shared" si="100"/>
        <v>11113.630000000001</v>
      </c>
      <c r="V325" s="13">
        <f t="shared" si="94"/>
        <v>14901.819459999995</v>
      </c>
      <c r="W325" s="15">
        <f t="shared" si="95"/>
        <v>0.57280653493656752</v>
      </c>
      <c r="X325" s="17" t="str">
        <f t="shared" si="96"/>
        <v>Q3-2024</v>
      </c>
      <c r="Y325" t="str">
        <f t="shared" si="97"/>
        <v>Americas → Brazil → São Paulo</v>
      </c>
      <c r="Z325" t="str">
        <f t="shared" si="98"/>
        <v>High</v>
      </c>
      <c r="AA325">
        <f t="shared" si="101"/>
        <v>2024</v>
      </c>
      <c r="AB325">
        <f t="shared" si="102"/>
        <v>9</v>
      </c>
      <c r="AC325" t="str">
        <f t="shared" si="103"/>
        <v>No</v>
      </c>
      <c r="AD325" t="str">
        <f t="shared" si="104"/>
        <v>No</v>
      </c>
      <c r="AE325" s="36">
        <f>IF(Dashboard!$P$47&gt;'Staging Data'!R325,'Staging Data'!R325,Dashboard!$P$47)</f>
        <v>5.0999999999999997E-2</v>
      </c>
      <c r="AF325">
        <f>(100%+Dashboard!$P$48)*'Staging Data'!P325</f>
        <v>1060.8465000000001</v>
      </c>
      <c r="AG325">
        <f>(100%+Dashboard!$P$49)*S325</f>
        <v>11.440000000000001</v>
      </c>
      <c r="AH325" s="13">
        <f t="shared" si="105"/>
        <v>27056.067438400001</v>
      </c>
      <c r="AI325" s="13">
        <f t="shared" si="106"/>
        <v>12136.083960000002</v>
      </c>
      <c r="AJ325" s="13">
        <f t="shared" si="107"/>
        <v>14919.9834784</v>
      </c>
    </row>
    <row r="326" spans="1:36" x14ac:dyDescent="0.45">
      <c r="A326" s="3" t="s">
        <v>233</v>
      </c>
      <c r="B326" s="5">
        <v>45554</v>
      </c>
      <c r="C326" s="5">
        <v>45579</v>
      </c>
      <c r="D326" s="5">
        <f t="shared" si="90"/>
        <v>45554</v>
      </c>
      <c r="E326" s="5">
        <f t="shared" si="91"/>
        <v>45579</v>
      </c>
      <c r="F326" s="7">
        <f t="shared" si="92"/>
        <v>25</v>
      </c>
      <c r="G326" s="23" t="str">
        <f t="shared" si="93"/>
        <v>9-2024</v>
      </c>
      <c r="H326" s="3" t="s">
        <v>648</v>
      </c>
      <c r="I326" s="3" t="s">
        <v>655</v>
      </c>
      <c r="J326" s="3" t="s">
        <v>692</v>
      </c>
      <c r="K326" s="3" t="s">
        <v>705</v>
      </c>
      <c r="L326" s="3" t="s">
        <v>707</v>
      </c>
      <c r="M326" s="3" t="s">
        <v>723</v>
      </c>
      <c r="N326" s="3" t="s">
        <v>728</v>
      </c>
      <c r="O326" s="3" t="s">
        <v>953</v>
      </c>
      <c r="P326" s="19">
        <v>386.96</v>
      </c>
      <c r="Q326" s="19">
        <v>937.46</v>
      </c>
      <c r="R326" s="15">
        <v>0.26600000000000001</v>
      </c>
      <c r="S326" s="7">
        <v>41</v>
      </c>
      <c r="T326" s="13">
        <f t="shared" si="99"/>
        <v>28211.92124</v>
      </c>
      <c r="U326" s="13">
        <f t="shared" si="100"/>
        <v>15865.359999999999</v>
      </c>
      <c r="V326" s="13">
        <f t="shared" si="94"/>
        <v>12346.561240000001</v>
      </c>
      <c r="W326" s="15">
        <f t="shared" si="95"/>
        <v>0.43763631462626335</v>
      </c>
      <c r="X326" s="17" t="str">
        <f t="shared" si="96"/>
        <v>Q3-2024</v>
      </c>
      <c r="Y326" t="str">
        <f t="shared" si="97"/>
        <v>Americas → Brazil → Rio de Janeiro</v>
      </c>
      <c r="Z326" t="str">
        <f t="shared" si="98"/>
        <v>Low</v>
      </c>
      <c r="AA326">
        <f t="shared" si="101"/>
        <v>2024</v>
      </c>
      <c r="AB326">
        <f t="shared" si="102"/>
        <v>9</v>
      </c>
      <c r="AC326" t="str">
        <f t="shared" si="103"/>
        <v>No</v>
      </c>
      <c r="AD326" t="str">
        <f t="shared" si="104"/>
        <v>Yes</v>
      </c>
      <c r="AE326" s="36">
        <f>IF(Dashboard!$P$47&gt;'Staging Data'!R326,'Staging Data'!R326,Dashboard!$P$47)</f>
        <v>0.1</v>
      </c>
      <c r="AF326">
        <f>(100%+Dashboard!$P$48)*'Staging Data'!P326</f>
        <v>406.30799999999999</v>
      </c>
      <c r="AG326">
        <f>(100%+Dashboard!$P$49)*S326</f>
        <v>42.64</v>
      </c>
      <c r="AH326" s="13">
        <f t="shared" si="105"/>
        <v>35975.964959999998</v>
      </c>
      <c r="AI326" s="13">
        <f t="shared" si="106"/>
        <v>17324.973119999999</v>
      </c>
      <c r="AJ326" s="13">
        <f t="shared" si="107"/>
        <v>18650.991839999999</v>
      </c>
    </row>
    <row r="327" spans="1:36" x14ac:dyDescent="0.45">
      <c r="A327" s="3" t="s">
        <v>169</v>
      </c>
      <c r="B327" s="5">
        <v>45230</v>
      </c>
      <c r="C327" s="5">
        <v>45232</v>
      </c>
      <c r="D327" s="5">
        <f t="shared" si="90"/>
        <v>45230</v>
      </c>
      <c r="E327" s="5">
        <f t="shared" si="91"/>
        <v>45232</v>
      </c>
      <c r="F327" s="7">
        <f t="shared" si="92"/>
        <v>2</v>
      </c>
      <c r="G327" s="23" t="str">
        <f t="shared" si="93"/>
        <v>10-2023</v>
      </c>
      <c r="H327" s="3" t="s">
        <v>646</v>
      </c>
      <c r="I327" s="3" t="s">
        <v>650</v>
      </c>
      <c r="J327" s="3" t="s">
        <v>662</v>
      </c>
      <c r="K327" s="3" t="s">
        <v>702</v>
      </c>
      <c r="L327" s="3" t="s">
        <v>707</v>
      </c>
      <c r="M327" s="3" t="s">
        <v>719</v>
      </c>
      <c r="N327" s="3" t="s">
        <v>733</v>
      </c>
      <c r="O327" s="3" t="s">
        <v>888</v>
      </c>
      <c r="P327" s="19">
        <v>867.89</v>
      </c>
      <c r="Q327" s="19">
        <v>1349.94</v>
      </c>
      <c r="R327" s="15">
        <v>0.184</v>
      </c>
      <c r="S327" s="7">
        <v>10</v>
      </c>
      <c r="T327" s="13">
        <f t="shared" si="99"/>
        <v>11015.510400000003</v>
      </c>
      <c r="U327" s="13">
        <f t="shared" si="100"/>
        <v>8678.9</v>
      </c>
      <c r="V327" s="13">
        <f t="shared" si="94"/>
        <v>2336.6104000000032</v>
      </c>
      <c r="W327" s="15">
        <f t="shared" si="95"/>
        <v>0.21212003031652557</v>
      </c>
      <c r="X327" s="17" t="str">
        <f t="shared" si="96"/>
        <v>Q4-2023</v>
      </c>
      <c r="Y327" t="str">
        <f t="shared" si="97"/>
        <v>Africa → Kenya → Kisumu</v>
      </c>
      <c r="Z327" t="str">
        <f t="shared" si="98"/>
        <v>Medium</v>
      </c>
      <c r="AA327">
        <f t="shared" si="101"/>
        <v>2023</v>
      </c>
      <c r="AB327">
        <f t="shared" si="102"/>
        <v>10</v>
      </c>
      <c r="AC327" t="str">
        <f t="shared" si="103"/>
        <v>Yes</v>
      </c>
      <c r="AD327" t="str">
        <f t="shared" si="104"/>
        <v>No</v>
      </c>
      <c r="AE327" s="36">
        <f>IF(Dashboard!$P$47&gt;'Staging Data'!R327,'Staging Data'!R327,Dashboard!$P$47)</f>
        <v>0.1</v>
      </c>
      <c r="AF327">
        <f>(100%+Dashboard!$P$48)*'Staging Data'!P327</f>
        <v>911.28449999999998</v>
      </c>
      <c r="AG327">
        <f>(100%+Dashboard!$P$49)*S327</f>
        <v>10.4</v>
      </c>
      <c r="AH327" s="13">
        <f t="shared" si="105"/>
        <v>12635.438400000001</v>
      </c>
      <c r="AI327" s="13">
        <f t="shared" si="106"/>
        <v>9477.3588</v>
      </c>
      <c r="AJ327" s="13">
        <f t="shared" si="107"/>
        <v>3158.0796000000009</v>
      </c>
    </row>
    <row r="328" spans="1:36" x14ac:dyDescent="0.45">
      <c r="A328" s="3" t="s">
        <v>340</v>
      </c>
      <c r="B328" s="5">
        <v>45303</v>
      </c>
      <c r="C328" s="5">
        <v>45320</v>
      </c>
      <c r="D328" s="5">
        <f t="shared" si="90"/>
        <v>45303</v>
      </c>
      <c r="E328" s="5">
        <f t="shared" si="91"/>
        <v>45320</v>
      </c>
      <c r="F328" s="7">
        <f t="shared" si="92"/>
        <v>17</v>
      </c>
      <c r="G328" s="23" t="str">
        <f t="shared" si="93"/>
        <v>1-2024</v>
      </c>
      <c r="H328" s="3" t="s">
        <v>647</v>
      </c>
      <c r="I328" s="3" t="s">
        <v>654</v>
      </c>
      <c r="J328" s="3" t="s">
        <v>696</v>
      </c>
      <c r="K328" s="3" t="s">
        <v>705</v>
      </c>
      <c r="L328" s="3" t="s">
        <v>711</v>
      </c>
      <c r="M328" s="3" t="s">
        <v>717</v>
      </c>
      <c r="N328" s="3" t="s">
        <v>727</v>
      </c>
      <c r="O328" s="3" t="s">
        <v>1060</v>
      </c>
      <c r="P328" s="19">
        <v>310.02</v>
      </c>
      <c r="Q328" s="19">
        <v>619.51</v>
      </c>
      <c r="R328" s="15">
        <v>4.2000000000000003E-2</v>
      </c>
      <c r="S328" s="7">
        <v>4</v>
      </c>
      <c r="T328" s="13">
        <f t="shared" si="99"/>
        <v>2373.9623200000001</v>
      </c>
      <c r="U328" s="13">
        <f t="shared" si="100"/>
        <v>1240.08</v>
      </c>
      <c r="V328" s="13">
        <f t="shared" si="94"/>
        <v>1133.8823200000002</v>
      </c>
      <c r="W328" s="15">
        <f t="shared" si="95"/>
        <v>0.47763282106347843</v>
      </c>
      <c r="X328" s="17" t="str">
        <f t="shared" si="96"/>
        <v>Q1-2024</v>
      </c>
      <c r="Y328" t="str">
        <f t="shared" si="97"/>
        <v>Asia → India → Hyderabad</v>
      </c>
      <c r="Z328" t="str">
        <f t="shared" si="98"/>
        <v>Low</v>
      </c>
      <c r="AA328">
        <f t="shared" si="101"/>
        <v>2024</v>
      </c>
      <c r="AB328">
        <f t="shared" si="102"/>
        <v>1</v>
      </c>
      <c r="AC328" t="str">
        <f t="shared" si="103"/>
        <v>No</v>
      </c>
      <c r="AD328" t="str">
        <f t="shared" si="104"/>
        <v>No</v>
      </c>
      <c r="AE328" s="36">
        <f>IF(Dashboard!$P$47&gt;'Staging Data'!R328,'Staging Data'!R328,Dashboard!$P$47)</f>
        <v>4.2000000000000003E-2</v>
      </c>
      <c r="AF328">
        <f>(100%+Dashboard!$P$48)*'Staging Data'!P328</f>
        <v>325.52100000000002</v>
      </c>
      <c r="AG328">
        <f>(100%+Dashboard!$P$49)*S328</f>
        <v>4.16</v>
      </c>
      <c r="AH328" s="13">
        <f t="shared" si="105"/>
        <v>2468.9208128</v>
      </c>
      <c r="AI328" s="13">
        <f t="shared" si="106"/>
        <v>1354.1673600000001</v>
      </c>
      <c r="AJ328" s="13">
        <f t="shared" si="107"/>
        <v>1114.7534527999999</v>
      </c>
    </row>
    <row r="329" spans="1:36" x14ac:dyDescent="0.45">
      <c r="A329" s="3" t="s">
        <v>341</v>
      </c>
      <c r="B329" s="5">
        <v>45087</v>
      </c>
      <c r="C329" s="5">
        <v>45095</v>
      </c>
      <c r="D329" s="5">
        <f t="shared" si="90"/>
        <v>45087</v>
      </c>
      <c r="E329" s="5">
        <f t="shared" si="91"/>
        <v>45095</v>
      </c>
      <c r="F329" s="7">
        <f t="shared" si="92"/>
        <v>8</v>
      </c>
      <c r="G329" s="23" t="str">
        <f t="shared" si="93"/>
        <v>6-2023</v>
      </c>
      <c r="H329" s="3" t="s">
        <v>646</v>
      </c>
      <c r="I329" s="3" t="s">
        <v>650</v>
      </c>
      <c r="J329" s="3" t="s">
        <v>678</v>
      </c>
      <c r="K329" s="3" t="s">
        <v>706</v>
      </c>
      <c r="L329" s="3" t="s">
        <v>711</v>
      </c>
      <c r="M329" s="3" t="s">
        <v>722</v>
      </c>
      <c r="N329" s="3" t="s">
        <v>730</v>
      </c>
      <c r="O329" s="3" t="s">
        <v>1061</v>
      </c>
      <c r="P329" s="19">
        <v>894.23</v>
      </c>
      <c r="Q329" s="19">
        <v>1421.55</v>
      </c>
      <c r="R329" s="15">
        <v>0.109</v>
      </c>
      <c r="S329" s="7">
        <v>3</v>
      </c>
      <c r="T329" s="13">
        <f t="shared" si="99"/>
        <v>3799.8031499999997</v>
      </c>
      <c r="U329" s="13">
        <f t="shared" si="100"/>
        <v>2682.69</v>
      </c>
      <c r="V329" s="13">
        <f t="shared" si="94"/>
        <v>1117.1131499999997</v>
      </c>
      <c r="W329" s="15">
        <f t="shared" si="95"/>
        <v>0.29399237431549574</v>
      </c>
      <c r="X329" s="17" t="str">
        <f t="shared" si="96"/>
        <v>Q2-2023</v>
      </c>
      <c r="Y329" t="str">
        <f t="shared" si="97"/>
        <v>Africa → Kenya → Nakuru</v>
      </c>
      <c r="Z329" t="str">
        <f t="shared" si="98"/>
        <v>Medium</v>
      </c>
      <c r="AA329">
        <f t="shared" si="101"/>
        <v>2023</v>
      </c>
      <c r="AB329">
        <f t="shared" si="102"/>
        <v>6</v>
      </c>
      <c r="AC329" t="str">
        <f t="shared" si="103"/>
        <v>No</v>
      </c>
      <c r="AD329" t="str">
        <f t="shared" si="104"/>
        <v>No</v>
      </c>
      <c r="AE329" s="36">
        <f>IF(Dashboard!$P$47&gt;'Staging Data'!R329,'Staging Data'!R329,Dashboard!$P$47)</f>
        <v>0.1</v>
      </c>
      <c r="AF329">
        <f>(100%+Dashboard!$P$48)*'Staging Data'!P329</f>
        <v>938.94150000000002</v>
      </c>
      <c r="AG329">
        <f>(100%+Dashboard!$P$49)*S329</f>
        <v>3.12</v>
      </c>
      <c r="AH329" s="13">
        <f t="shared" si="105"/>
        <v>3991.7123999999999</v>
      </c>
      <c r="AI329" s="13">
        <f t="shared" si="106"/>
        <v>2929.49748</v>
      </c>
      <c r="AJ329" s="13">
        <f t="shared" si="107"/>
        <v>1062.2149199999999</v>
      </c>
    </row>
    <row r="330" spans="1:36" x14ac:dyDescent="0.45">
      <c r="A330" s="3" t="s">
        <v>209</v>
      </c>
      <c r="B330" s="5">
        <v>45557</v>
      </c>
      <c r="C330" s="5">
        <v>45566</v>
      </c>
      <c r="D330" s="5">
        <f t="shared" si="90"/>
        <v>45557</v>
      </c>
      <c r="E330" s="5">
        <f t="shared" si="91"/>
        <v>45566</v>
      </c>
      <c r="F330" s="7">
        <f t="shared" si="92"/>
        <v>9</v>
      </c>
      <c r="G330" s="23" t="str">
        <f t="shared" si="93"/>
        <v>9-2024</v>
      </c>
      <c r="H330" s="3" t="s">
        <v>648</v>
      </c>
      <c r="I330" s="3" t="s">
        <v>655</v>
      </c>
      <c r="J330" s="3" t="s">
        <v>670</v>
      </c>
      <c r="K330" s="3" t="s">
        <v>703</v>
      </c>
      <c r="L330" s="3" t="s">
        <v>708</v>
      </c>
      <c r="M330" s="3" t="s">
        <v>723</v>
      </c>
      <c r="N330" s="3" t="s">
        <v>732</v>
      </c>
      <c r="O330" s="3" t="s">
        <v>929</v>
      </c>
      <c r="P330" s="19">
        <v>1378.8</v>
      </c>
      <c r="Q330" s="19">
        <v>1952.04</v>
      </c>
      <c r="R330" s="15">
        <v>0.159</v>
      </c>
      <c r="S330" s="7">
        <v>19</v>
      </c>
      <c r="T330" s="13">
        <f t="shared" si="99"/>
        <v>31191.64716</v>
      </c>
      <c r="U330" s="13">
        <f t="shared" si="100"/>
        <v>26197.200000000001</v>
      </c>
      <c r="V330" s="13">
        <f t="shared" si="94"/>
        <v>4994.4471599999997</v>
      </c>
      <c r="W330" s="15">
        <f t="shared" si="95"/>
        <v>0.16012130216723058</v>
      </c>
      <c r="X330" s="17" t="str">
        <f t="shared" si="96"/>
        <v>Q3-2024</v>
      </c>
      <c r="Y330" t="str">
        <f t="shared" si="97"/>
        <v>Americas → Brazil → São Paulo</v>
      </c>
      <c r="Z330" t="str">
        <f t="shared" si="98"/>
        <v>High</v>
      </c>
      <c r="AA330">
        <f t="shared" si="101"/>
        <v>2024</v>
      </c>
      <c r="AB330">
        <f t="shared" si="102"/>
        <v>9</v>
      </c>
      <c r="AC330" t="str">
        <f t="shared" si="103"/>
        <v>No</v>
      </c>
      <c r="AD330" t="str">
        <f t="shared" si="104"/>
        <v>No</v>
      </c>
      <c r="AE330" s="36">
        <f>IF(Dashboard!$P$47&gt;'Staging Data'!R330,'Staging Data'!R330,Dashboard!$P$47)</f>
        <v>0.1</v>
      </c>
      <c r="AF330">
        <f>(100%+Dashboard!$P$48)*'Staging Data'!P330</f>
        <v>1447.74</v>
      </c>
      <c r="AG330">
        <f>(100%+Dashboard!$P$49)*S330</f>
        <v>19.760000000000002</v>
      </c>
      <c r="AH330" s="13">
        <f t="shared" si="105"/>
        <v>34715.079360000003</v>
      </c>
      <c r="AI330" s="13">
        <f t="shared" si="106"/>
        <v>28607.342400000001</v>
      </c>
      <c r="AJ330" s="13">
        <f t="shared" si="107"/>
        <v>6107.736960000002</v>
      </c>
    </row>
    <row r="331" spans="1:36" x14ac:dyDescent="0.45">
      <c r="A331" s="3" t="s">
        <v>343</v>
      </c>
      <c r="B331" s="5">
        <v>45221</v>
      </c>
      <c r="C331" s="5">
        <v>45246</v>
      </c>
      <c r="D331" s="5">
        <f t="shared" ref="D331:D394" si="108">IF(C331&gt;B331,B331,C331)</f>
        <v>45221</v>
      </c>
      <c r="E331" s="5">
        <f t="shared" ref="E331:E394" si="109">IF(C331&gt;B331,C331,B331)</f>
        <v>45246</v>
      </c>
      <c r="F331" s="7">
        <f t="shared" ref="F331:F394" si="110">DATEDIF(D331,E331,"D")</f>
        <v>25</v>
      </c>
      <c r="G331" s="23" t="str">
        <f t="shared" ref="G331:G394" si="111">CONCATENATE(MONTH(D331), "-",YEAR(D331))</f>
        <v>10-2023</v>
      </c>
      <c r="H331" s="3" t="s">
        <v>648</v>
      </c>
      <c r="I331" s="3" t="s">
        <v>653</v>
      </c>
      <c r="J331" s="3" t="s">
        <v>667</v>
      </c>
      <c r="K331" s="3" t="s">
        <v>705</v>
      </c>
      <c r="L331" s="3" t="s">
        <v>709</v>
      </c>
      <c r="M331" s="3" t="s">
        <v>714</v>
      </c>
      <c r="N331" s="3" t="s">
        <v>731</v>
      </c>
      <c r="O331" s="3" t="s">
        <v>1063</v>
      </c>
      <c r="P331" s="19">
        <v>1373.31</v>
      </c>
      <c r="Q331" s="19">
        <v>3154.14</v>
      </c>
      <c r="R331" s="15">
        <v>0.2</v>
      </c>
      <c r="S331" s="7">
        <v>11</v>
      </c>
      <c r="T331" s="13">
        <f t="shared" si="99"/>
        <v>27756.432000000001</v>
      </c>
      <c r="U331" s="13">
        <f t="shared" si="100"/>
        <v>15106.41</v>
      </c>
      <c r="V331" s="13">
        <f t="shared" ref="V331:V394" si="112">T331-U331</f>
        <v>12650.022000000001</v>
      </c>
      <c r="W331" s="15">
        <f t="shared" ref="W331:W394" si="113">IF(T331=0, 0,V331/T331)</f>
        <v>0.45575101295440279</v>
      </c>
      <c r="X331" s="17" t="str">
        <f t="shared" ref="X331:X394" si="114">CONCATENATE(IF(MONTH(D331)&lt;=3,"Q1", IF(MONTH(D331)&lt;=6, "Q2", IF(MONTH(D331)&lt;= 9, "Q3", "Q4"))), "-", YEAR(D331))</f>
        <v>Q4-2023</v>
      </c>
      <c r="Y331" t="str">
        <f t="shared" ref="Y331:Y394" si="115">CONCATENATE(H331," → ",I331," → ",J331)</f>
        <v>Americas → Canada → Toronto</v>
      </c>
      <c r="Z331" t="str">
        <f t="shared" ref="Z331:Z394" si="116">IF(Q331&lt;=1193.97, "Low",IF(Q331&lt;1912.05,"Medium", "High"))</f>
        <v>High</v>
      </c>
      <c r="AA331">
        <f t="shared" si="101"/>
        <v>2023</v>
      </c>
      <c r="AB331">
        <f t="shared" si="102"/>
        <v>10</v>
      </c>
      <c r="AC331" t="str">
        <f t="shared" si="103"/>
        <v>No</v>
      </c>
      <c r="AD331" t="str">
        <f t="shared" si="104"/>
        <v>No</v>
      </c>
      <c r="AE331" s="36">
        <f>IF(Dashboard!$P$47&gt;'Staging Data'!R331,'Staging Data'!R331,Dashboard!$P$47)</f>
        <v>0.1</v>
      </c>
      <c r="AF331">
        <f>(100%+Dashboard!$P$48)*'Staging Data'!P331</f>
        <v>1441.9755</v>
      </c>
      <c r="AG331">
        <f>(100%+Dashboard!$P$49)*S331</f>
        <v>11.440000000000001</v>
      </c>
      <c r="AH331" s="13">
        <f t="shared" si="105"/>
        <v>32475.025440000005</v>
      </c>
      <c r="AI331" s="13">
        <f t="shared" si="106"/>
        <v>16496.199720000001</v>
      </c>
      <c r="AJ331" s="13">
        <f t="shared" si="107"/>
        <v>15978.825720000004</v>
      </c>
    </row>
    <row r="332" spans="1:36" x14ac:dyDescent="0.45">
      <c r="A332" s="3" t="s">
        <v>344</v>
      </c>
      <c r="B332" s="5">
        <v>45668</v>
      </c>
      <c r="C332" s="5">
        <v>45680</v>
      </c>
      <c r="D332" s="5">
        <f t="shared" si="108"/>
        <v>45668</v>
      </c>
      <c r="E332" s="5">
        <f t="shared" si="109"/>
        <v>45680</v>
      </c>
      <c r="F332" s="7">
        <f t="shared" si="110"/>
        <v>12</v>
      </c>
      <c r="G332" s="23" t="str">
        <f t="shared" si="111"/>
        <v>1-2025</v>
      </c>
      <c r="H332" s="3" t="s">
        <v>648</v>
      </c>
      <c r="I332" s="3" t="s">
        <v>660</v>
      </c>
      <c r="J332" s="3" t="s">
        <v>697</v>
      </c>
      <c r="K332" s="3" t="s">
        <v>704</v>
      </c>
      <c r="L332" s="3" t="s">
        <v>710</v>
      </c>
      <c r="M332" s="3" t="s">
        <v>722</v>
      </c>
      <c r="N332" s="3" t="s">
        <v>730</v>
      </c>
      <c r="O332" s="3" t="s">
        <v>1064</v>
      </c>
      <c r="P332" s="19">
        <v>100.69</v>
      </c>
      <c r="Q332" s="19">
        <v>226.14</v>
      </c>
      <c r="R332" s="15">
        <v>6.5000000000000002E-2</v>
      </c>
      <c r="S332" s="7">
        <v>12</v>
      </c>
      <c r="T332" s="13">
        <f t="shared" si="99"/>
        <v>2537.2908000000002</v>
      </c>
      <c r="U332" s="13">
        <f t="shared" si="100"/>
        <v>1208.28</v>
      </c>
      <c r="V332" s="13">
        <f t="shared" si="112"/>
        <v>1329.0108000000002</v>
      </c>
      <c r="W332" s="15">
        <f t="shared" si="113"/>
        <v>0.52379128162999689</v>
      </c>
      <c r="X332" s="17" t="str">
        <f t="shared" si="114"/>
        <v>Q1-2025</v>
      </c>
      <c r="Y332" t="str">
        <f t="shared" si="115"/>
        <v>Americas → USA → Austin</v>
      </c>
      <c r="Z332" t="str">
        <f t="shared" si="116"/>
        <v>Low</v>
      </c>
      <c r="AA332">
        <f t="shared" si="101"/>
        <v>2025</v>
      </c>
      <c r="AB332">
        <f t="shared" si="102"/>
        <v>1</v>
      </c>
      <c r="AC332" t="str">
        <f t="shared" si="103"/>
        <v>No</v>
      </c>
      <c r="AD332" t="str">
        <f t="shared" si="104"/>
        <v>No</v>
      </c>
      <c r="AE332" s="36">
        <f>IF(Dashboard!$P$47&gt;'Staging Data'!R332,'Staging Data'!R332,Dashboard!$P$47)</f>
        <v>6.5000000000000002E-2</v>
      </c>
      <c r="AF332">
        <f>(100%+Dashboard!$P$48)*'Staging Data'!P332</f>
        <v>105.72450000000001</v>
      </c>
      <c r="AG332">
        <f>(100%+Dashboard!$P$49)*S332</f>
        <v>12.48</v>
      </c>
      <c r="AH332" s="13">
        <f t="shared" si="105"/>
        <v>2638.782432</v>
      </c>
      <c r="AI332" s="13">
        <f t="shared" si="106"/>
        <v>1319.4417600000002</v>
      </c>
      <c r="AJ332" s="13">
        <f t="shared" si="107"/>
        <v>1319.3406719999998</v>
      </c>
    </row>
    <row r="333" spans="1:36" x14ac:dyDescent="0.45">
      <c r="A333" s="3" t="s">
        <v>345</v>
      </c>
      <c r="B333" s="5">
        <v>45914</v>
      </c>
      <c r="C333" s="5">
        <v>45926</v>
      </c>
      <c r="D333" s="5">
        <f t="shared" si="108"/>
        <v>45914</v>
      </c>
      <c r="E333" s="5">
        <f t="shared" si="109"/>
        <v>45926</v>
      </c>
      <c r="F333" s="7">
        <f t="shared" si="110"/>
        <v>12</v>
      </c>
      <c r="G333" s="23" t="str">
        <f t="shared" si="111"/>
        <v>9-2025</v>
      </c>
      <c r="H333" s="3" t="s">
        <v>649</v>
      </c>
      <c r="I333" s="3" t="s">
        <v>658</v>
      </c>
      <c r="J333" s="3" t="s">
        <v>683</v>
      </c>
      <c r="K333" s="3" t="s">
        <v>705</v>
      </c>
      <c r="L333" s="3" t="s">
        <v>711</v>
      </c>
      <c r="M333" s="3" t="s">
        <v>725</v>
      </c>
      <c r="N333" s="3" t="s">
        <v>729</v>
      </c>
      <c r="O333" s="3" t="s">
        <v>1065</v>
      </c>
      <c r="P333" s="19">
        <v>425.15</v>
      </c>
      <c r="Q333" s="19">
        <v>885.92</v>
      </c>
      <c r="R333" s="15">
        <v>0.23899999999999999</v>
      </c>
      <c r="S333" s="7">
        <v>13</v>
      </c>
      <c r="T333" s="13">
        <f t="shared" si="99"/>
        <v>8764.4065599999994</v>
      </c>
      <c r="U333" s="13">
        <f t="shared" si="100"/>
        <v>5526.95</v>
      </c>
      <c r="V333" s="13">
        <f t="shared" si="112"/>
        <v>3237.4565599999996</v>
      </c>
      <c r="W333" s="15">
        <f t="shared" si="113"/>
        <v>0.3693868532725848</v>
      </c>
      <c r="X333" s="17" t="str">
        <f t="shared" si="114"/>
        <v>Q3-2025</v>
      </c>
      <c r="Y333" t="str">
        <f t="shared" si="115"/>
        <v>Europe → United Kingdom → London</v>
      </c>
      <c r="Z333" t="str">
        <f t="shared" si="116"/>
        <v>Low</v>
      </c>
      <c r="AA333">
        <f t="shared" si="101"/>
        <v>2025</v>
      </c>
      <c r="AB333">
        <f t="shared" si="102"/>
        <v>9</v>
      </c>
      <c r="AC333" t="str">
        <f t="shared" si="103"/>
        <v>No</v>
      </c>
      <c r="AD333" t="str">
        <f t="shared" si="104"/>
        <v>Yes</v>
      </c>
      <c r="AE333" s="36">
        <f>IF(Dashboard!$P$47&gt;'Staging Data'!R333,'Staging Data'!R333,Dashboard!$P$47)</f>
        <v>0.1</v>
      </c>
      <c r="AF333">
        <f>(100%+Dashboard!$P$48)*'Staging Data'!P333</f>
        <v>446.40749999999997</v>
      </c>
      <c r="AG333">
        <f>(100%+Dashboard!$P$49)*S333</f>
        <v>13.52</v>
      </c>
      <c r="AH333" s="13">
        <f t="shared" si="105"/>
        <v>10779.87456</v>
      </c>
      <c r="AI333" s="13">
        <f t="shared" si="106"/>
        <v>6035.4293999999991</v>
      </c>
      <c r="AJ333" s="13">
        <f t="shared" si="107"/>
        <v>4744.4451600000011</v>
      </c>
    </row>
    <row r="334" spans="1:36" x14ac:dyDescent="0.45">
      <c r="A334" s="3" t="s">
        <v>37</v>
      </c>
      <c r="B334" s="5">
        <v>45822</v>
      </c>
      <c r="C334" s="5">
        <v>45837</v>
      </c>
      <c r="D334" s="5">
        <f t="shared" si="108"/>
        <v>45822</v>
      </c>
      <c r="E334" s="5">
        <f t="shared" si="109"/>
        <v>45837</v>
      </c>
      <c r="F334" s="7">
        <f t="shared" si="110"/>
        <v>15</v>
      </c>
      <c r="G334" s="23" t="str">
        <f t="shared" si="111"/>
        <v>6-2025</v>
      </c>
      <c r="H334" s="3" t="s">
        <v>646</v>
      </c>
      <c r="I334" s="3" t="s">
        <v>651</v>
      </c>
      <c r="J334" s="3" t="s">
        <v>663</v>
      </c>
      <c r="K334" s="3" t="s">
        <v>704</v>
      </c>
      <c r="L334" s="3" t="s">
        <v>709</v>
      </c>
      <c r="M334" s="3" t="s">
        <v>724</v>
      </c>
      <c r="N334" s="3" t="s">
        <v>733</v>
      </c>
      <c r="O334" s="3" t="s">
        <v>756</v>
      </c>
      <c r="P334" s="19">
        <v>730.99</v>
      </c>
      <c r="Q334" s="19">
        <v>1242.8399999999999</v>
      </c>
      <c r="R334" s="15">
        <v>0.12</v>
      </c>
      <c r="S334" s="7">
        <v>10</v>
      </c>
      <c r="T334" s="13">
        <f t="shared" si="99"/>
        <v>10936.992</v>
      </c>
      <c r="U334" s="13">
        <f t="shared" si="100"/>
        <v>7309.9</v>
      </c>
      <c r="V334" s="13">
        <f t="shared" si="112"/>
        <v>3627.0920000000006</v>
      </c>
      <c r="W334" s="15">
        <f t="shared" si="113"/>
        <v>0.33163524303574515</v>
      </c>
      <c r="X334" s="17" t="str">
        <f t="shared" si="114"/>
        <v>Q2-2025</v>
      </c>
      <c r="Y334" t="str">
        <f t="shared" si="115"/>
        <v>Africa → Nigeria → Port Harcourt</v>
      </c>
      <c r="Z334" t="str">
        <f t="shared" si="116"/>
        <v>Medium</v>
      </c>
      <c r="AA334">
        <f t="shared" si="101"/>
        <v>2025</v>
      </c>
      <c r="AB334">
        <f t="shared" si="102"/>
        <v>6</v>
      </c>
      <c r="AC334" t="str">
        <f t="shared" si="103"/>
        <v>No</v>
      </c>
      <c r="AD334" t="str">
        <f t="shared" si="104"/>
        <v>No</v>
      </c>
      <c r="AE334" s="36">
        <f>IF(Dashboard!$P$47&gt;'Staging Data'!R334,'Staging Data'!R334,Dashboard!$P$47)</f>
        <v>0.1</v>
      </c>
      <c r="AF334">
        <f>(100%+Dashboard!$P$48)*'Staging Data'!P334</f>
        <v>767.53950000000009</v>
      </c>
      <c r="AG334">
        <f>(100%+Dashboard!$P$49)*S334</f>
        <v>10.4</v>
      </c>
      <c r="AH334" s="13">
        <f t="shared" si="105"/>
        <v>11632.982400000001</v>
      </c>
      <c r="AI334" s="13">
        <f t="shared" si="106"/>
        <v>7982.4108000000015</v>
      </c>
      <c r="AJ334" s="13">
        <f t="shared" si="107"/>
        <v>3650.5715999999993</v>
      </c>
    </row>
    <row r="335" spans="1:36" x14ac:dyDescent="0.45">
      <c r="A335" s="3" t="s">
        <v>430</v>
      </c>
      <c r="B335" s="5">
        <v>45626</v>
      </c>
      <c r="C335" s="5">
        <v>45636</v>
      </c>
      <c r="D335" s="5">
        <f t="shared" si="108"/>
        <v>45626</v>
      </c>
      <c r="E335" s="5">
        <f t="shared" si="109"/>
        <v>45636</v>
      </c>
      <c r="F335" s="7">
        <f t="shared" si="110"/>
        <v>10</v>
      </c>
      <c r="G335" s="23" t="str">
        <f t="shared" si="111"/>
        <v>11-2024</v>
      </c>
      <c r="H335" s="3" t="s">
        <v>647</v>
      </c>
      <c r="I335" s="3" t="s">
        <v>654</v>
      </c>
      <c r="J335" s="3" t="s">
        <v>696</v>
      </c>
      <c r="K335" s="3" t="s">
        <v>705</v>
      </c>
      <c r="L335" s="3" t="s">
        <v>707</v>
      </c>
      <c r="M335" s="3" t="s">
        <v>721</v>
      </c>
      <c r="N335" s="3" t="s">
        <v>733</v>
      </c>
      <c r="O335" s="3" t="s">
        <v>1149</v>
      </c>
      <c r="P335" s="19">
        <v>851.49</v>
      </c>
      <c r="Q335" s="19">
        <v>901.79</v>
      </c>
      <c r="R335" s="15">
        <v>0.245</v>
      </c>
      <c r="S335" s="7">
        <v>16</v>
      </c>
      <c r="T335" s="13">
        <f t="shared" si="99"/>
        <v>10893.6232</v>
      </c>
      <c r="U335" s="13">
        <f t="shared" si="100"/>
        <v>13623.84</v>
      </c>
      <c r="V335" s="13">
        <f t="shared" si="112"/>
        <v>-2730.2168000000001</v>
      </c>
      <c r="W335" s="15">
        <f t="shared" si="113"/>
        <v>-0.25062522816100341</v>
      </c>
      <c r="X335" s="17" t="str">
        <f t="shared" si="114"/>
        <v>Q4-2024</v>
      </c>
      <c r="Y335" t="str">
        <f t="shared" si="115"/>
        <v>Asia → India → Hyderabad</v>
      </c>
      <c r="Z335" t="str">
        <f t="shared" si="116"/>
        <v>Low</v>
      </c>
      <c r="AA335">
        <f t="shared" si="101"/>
        <v>2024</v>
      </c>
      <c r="AB335">
        <f t="shared" si="102"/>
        <v>11</v>
      </c>
      <c r="AC335" t="str">
        <f t="shared" si="103"/>
        <v>No</v>
      </c>
      <c r="AD335" t="str">
        <f t="shared" si="104"/>
        <v>Yes</v>
      </c>
      <c r="AE335" s="36">
        <f>IF(Dashboard!$P$47&gt;'Staging Data'!R335,'Staging Data'!R335,Dashboard!$P$47)</f>
        <v>0.1</v>
      </c>
      <c r="AF335">
        <f>(100%+Dashboard!$P$48)*'Staging Data'!P335</f>
        <v>894.06450000000007</v>
      </c>
      <c r="AG335">
        <f>(100%+Dashboard!$P$49)*S335</f>
        <v>16.64</v>
      </c>
      <c r="AH335" s="13">
        <f t="shared" si="105"/>
        <v>13505.207039999999</v>
      </c>
      <c r="AI335" s="13">
        <f t="shared" si="106"/>
        <v>14877.233280000002</v>
      </c>
      <c r="AJ335" s="13">
        <f t="shared" si="107"/>
        <v>-1372.0262400000029</v>
      </c>
    </row>
    <row r="336" spans="1:36" x14ac:dyDescent="0.45">
      <c r="A336" s="3" t="s">
        <v>348</v>
      </c>
      <c r="B336" s="5">
        <v>45774</v>
      </c>
      <c r="C336" s="5">
        <v>45804</v>
      </c>
      <c r="D336" s="5">
        <f t="shared" si="108"/>
        <v>45774</v>
      </c>
      <c r="E336" s="5">
        <f t="shared" si="109"/>
        <v>45804</v>
      </c>
      <c r="F336" s="7">
        <f t="shared" si="110"/>
        <v>30</v>
      </c>
      <c r="G336" s="23" t="str">
        <f t="shared" si="111"/>
        <v>4-2025</v>
      </c>
      <c r="H336" s="3" t="s">
        <v>647</v>
      </c>
      <c r="I336" s="3" t="s">
        <v>654</v>
      </c>
      <c r="J336" s="3" t="s">
        <v>1422</v>
      </c>
      <c r="K336" s="3" t="s">
        <v>706</v>
      </c>
      <c r="L336" s="3" t="s">
        <v>709</v>
      </c>
      <c r="M336" s="3" t="s">
        <v>722</v>
      </c>
      <c r="N336" s="3" t="s">
        <v>730</v>
      </c>
      <c r="O336" s="3" t="s">
        <v>1068</v>
      </c>
      <c r="P336" s="19">
        <v>481.32</v>
      </c>
      <c r="Q336" s="19">
        <v>1135.99</v>
      </c>
      <c r="R336" s="15">
        <v>0.14499999999999999</v>
      </c>
      <c r="S336" s="7">
        <v>5</v>
      </c>
      <c r="T336" s="13">
        <f t="shared" si="99"/>
        <v>4856.35725</v>
      </c>
      <c r="U336" s="13">
        <f t="shared" si="100"/>
        <v>2406.6</v>
      </c>
      <c r="V336" s="13">
        <f t="shared" si="112"/>
        <v>2449.7572500000001</v>
      </c>
      <c r="W336" s="15">
        <f t="shared" si="113"/>
        <v>0.50444337677175621</v>
      </c>
      <c r="X336" s="17" t="str">
        <f t="shared" si="114"/>
        <v>Q2-2025</v>
      </c>
      <c r="Y336" t="str">
        <f t="shared" si="115"/>
        <v>Asia → India → Unknown City</v>
      </c>
      <c r="Z336" t="str">
        <f t="shared" si="116"/>
        <v>Low</v>
      </c>
      <c r="AA336">
        <f t="shared" si="101"/>
        <v>2025</v>
      </c>
      <c r="AB336">
        <f t="shared" si="102"/>
        <v>4</v>
      </c>
      <c r="AC336" t="str">
        <f t="shared" si="103"/>
        <v>No</v>
      </c>
      <c r="AD336" t="str">
        <f t="shared" si="104"/>
        <v>No</v>
      </c>
      <c r="AE336" s="36">
        <f>IF(Dashboard!$P$47&gt;'Staging Data'!R336,'Staging Data'!R336,Dashboard!$P$47)</f>
        <v>0.1</v>
      </c>
      <c r="AF336">
        <f>(100%+Dashboard!$P$48)*'Staging Data'!P336</f>
        <v>505.38600000000002</v>
      </c>
      <c r="AG336">
        <f>(100%+Dashboard!$P$49)*S336</f>
        <v>5.2</v>
      </c>
      <c r="AH336" s="13">
        <f t="shared" si="105"/>
        <v>5316.4332000000004</v>
      </c>
      <c r="AI336" s="13">
        <f t="shared" si="106"/>
        <v>2628.0072</v>
      </c>
      <c r="AJ336" s="13">
        <f t="shared" si="107"/>
        <v>2688.4260000000004</v>
      </c>
    </row>
    <row r="337" spans="1:36" x14ac:dyDescent="0.45">
      <c r="A337" s="3" t="s">
        <v>349</v>
      </c>
      <c r="B337" s="5">
        <v>45391</v>
      </c>
      <c r="C337" s="5">
        <v>45400</v>
      </c>
      <c r="D337" s="5">
        <f t="shared" si="108"/>
        <v>45391</v>
      </c>
      <c r="E337" s="5">
        <f t="shared" si="109"/>
        <v>45400</v>
      </c>
      <c r="F337" s="7">
        <f t="shared" si="110"/>
        <v>9</v>
      </c>
      <c r="G337" s="23" t="str">
        <f t="shared" si="111"/>
        <v>4-2024</v>
      </c>
      <c r="H337" s="3" t="s">
        <v>649</v>
      </c>
      <c r="I337" s="3" t="s">
        <v>657</v>
      </c>
      <c r="J337" s="3" t="s">
        <v>679</v>
      </c>
      <c r="K337" s="3" t="s">
        <v>704</v>
      </c>
      <c r="L337" s="3" t="s">
        <v>708</v>
      </c>
      <c r="M337" s="3" t="s">
        <v>718</v>
      </c>
      <c r="N337" s="3" t="s">
        <v>728</v>
      </c>
      <c r="O337" s="3" t="s">
        <v>1069</v>
      </c>
      <c r="P337" s="19">
        <v>1288.8499999999999</v>
      </c>
      <c r="Q337" s="19">
        <v>2751.84</v>
      </c>
      <c r="R337" s="15">
        <v>0.158</v>
      </c>
      <c r="S337" s="7">
        <v>7</v>
      </c>
      <c r="T337" s="13">
        <f t="shared" si="99"/>
        <v>16219.34496</v>
      </c>
      <c r="U337" s="13">
        <f t="shared" si="100"/>
        <v>9021.9499999999989</v>
      </c>
      <c r="V337" s="13">
        <f t="shared" si="112"/>
        <v>7197.3949600000014</v>
      </c>
      <c r="W337" s="15">
        <f t="shared" si="113"/>
        <v>0.44375373837538756</v>
      </c>
      <c r="X337" s="17" t="str">
        <f t="shared" si="114"/>
        <v>Q2-2024</v>
      </c>
      <c r="Y337" t="str">
        <f t="shared" si="115"/>
        <v>Europe → France → Lyon</v>
      </c>
      <c r="Z337" t="str">
        <f t="shared" si="116"/>
        <v>High</v>
      </c>
      <c r="AA337">
        <f t="shared" si="101"/>
        <v>2024</v>
      </c>
      <c r="AB337">
        <f t="shared" si="102"/>
        <v>4</v>
      </c>
      <c r="AC337" t="str">
        <f t="shared" si="103"/>
        <v>No</v>
      </c>
      <c r="AD337" t="str">
        <f t="shared" si="104"/>
        <v>No</v>
      </c>
      <c r="AE337" s="36">
        <f>IF(Dashboard!$P$47&gt;'Staging Data'!R337,'Staging Data'!R337,Dashboard!$P$47)</f>
        <v>0.1</v>
      </c>
      <c r="AF337">
        <f>(100%+Dashboard!$P$48)*'Staging Data'!P337</f>
        <v>1353.2925</v>
      </c>
      <c r="AG337">
        <f>(100%+Dashboard!$P$49)*S337</f>
        <v>7.28</v>
      </c>
      <c r="AH337" s="13">
        <f t="shared" si="105"/>
        <v>18030.055680000001</v>
      </c>
      <c r="AI337" s="13">
        <f t="shared" si="106"/>
        <v>9851.9694</v>
      </c>
      <c r="AJ337" s="13">
        <f t="shared" si="107"/>
        <v>8178.0862800000014</v>
      </c>
    </row>
    <row r="338" spans="1:36" x14ac:dyDescent="0.45">
      <c r="A338" s="3" t="s">
        <v>350</v>
      </c>
      <c r="B338" s="5">
        <v>45484</v>
      </c>
      <c r="C338" s="5">
        <v>45504</v>
      </c>
      <c r="D338" s="5">
        <f t="shared" si="108"/>
        <v>45484</v>
      </c>
      <c r="E338" s="5">
        <f t="shared" si="109"/>
        <v>45504</v>
      </c>
      <c r="F338" s="7">
        <f t="shared" si="110"/>
        <v>20</v>
      </c>
      <c r="G338" s="23" t="str">
        <f t="shared" si="111"/>
        <v>7-2024</v>
      </c>
      <c r="H338" s="3" t="s">
        <v>647</v>
      </c>
      <c r="I338" s="3" t="s">
        <v>659</v>
      </c>
      <c r="J338" s="3" t="s">
        <v>676</v>
      </c>
      <c r="K338" s="3" t="s">
        <v>704</v>
      </c>
      <c r="L338" s="3" t="s">
        <v>708</v>
      </c>
      <c r="M338" s="3" t="s">
        <v>715</v>
      </c>
      <c r="N338" s="3" t="s">
        <v>730</v>
      </c>
      <c r="O338" s="3" t="s">
        <v>1070</v>
      </c>
      <c r="P338" s="19">
        <v>647.26</v>
      </c>
      <c r="Q338" s="19">
        <v>1374.72</v>
      </c>
      <c r="R338" s="15">
        <v>6.6000000000000003E-2</v>
      </c>
      <c r="S338" s="7">
        <v>22</v>
      </c>
      <c r="T338" s="13">
        <f t="shared" si="99"/>
        <v>28247.74656</v>
      </c>
      <c r="U338" s="13">
        <f t="shared" si="100"/>
        <v>14239.72</v>
      </c>
      <c r="V338" s="13">
        <f t="shared" si="112"/>
        <v>14008.02656</v>
      </c>
      <c r="W338" s="15">
        <f t="shared" si="113"/>
        <v>0.49589890401508901</v>
      </c>
      <c r="X338" s="17" t="str">
        <f t="shared" si="114"/>
        <v>Q3-2024</v>
      </c>
      <c r="Y338" t="str">
        <f t="shared" si="115"/>
        <v>Asia → China → Shenzhen</v>
      </c>
      <c r="Z338" t="str">
        <f t="shared" si="116"/>
        <v>Medium</v>
      </c>
      <c r="AA338">
        <f t="shared" si="101"/>
        <v>2024</v>
      </c>
      <c r="AB338">
        <f t="shared" si="102"/>
        <v>7</v>
      </c>
      <c r="AC338" t="str">
        <f t="shared" si="103"/>
        <v>No</v>
      </c>
      <c r="AD338" t="str">
        <f t="shared" si="104"/>
        <v>No</v>
      </c>
      <c r="AE338" s="36">
        <f>IF(Dashboard!$P$47&gt;'Staging Data'!R338,'Staging Data'!R338,Dashboard!$P$47)</f>
        <v>6.6000000000000003E-2</v>
      </c>
      <c r="AF338">
        <f>(100%+Dashboard!$P$48)*'Staging Data'!P338</f>
        <v>679.62300000000005</v>
      </c>
      <c r="AG338">
        <f>(100%+Dashboard!$P$49)*S338</f>
        <v>22.880000000000003</v>
      </c>
      <c r="AH338" s="13">
        <f t="shared" si="105"/>
        <v>29377.656422400003</v>
      </c>
      <c r="AI338" s="13">
        <f t="shared" si="106"/>
        <v>15549.774240000002</v>
      </c>
      <c r="AJ338" s="13">
        <f t="shared" si="107"/>
        <v>13827.882182400001</v>
      </c>
    </row>
    <row r="339" spans="1:36" x14ac:dyDescent="0.45">
      <c r="A339" s="3" t="s">
        <v>138</v>
      </c>
      <c r="B339" s="5">
        <v>45598</v>
      </c>
      <c r="C339" s="5">
        <v>45625</v>
      </c>
      <c r="D339" s="5">
        <f t="shared" si="108"/>
        <v>45598</v>
      </c>
      <c r="E339" s="5">
        <f t="shared" si="109"/>
        <v>45625</v>
      </c>
      <c r="F339" s="7">
        <f t="shared" si="110"/>
        <v>27</v>
      </c>
      <c r="G339" s="23" t="str">
        <f t="shared" si="111"/>
        <v>11-2024</v>
      </c>
      <c r="H339" s="3" t="s">
        <v>648</v>
      </c>
      <c r="I339" s="3" t="s">
        <v>655</v>
      </c>
      <c r="J339" s="3" t="s">
        <v>672</v>
      </c>
      <c r="K339" s="3" t="s">
        <v>705</v>
      </c>
      <c r="L339" s="3" t="s">
        <v>711</v>
      </c>
      <c r="M339" s="3" t="s">
        <v>714</v>
      </c>
      <c r="N339" s="3" t="s">
        <v>729</v>
      </c>
      <c r="O339" s="3" t="s">
        <v>857</v>
      </c>
      <c r="P339" s="19">
        <v>1363.51</v>
      </c>
      <c r="Q339" s="19">
        <v>1433.9</v>
      </c>
      <c r="R339" s="15">
        <v>5.7000000000000002E-2</v>
      </c>
      <c r="S339" s="7">
        <v>8</v>
      </c>
      <c r="T339" s="13">
        <f t="shared" si="99"/>
        <v>10817.3416</v>
      </c>
      <c r="U339" s="13">
        <f t="shared" si="100"/>
        <v>10908.08</v>
      </c>
      <c r="V339" s="13">
        <f t="shared" si="112"/>
        <v>-90.738400000000183</v>
      </c>
      <c r="W339" s="15">
        <f t="shared" si="113"/>
        <v>-8.3882346842037592E-3</v>
      </c>
      <c r="X339" s="17" t="str">
        <f t="shared" si="114"/>
        <v>Q4-2024</v>
      </c>
      <c r="Y339" t="str">
        <f t="shared" si="115"/>
        <v>Americas → Brazil → Brasília</v>
      </c>
      <c r="Z339" t="str">
        <f t="shared" si="116"/>
        <v>Medium</v>
      </c>
      <c r="AA339">
        <f t="shared" si="101"/>
        <v>2024</v>
      </c>
      <c r="AB339">
        <f t="shared" si="102"/>
        <v>11</v>
      </c>
      <c r="AC339" t="str">
        <f t="shared" si="103"/>
        <v>No</v>
      </c>
      <c r="AD339" t="str">
        <f t="shared" si="104"/>
        <v>No</v>
      </c>
      <c r="AE339" s="36">
        <f>IF(Dashboard!$P$47&gt;'Staging Data'!R339,'Staging Data'!R339,Dashboard!$P$47)</f>
        <v>5.7000000000000002E-2</v>
      </c>
      <c r="AF339">
        <f>(100%+Dashboard!$P$48)*'Staging Data'!P339</f>
        <v>1431.6855</v>
      </c>
      <c r="AG339">
        <f>(100%+Dashboard!$P$49)*S339</f>
        <v>8.32</v>
      </c>
      <c r="AH339" s="13">
        <f t="shared" si="105"/>
        <v>11250.035264</v>
      </c>
      <c r="AI339" s="13">
        <f t="shared" si="106"/>
        <v>11911.623360000001</v>
      </c>
      <c r="AJ339" s="13">
        <f t="shared" si="107"/>
        <v>-661.58809600000131</v>
      </c>
    </row>
    <row r="340" spans="1:36" x14ac:dyDescent="0.45">
      <c r="A340" s="3" t="s">
        <v>637</v>
      </c>
      <c r="B340" s="5">
        <v>45857</v>
      </c>
      <c r="C340" s="5">
        <v>45869</v>
      </c>
      <c r="D340" s="5">
        <f t="shared" si="108"/>
        <v>45857</v>
      </c>
      <c r="E340" s="5">
        <f t="shared" si="109"/>
        <v>45869</v>
      </c>
      <c r="F340" s="7">
        <f t="shared" si="110"/>
        <v>12</v>
      </c>
      <c r="G340" s="23" t="str">
        <f t="shared" si="111"/>
        <v>7-2025</v>
      </c>
      <c r="H340" s="3" t="s">
        <v>646</v>
      </c>
      <c r="I340" s="3" t="s">
        <v>650</v>
      </c>
      <c r="J340" s="3" t="s">
        <v>664</v>
      </c>
      <c r="K340" s="3" t="s">
        <v>705</v>
      </c>
      <c r="L340" s="3" t="s">
        <v>709</v>
      </c>
      <c r="M340" s="3" t="s">
        <v>719</v>
      </c>
      <c r="N340" s="3" t="s">
        <v>733</v>
      </c>
      <c r="O340" s="3" t="s">
        <v>1355</v>
      </c>
      <c r="P340" s="19">
        <v>619.64</v>
      </c>
      <c r="Q340" s="19">
        <v>861.16</v>
      </c>
      <c r="R340" s="15">
        <v>0.113</v>
      </c>
      <c r="S340" s="7">
        <v>14</v>
      </c>
      <c r="T340" s="13">
        <f t="shared" si="99"/>
        <v>10693.88488</v>
      </c>
      <c r="U340" s="13">
        <f t="shared" si="100"/>
        <v>8674.9599999999991</v>
      </c>
      <c r="V340" s="13">
        <f t="shared" si="112"/>
        <v>2018.9248800000005</v>
      </c>
      <c r="W340" s="15">
        <f t="shared" si="113"/>
        <v>0.18879246435276761</v>
      </c>
      <c r="X340" s="17" t="str">
        <f t="shared" si="114"/>
        <v>Q3-2025</v>
      </c>
      <c r="Y340" t="str">
        <f t="shared" si="115"/>
        <v>Africa → Kenya → Nairobi</v>
      </c>
      <c r="Z340" t="str">
        <f t="shared" si="116"/>
        <v>Low</v>
      </c>
      <c r="AA340">
        <f t="shared" si="101"/>
        <v>2025</v>
      </c>
      <c r="AB340">
        <f t="shared" si="102"/>
        <v>7</v>
      </c>
      <c r="AC340" t="str">
        <f t="shared" si="103"/>
        <v>No</v>
      </c>
      <c r="AD340" t="str">
        <f t="shared" si="104"/>
        <v>No</v>
      </c>
      <c r="AE340" s="36">
        <f>IF(Dashboard!$P$47&gt;'Staging Data'!R340,'Staging Data'!R340,Dashboard!$P$47)</f>
        <v>0.1</v>
      </c>
      <c r="AF340">
        <f>(100%+Dashboard!$P$48)*'Staging Data'!P340</f>
        <v>650.62199999999996</v>
      </c>
      <c r="AG340">
        <f>(100%+Dashboard!$P$49)*S340</f>
        <v>14.56</v>
      </c>
      <c r="AH340" s="13">
        <f t="shared" si="105"/>
        <v>11284.640640000001</v>
      </c>
      <c r="AI340" s="13">
        <f t="shared" si="106"/>
        <v>9473.0563199999997</v>
      </c>
      <c r="AJ340" s="13">
        <f t="shared" si="107"/>
        <v>1811.5843200000018</v>
      </c>
    </row>
    <row r="341" spans="1:36" x14ac:dyDescent="0.45">
      <c r="A341" s="3" t="s">
        <v>353</v>
      </c>
      <c r="B341" s="5">
        <v>45121</v>
      </c>
      <c r="C341" s="5">
        <v>45128</v>
      </c>
      <c r="D341" s="5">
        <f t="shared" si="108"/>
        <v>45121</v>
      </c>
      <c r="E341" s="5">
        <f t="shared" si="109"/>
        <v>45128</v>
      </c>
      <c r="F341" s="7">
        <f t="shared" si="110"/>
        <v>7</v>
      </c>
      <c r="G341" s="23" t="str">
        <f t="shared" si="111"/>
        <v>7-2023</v>
      </c>
      <c r="H341" s="3" t="s">
        <v>646</v>
      </c>
      <c r="I341" s="3" t="s">
        <v>661</v>
      </c>
      <c r="J341" s="3" t="s">
        <v>687</v>
      </c>
      <c r="K341" s="3" t="s">
        <v>706</v>
      </c>
      <c r="L341" s="3" t="s">
        <v>709</v>
      </c>
      <c r="M341" s="3" t="s">
        <v>1424</v>
      </c>
      <c r="N341" s="3" t="s">
        <v>732</v>
      </c>
      <c r="O341" s="3" t="s">
        <v>1073</v>
      </c>
      <c r="P341" s="19">
        <v>620.74</v>
      </c>
      <c r="Q341" s="19">
        <v>1330.07</v>
      </c>
      <c r="R341" s="15">
        <v>0.29899999999999999</v>
      </c>
      <c r="S341" s="7">
        <v>28</v>
      </c>
      <c r="T341" s="13">
        <f t="shared" si="99"/>
        <v>26106.613960000002</v>
      </c>
      <c r="U341" s="13">
        <f t="shared" si="100"/>
        <v>17380.72</v>
      </c>
      <c r="V341" s="13">
        <f t="shared" si="112"/>
        <v>8725.8939600000012</v>
      </c>
      <c r="W341" s="15">
        <f t="shared" si="113"/>
        <v>0.33424073965967516</v>
      </c>
      <c r="X341" s="17" t="str">
        <f t="shared" si="114"/>
        <v>Q3-2023</v>
      </c>
      <c r="Y341" t="str">
        <f t="shared" si="115"/>
        <v>Africa → South Africa → Durban</v>
      </c>
      <c r="Z341" t="str">
        <f t="shared" si="116"/>
        <v>Medium</v>
      </c>
      <c r="AA341">
        <f t="shared" si="101"/>
        <v>2023</v>
      </c>
      <c r="AB341">
        <f t="shared" si="102"/>
        <v>7</v>
      </c>
      <c r="AC341" t="str">
        <f t="shared" si="103"/>
        <v>Yes</v>
      </c>
      <c r="AD341" t="str">
        <f t="shared" si="104"/>
        <v>Yes</v>
      </c>
      <c r="AE341" s="36">
        <f>IF(Dashboard!$P$47&gt;'Staging Data'!R341,'Staging Data'!R341,Dashboard!$P$47)</f>
        <v>0.1</v>
      </c>
      <c r="AF341">
        <f>(100%+Dashboard!$P$48)*'Staging Data'!P341</f>
        <v>651.77700000000004</v>
      </c>
      <c r="AG341">
        <f>(100%+Dashboard!$P$49)*S341</f>
        <v>29.12</v>
      </c>
      <c r="AH341" s="13">
        <f t="shared" si="105"/>
        <v>34858.474559999995</v>
      </c>
      <c r="AI341" s="13">
        <f t="shared" si="106"/>
        <v>18979.74624</v>
      </c>
      <c r="AJ341" s="13">
        <f t="shared" si="107"/>
        <v>15878.728319999995</v>
      </c>
    </row>
    <row r="342" spans="1:36" x14ac:dyDescent="0.45">
      <c r="A342" s="3" t="s">
        <v>85</v>
      </c>
      <c r="B342" s="5">
        <v>45369</v>
      </c>
      <c r="C342" s="5">
        <v>45372</v>
      </c>
      <c r="D342" s="5">
        <f t="shared" si="108"/>
        <v>45369</v>
      </c>
      <c r="E342" s="5">
        <f t="shared" si="109"/>
        <v>45372</v>
      </c>
      <c r="F342" s="7">
        <f t="shared" si="110"/>
        <v>3</v>
      </c>
      <c r="G342" s="23" t="str">
        <f t="shared" si="111"/>
        <v>3-2024</v>
      </c>
      <c r="H342" s="3" t="s">
        <v>649</v>
      </c>
      <c r="I342" s="3" t="s">
        <v>656</v>
      </c>
      <c r="J342" s="3" t="s">
        <v>684</v>
      </c>
      <c r="K342" s="3" t="s">
        <v>705</v>
      </c>
      <c r="L342" s="3" t="s">
        <v>708</v>
      </c>
      <c r="M342" s="3" t="s">
        <v>724</v>
      </c>
      <c r="N342" s="3" t="s">
        <v>733</v>
      </c>
      <c r="O342" s="3" t="s">
        <v>804</v>
      </c>
      <c r="P342" s="19">
        <v>910.63</v>
      </c>
      <c r="Q342" s="19">
        <v>1269.4000000000001</v>
      </c>
      <c r="R342" s="15">
        <v>6.8000000000000005E-2</v>
      </c>
      <c r="S342" s="7">
        <v>9</v>
      </c>
      <c r="T342" s="13">
        <f t="shared" si="99"/>
        <v>10647.727199999999</v>
      </c>
      <c r="U342" s="13">
        <f t="shared" si="100"/>
        <v>8195.67</v>
      </c>
      <c r="V342" s="13">
        <f t="shared" si="112"/>
        <v>2452.0571999999993</v>
      </c>
      <c r="W342" s="15">
        <f t="shared" si="113"/>
        <v>0.23028925834989455</v>
      </c>
      <c r="X342" s="17" t="str">
        <f t="shared" si="114"/>
        <v>Q1-2024</v>
      </c>
      <c r="Y342" t="str">
        <f t="shared" si="115"/>
        <v>Europe → Germany → Munich</v>
      </c>
      <c r="Z342" t="str">
        <f t="shared" si="116"/>
        <v>Medium</v>
      </c>
      <c r="AA342">
        <f t="shared" si="101"/>
        <v>2024</v>
      </c>
      <c r="AB342">
        <f t="shared" si="102"/>
        <v>3</v>
      </c>
      <c r="AC342" t="str">
        <f t="shared" si="103"/>
        <v>Yes</v>
      </c>
      <c r="AD342" t="str">
        <f t="shared" si="104"/>
        <v>No</v>
      </c>
      <c r="AE342" s="36">
        <f>IF(Dashboard!$P$47&gt;'Staging Data'!R342,'Staging Data'!R342,Dashboard!$P$47)</f>
        <v>6.8000000000000005E-2</v>
      </c>
      <c r="AF342">
        <f>(100%+Dashboard!$P$48)*'Staging Data'!P342</f>
        <v>956.16150000000005</v>
      </c>
      <c r="AG342">
        <f>(100%+Dashboard!$P$49)*S342</f>
        <v>9.36</v>
      </c>
      <c r="AH342" s="13">
        <f t="shared" si="105"/>
        <v>11073.636288</v>
      </c>
      <c r="AI342" s="13">
        <f t="shared" si="106"/>
        <v>8949.6716400000005</v>
      </c>
      <c r="AJ342" s="13">
        <f t="shared" si="107"/>
        <v>2123.9646479999992</v>
      </c>
    </row>
    <row r="343" spans="1:36" x14ac:dyDescent="0.45">
      <c r="A343" s="3" t="s">
        <v>355</v>
      </c>
      <c r="B343" s="5">
        <v>45029</v>
      </c>
      <c r="C343" s="5">
        <v>45027</v>
      </c>
      <c r="D343" s="5">
        <f t="shared" si="108"/>
        <v>45027</v>
      </c>
      <c r="E343" s="5">
        <f t="shared" si="109"/>
        <v>45029</v>
      </c>
      <c r="F343" s="7">
        <f t="shared" si="110"/>
        <v>2</v>
      </c>
      <c r="G343" s="23" t="str">
        <f t="shared" si="111"/>
        <v>4-2023</v>
      </c>
      <c r="H343" s="3" t="s">
        <v>648</v>
      </c>
      <c r="I343" s="3" t="s">
        <v>660</v>
      </c>
      <c r="J343" s="3" t="s">
        <v>686</v>
      </c>
      <c r="K343" s="3" t="s">
        <v>702</v>
      </c>
      <c r="L343" s="3" t="s">
        <v>709</v>
      </c>
      <c r="M343" s="3" t="s">
        <v>715</v>
      </c>
      <c r="N343" s="3" t="s">
        <v>729</v>
      </c>
      <c r="O343" s="3" t="s">
        <v>1075</v>
      </c>
      <c r="P343" s="19">
        <v>32.1</v>
      </c>
      <c r="Q343" s="19">
        <v>70.599999999999994</v>
      </c>
      <c r="R343" s="15">
        <v>0.28199999999999997</v>
      </c>
      <c r="S343" s="7">
        <v>22</v>
      </c>
      <c r="T343" s="13">
        <f t="shared" si="99"/>
        <v>1115.1975999999997</v>
      </c>
      <c r="U343" s="13">
        <f t="shared" si="100"/>
        <v>706.2</v>
      </c>
      <c r="V343" s="13">
        <f t="shared" si="112"/>
        <v>408.99759999999969</v>
      </c>
      <c r="W343" s="15">
        <f t="shared" si="113"/>
        <v>0.36674899587301818</v>
      </c>
      <c r="X343" s="17" t="str">
        <f t="shared" si="114"/>
        <v>Q2-2023</v>
      </c>
      <c r="Y343" t="str">
        <f t="shared" si="115"/>
        <v>Americas → USA → San Francisco</v>
      </c>
      <c r="Z343" t="str">
        <f t="shared" si="116"/>
        <v>Low</v>
      </c>
      <c r="AA343">
        <f t="shared" si="101"/>
        <v>2023</v>
      </c>
      <c r="AB343">
        <f t="shared" si="102"/>
        <v>4</v>
      </c>
      <c r="AC343" t="str">
        <f t="shared" si="103"/>
        <v>Yes</v>
      </c>
      <c r="AD343" t="str">
        <f t="shared" si="104"/>
        <v>Yes</v>
      </c>
      <c r="AE343" s="36">
        <f>IF(Dashboard!$P$47&gt;'Staging Data'!R343,'Staging Data'!R343,Dashboard!$P$47)</f>
        <v>0.1</v>
      </c>
      <c r="AF343">
        <f>(100%+Dashboard!$P$48)*'Staging Data'!P343</f>
        <v>33.705000000000005</v>
      </c>
      <c r="AG343">
        <f>(100%+Dashboard!$P$49)*S343</f>
        <v>22.880000000000003</v>
      </c>
      <c r="AH343" s="13">
        <f t="shared" si="105"/>
        <v>1453.7952</v>
      </c>
      <c r="AI343" s="13">
        <f t="shared" si="106"/>
        <v>771.1704000000002</v>
      </c>
      <c r="AJ343" s="13">
        <f t="shared" si="107"/>
        <v>682.62479999999982</v>
      </c>
    </row>
    <row r="344" spans="1:36" x14ac:dyDescent="0.45">
      <c r="A344" s="3" t="s">
        <v>356</v>
      </c>
      <c r="B344" s="5">
        <v>45594</v>
      </c>
      <c r="C344" s="5">
        <v>45600</v>
      </c>
      <c r="D344" s="5">
        <f t="shared" si="108"/>
        <v>45594</v>
      </c>
      <c r="E344" s="5">
        <f t="shared" si="109"/>
        <v>45600</v>
      </c>
      <c r="F344" s="7">
        <f t="shared" si="110"/>
        <v>6</v>
      </c>
      <c r="G344" s="23" t="str">
        <f t="shared" si="111"/>
        <v>10-2024</v>
      </c>
      <c r="H344" s="3" t="s">
        <v>646</v>
      </c>
      <c r="I344" s="3" t="s">
        <v>650</v>
      </c>
      <c r="J344" s="3" t="s">
        <v>664</v>
      </c>
      <c r="K344" s="3" t="s">
        <v>701</v>
      </c>
      <c r="L344" s="3" t="s">
        <v>710</v>
      </c>
      <c r="M344" s="3" t="s">
        <v>724</v>
      </c>
      <c r="N344" s="3" t="s">
        <v>728</v>
      </c>
      <c r="O344" s="3" t="s">
        <v>1076</v>
      </c>
      <c r="P344" s="19">
        <v>805.81</v>
      </c>
      <c r="Q344" s="19">
        <v>1823.04</v>
      </c>
      <c r="R344" s="15">
        <v>0</v>
      </c>
      <c r="S344" s="7">
        <v>11</v>
      </c>
      <c r="T344" s="13">
        <f t="shared" si="99"/>
        <v>20053.439999999999</v>
      </c>
      <c r="U344" s="13">
        <f t="shared" si="100"/>
        <v>8863.91</v>
      </c>
      <c r="V344" s="13">
        <f t="shared" si="112"/>
        <v>11189.529999999999</v>
      </c>
      <c r="W344" s="15">
        <f t="shared" si="113"/>
        <v>0.55798556257679477</v>
      </c>
      <c r="X344" s="17" t="str">
        <f t="shared" si="114"/>
        <v>Q4-2024</v>
      </c>
      <c r="Y344" t="str">
        <f t="shared" si="115"/>
        <v>Africa → Kenya → Nairobi</v>
      </c>
      <c r="Z344" t="str">
        <f t="shared" si="116"/>
        <v>Medium</v>
      </c>
      <c r="AA344">
        <f t="shared" si="101"/>
        <v>2024</v>
      </c>
      <c r="AB344">
        <f t="shared" si="102"/>
        <v>10</v>
      </c>
      <c r="AC344" t="str">
        <f t="shared" si="103"/>
        <v>Yes</v>
      </c>
      <c r="AD344" t="str">
        <f t="shared" si="104"/>
        <v>No</v>
      </c>
      <c r="AE344" s="36">
        <f>IF(Dashboard!$P$47&gt;'Staging Data'!R344,'Staging Data'!R344,Dashboard!$P$47)</f>
        <v>0</v>
      </c>
      <c r="AF344">
        <f>(100%+Dashboard!$P$48)*'Staging Data'!P344</f>
        <v>846.10050000000001</v>
      </c>
      <c r="AG344">
        <f>(100%+Dashboard!$P$49)*S344</f>
        <v>11.440000000000001</v>
      </c>
      <c r="AH344" s="13">
        <f t="shared" si="105"/>
        <v>20855.577600000001</v>
      </c>
      <c r="AI344" s="13">
        <f t="shared" si="106"/>
        <v>9679.389720000001</v>
      </c>
      <c r="AJ344" s="13">
        <f t="shared" si="107"/>
        <v>11176.187879999999</v>
      </c>
    </row>
    <row r="345" spans="1:36" x14ac:dyDescent="0.45">
      <c r="A345" s="3" t="s">
        <v>357</v>
      </c>
      <c r="B345" s="5">
        <v>45339</v>
      </c>
      <c r="C345" s="5">
        <v>45355</v>
      </c>
      <c r="D345" s="5">
        <f t="shared" si="108"/>
        <v>45339</v>
      </c>
      <c r="E345" s="5">
        <f t="shared" si="109"/>
        <v>45355</v>
      </c>
      <c r="F345" s="7">
        <f t="shared" si="110"/>
        <v>16</v>
      </c>
      <c r="G345" s="23" t="str">
        <f t="shared" si="111"/>
        <v>2-2024</v>
      </c>
      <c r="H345" s="3" t="s">
        <v>647</v>
      </c>
      <c r="I345" s="3" t="s">
        <v>654</v>
      </c>
      <c r="J345" s="3" t="s">
        <v>680</v>
      </c>
      <c r="K345" s="3" t="s">
        <v>705</v>
      </c>
      <c r="L345" s="3" t="s">
        <v>709</v>
      </c>
      <c r="M345" s="3" t="s">
        <v>721</v>
      </c>
      <c r="N345" s="3" t="s">
        <v>730</v>
      </c>
      <c r="O345" s="3" t="s">
        <v>1077</v>
      </c>
      <c r="P345" s="19">
        <v>1231.8</v>
      </c>
      <c r="Q345" s="19">
        <v>2015.99</v>
      </c>
      <c r="R345" s="15">
        <v>0.26100000000000001</v>
      </c>
      <c r="S345" s="7">
        <v>6</v>
      </c>
      <c r="T345" s="13">
        <f t="shared" si="99"/>
        <v>8938.8996600000009</v>
      </c>
      <c r="U345" s="13">
        <f t="shared" si="100"/>
        <v>7390.7999999999993</v>
      </c>
      <c r="V345" s="13">
        <f t="shared" si="112"/>
        <v>1548.0996600000017</v>
      </c>
      <c r="W345" s="15">
        <f t="shared" si="113"/>
        <v>0.17318682599464391</v>
      </c>
      <c r="X345" s="17" t="str">
        <f t="shared" si="114"/>
        <v>Q1-2024</v>
      </c>
      <c r="Y345" t="str">
        <f t="shared" si="115"/>
        <v>Asia → India → Delhi</v>
      </c>
      <c r="Z345" t="str">
        <f t="shared" si="116"/>
        <v>High</v>
      </c>
      <c r="AA345">
        <f t="shared" si="101"/>
        <v>2024</v>
      </c>
      <c r="AB345">
        <f t="shared" si="102"/>
        <v>2</v>
      </c>
      <c r="AC345" t="str">
        <f t="shared" si="103"/>
        <v>No</v>
      </c>
      <c r="AD345" t="str">
        <f t="shared" si="104"/>
        <v>Yes</v>
      </c>
      <c r="AE345" s="36">
        <f>IF(Dashboard!$P$47&gt;'Staging Data'!R345,'Staging Data'!R345,Dashboard!$P$47)</f>
        <v>0.1</v>
      </c>
      <c r="AF345">
        <f>(100%+Dashboard!$P$48)*'Staging Data'!P345</f>
        <v>1293.3900000000001</v>
      </c>
      <c r="AG345">
        <f>(100%+Dashboard!$P$49)*S345</f>
        <v>6.24</v>
      </c>
      <c r="AH345" s="13">
        <f t="shared" si="105"/>
        <v>11321.799840000001</v>
      </c>
      <c r="AI345" s="13">
        <f t="shared" si="106"/>
        <v>8070.7536000000009</v>
      </c>
      <c r="AJ345" s="13">
        <f t="shared" si="107"/>
        <v>3251.0462400000006</v>
      </c>
    </row>
    <row r="346" spans="1:36" x14ac:dyDescent="0.45">
      <c r="A346" s="3" t="s">
        <v>358</v>
      </c>
      <c r="B346" s="5">
        <v>45486</v>
      </c>
      <c r="C346" s="5">
        <v>45485</v>
      </c>
      <c r="D346" s="5">
        <f t="shared" si="108"/>
        <v>45485</v>
      </c>
      <c r="E346" s="5">
        <f t="shared" si="109"/>
        <v>45486</v>
      </c>
      <c r="F346" s="7">
        <f t="shared" si="110"/>
        <v>1</v>
      </c>
      <c r="G346" s="23" t="str">
        <f t="shared" si="111"/>
        <v>7-2024</v>
      </c>
      <c r="H346" s="3" t="s">
        <v>647</v>
      </c>
      <c r="I346" s="3" t="s">
        <v>652</v>
      </c>
      <c r="J346" s="3" t="s">
        <v>694</v>
      </c>
      <c r="K346" s="3" t="s">
        <v>705</v>
      </c>
      <c r="L346" s="3" t="s">
        <v>709</v>
      </c>
      <c r="M346" s="3" t="s">
        <v>721</v>
      </c>
      <c r="N346" s="3" t="s">
        <v>729</v>
      </c>
      <c r="O346" s="3" t="s">
        <v>1078</v>
      </c>
      <c r="P346" s="19">
        <v>105.13</v>
      </c>
      <c r="Q346" s="19">
        <v>244.13</v>
      </c>
      <c r="R346" s="15">
        <v>7.0999999999999994E-2</v>
      </c>
      <c r="S346" s="7">
        <v>14</v>
      </c>
      <c r="T346" s="13">
        <f t="shared" si="99"/>
        <v>3175.1547799999998</v>
      </c>
      <c r="U346" s="13">
        <f t="shared" si="100"/>
        <v>1471.82</v>
      </c>
      <c r="V346" s="13">
        <f t="shared" si="112"/>
        <v>1703.3347799999999</v>
      </c>
      <c r="W346" s="15">
        <f t="shared" si="113"/>
        <v>0.53645724319618837</v>
      </c>
      <c r="X346" s="17" t="str">
        <f t="shared" si="114"/>
        <v>Q3-2024</v>
      </c>
      <c r="Y346" t="str">
        <f t="shared" si="115"/>
        <v>Asia → Japan → Nagoya</v>
      </c>
      <c r="Z346" t="str">
        <f t="shared" si="116"/>
        <v>Low</v>
      </c>
      <c r="AA346">
        <f t="shared" si="101"/>
        <v>2024</v>
      </c>
      <c r="AB346">
        <f t="shared" si="102"/>
        <v>7</v>
      </c>
      <c r="AC346" t="str">
        <f t="shared" si="103"/>
        <v>Yes</v>
      </c>
      <c r="AD346" t="str">
        <f t="shared" si="104"/>
        <v>No</v>
      </c>
      <c r="AE346" s="36">
        <f>IF(Dashboard!$P$47&gt;'Staging Data'!R346,'Staging Data'!R346,Dashboard!$P$47)</f>
        <v>7.0999999999999994E-2</v>
      </c>
      <c r="AF346">
        <f>(100%+Dashboard!$P$48)*'Staging Data'!P346</f>
        <v>110.3865</v>
      </c>
      <c r="AG346">
        <f>(100%+Dashboard!$P$49)*S346</f>
        <v>14.56</v>
      </c>
      <c r="AH346" s="13">
        <f t="shared" si="105"/>
        <v>3302.1609711999999</v>
      </c>
      <c r="AI346" s="13">
        <f t="shared" si="106"/>
        <v>1607.2274400000001</v>
      </c>
      <c r="AJ346" s="13">
        <f t="shared" si="107"/>
        <v>1694.9335311999998</v>
      </c>
    </row>
    <row r="347" spans="1:36" x14ac:dyDescent="0.45">
      <c r="A347" s="3" t="s">
        <v>359</v>
      </c>
      <c r="B347" s="5">
        <v>45261</v>
      </c>
      <c r="C347" s="5">
        <v>45278</v>
      </c>
      <c r="D347" s="5">
        <f t="shared" si="108"/>
        <v>45261</v>
      </c>
      <c r="E347" s="5">
        <f t="shared" si="109"/>
        <v>45278</v>
      </c>
      <c r="F347" s="7">
        <f t="shared" si="110"/>
        <v>17</v>
      </c>
      <c r="G347" s="23" t="str">
        <f t="shared" si="111"/>
        <v>12-2023</v>
      </c>
      <c r="H347" s="3" t="s">
        <v>647</v>
      </c>
      <c r="I347" s="3" t="s">
        <v>652</v>
      </c>
      <c r="J347" s="3" t="s">
        <v>694</v>
      </c>
      <c r="K347" s="3" t="s">
        <v>705</v>
      </c>
      <c r="L347" s="3" t="s">
        <v>711</v>
      </c>
      <c r="M347" s="3" t="s">
        <v>725</v>
      </c>
      <c r="N347" s="3" t="s">
        <v>731</v>
      </c>
      <c r="O347" s="3" t="s">
        <v>1079</v>
      </c>
      <c r="P347" s="19">
        <v>1495.79</v>
      </c>
      <c r="Q347" s="19">
        <v>2783.12</v>
      </c>
      <c r="R347" s="15">
        <v>0.02</v>
      </c>
      <c r="S347" s="7">
        <v>5</v>
      </c>
      <c r="T347" s="13">
        <f t="shared" si="99"/>
        <v>13637.287999999999</v>
      </c>
      <c r="U347" s="13">
        <f t="shared" si="100"/>
        <v>7478.95</v>
      </c>
      <c r="V347" s="13">
        <f t="shared" si="112"/>
        <v>6158.3379999999988</v>
      </c>
      <c r="W347" s="15">
        <f t="shared" si="113"/>
        <v>0.45158084217331185</v>
      </c>
      <c r="X347" s="17" t="str">
        <f t="shared" si="114"/>
        <v>Q4-2023</v>
      </c>
      <c r="Y347" t="str">
        <f t="shared" si="115"/>
        <v>Asia → Japan → Nagoya</v>
      </c>
      <c r="Z347" t="str">
        <f t="shared" si="116"/>
        <v>High</v>
      </c>
      <c r="AA347">
        <f t="shared" si="101"/>
        <v>2023</v>
      </c>
      <c r="AB347">
        <f t="shared" si="102"/>
        <v>12</v>
      </c>
      <c r="AC347" t="str">
        <f t="shared" si="103"/>
        <v>No</v>
      </c>
      <c r="AD347" t="str">
        <f t="shared" si="104"/>
        <v>No</v>
      </c>
      <c r="AE347" s="36">
        <f>IF(Dashboard!$P$47&gt;'Staging Data'!R347,'Staging Data'!R347,Dashboard!$P$47)</f>
        <v>0.02</v>
      </c>
      <c r="AF347">
        <f>(100%+Dashboard!$P$48)*'Staging Data'!P347</f>
        <v>1570.5795000000001</v>
      </c>
      <c r="AG347">
        <f>(100%+Dashboard!$P$49)*S347</f>
        <v>5.2</v>
      </c>
      <c r="AH347" s="13">
        <f t="shared" si="105"/>
        <v>14182.77952</v>
      </c>
      <c r="AI347" s="13">
        <f t="shared" si="106"/>
        <v>8167.0134000000007</v>
      </c>
      <c r="AJ347" s="13">
        <f t="shared" si="107"/>
        <v>6015.7661199999993</v>
      </c>
    </row>
    <row r="348" spans="1:36" x14ac:dyDescent="0.45">
      <c r="A348" s="3" t="s">
        <v>200</v>
      </c>
      <c r="B348" s="5">
        <v>45099</v>
      </c>
      <c r="C348" s="5">
        <v>45128</v>
      </c>
      <c r="D348" s="5">
        <f t="shared" si="108"/>
        <v>45099</v>
      </c>
      <c r="E348" s="5">
        <f t="shared" si="109"/>
        <v>45128</v>
      </c>
      <c r="F348" s="7">
        <f t="shared" si="110"/>
        <v>29</v>
      </c>
      <c r="G348" s="23" t="str">
        <f t="shared" si="111"/>
        <v>6-2023</v>
      </c>
      <c r="H348" s="3" t="s">
        <v>649</v>
      </c>
      <c r="I348" s="3" t="s">
        <v>657</v>
      </c>
      <c r="J348" s="3" t="s">
        <v>679</v>
      </c>
      <c r="K348" s="3" t="s">
        <v>701</v>
      </c>
      <c r="L348" s="3" t="s">
        <v>707</v>
      </c>
      <c r="M348" s="3" t="s">
        <v>713</v>
      </c>
      <c r="N348" s="3" t="s">
        <v>733</v>
      </c>
      <c r="O348" s="3" t="s">
        <v>919</v>
      </c>
      <c r="P348" s="19">
        <v>734.34</v>
      </c>
      <c r="Q348" s="19">
        <v>887.9</v>
      </c>
      <c r="R348" s="15">
        <v>2.5000000000000001E-2</v>
      </c>
      <c r="S348" s="7">
        <v>12</v>
      </c>
      <c r="T348" s="13">
        <f t="shared" si="99"/>
        <v>10388.429999999998</v>
      </c>
      <c r="U348" s="13">
        <f t="shared" si="100"/>
        <v>8812.08</v>
      </c>
      <c r="V348" s="13">
        <f t="shared" si="112"/>
        <v>1576.3499999999985</v>
      </c>
      <c r="W348" s="15">
        <f t="shared" si="113"/>
        <v>0.15174092716608753</v>
      </c>
      <c r="X348" s="17" t="str">
        <f t="shared" si="114"/>
        <v>Q2-2023</v>
      </c>
      <c r="Y348" t="str">
        <f t="shared" si="115"/>
        <v>Europe → France → Lyon</v>
      </c>
      <c r="Z348" t="str">
        <f t="shared" si="116"/>
        <v>Low</v>
      </c>
      <c r="AA348">
        <f t="shared" si="101"/>
        <v>2023</v>
      </c>
      <c r="AB348">
        <f t="shared" si="102"/>
        <v>6</v>
      </c>
      <c r="AC348" t="str">
        <f t="shared" si="103"/>
        <v>No</v>
      </c>
      <c r="AD348" t="str">
        <f t="shared" si="104"/>
        <v>No</v>
      </c>
      <c r="AE348" s="36">
        <f>IF(Dashboard!$P$47&gt;'Staging Data'!R348,'Staging Data'!R348,Dashboard!$P$47)</f>
        <v>2.5000000000000001E-2</v>
      </c>
      <c r="AF348">
        <f>(100%+Dashboard!$P$48)*'Staging Data'!P348</f>
        <v>771.05700000000002</v>
      </c>
      <c r="AG348">
        <f>(100%+Dashboard!$P$49)*S348</f>
        <v>12.48</v>
      </c>
      <c r="AH348" s="13">
        <f t="shared" si="105"/>
        <v>10803.967199999999</v>
      </c>
      <c r="AI348" s="13">
        <f t="shared" si="106"/>
        <v>9622.7913600000011</v>
      </c>
      <c r="AJ348" s="13">
        <f t="shared" si="107"/>
        <v>1181.1758399999981</v>
      </c>
    </row>
    <row r="349" spans="1:36" x14ac:dyDescent="0.45">
      <c r="A349" s="3" t="s">
        <v>361</v>
      </c>
      <c r="B349" s="5">
        <v>45050</v>
      </c>
      <c r="C349" s="5">
        <v>45062</v>
      </c>
      <c r="D349" s="5">
        <f t="shared" si="108"/>
        <v>45050</v>
      </c>
      <c r="E349" s="5">
        <f t="shared" si="109"/>
        <v>45062</v>
      </c>
      <c r="F349" s="7">
        <f t="shared" si="110"/>
        <v>12</v>
      </c>
      <c r="G349" s="23" t="str">
        <f t="shared" si="111"/>
        <v>5-2023</v>
      </c>
      <c r="H349" s="3" t="s">
        <v>646</v>
      </c>
      <c r="I349" s="3" t="s">
        <v>651</v>
      </c>
      <c r="J349" s="3" t="s">
        <v>669</v>
      </c>
      <c r="K349" s="3" t="s">
        <v>705</v>
      </c>
      <c r="L349" s="3" t="s">
        <v>709</v>
      </c>
      <c r="M349" s="3" t="s">
        <v>713</v>
      </c>
      <c r="N349" s="3" t="s">
        <v>730</v>
      </c>
      <c r="O349" s="3" t="s">
        <v>1081</v>
      </c>
      <c r="P349" s="19">
        <v>77.739999999999995</v>
      </c>
      <c r="Q349" s="19">
        <v>147.12</v>
      </c>
      <c r="R349" s="15">
        <v>0</v>
      </c>
      <c r="S349" s="7">
        <v>15</v>
      </c>
      <c r="T349" s="13">
        <f t="shared" si="99"/>
        <v>2206.8000000000002</v>
      </c>
      <c r="U349" s="13">
        <f t="shared" si="100"/>
        <v>1166.0999999999999</v>
      </c>
      <c r="V349" s="13">
        <f t="shared" si="112"/>
        <v>1040.7000000000003</v>
      </c>
      <c r="W349" s="15">
        <f t="shared" si="113"/>
        <v>0.47158781946710177</v>
      </c>
      <c r="X349" s="17" t="str">
        <f t="shared" si="114"/>
        <v>Q2-2023</v>
      </c>
      <c r="Y349" t="str">
        <f t="shared" si="115"/>
        <v>Africa → Nigeria → Abuja</v>
      </c>
      <c r="Z349" t="str">
        <f t="shared" si="116"/>
        <v>Low</v>
      </c>
      <c r="AA349">
        <f t="shared" si="101"/>
        <v>2023</v>
      </c>
      <c r="AB349">
        <f t="shared" si="102"/>
        <v>5</v>
      </c>
      <c r="AC349" t="str">
        <f t="shared" si="103"/>
        <v>No</v>
      </c>
      <c r="AD349" t="str">
        <f t="shared" si="104"/>
        <v>No</v>
      </c>
      <c r="AE349" s="36">
        <f>IF(Dashboard!$P$47&gt;'Staging Data'!R349,'Staging Data'!R349,Dashboard!$P$47)</f>
        <v>0</v>
      </c>
      <c r="AF349">
        <f>(100%+Dashboard!$P$48)*'Staging Data'!P349</f>
        <v>81.626999999999995</v>
      </c>
      <c r="AG349">
        <f>(100%+Dashboard!$P$49)*S349</f>
        <v>15.600000000000001</v>
      </c>
      <c r="AH349" s="13">
        <f t="shared" si="105"/>
        <v>2295.0720000000001</v>
      </c>
      <c r="AI349" s="13">
        <f t="shared" si="106"/>
        <v>1273.3812</v>
      </c>
      <c r="AJ349" s="13">
        <f t="shared" si="107"/>
        <v>1021.6908000000001</v>
      </c>
    </row>
    <row r="350" spans="1:36" x14ac:dyDescent="0.45">
      <c r="A350" s="3" t="s">
        <v>362</v>
      </c>
      <c r="B350" s="5">
        <v>45281</v>
      </c>
      <c r="C350" s="5">
        <v>45297</v>
      </c>
      <c r="D350" s="5">
        <f t="shared" si="108"/>
        <v>45281</v>
      </c>
      <c r="E350" s="5">
        <f t="shared" si="109"/>
        <v>45297</v>
      </c>
      <c r="F350" s="7">
        <f t="shared" si="110"/>
        <v>16</v>
      </c>
      <c r="G350" s="23" t="str">
        <f t="shared" si="111"/>
        <v>12-2023</v>
      </c>
      <c r="H350" s="3" t="s">
        <v>646</v>
      </c>
      <c r="I350" s="3" t="s">
        <v>651</v>
      </c>
      <c r="J350" s="3" t="s">
        <v>1422</v>
      </c>
      <c r="K350" s="3" t="s">
        <v>701</v>
      </c>
      <c r="L350" s="3" t="s">
        <v>709</v>
      </c>
      <c r="M350" s="3" t="s">
        <v>723</v>
      </c>
      <c r="N350" s="3" t="s">
        <v>727</v>
      </c>
      <c r="O350" s="3" t="s">
        <v>1082</v>
      </c>
      <c r="P350" s="19">
        <v>932.61</v>
      </c>
      <c r="Q350" s="19">
        <v>1982.98</v>
      </c>
      <c r="R350" s="15">
        <v>0.14399999999999999</v>
      </c>
      <c r="S350" s="7">
        <v>16</v>
      </c>
      <c r="T350" s="13">
        <f t="shared" si="99"/>
        <v>27158.894079999998</v>
      </c>
      <c r="U350" s="13">
        <f t="shared" si="100"/>
        <v>14921.76</v>
      </c>
      <c r="V350" s="13">
        <f t="shared" si="112"/>
        <v>12237.134079999998</v>
      </c>
      <c r="W350" s="15">
        <f t="shared" si="113"/>
        <v>0.45057556629345635</v>
      </c>
      <c r="X350" s="17" t="str">
        <f t="shared" si="114"/>
        <v>Q4-2023</v>
      </c>
      <c r="Y350" t="str">
        <f t="shared" si="115"/>
        <v>Africa → Nigeria → Unknown City</v>
      </c>
      <c r="Z350" t="str">
        <f t="shared" si="116"/>
        <v>High</v>
      </c>
      <c r="AA350">
        <f t="shared" si="101"/>
        <v>2023</v>
      </c>
      <c r="AB350">
        <f t="shared" si="102"/>
        <v>12</v>
      </c>
      <c r="AC350" t="str">
        <f t="shared" si="103"/>
        <v>No</v>
      </c>
      <c r="AD350" t="str">
        <f t="shared" si="104"/>
        <v>No</v>
      </c>
      <c r="AE350" s="36">
        <f>IF(Dashboard!$P$47&gt;'Staging Data'!R350,'Staging Data'!R350,Dashboard!$P$47)</f>
        <v>0.1</v>
      </c>
      <c r="AF350">
        <f>(100%+Dashboard!$P$48)*'Staging Data'!P350</f>
        <v>979.24050000000011</v>
      </c>
      <c r="AG350">
        <f>(100%+Dashboard!$P$49)*S350</f>
        <v>16.64</v>
      </c>
      <c r="AH350" s="13">
        <f t="shared" si="105"/>
        <v>29697.108479999999</v>
      </c>
      <c r="AI350" s="13">
        <f t="shared" si="106"/>
        <v>16294.561920000002</v>
      </c>
      <c r="AJ350" s="13">
        <f t="shared" si="107"/>
        <v>13402.546559999997</v>
      </c>
    </row>
    <row r="351" spans="1:36" x14ac:dyDescent="0.45">
      <c r="A351" s="3" t="s">
        <v>363</v>
      </c>
      <c r="B351" s="5">
        <v>45825</v>
      </c>
      <c r="C351" s="5">
        <v>45843</v>
      </c>
      <c r="D351" s="5">
        <f t="shared" si="108"/>
        <v>45825</v>
      </c>
      <c r="E351" s="5">
        <f t="shared" si="109"/>
        <v>45843</v>
      </c>
      <c r="F351" s="7">
        <f t="shared" si="110"/>
        <v>18</v>
      </c>
      <c r="G351" s="23" t="str">
        <f t="shared" si="111"/>
        <v>6-2025</v>
      </c>
      <c r="H351" s="3" t="s">
        <v>647</v>
      </c>
      <c r="I351" s="3" t="s">
        <v>654</v>
      </c>
      <c r="J351" s="3" t="s">
        <v>680</v>
      </c>
      <c r="K351" s="3" t="s">
        <v>704</v>
      </c>
      <c r="L351" s="3" t="s">
        <v>709</v>
      </c>
      <c r="M351" s="3" t="s">
        <v>716</v>
      </c>
      <c r="N351" s="3" t="s">
        <v>731</v>
      </c>
      <c r="O351" s="3" t="s">
        <v>1083</v>
      </c>
      <c r="P351" s="19">
        <v>982.93</v>
      </c>
      <c r="Q351" s="19">
        <v>2299.3000000000002</v>
      </c>
      <c r="R351" s="15">
        <v>0.113</v>
      </c>
      <c r="S351" s="7">
        <v>6</v>
      </c>
      <c r="T351" s="13">
        <f t="shared" si="99"/>
        <v>12236.874600000001</v>
      </c>
      <c r="U351" s="13">
        <f t="shared" si="100"/>
        <v>5897.58</v>
      </c>
      <c r="V351" s="13">
        <f t="shared" si="112"/>
        <v>6339.2946000000011</v>
      </c>
      <c r="W351" s="15">
        <f t="shared" si="113"/>
        <v>0.51804850562087157</v>
      </c>
      <c r="X351" s="17" t="str">
        <f t="shared" si="114"/>
        <v>Q2-2025</v>
      </c>
      <c r="Y351" t="str">
        <f t="shared" si="115"/>
        <v>Asia → India → Delhi</v>
      </c>
      <c r="Z351" t="str">
        <f t="shared" si="116"/>
        <v>High</v>
      </c>
      <c r="AA351">
        <f t="shared" si="101"/>
        <v>2025</v>
      </c>
      <c r="AB351">
        <f t="shared" si="102"/>
        <v>6</v>
      </c>
      <c r="AC351" t="str">
        <f t="shared" si="103"/>
        <v>No</v>
      </c>
      <c r="AD351" t="str">
        <f t="shared" si="104"/>
        <v>No</v>
      </c>
      <c r="AE351" s="36">
        <f>IF(Dashboard!$P$47&gt;'Staging Data'!R351,'Staging Data'!R351,Dashboard!$P$47)</f>
        <v>0.1</v>
      </c>
      <c r="AF351">
        <f>(100%+Dashboard!$P$48)*'Staging Data'!P351</f>
        <v>1032.0764999999999</v>
      </c>
      <c r="AG351">
        <f>(100%+Dashboard!$P$49)*S351</f>
        <v>6.24</v>
      </c>
      <c r="AH351" s="13">
        <f t="shared" si="105"/>
        <v>12912.868800000002</v>
      </c>
      <c r="AI351" s="13">
        <f t="shared" si="106"/>
        <v>6440.1573599999992</v>
      </c>
      <c r="AJ351" s="13">
        <f t="shared" si="107"/>
        <v>6472.7114400000028</v>
      </c>
    </row>
    <row r="352" spans="1:36" x14ac:dyDescent="0.45">
      <c r="A352" s="3" t="s">
        <v>364</v>
      </c>
      <c r="B352" s="5">
        <v>44980</v>
      </c>
      <c r="C352" s="5">
        <v>44993</v>
      </c>
      <c r="D352" s="5">
        <f t="shared" si="108"/>
        <v>44980</v>
      </c>
      <c r="E352" s="5">
        <f t="shared" si="109"/>
        <v>44993</v>
      </c>
      <c r="F352" s="7">
        <f t="shared" si="110"/>
        <v>13</v>
      </c>
      <c r="G352" s="23" t="str">
        <f t="shared" si="111"/>
        <v>2-2023</v>
      </c>
      <c r="H352" s="3" t="s">
        <v>649</v>
      </c>
      <c r="I352" s="3" t="s">
        <v>658</v>
      </c>
      <c r="J352" s="3" t="s">
        <v>693</v>
      </c>
      <c r="K352" s="3" t="s">
        <v>705</v>
      </c>
      <c r="L352" s="3" t="s">
        <v>711</v>
      </c>
      <c r="M352" s="3" t="s">
        <v>712</v>
      </c>
      <c r="N352" s="3" t="s">
        <v>728</v>
      </c>
      <c r="O352" s="3" t="s">
        <v>1084</v>
      </c>
      <c r="P352" s="19">
        <v>307.37</v>
      </c>
      <c r="Q352" s="19">
        <v>462.61</v>
      </c>
      <c r="R352" s="15">
        <v>0.188</v>
      </c>
      <c r="S352" s="7">
        <v>11</v>
      </c>
      <c r="T352" s="13">
        <f t="shared" si="99"/>
        <v>4132.0325200000007</v>
      </c>
      <c r="U352" s="13">
        <f t="shared" si="100"/>
        <v>3381.07</v>
      </c>
      <c r="V352" s="13">
        <f t="shared" si="112"/>
        <v>750.9625200000005</v>
      </c>
      <c r="W352" s="15">
        <f t="shared" si="113"/>
        <v>0.18174167709599739</v>
      </c>
      <c r="X352" s="17" t="str">
        <f t="shared" si="114"/>
        <v>Q1-2023</v>
      </c>
      <c r="Y352" t="str">
        <f t="shared" si="115"/>
        <v>Europe → United Kingdom → Manchester</v>
      </c>
      <c r="Z352" t="str">
        <f t="shared" si="116"/>
        <v>Low</v>
      </c>
      <c r="AA352">
        <f t="shared" si="101"/>
        <v>2023</v>
      </c>
      <c r="AB352">
        <f t="shared" si="102"/>
        <v>2</v>
      </c>
      <c r="AC352" t="str">
        <f t="shared" si="103"/>
        <v>No</v>
      </c>
      <c r="AD352" t="str">
        <f t="shared" si="104"/>
        <v>No</v>
      </c>
      <c r="AE352" s="36">
        <f>IF(Dashboard!$P$47&gt;'Staging Data'!R352,'Staging Data'!R352,Dashboard!$P$47)</f>
        <v>0.1</v>
      </c>
      <c r="AF352">
        <f>(100%+Dashboard!$P$48)*'Staging Data'!P352</f>
        <v>322.73850000000004</v>
      </c>
      <c r="AG352">
        <f>(100%+Dashboard!$P$49)*S352</f>
        <v>11.440000000000001</v>
      </c>
      <c r="AH352" s="13">
        <f t="shared" si="105"/>
        <v>4763.0325600000006</v>
      </c>
      <c r="AI352" s="13">
        <f t="shared" si="106"/>
        <v>3692.1284400000009</v>
      </c>
      <c r="AJ352" s="13">
        <f t="shared" si="107"/>
        <v>1070.9041199999997</v>
      </c>
    </row>
    <row r="353" spans="1:36" x14ac:dyDescent="0.45">
      <c r="A353" s="3" t="s">
        <v>365</v>
      </c>
      <c r="B353" s="5">
        <v>45262</v>
      </c>
      <c r="C353" s="5">
        <v>45276</v>
      </c>
      <c r="D353" s="5">
        <f t="shared" si="108"/>
        <v>45262</v>
      </c>
      <c r="E353" s="5">
        <f t="shared" si="109"/>
        <v>45276</v>
      </c>
      <c r="F353" s="7">
        <f t="shared" si="110"/>
        <v>14</v>
      </c>
      <c r="G353" s="23" t="str">
        <f t="shared" si="111"/>
        <v>12-2023</v>
      </c>
      <c r="H353" s="3" t="s">
        <v>649</v>
      </c>
      <c r="I353" s="3" t="s">
        <v>656</v>
      </c>
      <c r="J353" s="3" t="s">
        <v>698</v>
      </c>
      <c r="K353" s="3" t="s">
        <v>702</v>
      </c>
      <c r="L353" s="3" t="s">
        <v>711</v>
      </c>
      <c r="M353" s="3" t="s">
        <v>725</v>
      </c>
      <c r="N353" s="3" t="s">
        <v>732</v>
      </c>
      <c r="O353" s="3" t="s">
        <v>1085</v>
      </c>
      <c r="P353" s="19">
        <v>879.08</v>
      </c>
      <c r="Q353" s="19">
        <v>1093.3900000000001</v>
      </c>
      <c r="R353" s="15">
        <v>0.113</v>
      </c>
      <c r="S353" s="7">
        <v>17</v>
      </c>
      <c r="T353" s="13">
        <f t="shared" si="99"/>
        <v>16487.22781</v>
      </c>
      <c r="U353" s="13">
        <f t="shared" si="100"/>
        <v>14944.36</v>
      </c>
      <c r="V353" s="13">
        <f t="shared" si="112"/>
        <v>1542.8678099999997</v>
      </c>
      <c r="W353" s="15">
        <f t="shared" si="113"/>
        <v>9.3579577341935186E-2</v>
      </c>
      <c r="X353" s="17" t="str">
        <f t="shared" si="114"/>
        <v>Q4-2023</v>
      </c>
      <c r="Y353" t="str">
        <f t="shared" si="115"/>
        <v>Europe → Germany → Frankfurt</v>
      </c>
      <c r="Z353" t="str">
        <f t="shared" si="116"/>
        <v>Low</v>
      </c>
      <c r="AA353">
        <f t="shared" si="101"/>
        <v>2023</v>
      </c>
      <c r="AB353">
        <f t="shared" si="102"/>
        <v>12</v>
      </c>
      <c r="AC353" t="str">
        <f t="shared" si="103"/>
        <v>No</v>
      </c>
      <c r="AD353" t="str">
        <f t="shared" si="104"/>
        <v>No</v>
      </c>
      <c r="AE353" s="36">
        <f>IF(Dashboard!$P$47&gt;'Staging Data'!R353,'Staging Data'!R353,Dashboard!$P$47)</f>
        <v>0.1</v>
      </c>
      <c r="AF353">
        <f>(100%+Dashboard!$P$48)*'Staging Data'!P353</f>
        <v>923.03400000000011</v>
      </c>
      <c r="AG353">
        <f>(100%+Dashboard!$P$49)*S353</f>
        <v>17.68</v>
      </c>
      <c r="AH353" s="13">
        <f t="shared" si="105"/>
        <v>17398.021680000002</v>
      </c>
      <c r="AI353" s="13">
        <f t="shared" si="106"/>
        <v>16319.241120000002</v>
      </c>
      <c r="AJ353" s="13">
        <f t="shared" si="107"/>
        <v>1078.7805599999992</v>
      </c>
    </row>
    <row r="354" spans="1:36" x14ac:dyDescent="0.45">
      <c r="A354" s="3" t="s">
        <v>173</v>
      </c>
      <c r="B354" s="5">
        <v>45703</v>
      </c>
      <c r="C354" s="5">
        <v>45703</v>
      </c>
      <c r="D354" s="5">
        <f t="shared" si="108"/>
        <v>45703</v>
      </c>
      <c r="E354" s="5">
        <f t="shared" si="109"/>
        <v>45703</v>
      </c>
      <c r="F354" s="7">
        <f t="shared" si="110"/>
        <v>0</v>
      </c>
      <c r="G354" s="23" t="str">
        <f t="shared" si="111"/>
        <v>2-2025</v>
      </c>
      <c r="H354" s="3" t="s">
        <v>649</v>
      </c>
      <c r="I354" s="3" t="s">
        <v>656</v>
      </c>
      <c r="J354" s="3" t="s">
        <v>698</v>
      </c>
      <c r="K354" s="3" t="s">
        <v>705</v>
      </c>
      <c r="L354" s="3" t="s">
        <v>709</v>
      </c>
      <c r="M354" s="3" t="s">
        <v>716</v>
      </c>
      <c r="N354" s="3" t="s">
        <v>733</v>
      </c>
      <c r="O354" s="3" t="s">
        <v>892</v>
      </c>
      <c r="P354" s="19">
        <v>815.83</v>
      </c>
      <c r="Q354" s="19">
        <v>1982.18</v>
      </c>
      <c r="R354" s="15">
        <v>0.127</v>
      </c>
      <c r="S354" s="7">
        <v>6</v>
      </c>
      <c r="T354" s="13">
        <f t="shared" si="99"/>
        <v>10382.65884</v>
      </c>
      <c r="U354" s="13">
        <f t="shared" si="100"/>
        <v>4894.9800000000005</v>
      </c>
      <c r="V354" s="13">
        <f t="shared" si="112"/>
        <v>5487.6788399999996</v>
      </c>
      <c r="W354" s="15">
        <f t="shared" si="113"/>
        <v>0.52854272923408507</v>
      </c>
      <c r="X354" s="17" t="str">
        <f t="shared" si="114"/>
        <v>Q1-2025</v>
      </c>
      <c r="Y354" t="str">
        <f t="shared" si="115"/>
        <v>Europe → Germany → Frankfurt</v>
      </c>
      <c r="Z354" t="str">
        <f t="shared" si="116"/>
        <v>High</v>
      </c>
      <c r="AA354">
        <f t="shared" si="101"/>
        <v>2025</v>
      </c>
      <c r="AB354">
        <f t="shared" si="102"/>
        <v>2</v>
      </c>
      <c r="AC354" t="str">
        <f t="shared" si="103"/>
        <v>Yes</v>
      </c>
      <c r="AD354" t="str">
        <f t="shared" si="104"/>
        <v>No</v>
      </c>
      <c r="AE354" s="36">
        <f>IF(Dashboard!$P$47&gt;'Staging Data'!R354,'Staging Data'!R354,Dashboard!$P$47)</f>
        <v>0.1</v>
      </c>
      <c r="AF354">
        <f>(100%+Dashboard!$P$48)*'Staging Data'!P354</f>
        <v>856.62150000000008</v>
      </c>
      <c r="AG354">
        <f>(100%+Dashboard!$P$49)*S354</f>
        <v>6.24</v>
      </c>
      <c r="AH354" s="13">
        <f t="shared" si="105"/>
        <v>11131.92288</v>
      </c>
      <c r="AI354" s="13">
        <f t="shared" si="106"/>
        <v>5345.3181600000007</v>
      </c>
      <c r="AJ354" s="13">
        <f t="shared" si="107"/>
        <v>5786.6047199999994</v>
      </c>
    </row>
    <row r="355" spans="1:36" x14ac:dyDescent="0.45">
      <c r="A355" s="3" t="s">
        <v>367</v>
      </c>
      <c r="B355" s="5">
        <v>45512</v>
      </c>
      <c r="C355" s="5">
        <v>45524</v>
      </c>
      <c r="D355" s="5">
        <f t="shared" si="108"/>
        <v>45512</v>
      </c>
      <c r="E355" s="5">
        <f t="shared" si="109"/>
        <v>45524</v>
      </c>
      <c r="F355" s="7">
        <f t="shared" si="110"/>
        <v>12</v>
      </c>
      <c r="G355" s="23" t="str">
        <f t="shared" si="111"/>
        <v>8-2024</v>
      </c>
      <c r="H355" s="3" t="s">
        <v>647</v>
      </c>
      <c r="I355" s="3" t="s">
        <v>652</v>
      </c>
      <c r="J355" s="3" t="s">
        <v>666</v>
      </c>
      <c r="K355" s="3" t="s">
        <v>705</v>
      </c>
      <c r="L355" s="3" t="s">
        <v>707</v>
      </c>
      <c r="M355" s="3" t="s">
        <v>722</v>
      </c>
      <c r="N355" s="3" t="s">
        <v>729</v>
      </c>
      <c r="O355" s="3" t="s">
        <v>1087</v>
      </c>
      <c r="P355" s="19">
        <v>1233.3599999999999</v>
      </c>
      <c r="Q355" s="19">
        <v>2120.4</v>
      </c>
      <c r="R355" s="15">
        <v>0.17899999999999999</v>
      </c>
      <c r="S355" s="7">
        <v>20</v>
      </c>
      <c r="T355" s="13">
        <f t="shared" si="99"/>
        <v>34816.968000000001</v>
      </c>
      <c r="U355" s="13">
        <f t="shared" si="100"/>
        <v>24667.199999999997</v>
      </c>
      <c r="V355" s="13">
        <f t="shared" si="112"/>
        <v>10149.768000000004</v>
      </c>
      <c r="W355" s="15">
        <f t="shared" si="113"/>
        <v>0.29151785991244278</v>
      </c>
      <c r="X355" s="17" t="str">
        <f t="shared" si="114"/>
        <v>Q3-2024</v>
      </c>
      <c r="Y355" t="str">
        <f t="shared" si="115"/>
        <v>Asia → Japan → Osaka</v>
      </c>
      <c r="Z355" t="str">
        <f t="shared" si="116"/>
        <v>High</v>
      </c>
      <c r="AA355">
        <f t="shared" si="101"/>
        <v>2024</v>
      </c>
      <c r="AB355">
        <f t="shared" si="102"/>
        <v>8</v>
      </c>
      <c r="AC355" t="str">
        <f t="shared" si="103"/>
        <v>No</v>
      </c>
      <c r="AD355" t="str">
        <f t="shared" si="104"/>
        <v>No</v>
      </c>
      <c r="AE355" s="36">
        <f>IF(Dashboard!$P$47&gt;'Staging Data'!R355,'Staging Data'!R355,Dashboard!$P$47)</f>
        <v>0.1</v>
      </c>
      <c r="AF355">
        <f>(100%+Dashboard!$P$48)*'Staging Data'!P355</f>
        <v>1295.028</v>
      </c>
      <c r="AG355">
        <f>(100%+Dashboard!$P$49)*S355</f>
        <v>20.8</v>
      </c>
      <c r="AH355" s="13">
        <f t="shared" si="105"/>
        <v>39693.888000000006</v>
      </c>
      <c r="AI355" s="13">
        <f t="shared" si="106"/>
        <v>26936.582400000003</v>
      </c>
      <c r="AJ355" s="13">
        <f t="shared" si="107"/>
        <v>12757.305600000003</v>
      </c>
    </row>
    <row r="356" spans="1:36" x14ac:dyDescent="0.45">
      <c r="A356" s="3" t="s">
        <v>368</v>
      </c>
      <c r="B356" s="5">
        <v>45603</v>
      </c>
      <c r="C356" s="5">
        <v>45622</v>
      </c>
      <c r="D356" s="5">
        <f t="shared" si="108"/>
        <v>45603</v>
      </c>
      <c r="E356" s="5">
        <f t="shared" si="109"/>
        <v>45622</v>
      </c>
      <c r="F356" s="7">
        <f t="shared" si="110"/>
        <v>19</v>
      </c>
      <c r="G356" s="23" t="str">
        <f t="shared" si="111"/>
        <v>11-2024</v>
      </c>
      <c r="H356" s="3" t="s">
        <v>648</v>
      </c>
      <c r="I356" s="3" t="s">
        <v>655</v>
      </c>
      <c r="J356" s="3" t="s">
        <v>692</v>
      </c>
      <c r="K356" s="3" t="s">
        <v>703</v>
      </c>
      <c r="L356" s="3" t="s">
        <v>710</v>
      </c>
      <c r="M356" s="3" t="s">
        <v>713</v>
      </c>
      <c r="N356" s="3" t="s">
        <v>728</v>
      </c>
      <c r="O356" s="3" t="s">
        <v>1088</v>
      </c>
      <c r="P356" s="19">
        <v>55.35</v>
      </c>
      <c r="Q356" s="19">
        <v>128.68</v>
      </c>
      <c r="R356" s="15">
        <v>0.128</v>
      </c>
      <c r="S356" s="7">
        <v>10</v>
      </c>
      <c r="T356" s="13">
        <f t="shared" si="99"/>
        <v>1122.0896000000002</v>
      </c>
      <c r="U356" s="13">
        <f t="shared" si="100"/>
        <v>553.5</v>
      </c>
      <c r="V356" s="13">
        <f t="shared" si="112"/>
        <v>568.58960000000025</v>
      </c>
      <c r="W356" s="15">
        <f t="shared" si="113"/>
        <v>0.50672388372550647</v>
      </c>
      <c r="X356" s="17" t="str">
        <f t="shared" si="114"/>
        <v>Q4-2024</v>
      </c>
      <c r="Y356" t="str">
        <f t="shared" si="115"/>
        <v>Americas → Brazil → Rio de Janeiro</v>
      </c>
      <c r="Z356" t="str">
        <f t="shared" si="116"/>
        <v>Low</v>
      </c>
      <c r="AA356">
        <f t="shared" si="101"/>
        <v>2024</v>
      </c>
      <c r="AB356">
        <f t="shared" si="102"/>
        <v>11</v>
      </c>
      <c r="AC356" t="str">
        <f t="shared" si="103"/>
        <v>No</v>
      </c>
      <c r="AD356" t="str">
        <f t="shared" si="104"/>
        <v>No</v>
      </c>
      <c r="AE356" s="36">
        <f>IF(Dashboard!$P$47&gt;'Staging Data'!R356,'Staging Data'!R356,Dashboard!$P$47)</f>
        <v>0.1</v>
      </c>
      <c r="AF356">
        <f>(100%+Dashboard!$P$48)*'Staging Data'!P356</f>
        <v>58.117500000000007</v>
      </c>
      <c r="AG356">
        <f>(100%+Dashboard!$P$49)*S356</f>
        <v>10.4</v>
      </c>
      <c r="AH356" s="13">
        <f t="shared" si="105"/>
        <v>1204.4448000000002</v>
      </c>
      <c r="AI356" s="13">
        <f t="shared" si="106"/>
        <v>604.42200000000014</v>
      </c>
      <c r="AJ356" s="13">
        <f t="shared" si="107"/>
        <v>600.02280000000007</v>
      </c>
    </row>
    <row r="357" spans="1:36" x14ac:dyDescent="0.45">
      <c r="A357" s="3" t="s">
        <v>339</v>
      </c>
      <c r="B357" s="5">
        <v>45053</v>
      </c>
      <c r="C357" s="5">
        <v>45075</v>
      </c>
      <c r="D357" s="5">
        <f t="shared" si="108"/>
        <v>45053</v>
      </c>
      <c r="E357" s="5">
        <f t="shared" si="109"/>
        <v>45075</v>
      </c>
      <c r="F357" s="7">
        <f t="shared" si="110"/>
        <v>22</v>
      </c>
      <c r="G357" s="23" t="str">
        <f t="shared" si="111"/>
        <v>5-2023</v>
      </c>
      <c r="H357" s="3" t="s">
        <v>646</v>
      </c>
      <c r="I357" s="3" t="s">
        <v>661</v>
      </c>
      <c r="J357" s="3" t="s">
        <v>687</v>
      </c>
      <c r="K357" s="3" t="s">
        <v>702</v>
      </c>
      <c r="L357" s="3" t="s">
        <v>710</v>
      </c>
      <c r="M357" s="3" t="s">
        <v>723</v>
      </c>
      <c r="N357" s="3" t="s">
        <v>733</v>
      </c>
      <c r="O357" s="3" t="s">
        <v>1059</v>
      </c>
      <c r="P357" s="19">
        <v>653.86</v>
      </c>
      <c r="Q357" s="19">
        <v>931.84</v>
      </c>
      <c r="R357" s="15">
        <v>0.121</v>
      </c>
      <c r="S357" s="7">
        <v>12</v>
      </c>
      <c r="T357" s="13">
        <f t="shared" si="99"/>
        <v>9829.0483199999999</v>
      </c>
      <c r="U357" s="13">
        <f t="shared" si="100"/>
        <v>7846.32</v>
      </c>
      <c r="V357" s="13">
        <f t="shared" si="112"/>
        <v>1982.7283200000002</v>
      </c>
      <c r="W357" s="15">
        <f t="shared" si="113"/>
        <v>0.20172129136506273</v>
      </c>
      <c r="X357" s="17" t="str">
        <f t="shared" si="114"/>
        <v>Q2-2023</v>
      </c>
      <c r="Y357" t="str">
        <f t="shared" si="115"/>
        <v>Africa → South Africa → Durban</v>
      </c>
      <c r="Z357" t="str">
        <f t="shared" si="116"/>
        <v>Low</v>
      </c>
      <c r="AA357">
        <f t="shared" si="101"/>
        <v>2023</v>
      </c>
      <c r="AB357">
        <f t="shared" si="102"/>
        <v>5</v>
      </c>
      <c r="AC357" t="str">
        <f t="shared" si="103"/>
        <v>No</v>
      </c>
      <c r="AD357" t="str">
        <f t="shared" si="104"/>
        <v>No</v>
      </c>
      <c r="AE357" s="36">
        <f>IF(Dashboard!$P$47&gt;'Staging Data'!R357,'Staging Data'!R357,Dashboard!$P$47)</f>
        <v>0.1</v>
      </c>
      <c r="AF357">
        <f>(100%+Dashboard!$P$48)*'Staging Data'!P357</f>
        <v>686.553</v>
      </c>
      <c r="AG357">
        <f>(100%+Dashboard!$P$49)*S357</f>
        <v>12.48</v>
      </c>
      <c r="AH357" s="13">
        <f t="shared" si="105"/>
        <v>10466.426880000001</v>
      </c>
      <c r="AI357" s="13">
        <f t="shared" si="106"/>
        <v>8568.1814400000003</v>
      </c>
      <c r="AJ357" s="13">
        <f t="shared" si="107"/>
        <v>1898.2454400000006</v>
      </c>
    </row>
    <row r="358" spans="1:36" x14ac:dyDescent="0.45">
      <c r="A358" s="3" t="s">
        <v>549</v>
      </c>
      <c r="B358" s="5">
        <v>45667</v>
      </c>
      <c r="C358" s="5">
        <v>45694</v>
      </c>
      <c r="D358" s="5">
        <f t="shared" si="108"/>
        <v>45667</v>
      </c>
      <c r="E358" s="5">
        <f t="shared" si="109"/>
        <v>45694</v>
      </c>
      <c r="F358" s="7">
        <f t="shared" si="110"/>
        <v>27</v>
      </c>
      <c r="G358" s="23" t="str">
        <f t="shared" si="111"/>
        <v>1-2025</v>
      </c>
      <c r="H358" s="3" t="s">
        <v>648</v>
      </c>
      <c r="I358" s="3" t="s">
        <v>655</v>
      </c>
      <c r="J358" s="3" t="s">
        <v>672</v>
      </c>
      <c r="K358" s="3" t="s">
        <v>703</v>
      </c>
      <c r="L358" s="3" t="s">
        <v>707</v>
      </c>
      <c r="M358" s="3" t="s">
        <v>717</v>
      </c>
      <c r="N358" s="3" t="s">
        <v>731</v>
      </c>
      <c r="O358" s="3" t="s">
        <v>1268</v>
      </c>
      <c r="P358" s="19">
        <v>725.62</v>
      </c>
      <c r="Q358" s="19">
        <v>1559.19</v>
      </c>
      <c r="R358" s="15">
        <v>0.19</v>
      </c>
      <c r="S358" s="7">
        <v>12</v>
      </c>
      <c r="T358" s="13">
        <f t="shared" si="99"/>
        <v>15155.326800000001</v>
      </c>
      <c r="U358" s="13">
        <f t="shared" si="100"/>
        <v>8707.44</v>
      </c>
      <c r="V358" s="13">
        <f t="shared" si="112"/>
        <v>6447.8868000000002</v>
      </c>
      <c r="W358" s="15">
        <f t="shared" si="113"/>
        <v>0.42545349797405885</v>
      </c>
      <c r="X358" s="17" t="str">
        <f t="shared" si="114"/>
        <v>Q1-2025</v>
      </c>
      <c r="Y358" t="str">
        <f t="shared" si="115"/>
        <v>Americas → Brazil → Brasília</v>
      </c>
      <c r="Z358" t="str">
        <f t="shared" si="116"/>
        <v>Medium</v>
      </c>
      <c r="AA358">
        <f t="shared" si="101"/>
        <v>2025</v>
      </c>
      <c r="AB358">
        <f t="shared" si="102"/>
        <v>1</v>
      </c>
      <c r="AC358" t="str">
        <f t="shared" si="103"/>
        <v>No</v>
      </c>
      <c r="AD358" t="str">
        <f t="shared" si="104"/>
        <v>No</v>
      </c>
      <c r="AE358" s="36">
        <f>IF(Dashboard!$P$47&gt;'Staging Data'!R358,'Staging Data'!R358,Dashboard!$P$47)</f>
        <v>0.1</v>
      </c>
      <c r="AF358">
        <f>(100%+Dashboard!$P$48)*'Staging Data'!P358</f>
        <v>761.90100000000007</v>
      </c>
      <c r="AG358">
        <f>(100%+Dashboard!$P$49)*S358</f>
        <v>12.48</v>
      </c>
      <c r="AH358" s="13">
        <f t="shared" si="105"/>
        <v>17512.822080000002</v>
      </c>
      <c r="AI358" s="13">
        <f t="shared" si="106"/>
        <v>9508.5244800000019</v>
      </c>
      <c r="AJ358" s="13">
        <f t="shared" si="107"/>
        <v>8004.2975999999999</v>
      </c>
    </row>
    <row r="359" spans="1:36" x14ac:dyDescent="0.45">
      <c r="A359" s="3" t="s">
        <v>418</v>
      </c>
      <c r="B359" s="5">
        <v>45677</v>
      </c>
      <c r="C359" s="5">
        <v>45691</v>
      </c>
      <c r="D359" s="5">
        <f t="shared" si="108"/>
        <v>45677</v>
      </c>
      <c r="E359" s="5">
        <f t="shared" si="109"/>
        <v>45691</v>
      </c>
      <c r="F359" s="7">
        <f t="shared" si="110"/>
        <v>14</v>
      </c>
      <c r="G359" s="23" t="str">
        <f t="shared" si="111"/>
        <v>1-2025</v>
      </c>
      <c r="H359" s="3" t="s">
        <v>648</v>
      </c>
      <c r="I359" s="3" t="s">
        <v>655</v>
      </c>
      <c r="J359" s="3" t="s">
        <v>672</v>
      </c>
      <c r="K359" s="3" t="s">
        <v>706</v>
      </c>
      <c r="L359" s="3" t="s">
        <v>709</v>
      </c>
      <c r="M359" s="3" t="s">
        <v>721</v>
      </c>
      <c r="N359" s="3" t="s">
        <v>727</v>
      </c>
      <c r="O359" s="3" t="s">
        <v>1137</v>
      </c>
      <c r="P359" s="19">
        <v>974.11</v>
      </c>
      <c r="Q359" s="19">
        <v>880.99</v>
      </c>
      <c r="R359" s="15">
        <v>0.111</v>
      </c>
      <c r="S359" s="7">
        <v>10</v>
      </c>
      <c r="T359" s="13">
        <f t="shared" si="99"/>
        <v>7832.0010999999995</v>
      </c>
      <c r="U359" s="13">
        <f t="shared" si="100"/>
        <v>9741.1</v>
      </c>
      <c r="V359" s="13">
        <f t="shared" si="112"/>
        <v>-1909.0989000000009</v>
      </c>
      <c r="W359" s="15">
        <f t="shared" si="113"/>
        <v>-0.2437562093805121</v>
      </c>
      <c r="X359" s="17" t="str">
        <f t="shared" si="114"/>
        <v>Q1-2025</v>
      </c>
      <c r="Y359" t="str">
        <f t="shared" si="115"/>
        <v>Americas → Brazil → Brasília</v>
      </c>
      <c r="Z359" t="str">
        <f t="shared" si="116"/>
        <v>Low</v>
      </c>
      <c r="AA359">
        <f t="shared" si="101"/>
        <v>2025</v>
      </c>
      <c r="AB359">
        <f t="shared" si="102"/>
        <v>1</v>
      </c>
      <c r="AC359" t="str">
        <f t="shared" si="103"/>
        <v>No</v>
      </c>
      <c r="AD359" t="str">
        <f t="shared" si="104"/>
        <v>No</v>
      </c>
      <c r="AE359" s="36">
        <f>IF(Dashboard!$P$47&gt;'Staging Data'!R359,'Staging Data'!R359,Dashboard!$P$47)</f>
        <v>0.1</v>
      </c>
      <c r="AF359">
        <f>(100%+Dashboard!$P$48)*'Staging Data'!P359</f>
        <v>1022.8155</v>
      </c>
      <c r="AG359">
        <f>(100%+Dashboard!$P$49)*S359</f>
        <v>10.4</v>
      </c>
      <c r="AH359" s="13">
        <f t="shared" si="105"/>
        <v>8246.0663999999997</v>
      </c>
      <c r="AI359" s="13">
        <f t="shared" si="106"/>
        <v>10637.281200000001</v>
      </c>
      <c r="AJ359" s="13">
        <f t="shared" si="107"/>
        <v>-2391.2148000000016</v>
      </c>
    </row>
    <row r="360" spans="1:36" x14ac:dyDescent="0.45">
      <c r="A360" s="3" t="s">
        <v>604</v>
      </c>
      <c r="B360" s="5">
        <v>45019</v>
      </c>
      <c r="C360" s="5">
        <v>45032</v>
      </c>
      <c r="D360" s="5">
        <f t="shared" si="108"/>
        <v>45019</v>
      </c>
      <c r="E360" s="5">
        <f t="shared" si="109"/>
        <v>45032</v>
      </c>
      <c r="F360" s="7">
        <f t="shared" si="110"/>
        <v>13</v>
      </c>
      <c r="G360" s="23" t="str">
        <f t="shared" si="111"/>
        <v>4-2023</v>
      </c>
      <c r="H360" s="3" t="s">
        <v>649</v>
      </c>
      <c r="I360" s="3" t="s">
        <v>657</v>
      </c>
      <c r="J360" s="3" t="s">
        <v>673</v>
      </c>
      <c r="K360" s="3" t="s">
        <v>703</v>
      </c>
      <c r="L360" s="3" t="s">
        <v>709</v>
      </c>
      <c r="M360" s="3" t="s">
        <v>724</v>
      </c>
      <c r="N360" s="3" t="s">
        <v>733</v>
      </c>
      <c r="O360" s="3" t="s">
        <v>1322</v>
      </c>
      <c r="P360" s="19">
        <v>790.54</v>
      </c>
      <c r="Q360" s="19">
        <v>601.49</v>
      </c>
      <c r="R360" s="15">
        <v>0</v>
      </c>
      <c r="S360" s="7">
        <v>15</v>
      </c>
      <c r="T360" s="13">
        <f t="shared" si="99"/>
        <v>9022.35</v>
      </c>
      <c r="U360" s="13">
        <f t="shared" si="100"/>
        <v>11858.099999999999</v>
      </c>
      <c r="V360" s="13">
        <f t="shared" si="112"/>
        <v>-2835.7499999999982</v>
      </c>
      <c r="W360" s="15">
        <f t="shared" si="113"/>
        <v>-0.31430281467688553</v>
      </c>
      <c r="X360" s="17" t="str">
        <f t="shared" si="114"/>
        <v>Q2-2023</v>
      </c>
      <c r="Y360" t="str">
        <f t="shared" si="115"/>
        <v>Europe → France → Marseille</v>
      </c>
      <c r="Z360" t="str">
        <f t="shared" si="116"/>
        <v>Low</v>
      </c>
      <c r="AA360">
        <f t="shared" si="101"/>
        <v>2023</v>
      </c>
      <c r="AB360">
        <f t="shared" si="102"/>
        <v>4</v>
      </c>
      <c r="AC360" t="str">
        <f t="shared" si="103"/>
        <v>No</v>
      </c>
      <c r="AD360" t="str">
        <f t="shared" si="104"/>
        <v>No</v>
      </c>
      <c r="AE360" s="36">
        <f>IF(Dashboard!$P$47&gt;'Staging Data'!R360,'Staging Data'!R360,Dashboard!$P$47)</f>
        <v>0</v>
      </c>
      <c r="AF360">
        <f>(100%+Dashboard!$P$48)*'Staging Data'!P360</f>
        <v>830.06700000000001</v>
      </c>
      <c r="AG360">
        <f>(100%+Dashboard!$P$49)*S360</f>
        <v>15.600000000000001</v>
      </c>
      <c r="AH360" s="13">
        <f t="shared" si="105"/>
        <v>9383.2440000000006</v>
      </c>
      <c r="AI360" s="13">
        <f t="shared" si="106"/>
        <v>12949.0452</v>
      </c>
      <c r="AJ360" s="13">
        <f t="shared" si="107"/>
        <v>-3565.8011999999999</v>
      </c>
    </row>
    <row r="361" spans="1:36" x14ac:dyDescent="0.45">
      <c r="A361" s="3" t="s">
        <v>373</v>
      </c>
      <c r="B361" s="5">
        <v>45309</v>
      </c>
      <c r="C361" s="5">
        <v>45325</v>
      </c>
      <c r="D361" s="5">
        <f t="shared" si="108"/>
        <v>45309</v>
      </c>
      <c r="E361" s="5">
        <f t="shared" si="109"/>
        <v>45325</v>
      </c>
      <c r="F361" s="7">
        <f t="shared" si="110"/>
        <v>16</v>
      </c>
      <c r="G361" s="23" t="str">
        <f t="shared" si="111"/>
        <v>1-2024</v>
      </c>
      <c r="H361" s="3" t="s">
        <v>646</v>
      </c>
      <c r="I361" s="3" t="s">
        <v>661</v>
      </c>
      <c r="J361" s="3" t="s">
        <v>695</v>
      </c>
      <c r="K361" s="3" t="s">
        <v>703</v>
      </c>
      <c r="L361" s="3" t="s">
        <v>710</v>
      </c>
      <c r="M361" s="3" t="s">
        <v>716</v>
      </c>
      <c r="N361" s="3" t="s">
        <v>728</v>
      </c>
      <c r="O361" s="3" t="s">
        <v>1093</v>
      </c>
      <c r="P361" s="19">
        <v>666.23</v>
      </c>
      <c r="Q361" s="19">
        <v>1382.91</v>
      </c>
      <c r="R361" s="15">
        <v>0.17599999999999999</v>
      </c>
      <c r="S361" s="7">
        <v>13</v>
      </c>
      <c r="T361" s="13">
        <f t="shared" si="99"/>
        <v>14813.731920000002</v>
      </c>
      <c r="U361" s="13">
        <f t="shared" si="100"/>
        <v>8660.99</v>
      </c>
      <c r="V361" s="13">
        <f t="shared" si="112"/>
        <v>6152.7419200000022</v>
      </c>
      <c r="W361" s="15">
        <f t="shared" si="113"/>
        <v>0.41534043907553048</v>
      </c>
      <c r="X361" s="17" t="str">
        <f t="shared" si="114"/>
        <v>Q1-2024</v>
      </c>
      <c r="Y361" t="str">
        <f t="shared" si="115"/>
        <v>Africa → South Africa → Cape Town</v>
      </c>
      <c r="Z361" t="str">
        <f t="shared" si="116"/>
        <v>Medium</v>
      </c>
      <c r="AA361">
        <f t="shared" si="101"/>
        <v>2024</v>
      </c>
      <c r="AB361">
        <f t="shared" si="102"/>
        <v>1</v>
      </c>
      <c r="AC361" t="str">
        <f t="shared" si="103"/>
        <v>No</v>
      </c>
      <c r="AD361" t="str">
        <f t="shared" si="104"/>
        <v>No</v>
      </c>
      <c r="AE361" s="36">
        <f>IF(Dashboard!$P$47&gt;'Staging Data'!R361,'Staging Data'!R361,Dashboard!$P$47)</f>
        <v>0.1</v>
      </c>
      <c r="AF361">
        <f>(100%+Dashboard!$P$48)*'Staging Data'!P361</f>
        <v>699.54150000000004</v>
      </c>
      <c r="AG361">
        <f>(100%+Dashboard!$P$49)*S361</f>
        <v>13.52</v>
      </c>
      <c r="AH361" s="13">
        <f t="shared" si="105"/>
        <v>16827.248880000003</v>
      </c>
      <c r="AI361" s="13">
        <f t="shared" si="106"/>
        <v>9457.8010800000011</v>
      </c>
      <c r="AJ361" s="13">
        <f t="shared" si="107"/>
        <v>7369.4478000000017</v>
      </c>
    </row>
    <row r="362" spans="1:36" x14ac:dyDescent="0.45">
      <c r="A362" s="3" t="s">
        <v>512</v>
      </c>
      <c r="B362" s="5">
        <v>45224</v>
      </c>
      <c r="C362" s="5">
        <v>45227</v>
      </c>
      <c r="D362" s="5">
        <f t="shared" si="108"/>
        <v>45224</v>
      </c>
      <c r="E362" s="5">
        <f t="shared" si="109"/>
        <v>45227</v>
      </c>
      <c r="F362" s="7">
        <f t="shared" si="110"/>
        <v>3</v>
      </c>
      <c r="G362" s="23" t="str">
        <f t="shared" si="111"/>
        <v>10-2023</v>
      </c>
      <c r="H362" s="3" t="s">
        <v>648</v>
      </c>
      <c r="I362" s="3" t="s">
        <v>655</v>
      </c>
      <c r="J362" s="3" t="s">
        <v>672</v>
      </c>
      <c r="K362" s="3" t="s">
        <v>701</v>
      </c>
      <c r="L362" s="3" t="s">
        <v>710</v>
      </c>
      <c r="M362" s="3" t="s">
        <v>716</v>
      </c>
      <c r="N362" s="3" t="s">
        <v>733</v>
      </c>
      <c r="O362" s="3" t="s">
        <v>1231</v>
      </c>
      <c r="P362" s="19">
        <v>509.31</v>
      </c>
      <c r="Q362" s="19">
        <v>1145.9000000000001</v>
      </c>
      <c r="R362" s="15">
        <v>5.7000000000000002E-2</v>
      </c>
      <c r="S362" s="7">
        <v>8</v>
      </c>
      <c r="T362" s="13">
        <f t="shared" si="99"/>
        <v>8644.6696000000011</v>
      </c>
      <c r="U362" s="13">
        <f t="shared" si="100"/>
        <v>4074.48</v>
      </c>
      <c r="V362" s="13">
        <f t="shared" si="112"/>
        <v>4570.1896000000015</v>
      </c>
      <c r="W362" s="15">
        <f t="shared" si="113"/>
        <v>0.52867140231709964</v>
      </c>
      <c r="X362" s="17" t="str">
        <f t="shared" si="114"/>
        <v>Q4-2023</v>
      </c>
      <c r="Y362" t="str">
        <f t="shared" si="115"/>
        <v>Americas → Brazil → Brasília</v>
      </c>
      <c r="Z362" t="str">
        <f t="shared" si="116"/>
        <v>Low</v>
      </c>
      <c r="AA362">
        <f t="shared" si="101"/>
        <v>2023</v>
      </c>
      <c r="AB362">
        <f t="shared" si="102"/>
        <v>10</v>
      </c>
      <c r="AC362" t="str">
        <f t="shared" si="103"/>
        <v>Yes</v>
      </c>
      <c r="AD362" t="str">
        <f t="shared" si="104"/>
        <v>No</v>
      </c>
      <c r="AE362" s="36">
        <f>IF(Dashboard!$P$47&gt;'Staging Data'!R362,'Staging Data'!R362,Dashboard!$P$47)</f>
        <v>5.7000000000000002E-2</v>
      </c>
      <c r="AF362">
        <f>(100%+Dashboard!$P$48)*'Staging Data'!P362</f>
        <v>534.77550000000008</v>
      </c>
      <c r="AG362">
        <f>(100%+Dashboard!$P$49)*S362</f>
        <v>8.32</v>
      </c>
      <c r="AH362" s="13">
        <f t="shared" si="105"/>
        <v>8990.456384000001</v>
      </c>
      <c r="AI362" s="13">
        <f t="shared" si="106"/>
        <v>4449.3321600000008</v>
      </c>
      <c r="AJ362" s="13">
        <f t="shared" si="107"/>
        <v>4541.1242240000001</v>
      </c>
    </row>
    <row r="363" spans="1:36" x14ac:dyDescent="0.45">
      <c r="A363" s="3" t="s">
        <v>375</v>
      </c>
      <c r="B363" s="5">
        <v>45833</v>
      </c>
      <c r="C363" s="5">
        <v>45848</v>
      </c>
      <c r="D363" s="5">
        <f t="shared" si="108"/>
        <v>45833</v>
      </c>
      <c r="E363" s="5">
        <f t="shared" si="109"/>
        <v>45848</v>
      </c>
      <c r="F363" s="7">
        <f t="shared" si="110"/>
        <v>15</v>
      </c>
      <c r="G363" s="23" t="str">
        <f t="shared" si="111"/>
        <v>6-2025</v>
      </c>
      <c r="H363" s="3" t="s">
        <v>649</v>
      </c>
      <c r="I363" s="3" t="s">
        <v>658</v>
      </c>
      <c r="J363" s="3" t="s">
        <v>674</v>
      </c>
      <c r="K363" s="3" t="s">
        <v>703</v>
      </c>
      <c r="L363" s="3" t="s">
        <v>709</v>
      </c>
      <c r="M363" s="3" t="s">
        <v>726</v>
      </c>
      <c r="N363" s="3" t="s">
        <v>730</v>
      </c>
      <c r="O363" s="3" t="s">
        <v>1095</v>
      </c>
      <c r="P363" s="19">
        <v>546.83000000000004</v>
      </c>
      <c r="Q363" s="19">
        <v>400.84</v>
      </c>
      <c r="R363" s="15">
        <v>7.8E-2</v>
      </c>
      <c r="S363" s="7">
        <v>13</v>
      </c>
      <c r="T363" s="13">
        <f t="shared" si="99"/>
        <v>4804.4682400000002</v>
      </c>
      <c r="U363" s="13">
        <f t="shared" si="100"/>
        <v>7108.7900000000009</v>
      </c>
      <c r="V363" s="13">
        <f t="shared" si="112"/>
        <v>-2304.3217600000007</v>
      </c>
      <c r="W363" s="15">
        <f t="shared" si="113"/>
        <v>-0.47962056254533608</v>
      </c>
      <c r="X363" s="17" t="str">
        <f t="shared" si="114"/>
        <v>Q2-2025</v>
      </c>
      <c r="Y363" t="str">
        <f t="shared" si="115"/>
        <v>Europe → United Kingdom → Birmingham</v>
      </c>
      <c r="Z363" t="str">
        <f t="shared" si="116"/>
        <v>Low</v>
      </c>
      <c r="AA363">
        <f t="shared" si="101"/>
        <v>2025</v>
      </c>
      <c r="AB363">
        <f t="shared" si="102"/>
        <v>6</v>
      </c>
      <c r="AC363" t="str">
        <f t="shared" si="103"/>
        <v>No</v>
      </c>
      <c r="AD363" t="str">
        <f t="shared" si="104"/>
        <v>No</v>
      </c>
      <c r="AE363" s="36">
        <f>IF(Dashboard!$P$47&gt;'Staging Data'!R363,'Staging Data'!R363,Dashboard!$P$47)</f>
        <v>7.8E-2</v>
      </c>
      <c r="AF363">
        <f>(100%+Dashboard!$P$48)*'Staging Data'!P363</f>
        <v>574.17150000000004</v>
      </c>
      <c r="AG363">
        <f>(100%+Dashboard!$P$49)*S363</f>
        <v>13.52</v>
      </c>
      <c r="AH363" s="13">
        <f t="shared" si="105"/>
        <v>4996.6469695999995</v>
      </c>
      <c r="AI363" s="13">
        <f t="shared" si="106"/>
        <v>7762.7986799999999</v>
      </c>
      <c r="AJ363" s="13">
        <f t="shared" si="107"/>
        <v>-2766.1517104000004</v>
      </c>
    </row>
    <row r="364" spans="1:36" x14ac:dyDescent="0.45">
      <c r="A364" s="3" t="s">
        <v>376</v>
      </c>
      <c r="B364" s="5">
        <v>45108</v>
      </c>
      <c r="C364" s="5">
        <v>45115</v>
      </c>
      <c r="D364" s="5">
        <f t="shared" si="108"/>
        <v>45108</v>
      </c>
      <c r="E364" s="5">
        <f t="shared" si="109"/>
        <v>45115</v>
      </c>
      <c r="F364" s="7">
        <f t="shared" si="110"/>
        <v>7</v>
      </c>
      <c r="G364" s="23" t="str">
        <f t="shared" si="111"/>
        <v>7-2023</v>
      </c>
      <c r="H364" s="3" t="s">
        <v>646</v>
      </c>
      <c r="I364" s="3" t="s">
        <v>651</v>
      </c>
      <c r="J364" s="3" t="s">
        <v>663</v>
      </c>
      <c r="K364" s="3" t="s">
        <v>701</v>
      </c>
      <c r="L364" s="3" t="s">
        <v>707</v>
      </c>
      <c r="M364" s="3" t="s">
        <v>720</v>
      </c>
      <c r="N364" s="3" t="s">
        <v>731</v>
      </c>
      <c r="O364" s="3" t="s">
        <v>1096</v>
      </c>
      <c r="P364" s="19">
        <v>834.26</v>
      </c>
      <c r="Q364" s="19">
        <v>1780.56</v>
      </c>
      <c r="R364" s="15">
        <v>1.4E-2</v>
      </c>
      <c r="S364" s="7">
        <v>47</v>
      </c>
      <c r="T364" s="13">
        <f t="shared" si="99"/>
        <v>82514.711519999997</v>
      </c>
      <c r="U364" s="13">
        <f t="shared" si="100"/>
        <v>39210.22</v>
      </c>
      <c r="V364" s="13">
        <f t="shared" si="112"/>
        <v>43304.491519999996</v>
      </c>
      <c r="W364" s="15">
        <f t="shared" si="113"/>
        <v>0.5248093427497933</v>
      </c>
      <c r="X364" s="17" t="str">
        <f t="shared" si="114"/>
        <v>Q3-2023</v>
      </c>
      <c r="Y364" t="str">
        <f t="shared" si="115"/>
        <v>Africa → Nigeria → Port Harcourt</v>
      </c>
      <c r="Z364" t="str">
        <f t="shared" si="116"/>
        <v>Medium</v>
      </c>
      <c r="AA364">
        <f t="shared" si="101"/>
        <v>2023</v>
      </c>
      <c r="AB364">
        <f t="shared" si="102"/>
        <v>7</v>
      </c>
      <c r="AC364" t="str">
        <f t="shared" si="103"/>
        <v>Yes</v>
      </c>
      <c r="AD364" t="str">
        <f t="shared" si="104"/>
        <v>No</v>
      </c>
      <c r="AE364" s="36">
        <f>IF(Dashboard!$P$47&gt;'Staging Data'!R364,'Staging Data'!R364,Dashboard!$P$47)</f>
        <v>1.4E-2</v>
      </c>
      <c r="AF364">
        <f>(100%+Dashboard!$P$48)*'Staging Data'!P364</f>
        <v>875.97300000000007</v>
      </c>
      <c r="AG364">
        <f>(100%+Dashboard!$P$49)*S364</f>
        <v>48.88</v>
      </c>
      <c r="AH364" s="13">
        <f t="shared" si="105"/>
        <v>85815.299980800002</v>
      </c>
      <c r="AI364" s="13">
        <f t="shared" si="106"/>
        <v>42817.560240000006</v>
      </c>
      <c r="AJ364" s="13">
        <f t="shared" si="107"/>
        <v>42997.739740799996</v>
      </c>
    </row>
    <row r="365" spans="1:36" x14ac:dyDescent="0.45">
      <c r="A365" s="3" t="s">
        <v>377</v>
      </c>
      <c r="B365" s="5">
        <v>45360</v>
      </c>
      <c r="C365" s="5">
        <v>45377</v>
      </c>
      <c r="D365" s="5">
        <f t="shared" si="108"/>
        <v>45360</v>
      </c>
      <c r="E365" s="5">
        <f t="shared" si="109"/>
        <v>45377</v>
      </c>
      <c r="F365" s="7">
        <f t="shared" si="110"/>
        <v>17</v>
      </c>
      <c r="G365" s="23" t="str">
        <f t="shared" si="111"/>
        <v>3-2024</v>
      </c>
      <c r="H365" s="3" t="s">
        <v>647</v>
      </c>
      <c r="I365" s="3" t="s">
        <v>659</v>
      </c>
      <c r="J365" s="3" t="s">
        <v>676</v>
      </c>
      <c r="K365" s="3" t="s">
        <v>706</v>
      </c>
      <c r="L365" s="3" t="s">
        <v>708</v>
      </c>
      <c r="M365" s="3" t="s">
        <v>723</v>
      </c>
      <c r="N365" s="3" t="s">
        <v>732</v>
      </c>
      <c r="O365" s="3" t="s">
        <v>1097</v>
      </c>
      <c r="P365" s="19">
        <v>1029.67</v>
      </c>
      <c r="Q365" s="19">
        <v>1118.43</v>
      </c>
      <c r="R365" s="15">
        <v>0.27200000000000002</v>
      </c>
      <c r="S365" s="7">
        <v>9</v>
      </c>
      <c r="T365" s="13">
        <f t="shared" si="99"/>
        <v>7327.9533600000004</v>
      </c>
      <c r="U365" s="13">
        <f t="shared" si="100"/>
        <v>9267.0300000000007</v>
      </c>
      <c r="V365" s="13">
        <f t="shared" si="112"/>
        <v>-1939.0766400000002</v>
      </c>
      <c r="W365" s="15">
        <f t="shared" si="113"/>
        <v>-0.26461367106736061</v>
      </c>
      <c r="X365" s="17" t="str">
        <f t="shared" si="114"/>
        <v>Q1-2024</v>
      </c>
      <c r="Y365" t="str">
        <f t="shared" si="115"/>
        <v>Asia → China → Shenzhen</v>
      </c>
      <c r="Z365" t="str">
        <f t="shared" si="116"/>
        <v>Low</v>
      </c>
      <c r="AA365">
        <f t="shared" si="101"/>
        <v>2024</v>
      </c>
      <c r="AB365">
        <f t="shared" si="102"/>
        <v>3</v>
      </c>
      <c r="AC365" t="str">
        <f t="shared" si="103"/>
        <v>No</v>
      </c>
      <c r="AD365" t="str">
        <f t="shared" si="104"/>
        <v>Yes</v>
      </c>
      <c r="AE365" s="36">
        <f>IF(Dashboard!$P$47&gt;'Staging Data'!R365,'Staging Data'!R365,Dashboard!$P$47)</f>
        <v>0.1</v>
      </c>
      <c r="AF365">
        <f>(100%+Dashboard!$P$48)*'Staging Data'!P365</f>
        <v>1081.1535000000001</v>
      </c>
      <c r="AG365">
        <f>(100%+Dashboard!$P$49)*S365</f>
        <v>9.36</v>
      </c>
      <c r="AH365" s="13">
        <f t="shared" si="105"/>
        <v>9421.6543200000015</v>
      </c>
      <c r="AI365" s="13">
        <f t="shared" si="106"/>
        <v>10119.59676</v>
      </c>
      <c r="AJ365" s="13">
        <f t="shared" si="107"/>
        <v>-697.9424399999989</v>
      </c>
    </row>
    <row r="366" spans="1:36" x14ac:dyDescent="0.45">
      <c r="A366" s="3" t="s">
        <v>378</v>
      </c>
      <c r="B366" s="5">
        <v>45082</v>
      </c>
      <c r="C366" s="5">
        <v>45105</v>
      </c>
      <c r="D366" s="5">
        <f t="shared" si="108"/>
        <v>45082</v>
      </c>
      <c r="E366" s="5">
        <f t="shared" si="109"/>
        <v>45105</v>
      </c>
      <c r="F366" s="7">
        <f t="shared" si="110"/>
        <v>23</v>
      </c>
      <c r="G366" s="23" t="str">
        <f t="shared" si="111"/>
        <v>6-2023</v>
      </c>
      <c r="H366" s="3" t="s">
        <v>649</v>
      </c>
      <c r="I366" s="3" t="s">
        <v>658</v>
      </c>
      <c r="J366" s="3" t="s">
        <v>674</v>
      </c>
      <c r="K366" s="3" t="s">
        <v>701</v>
      </c>
      <c r="L366" s="3" t="s">
        <v>711</v>
      </c>
      <c r="M366" s="3" t="s">
        <v>723</v>
      </c>
      <c r="N366" s="3" t="s">
        <v>728</v>
      </c>
      <c r="O366" s="3" t="s">
        <v>1098</v>
      </c>
      <c r="P366" s="19">
        <v>605.82000000000005</v>
      </c>
      <c r="Q366" s="19">
        <v>771.12</v>
      </c>
      <c r="R366" s="15">
        <v>0.13200000000000001</v>
      </c>
      <c r="S366" s="7">
        <v>19</v>
      </c>
      <c r="T366" s="13">
        <f t="shared" si="99"/>
        <v>12717.311040000001</v>
      </c>
      <c r="U366" s="13">
        <f t="shared" si="100"/>
        <v>11510.580000000002</v>
      </c>
      <c r="V366" s="13">
        <f t="shared" si="112"/>
        <v>1206.7310399999988</v>
      </c>
      <c r="W366" s="15">
        <f t="shared" si="113"/>
        <v>9.4888851597986767E-2</v>
      </c>
      <c r="X366" s="17" t="str">
        <f t="shared" si="114"/>
        <v>Q2-2023</v>
      </c>
      <c r="Y366" t="str">
        <f t="shared" si="115"/>
        <v>Europe → United Kingdom → Birmingham</v>
      </c>
      <c r="Z366" t="str">
        <f t="shared" si="116"/>
        <v>Low</v>
      </c>
      <c r="AA366">
        <f t="shared" si="101"/>
        <v>2023</v>
      </c>
      <c r="AB366">
        <f t="shared" si="102"/>
        <v>6</v>
      </c>
      <c r="AC366" t="str">
        <f t="shared" si="103"/>
        <v>No</v>
      </c>
      <c r="AD366" t="str">
        <f t="shared" si="104"/>
        <v>No</v>
      </c>
      <c r="AE366" s="36">
        <f>IF(Dashboard!$P$47&gt;'Staging Data'!R366,'Staging Data'!R366,Dashboard!$P$47)</f>
        <v>0.1</v>
      </c>
      <c r="AF366">
        <f>(100%+Dashboard!$P$48)*'Staging Data'!P366</f>
        <v>636.1110000000001</v>
      </c>
      <c r="AG366">
        <f>(100%+Dashboard!$P$49)*S366</f>
        <v>19.760000000000002</v>
      </c>
      <c r="AH366" s="13">
        <f t="shared" si="105"/>
        <v>13713.598080000002</v>
      </c>
      <c r="AI366" s="13">
        <f t="shared" si="106"/>
        <v>12569.553360000004</v>
      </c>
      <c r="AJ366" s="13">
        <f t="shared" si="107"/>
        <v>1144.0447199999981</v>
      </c>
    </row>
    <row r="367" spans="1:36" x14ac:dyDescent="0.45">
      <c r="A367" s="3" t="s">
        <v>379</v>
      </c>
      <c r="B367" s="5">
        <v>45737</v>
      </c>
      <c r="C367" s="5">
        <v>45756</v>
      </c>
      <c r="D367" s="5">
        <f t="shared" si="108"/>
        <v>45737</v>
      </c>
      <c r="E367" s="5">
        <f t="shared" si="109"/>
        <v>45756</v>
      </c>
      <c r="F367" s="7">
        <f t="shared" si="110"/>
        <v>19</v>
      </c>
      <c r="G367" s="23" t="str">
        <f t="shared" si="111"/>
        <v>3-2025</v>
      </c>
      <c r="H367" s="3" t="s">
        <v>647</v>
      </c>
      <c r="I367" s="3" t="s">
        <v>652</v>
      </c>
      <c r="J367" s="3" t="s">
        <v>689</v>
      </c>
      <c r="K367" s="3" t="s">
        <v>705</v>
      </c>
      <c r="L367" s="3" t="s">
        <v>710</v>
      </c>
      <c r="M367" s="3" t="s">
        <v>718</v>
      </c>
      <c r="N367" s="3" t="s">
        <v>727</v>
      </c>
      <c r="O367" s="3" t="s">
        <v>1099</v>
      </c>
      <c r="P367" s="19">
        <v>1055.45</v>
      </c>
      <c r="Q367" s="19">
        <v>1210.04</v>
      </c>
      <c r="R367" s="15">
        <v>8.9999999999999993E-3</v>
      </c>
      <c r="S367" s="7">
        <v>18</v>
      </c>
      <c r="T367" s="13">
        <f t="shared" si="99"/>
        <v>21584.693520000001</v>
      </c>
      <c r="U367" s="13">
        <f t="shared" si="100"/>
        <v>18998.100000000002</v>
      </c>
      <c r="V367" s="13">
        <f t="shared" si="112"/>
        <v>2586.5935199999985</v>
      </c>
      <c r="W367" s="15">
        <f t="shared" si="113"/>
        <v>0.1198346188053727</v>
      </c>
      <c r="X367" s="17" t="str">
        <f t="shared" si="114"/>
        <v>Q1-2025</v>
      </c>
      <c r="Y367" t="str">
        <f t="shared" si="115"/>
        <v>Asia → Japan → Tokyo</v>
      </c>
      <c r="Z367" t="str">
        <f t="shared" si="116"/>
        <v>Medium</v>
      </c>
      <c r="AA367">
        <f t="shared" si="101"/>
        <v>2025</v>
      </c>
      <c r="AB367">
        <f t="shared" si="102"/>
        <v>3</v>
      </c>
      <c r="AC367" t="str">
        <f t="shared" si="103"/>
        <v>No</v>
      </c>
      <c r="AD367" t="str">
        <f t="shared" si="104"/>
        <v>No</v>
      </c>
      <c r="AE367" s="36">
        <f>IF(Dashboard!$P$47&gt;'Staging Data'!R367,'Staging Data'!R367,Dashboard!$P$47)</f>
        <v>8.9999999999999993E-3</v>
      </c>
      <c r="AF367">
        <f>(100%+Dashboard!$P$48)*'Staging Data'!P367</f>
        <v>1108.2225000000001</v>
      </c>
      <c r="AG367">
        <f>(100%+Dashboard!$P$49)*S367</f>
        <v>18.72</v>
      </c>
      <c r="AH367" s="13">
        <f t="shared" si="105"/>
        <v>22448.081260799998</v>
      </c>
      <c r="AI367" s="13">
        <f t="shared" si="106"/>
        <v>20745.925200000001</v>
      </c>
      <c r="AJ367" s="13">
        <f t="shared" si="107"/>
        <v>1702.1560607999963</v>
      </c>
    </row>
    <row r="368" spans="1:36" x14ac:dyDescent="0.45">
      <c r="A368" s="3" t="s">
        <v>380</v>
      </c>
      <c r="B368" s="5">
        <v>45445</v>
      </c>
      <c r="C368" s="5">
        <v>45458</v>
      </c>
      <c r="D368" s="5">
        <f t="shared" si="108"/>
        <v>45445</v>
      </c>
      <c r="E368" s="5">
        <f t="shared" si="109"/>
        <v>45458</v>
      </c>
      <c r="F368" s="7">
        <f t="shared" si="110"/>
        <v>13</v>
      </c>
      <c r="G368" s="23" t="str">
        <f t="shared" si="111"/>
        <v>6-2024</v>
      </c>
      <c r="H368" s="3" t="s">
        <v>646</v>
      </c>
      <c r="I368" s="3" t="s">
        <v>650</v>
      </c>
      <c r="J368" s="3" t="s">
        <v>675</v>
      </c>
      <c r="K368" s="3" t="s">
        <v>702</v>
      </c>
      <c r="L368" s="3" t="s">
        <v>708</v>
      </c>
      <c r="M368" s="3" t="s">
        <v>719</v>
      </c>
      <c r="N368" s="3" t="s">
        <v>730</v>
      </c>
      <c r="O368" s="3" t="s">
        <v>1100</v>
      </c>
      <c r="P368" s="19">
        <v>1295.18</v>
      </c>
      <c r="Q368" s="19">
        <v>3024.03</v>
      </c>
      <c r="R368" s="15">
        <v>0.192</v>
      </c>
      <c r="S368" s="7">
        <v>8</v>
      </c>
      <c r="T368" s="13">
        <f t="shared" si="99"/>
        <v>19547.329920000004</v>
      </c>
      <c r="U368" s="13">
        <f t="shared" si="100"/>
        <v>10361.44</v>
      </c>
      <c r="V368" s="13">
        <f t="shared" si="112"/>
        <v>9185.8899200000033</v>
      </c>
      <c r="W368" s="15">
        <f t="shared" si="113"/>
        <v>0.46993067378483178</v>
      </c>
      <c r="X368" s="17" t="str">
        <f t="shared" si="114"/>
        <v>Q2-2024</v>
      </c>
      <c r="Y368" t="str">
        <f t="shared" si="115"/>
        <v>Africa → Kenya → Mombasa</v>
      </c>
      <c r="Z368" t="str">
        <f t="shared" si="116"/>
        <v>High</v>
      </c>
      <c r="AA368">
        <f t="shared" si="101"/>
        <v>2024</v>
      </c>
      <c r="AB368">
        <f t="shared" si="102"/>
        <v>6</v>
      </c>
      <c r="AC368" t="str">
        <f t="shared" si="103"/>
        <v>No</v>
      </c>
      <c r="AD368" t="str">
        <f t="shared" si="104"/>
        <v>No</v>
      </c>
      <c r="AE368" s="36">
        <f>IF(Dashboard!$P$47&gt;'Staging Data'!R368,'Staging Data'!R368,Dashboard!$P$47)</f>
        <v>0.1</v>
      </c>
      <c r="AF368">
        <f>(100%+Dashboard!$P$48)*'Staging Data'!P368</f>
        <v>1359.9390000000001</v>
      </c>
      <c r="AG368">
        <f>(100%+Dashboard!$P$49)*S368</f>
        <v>8.32</v>
      </c>
      <c r="AH368" s="13">
        <f t="shared" si="105"/>
        <v>22643.936640000004</v>
      </c>
      <c r="AI368" s="13">
        <f t="shared" si="106"/>
        <v>11314.692480000002</v>
      </c>
      <c r="AJ368" s="13">
        <f t="shared" si="107"/>
        <v>11329.244160000002</v>
      </c>
    </row>
    <row r="369" spans="1:36" x14ac:dyDescent="0.45">
      <c r="A369" s="3" t="s">
        <v>381</v>
      </c>
      <c r="B369" s="5">
        <v>45731</v>
      </c>
      <c r="C369" s="5">
        <v>45745</v>
      </c>
      <c r="D369" s="5">
        <f t="shared" si="108"/>
        <v>45731</v>
      </c>
      <c r="E369" s="5">
        <f t="shared" si="109"/>
        <v>45745</v>
      </c>
      <c r="F369" s="7">
        <f t="shared" si="110"/>
        <v>14</v>
      </c>
      <c r="G369" s="23" t="str">
        <f t="shared" si="111"/>
        <v>3-2025</v>
      </c>
      <c r="H369" s="3" t="s">
        <v>647</v>
      </c>
      <c r="I369" s="3" t="s">
        <v>654</v>
      </c>
      <c r="J369" s="3" t="s">
        <v>691</v>
      </c>
      <c r="K369" s="3" t="s">
        <v>706</v>
      </c>
      <c r="L369" s="3" t="s">
        <v>711</v>
      </c>
      <c r="M369" s="3" t="s">
        <v>712</v>
      </c>
      <c r="N369" s="3" t="s">
        <v>727</v>
      </c>
      <c r="O369" s="3" t="s">
        <v>1101</v>
      </c>
      <c r="P369" s="19">
        <v>935.83</v>
      </c>
      <c r="Q369" s="19">
        <v>2303.46</v>
      </c>
      <c r="R369" s="15">
        <v>0.105</v>
      </c>
      <c r="S369" s="7">
        <v>9</v>
      </c>
      <c r="T369" s="13">
        <f t="shared" si="99"/>
        <v>18554.370299999999</v>
      </c>
      <c r="U369" s="13">
        <f t="shared" si="100"/>
        <v>8422.4700000000012</v>
      </c>
      <c r="V369" s="13">
        <f t="shared" si="112"/>
        <v>10131.900299999998</v>
      </c>
      <c r="W369" s="15">
        <f t="shared" si="113"/>
        <v>0.54606543559174292</v>
      </c>
      <c r="X369" s="17" t="str">
        <f t="shared" si="114"/>
        <v>Q1-2025</v>
      </c>
      <c r="Y369" t="str">
        <f t="shared" si="115"/>
        <v>Asia → India → Mumbai</v>
      </c>
      <c r="Z369" t="str">
        <f t="shared" si="116"/>
        <v>High</v>
      </c>
      <c r="AA369">
        <f t="shared" si="101"/>
        <v>2025</v>
      </c>
      <c r="AB369">
        <f t="shared" si="102"/>
        <v>3</v>
      </c>
      <c r="AC369" t="str">
        <f t="shared" si="103"/>
        <v>No</v>
      </c>
      <c r="AD369" t="str">
        <f t="shared" si="104"/>
        <v>No</v>
      </c>
      <c r="AE369" s="36">
        <f>IF(Dashboard!$P$47&gt;'Staging Data'!R369,'Staging Data'!R369,Dashboard!$P$47)</f>
        <v>0.1</v>
      </c>
      <c r="AF369">
        <f>(100%+Dashboard!$P$48)*'Staging Data'!P369</f>
        <v>982.62150000000008</v>
      </c>
      <c r="AG369">
        <f>(100%+Dashboard!$P$49)*S369</f>
        <v>9.36</v>
      </c>
      <c r="AH369" s="13">
        <f t="shared" si="105"/>
        <v>19404.347039999997</v>
      </c>
      <c r="AI369" s="13">
        <f t="shared" si="106"/>
        <v>9197.3372400000007</v>
      </c>
      <c r="AJ369" s="13">
        <f t="shared" si="107"/>
        <v>10207.009799999996</v>
      </c>
    </row>
    <row r="370" spans="1:36" x14ac:dyDescent="0.45">
      <c r="A370" s="3" t="s">
        <v>382</v>
      </c>
      <c r="B370" s="5">
        <v>45194</v>
      </c>
      <c r="C370" s="5">
        <v>45208</v>
      </c>
      <c r="D370" s="5">
        <f t="shared" si="108"/>
        <v>45194</v>
      </c>
      <c r="E370" s="5">
        <f t="shared" si="109"/>
        <v>45208</v>
      </c>
      <c r="F370" s="7">
        <f t="shared" si="110"/>
        <v>14</v>
      </c>
      <c r="G370" s="23" t="str">
        <f t="shared" si="111"/>
        <v>9-2023</v>
      </c>
      <c r="H370" s="3" t="s">
        <v>648</v>
      </c>
      <c r="I370" s="3" t="s">
        <v>660</v>
      </c>
      <c r="J370" s="3" t="s">
        <v>700</v>
      </c>
      <c r="K370" s="3" t="s">
        <v>705</v>
      </c>
      <c r="L370" s="3" t="s">
        <v>709</v>
      </c>
      <c r="M370" s="3" t="s">
        <v>713</v>
      </c>
      <c r="N370" s="3" t="s">
        <v>731</v>
      </c>
      <c r="O370" s="3" t="s">
        <v>1102</v>
      </c>
      <c r="P370" s="19">
        <v>1279.56</v>
      </c>
      <c r="Q370" s="19">
        <v>3083.8</v>
      </c>
      <c r="R370" s="15">
        <v>0.106</v>
      </c>
      <c r="S370" s="7">
        <v>5</v>
      </c>
      <c r="T370" s="13">
        <f t="shared" si="99"/>
        <v>13784.586000000001</v>
      </c>
      <c r="U370" s="13">
        <f t="shared" si="100"/>
        <v>6397.7999999999993</v>
      </c>
      <c r="V370" s="13">
        <f t="shared" si="112"/>
        <v>7386.7860000000019</v>
      </c>
      <c r="W370" s="15">
        <f t="shared" si="113"/>
        <v>0.53587289455047848</v>
      </c>
      <c r="X370" s="17" t="str">
        <f t="shared" si="114"/>
        <v>Q3-2023</v>
      </c>
      <c r="Y370" t="str">
        <f t="shared" si="115"/>
        <v>Americas → USA → New York</v>
      </c>
      <c r="Z370" t="str">
        <f t="shared" si="116"/>
        <v>High</v>
      </c>
      <c r="AA370">
        <f t="shared" si="101"/>
        <v>2023</v>
      </c>
      <c r="AB370">
        <f t="shared" si="102"/>
        <v>9</v>
      </c>
      <c r="AC370" t="str">
        <f t="shared" si="103"/>
        <v>No</v>
      </c>
      <c r="AD370" t="str">
        <f t="shared" si="104"/>
        <v>No</v>
      </c>
      <c r="AE370" s="36">
        <f>IF(Dashboard!$P$47&gt;'Staging Data'!R370,'Staging Data'!R370,Dashboard!$P$47)</f>
        <v>0.1</v>
      </c>
      <c r="AF370">
        <f>(100%+Dashboard!$P$48)*'Staging Data'!P370</f>
        <v>1343.538</v>
      </c>
      <c r="AG370">
        <f>(100%+Dashboard!$P$49)*S370</f>
        <v>5.2</v>
      </c>
      <c r="AH370" s="13">
        <f t="shared" si="105"/>
        <v>14432.184000000003</v>
      </c>
      <c r="AI370" s="13">
        <f t="shared" si="106"/>
        <v>6986.3976000000002</v>
      </c>
      <c r="AJ370" s="13">
        <f t="shared" si="107"/>
        <v>7445.7864000000027</v>
      </c>
    </row>
    <row r="371" spans="1:36" x14ac:dyDescent="0.45">
      <c r="A371" s="3" t="s">
        <v>383</v>
      </c>
      <c r="B371" s="5">
        <v>45832</v>
      </c>
      <c r="C371" s="5">
        <v>45861</v>
      </c>
      <c r="D371" s="5">
        <f t="shared" si="108"/>
        <v>45832</v>
      </c>
      <c r="E371" s="5">
        <f t="shared" si="109"/>
        <v>45861</v>
      </c>
      <c r="F371" s="7">
        <f t="shared" si="110"/>
        <v>29</v>
      </c>
      <c r="G371" s="23" t="str">
        <f t="shared" si="111"/>
        <v>6-2025</v>
      </c>
      <c r="H371" s="3" t="s">
        <v>648</v>
      </c>
      <c r="I371" s="3" t="s">
        <v>653</v>
      </c>
      <c r="J371" s="3" t="s">
        <v>688</v>
      </c>
      <c r="K371" s="3" t="s">
        <v>703</v>
      </c>
      <c r="L371" s="3" t="s">
        <v>709</v>
      </c>
      <c r="M371" s="3" t="s">
        <v>714</v>
      </c>
      <c r="N371" s="3" t="s">
        <v>728</v>
      </c>
      <c r="O371" s="3" t="s">
        <v>1103</v>
      </c>
      <c r="P371" s="19">
        <v>255.4</v>
      </c>
      <c r="Q371" s="19">
        <v>322.70999999999998</v>
      </c>
      <c r="R371" s="15">
        <v>0.115</v>
      </c>
      <c r="S371" s="7">
        <v>16</v>
      </c>
      <c r="T371" s="13">
        <f t="shared" si="99"/>
        <v>4569.5735999999997</v>
      </c>
      <c r="U371" s="13">
        <f t="shared" si="100"/>
        <v>4086.4</v>
      </c>
      <c r="V371" s="13">
        <f t="shared" si="112"/>
        <v>483.17359999999962</v>
      </c>
      <c r="W371" s="15">
        <f t="shared" si="113"/>
        <v>0.10573713048412212</v>
      </c>
      <c r="X371" s="17" t="str">
        <f t="shared" si="114"/>
        <v>Q2-2025</v>
      </c>
      <c r="Y371" t="str">
        <f t="shared" si="115"/>
        <v>Americas → Canada → Vancouver</v>
      </c>
      <c r="Z371" t="str">
        <f t="shared" si="116"/>
        <v>Low</v>
      </c>
      <c r="AA371">
        <f t="shared" si="101"/>
        <v>2025</v>
      </c>
      <c r="AB371">
        <f t="shared" si="102"/>
        <v>6</v>
      </c>
      <c r="AC371" t="str">
        <f t="shared" si="103"/>
        <v>No</v>
      </c>
      <c r="AD371" t="str">
        <f t="shared" si="104"/>
        <v>No</v>
      </c>
      <c r="AE371" s="36">
        <f>IF(Dashboard!$P$47&gt;'Staging Data'!R371,'Staging Data'!R371,Dashboard!$P$47)</f>
        <v>0.1</v>
      </c>
      <c r="AF371">
        <f>(100%+Dashboard!$P$48)*'Staging Data'!P371</f>
        <v>268.17</v>
      </c>
      <c r="AG371">
        <f>(100%+Dashboard!$P$49)*S371</f>
        <v>16.64</v>
      </c>
      <c r="AH371" s="13">
        <f t="shared" si="105"/>
        <v>4832.9049599999998</v>
      </c>
      <c r="AI371" s="13">
        <f t="shared" si="106"/>
        <v>4462.3488000000007</v>
      </c>
      <c r="AJ371" s="13">
        <f t="shared" si="107"/>
        <v>370.55615999999918</v>
      </c>
    </row>
    <row r="372" spans="1:36" x14ac:dyDescent="0.45">
      <c r="A372" s="3" t="s">
        <v>384</v>
      </c>
      <c r="B372" s="5">
        <v>45286</v>
      </c>
      <c r="C372" s="5">
        <v>45294</v>
      </c>
      <c r="D372" s="5">
        <f t="shared" si="108"/>
        <v>45286</v>
      </c>
      <c r="E372" s="5">
        <f t="shared" si="109"/>
        <v>45294</v>
      </c>
      <c r="F372" s="7">
        <f t="shared" si="110"/>
        <v>8</v>
      </c>
      <c r="G372" s="23" t="str">
        <f t="shared" si="111"/>
        <v>12-2023</v>
      </c>
      <c r="H372" s="3" t="s">
        <v>649</v>
      </c>
      <c r="I372" s="3" t="s">
        <v>657</v>
      </c>
      <c r="J372" s="3" t="s">
        <v>679</v>
      </c>
      <c r="K372" s="3" t="s">
        <v>705</v>
      </c>
      <c r="L372" s="3" t="s">
        <v>707</v>
      </c>
      <c r="M372" s="3" t="s">
        <v>724</v>
      </c>
      <c r="N372" s="3" t="s">
        <v>731</v>
      </c>
      <c r="O372" s="3" t="s">
        <v>1104</v>
      </c>
      <c r="P372" s="19">
        <v>492.75</v>
      </c>
      <c r="Q372" s="19">
        <v>731.29</v>
      </c>
      <c r="R372" s="15">
        <v>5.8000000000000003E-2</v>
      </c>
      <c r="S372" s="7">
        <v>6</v>
      </c>
      <c r="T372" s="13">
        <f t="shared" si="99"/>
        <v>4133.25108</v>
      </c>
      <c r="U372" s="13">
        <f t="shared" si="100"/>
        <v>2956.5</v>
      </c>
      <c r="V372" s="13">
        <f t="shared" si="112"/>
        <v>1176.75108</v>
      </c>
      <c r="W372" s="15">
        <f t="shared" si="113"/>
        <v>0.28470350753528384</v>
      </c>
      <c r="X372" s="17" t="str">
        <f t="shared" si="114"/>
        <v>Q4-2023</v>
      </c>
      <c r="Y372" t="str">
        <f t="shared" si="115"/>
        <v>Europe → France → Lyon</v>
      </c>
      <c r="Z372" t="str">
        <f t="shared" si="116"/>
        <v>Low</v>
      </c>
      <c r="AA372">
        <f t="shared" si="101"/>
        <v>2023</v>
      </c>
      <c r="AB372">
        <f t="shared" si="102"/>
        <v>12</v>
      </c>
      <c r="AC372" t="str">
        <f t="shared" si="103"/>
        <v>No</v>
      </c>
      <c r="AD372" t="str">
        <f t="shared" si="104"/>
        <v>No</v>
      </c>
      <c r="AE372" s="36">
        <f>IF(Dashboard!$P$47&gt;'Staging Data'!R372,'Staging Data'!R372,Dashboard!$P$47)</f>
        <v>5.8000000000000003E-2</v>
      </c>
      <c r="AF372">
        <f>(100%+Dashboard!$P$48)*'Staging Data'!P372</f>
        <v>517.38750000000005</v>
      </c>
      <c r="AG372">
        <f>(100%+Dashboard!$P$49)*S372</f>
        <v>6.24</v>
      </c>
      <c r="AH372" s="13">
        <f t="shared" si="105"/>
        <v>4298.5811231999996</v>
      </c>
      <c r="AI372" s="13">
        <f t="shared" si="106"/>
        <v>3228.4980000000005</v>
      </c>
      <c r="AJ372" s="13">
        <f t="shared" si="107"/>
        <v>1070.0831231999991</v>
      </c>
    </row>
    <row r="373" spans="1:36" x14ac:dyDescent="0.45">
      <c r="A373" s="3" t="s">
        <v>385</v>
      </c>
      <c r="B373" s="5">
        <v>44962</v>
      </c>
      <c r="C373" s="5">
        <v>44985</v>
      </c>
      <c r="D373" s="5">
        <f t="shared" si="108"/>
        <v>44962</v>
      </c>
      <c r="E373" s="5">
        <f t="shared" si="109"/>
        <v>44985</v>
      </c>
      <c r="F373" s="7">
        <f t="shared" si="110"/>
        <v>23</v>
      </c>
      <c r="G373" s="23" t="str">
        <f t="shared" si="111"/>
        <v>2-2023</v>
      </c>
      <c r="H373" s="3" t="s">
        <v>648</v>
      </c>
      <c r="I373" s="3" t="s">
        <v>660</v>
      </c>
      <c r="J373" s="3" t="s">
        <v>697</v>
      </c>
      <c r="K373" s="3" t="s">
        <v>703</v>
      </c>
      <c r="L373" s="3" t="s">
        <v>710</v>
      </c>
      <c r="M373" s="3" t="s">
        <v>716</v>
      </c>
      <c r="N373" s="3" t="s">
        <v>730</v>
      </c>
      <c r="O373" s="3" t="s">
        <v>1105</v>
      </c>
      <c r="P373" s="19">
        <v>1214.49</v>
      </c>
      <c r="Q373" s="19">
        <v>1533.95</v>
      </c>
      <c r="R373" s="15">
        <v>0</v>
      </c>
      <c r="S373" s="7">
        <v>11</v>
      </c>
      <c r="T373" s="13">
        <f t="shared" si="99"/>
        <v>16873.45</v>
      </c>
      <c r="U373" s="13">
        <f t="shared" si="100"/>
        <v>13359.39</v>
      </c>
      <c r="V373" s="13">
        <f t="shared" si="112"/>
        <v>3514.0600000000013</v>
      </c>
      <c r="W373" s="15">
        <f t="shared" si="113"/>
        <v>0.20825972163369086</v>
      </c>
      <c r="X373" s="17" t="str">
        <f t="shared" si="114"/>
        <v>Q1-2023</v>
      </c>
      <c r="Y373" t="str">
        <f t="shared" si="115"/>
        <v>Americas → USA → Austin</v>
      </c>
      <c r="Z373" t="str">
        <f t="shared" si="116"/>
        <v>Medium</v>
      </c>
      <c r="AA373">
        <f t="shared" si="101"/>
        <v>2023</v>
      </c>
      <c r="AB373">
        <f t="shared" si="102"/>
        <v>2</v>
      </c>
      <c r="AC373" t="str">
        <f t="shared" si="103"/>
        <v>No</v>
      </c>
      <c r="AD373" t="str">
        <f t="shared" si="104"/>
        <v>No</v>
      </c>
      <c r="AE373" s="36">
        <f>IF(Dashboard!$P$47&gt;'Staging Data'!R373,'Staging Data'!R373,Dashboard!$P$47)</f>
        <v>0</v>
      </c>
      <c r="AF373">
        <f>(100%+Dashboard!$P$48)*'Staging Data'!P373</f>
        <v>1275.2145</v>
      </c>
      <c r="AG373">
        <f>(100%+Dashboard!$P$49)*S373</f>
        <v>11.440000000000001</v>
      </c>
      <c r="AH373" s="13">
        <f t="shared" si="105"/>
        <v>17548.388000000003</v>
      </c>
      <c r="AI373" s="13">
        <f t="shared" si="106"/>
        <v>14588.453880000003</v>
      </c>
      <c r="AJ373" s="13">
        <f t="shared" si="107"/>
        <v>2959.9341199999999</v>
      </c>
    </row>
    <row r="374" spans="1:36" x14ac:dyDescent="0.45">
      <c r="A374" s="3" t="s">
        <v>386</v>
      </c>
      <c r="B374" s="5">
        <v>45022</v>
      </c>
      <c r="C374" s="5">
        <v>45024</v>
      </c>
      <c r="D374" s="5">
        <f t="shared" si="108"/>
        <v>45022</v>
      </c>
      <c r="E374" s="5">
        <f t="shared" si="109"/>
        <v>45024</v>
      </c>
      <c r="F374" s="7">
        <f t="shared" si="110"/>
        <v>2</v>
      </c>
      <c r="G374" s="23" t="str">
        <f t="shared" si="111"/>
        <v>4-2023</v>
      </c>
      <c r="H374" s="3" t="s">
        <v>646</v>
      </c>
      <c r="I374" s="3" t="s">
        <v>651</v>
      </c>
      <c r="J374" s="3" t="s">
        <v>669</v>
      </c>
      <c r="K374" s="3" t="s">
        <v>705</v>
      </c>
      <c r="L374" s="3" t="s">
        <v>709</v>
      </c>
      <c r="M374" s="3" t="s">
        <v>723</v>
      </c>
      <c r="N374" s="3" t="s">
        <v>732</v>
      </c>
      <c r="O374" s="3" t="s">
        <v>1106</v>
      </c>
      <c r="P374" s="19">
        <v>720.35</v>
      </c>
      <c r="Q374" s="19">
        <v>1571.66</v>
      </c>
      <c r="R374" s="15">
        <v>0.107</v>
      </c>
      <c r="S374" s="7">
        <v>23</v>
      </c>
      <c r="T374" s="13">
        <f t="shared" si="99"/>
        <v>32280.32474</v>
      </c>
      <c r="U374" s="13">
        <f t="shared" si="100"/>
        <v>16568.05</v>
      </c>
      <c r="V374" s="13">
        <f t="shared" si="112"/>
        <v>15712.274740000001</v>
      </c>
      <c r="W374" s="15">
        <f t="shared" si="113"/>
        <v>0.4867446305622265</v>
      </c>
      <c r="X374" s="17" t="str">
        <f t="shared" si="114"/>
        <v>Q2-2023</v>
      </c>
      <c r="Y374" t="str">
        <f t="shared" si="115"/>
        <v>Africa → Nigeria → Abuja</v>
      </c>
      <c r="Z374" t="str">
        <f t="shared" si="116"/>
        <v>Medium</v>
      </c>
      <c r="AA374">
        <f t="shared" si="101"/>
        <v>2023</v>
      </c>
      <c r="AB374">
        <f t="shared" si="102"/>
        <v>4</v>
      </c>
      <c r="AC374" t="str">
        <f t="shared" si="103"/>
        <v>Yes</v>
      </c>
      <c r="AD374" t="str">
        <f t="shared" si="104"/>
        <v>No</v>
      </c>
      <c r="AE374" s="36">
        <f>IF(Dashboard!$P$47&gt;'Staging Data'!R374,'Staging Data'!R374,Dashboard!$P$47)</f>
        <v>0.1</v>
      </c>
      <c r="AF374">
        <f>(100%+Dashboard!$P$48)*'Staging Data'!P374</f>
        <v>756.36750000000006</v>
      </c>
      <c r="AG374">
        <f>(100%+Dashboard!$P$49)*S374</f>
        <v>23.92</v>
      </c>
      <c r="AH374" s="13">
        <f t="shared" si="105"/>
        <v>33834.696480000006</v>
      </c>
      <c r="AI374" s="13">
        <f t="shared" si="106"/>
        <v>18092.310600000004</v>
      </c>
      <c r="AJ374" s="13">
        <f t="shared" si="107"/>
        <v>15742.385880000002</v>
      </c>
    </row>
    <row r="375" spans="1:36" x14ac:dyDescent="0.45">
      <c r="A375" s="3" t="s">
        <v>387</v>
      </c>
      <c r="B375" s="5">
        <v>45751</v>
      </c>
      <c r="C375" s="5">
        <v>45757</v>
      </c>
      <c r="D375" s="5">
        <f t="shared" si="108"/>
        <v>45751</v>
      </c>
      <c r="E375" s="5">
        <f t="shared" si="109"/>
        <v>45757</v>
      </c>
      <c r="F375" s="7">
        <f t="shared" si="110"/>
        <v>6</v>
      </c>
      <c r="G375" s="23" t="str">
        <f t="shared" si="111"/>
        <v>4-2025</v>
      </c>
      <c r="H375" s="3" t="s">
        <v>649</v>
      </c>
      <c r="I375" s="3" t="s">
        <v>658</v>
      </c>
      <c r="J375" s="3" t="s">
        <v>674</v>
      </c>
      <c r="K375" s="3" t="s">
        <v>703</v>
      </c>
      <c r="L375" s="3" t="s">
        <v>711</v>
      </c>
      <c r="M375" s="3" t="s">
        <v>725</v>
      </c>
      <c r="N375" s="3" t="s">
        <v>728</v>
      </c>
      <c r="O375" s="3" t="s">
        <v>1107</v>
      </c>
      <c r="P375" s="19">
        <v>290.14</v>
      </c>
      <c r="Q375" s="19">
        <v>250.73</v>
      </c>
      <c r="R375" s="15">
        <v>3.4000000000000002E-2</v>
      </c>
      <c r="S375" s="7">
        <v>17</v>
      </c>
      <c r="T375" s="13">
        <f t="shared" si="99"/>
        <v>4117.4880599999997</v>
      </c>
      <c r="U375" s="13">
        <f t="shared" si="100"/>
        <v>4932.38</v>
      </c>
      <c r="V375" s="13">
        <f t="shared" si="112"/>
        <v>-814.89194000000043</v>
      </c>
      <c r="W375" s="15">
        <f t="shared" si="113"/>
        <v>-0.19790997038131072</v>
      </c>
      <c r="X375" s="17" t="str">
        <f t="shared" si="114"/>
        <v>Q2-2025</v>
      </c>
      <c r="Y375" t="str">
        <f t="shared" si="115"/>
        <v>Europe → United Kingdom → Birmingham</v>
      </c>
      <c r="Z375" t="str">
        <f t="shared" si="116"/>
        <v>Low</v>
      </c>
      <c r="AA375">
        <f t="shared" si="101"/>
        <v>2025</v>
      </c>
      <c r="AB375">
        <f t="shared" si="102"/>
        <v>4</v>
      </c>
      <c r="AC375" t="str">
        <f t="shared" si="103"/>
        <v>Yes</v>
      </c>
      <c r="AD375" t="str">
        <f t="shared" si="104"/>
        <v>No</v>
      </c>
      <c r="AE375" s="36">
        <f>IF(Dashboard!$P$47&gt;'Staging Data'!R375,'Staging Data'!R375,Dashboard!$P$47)</f>
        <v>3.4000000000000002E-2</v>
      </c>
      <c r="AF375">
        <f>(100%+Dashboard!$P$48)*'Staging Data'!P375</f>
        <v>304.64699999999999</v>
      </c>
      <c r="AG375">
        <f>(100%+Dashboard!$P$49)*S375</f>
        <v>17.68</v>
      </c>
      <c r="AH375" s="13">
        <f t="shared" si="105"/>
        <v>4282.1875823999999</v>
      </c>
      <c r="AI375" s="13">
        <f t="shared" si="106"/>
        <v>5386.1589599999998</v>
      </c>
      <c r="AJ375" s="13">
        <f t="shared" si="107"/>
        <v>-1103.9713775999999</v>
      </c>
    </row>
    <row r="376" spans="1:36" x14ac:dyDescent="0.45">
      <c r="A376" s="3" t="s">
        <v>388</v>
      </c>
      <c r="B376" s="5">
        <v>45429</v>
      </c>
      <c r="C376" s="5">
        <v>45439</v>
      </c>
      <c r="D376" s="5">
        <f t="shared" si="108"/>
        <v>45429</v>
      </c>
      <c r="E376" s="5">
        <f t="shared" si="109"/>
        <v>45439</v>
      </c>
      <c r="F376" s="7">
        <f t="shared" si="110"/>
        <v>10</v>
      </c>
      <c r="G376" s="23" t="str">
        <f t="shared" si="111"/>
        <v>5-2024</v>
      </c>
      <c r="H376" s="3" t="s">
        <v>648</v>
      </c>
      <c r="I376" s="3" t="s">
        <v>660</v>
      </c>
      <c r="J376" s="3" t="s">
        <v>697</v>
      </c>
      <c r="K376" s="3" t="s">
        <v>703</v>
      </c>
      <c r="L376" s="3" t="s">
        <v>708</v>
      </c>
      <c r="M376" s="3" t="s">
        <v>712</v>
      </c>
      <c r="N376" s="3" t="s">
        <v>730</v>
      </c>
      <c r="O376" s="3" t="s">
        <v>1108</v>
      </c>
      <c r="P376" s="19">
        <v>1484.23</v>
      </c>
      <c r="Q376" s="19">
        <v>3472.81</v>
      </c>
      <c r="R376" s="15">
        <v>0.25600000000000001</v>
      </c>
      <c r="S376" s="7">
        <v>12</v>
      </c>
      <c r="T376" s="13">
        <f t="shared" si="99"/>
        <v>31005.24768</v>
      </c>
      <c r="U376" s="13">
        <f t="shared" si="100"/>
        <v>17810.760000000002</v>
      </c>
      <c r="V376" s="13">
        <f t="shared" si="112"/>
        <v>13194.487679999998</v>
      </c>
      <c r="W376" s="15">
        <f t="shared" si="113"/>
        <v>0.42555659661803413</v>
      </c>
      <c r="X376" s="17" t="str">
        <f t="shared" si="114"/>
        <v>Q2-2024</v>
      </c>
      <c r="Y376" t="str">
        <f t="shared" si="115"/>
        <v>Americas → USA → Austin</v>
      </c>
      <c r="Z376" t="str">
        <f t="shared" si="116"/>
        <v>High</v>
      </c>
      <c r="AA376">
        <f t="shared" si="101"/>
        <v>2024</v>
      </c>
      <c r="AB376">
        <f t="shared" si="102"/>
        <v>5</v>
      </c>
      <c r="AC376" t="str">
        <f t="shared" si="103"/>
        <v>No</v>
      </c>
      <c r="AD376" t="str">
        <f t="shared" si="104"/>
        <v>Yes</v>
      </c>
      <c r="AE376" s="36">
        <f>IF(Dashboard!$P$47&gt;'Staging Data'!R376,'Staging Data'!R376,Dashboard!$P$47)</f>
        <v>0.1</v>
      </c>
      <c r="AF376">
        <f>(100%+Dashboard!$P$48)*'Staging Data'!P376</f>
        <v>1558.4415000000001</v>
      </c>
      <c r="AG376">
        <f>(100%+Dashboard!$P$49)*S376</f>
        <v>12.48</v>
      </c>
      <c r="AH376" s="13">
        <f t="shared" si="105"/>
        <v>39006.601920000001</v>
      </c>
      <c r="AI376" s="13">
        <f t="shared" si="106"/>
        <v>19449.349920000001</v>
      </c>
      <c r="AJ376" s="13">
        <f t="shared" si="107"/>
        <v>19557.252</v>
      </c>
    </row>
    <row r="377" spans="1:36" x14ac:dyDescent="0.45">
      <c r="A377" s="3" t="s">
        <v>389</v>
      </c>
      <c r="B377" s="5">
        <v>45354</v>
      </c>
      <c r="C377" s="5">
        <v>45370</v>
      </c>
      <c r="D377" s="5">
        <f t="shared" si="108"/>
        <v>45354</v>
      </c>
      <c r="E377" s="5">
        <f t="shared" si="109"/>
        <v>45370</v>
      </c>
      <c r="F377" s="7">
        <f t="shared" si="110"/>
        <v>16</v>
      </c>
      <c r="G377" s="23" t="str">
        <f t="shared" si="111"/>
        <v>3-2024</v>
      </c>
      <c r="H377" s="3" t="s">
        <v>647</v>
      </c>
      <c r="I377" s="3" t="s">
        <v>659</v>
      </c>
      <c r="J377" s="3" t="s">
        <v>699</v>
      </c>
      <c r="K377" s="3" t="s">
        <v>704</v>
      </c>
      <c r="L377" s="3" t="s">
        <v>710</v>
      </c>
      <c r="M377" s="3" t="s">
        <v>715</v>
      </c>
      <c r="N377" s="3" t="s">
        <v>730</v>
      </c>
      <c r="O377" s="3" t="s">
        <v>1109</v>
      </c>
      <c r="P377" s="19">
        <v>988.83</v>
      </c>
      <c r="Q377" s="19">
        <v>1206.04</v>
      </c>
      <c r="R377" s="15">
        <v>6.3E-2</v>
      </c>
      <c r="S377" s="7">
        <v>34</v>
      </c>
      <c r="T377" s="13">
        <f t="shared" si="99"/>
        <v>38422.022320000004</v>
      </c>
      <c r="U377" s="13">
        <f t="shared" si="100"/>
        <v>33620.22</v>
      </c>
      <c r="V377" s="13">
        <f t="shared" si="112"/>
        <v>4801.8023200000025</v>
      </c>
      <c r="W377" s="15">
        <f t="shared" si="113"/>
        <v>0.12497526236406606</v>
      </c>
      <c r="X377" s="17" t="str">
        <f t="shared" si="114"/>
        <v>Q1-2024</v>
      </c>
      <c r="Y377" t="str">
        <f t="shared" si="115"/>
        <v>Asia → China → Beijing</v>
      </c>
      <c r="Z377" t="str">
        <f t="shared" si="116"/>
        <v>Medium</v>
      </c>
      <c r="AA377">
        <f t="shared" si="101"/>
        <v>2024</v>
      </c>
      <c r="AB377">
        <f t="shared" si="102"/>
        <v>3</v>
      </c>
      <c r="AC377" t="str">
        <f t="shared" si="103"/>
        <v>No</v>
      </c>
      <c r="AD377" t="str">
        <f t="shared" si="104"/>
        <v>No</v>
      </c>
      <c r="AE377" s="36">
        <f>IF(Dashboard!$P$47&gt;'Staging Data'!R377,'Staging Data'!R377,Dashboard!$P$47)</f>
        <v>6.3E-2</v>
      </c>
      <c r="AF377">
        <f>(100%+Dashboard!$P$48)*'Staging Data'!P377</f>
        <v>1038.2715000000001</v>
      </c>
      <c r="AG377">
        <f>(100%+Dashboard!$P$49)*S377</f>
        <v>35.36</v>
      </c>
      <c r="AH377" s="13">
        <f t="shared" si="105"/>
        <v>39958.903212800004</v>
      </c>
      <c r="AI377" s="13">
        <f t="shared" si="106"/>
        <v>36713.28024</v>
      </c>
      <c r="AJ377" s="13">
        <f t="shared" si="107"/>
        <v>3245.6229728000035</v>
      </c>
    </row>
    <row r="378" spans="1:36" x14ac:dyDescent="0.45">
      <c r="A378" s="3" t="s">
        <v>390</v>
      </c>
      <c r="B378" s="5">
        <v>45835</v>
      </c>
      <c r="C378" s="5">
        <v>45849</v>
      </c>
      <c r="D378" s="5">
        <f t="shared" si="108"/>
        <v>45835</v>
      </c>
      <c r="E378" s="5">
        <f t="shared" si="109"/>
        <v>45849</v>
      </c>
      <c r="F378" s="7">
        <f t="shared" si="110"/>
        <v>14</v>
      </c>
      <c r="G378" s="23" t="str">
        <f t="shared" si="111"/>
        <v>6-2025</v>
      </c>
      <c r="H378" s="3" t="s">
        <v>647</v>
      </c>
      <c r="I378" s="3" t="s">
        <v>659</v>
      </c>
      <c r="J378" s="3" t="s">
        <v>685</v>
      </c>
      <c r="K378" s="3" t="s">
        <v>705</v>
      </c>
      <c r="L378" s="3" t="s">
        <v>709</v>
      </c>
      <c r="M378" s="3" t="s">
        <v>716</v>
      </c>
      <c r="N378" s="3" t="s">
        <v>729</v>
      </c>
      <c r="O378" s="3" t="s">
        <v>1110</v>
      </c>
      <c r="P378" s="19">
        <v>1227.7</v>
      </c>
      <c r="Q378" s="19">
        <v>2197.23</v>
      </c>
      <c r="R378" s="15">
        <v>9.9000000000000005E-2</v>
      </c>
      <c r="S378" s="7">
        <v>22</v>
      </c>
      <c r="T378" s="13">
        <f t="shared" si="99"/>
        <v>43553.493060000001</v>
      </c>
      <c r="U378" s="13">
        <f t="shared" si="100"/>
        <v>27009.4</v>
      </c>
      <c r="V378" s="13">
        <f t="shared" si="112"/>
        <v>16544.093059999999</v>
      </c>
      <c r="W378" s="15">
        <f t="shared" si="113"/>
        <v>0.37985685871873898</v>
      </c>
      <c r="X378" s="17" t="str">
        <f t="shared" si="114"/>
        <v>Q2-2025</v>
      </c>
      <c r="Y378" t="str">
        <f t="shared" si="115"/>
        <v>Asia → China → Shanghai</v>
      </c>
      <c r="Z378" t="str">
        <f t="shared" si="116"/>
        <v>High</v>
      </c>
      <c r="AA378">
        <f t="shared" si="101"/>
        <v>2025</v>
      </c>
      <c r="AB378">
        <f t="shared" si="102"/>
        <v>6</v>
      </c>
      <c r="AC378" t="str">
        <f t="shared" si="103"/>
        <v>No</v>
      </c>
      <c r="AD378" t="str">
        <f t="shared" si="104"/>
        <v>No</v>
      </c>
      <c r="AE378" s="36">
        <f>IF(Dashboard!$P$47&gt;'Staging Data'!R378,'Staging Data'!R378,Dashboard!$P$47)</f>
        <v>9.9000000000000005E-2</v>
      </c>
      <c r="AF378">
        <f>(100%+Dashboard!$P$48)*'Staging Data'!P378</f>
        <v>1289.085</v>
      </c>
      <c r="AG378">
        <f>(100%+Dashboard!$P$49)*S378</f>
        <v>22.880000000000003</v>
      </c>
      <c r="AH378" s="13">
        <f t="shared" si="105"/>
        <v>45295.632782400011</v>
      </c>
      <c r="AI378" s="13">
        <f t="shared" si="106"/>
        <v>29494.264800000004</v>
      </c>
      <c r="AJ378" s="13">
        <f t="shared" si="107"/>
        <v>15801.367982400006</v>
      </c>
    </row>
    <row r="379" spans="1:36" x14ac:dyDescent="0.45">
      <c r="A379" s="3" t="s">
        <v>391</v>
      </c>
      <c r="B379" s="5">
        <v>44998</v>
      </c>
      <c r="C379" s="5">
        <v>45020</v>
      </c>
      <c r="D379" s="5">
        <f t="shared" si="108"/>
        <v>44998</v>
      </c>
      <c r="E379" s="5">
        <f t="shared" si="109"/>
        <v>45020</v>
      </c>
      <c r="F379" s="7">
        <f t="shared" si="110"/>
        <v>22</v>
      </c>
      <c r="G379" s="23" t="str">
        <f t="shared" si="111"/>
        <v>3-2023</v>
      </c>
      <c r="H379" s="3" t="s">
        <v>646</v>
      </c>
      <c r="I379" s="3" t="s">
        <v>661</v>
      </c>
      <c r="J379" s="3" t="s">
        <v>687</v>
      </c>
      <c r="K379" s="3" t="s">
        <v>705</v>
      </c>
      <c r="L379" s="3" t="s">
        <v>707</v>
      </c>
      <c r="M379" s="3" t="s">
        <v>720</v>
      </c>
      <c r="N379" s="3" t="s">
        <v>727</v>
      </c>
      <c r="O379" s="3" t="s">
        <v>1111</v>
      </c>
      <c r="P379" s="19">
        <v>1113.7</v>
      </c>
      <c r="Q379" s="19">
        <v>1620.6</v>
      </c>
      <c r="R379" s="15">
        <v>0.13900000000000001</v>
      </c>
      <c r="S379" s="7">
        <v>11</v>
      </c>
      <c r="T379" s="13">
        <f t="shared" si="99"/>
        <v>15348.702599999999</v>
      </c>
      <c r="U379" s="13">
        <f t="shared" si="100"/>
        <v>12250.7</v>
      </c>
      <c r="V379" s="13">
        <f t="shared" si="112"/>
        <v>3098.002599999998</v>
      </c>
      <c r="W379" s="15">
        <f t="shared" si="113"/>
        <v>0.20184133348182787</v>
      </c>
      <c r="X379" s="17" t="str">
        <f t="shared" si="114"/>
        <v>Q1-2023</v>
      </c>
      <c r="Y379" t="str">
        <f t="shared" si="115"/>
        <v>Africa → South Africa → Durban</v>
      </c>
      <c r="Z379" t="str">
        <f t="shared" si="116"/>
        <v>Medium</v>
      </c>
      <c r="AA379">
        <f t="shared" si="101"/>
        <v>2023</v>
      </c>
      <c r="AB379">
        <f t="shared" si="102"/>
        <v>3</v>
      </c>
      <c r="AC379" t="str">
        <f t="shared" si="103"/>
        <v>No</v>
      </c>
      <c r="AD379" t="str">
        <f t="shared" si="104"/>
        <v>No</v>
      </c>
      <c r="AE379" s="36">
        <f>IF(Dashboard!$P$47&gt;'Staging Data'!R379,'Staging Data'!R379,Dashboard!$P$47)</f>
        <v>0.1</v>
      </c>
      <c r="AF379">
        <f>(100%+Dashboard!$P$48)*'Staging Data'!P379</f>
        <v>1169.385</v>
      </c>
      <c r="AG379">
        <f>(100%+Dashboard!$P$49)*S379</f>
        <v>11.440000000000001</v>
      </c>
      <c r="AH379" s="13">
        <f t="shared" si="105"/>
        <v>16685.6976</v>
      </c>
      <c r="AI379" s="13">
        <f t="shared" si="106"/>
        <v>13377.764400000002</v>
      </c>
      <c r="AJ379" s="13">
        <f t="shared" si="107"/>
        <v>3307.9331999999977</v>
      </c>
    </row>
    <row r="380" spans="1:36" x14ac:dyDescent="0.45">
      <c r="A380" s="3" t="s">
        <v>392</v>
      </c>
      <c r="B380" s="5">
        <v>45664</v>
      </c>
      <c r="C380" s="5">
        <v>45677</v>
      </c>
      <c r="D380" s="5">
        <f t="shared" si="108"/>
        <v>45664</v>
      </c>
      <c r="E380" s="5">
        <f t="shared" si="109"/>
        <v>45677</v>
      </c>
      <c r="F380" s="7">
        <f t="shared" si="110"/>
        <v>13</v>
      </c>
      <c r="G380" s="23" t="str">
        <f t="shared" si="111"/>
        <v>1-2025</v>
      </c>
      <c r="H380" s="3" t="s">
        <v>646</v>
      </c>
      <c r="I380" s="3" t="s">
        <v>661</v>
      </c>
      <c r="J380" s="3" t="s">
        <v>695</v>
      </c>
      <c r="K380" s="3" t="s">
        <v>701</v>
      </c>
      <c r="L380" s="3" t="s">
        <v>711</v>
      </c>
      <c r="M380" s="3" t="s">
        <v>723</v>
      </c>
      <c r="N380" s="3" t="s">
        <v>729</v>
      </c>
      <c r="O380" s="3" t="s">
        <v>1112</v>
      </c>
      <c r="P380" s="19">
        <v>432.13</v>
      </c>
      <c r="Q380" s="19">
        <v>1034.6600000000001</v>
      </c>
      <c r="R380" s="15">
        <v>9.1999999999999998E-2</v>
      </c>
      <c r="S380" s="7">
        <v>7</v>
      </c>
      <c r="T380" s="13">
        <f t="shared" si="99"/>
        <v>6576.298960000001</v>
      </c>
      <c r="U380" s="13">
        <f t="shared" si="100"/>
        <v>3024.91</v>
      </c>
      <c r="V380" s="13">
        <f t="shared" si="112"/>
        <v>3551.3889600000011</v>
      </c>
      <c r="W380" s="15">
        <f t="shared" si="113"/>
        <v>0.54002851476204794</v>
      </c>
      <c r="X380" s="17" t="str">
        <f t="shared" si="114"/>
        <v>Q1-2025</v>
      </c>
      <c r="Y380" t="str">
        <f t="shared" si="115"/>
        <v>Africa → South Africa → Cape Town</v>
      </c>
      <c r="Z380" t="str">
        <f t="shared" si="116"/>
        <v>Low</v>
      </c>
      <c r="AA380">
        <f t="shared" si="101"/>
        <v>2025</v>
      </c>
      <c r="AB380">
        <f t="shared" si="102"/>
        <v>1</v>
      </c>
      <c r="AC380" t="str">
        <f t="shared" si="103"/>
        <v>No</v>
      </c>
      <c r="AD380" t="str">
        <f t="shared" si="104"/>
        <v>No</v>
      </c>
      <c r="AE380" s="36">
        <f>IF(Dashboard!$P$47&gt;'Staging Data'!R380,'Staging Data'!R380,Dashboard!$P$47)</f>
        <v>9.1999999999999998E-2</v>
      </c>
      <c r="AF380">
        <f>(100%+Dashboard!$P$48)*'Staging Data'!P380</f>
        <v>453.73650000000004</v>
      </c>
      <c r="AG380">
        <f>(100%+Dashboard!$P$49)*S380</f>
        <v>7.28</v>
      </c>
      <c r="AH380" s="13">
        <f t="shared" si="105"/>
        <v>6839.3509184000013</v>
      </c>
      <c r="AI380" s="13">
        <f t="shared" si="106"/>
        <v>3303.2017200000005</v>
      </c>
      <c r="AJ380" s="13">
        <f t="shared" si="107"/>
        <v>3536.1491984000008</v>
      </c>
    </row>
    <row r="381" spans="1:36" x14ac:dyDescent="0.45">
      <c r="A381" s="3" t="s">
        <v>393</v>
      </c>
      <c r="B381" s="5">
        <v>45694</v>
      </c>
      <c r="C381" s="5">
        <v>45703</v>
      </c>
      <c r="D381" s="5">
        <f t="shared" si="108"/>
        <v>45694</v>
      </c>
      <c r="E381" s="5">
        <f t="shared" si="109"/>
        <v>45703</v>
      </c>
      <c r="F381" s="7">
        <f t="shared" si="110"/>
        <v>9</v>
      </c>
      <c r="G381" s="23" t="str">
        <f t="shared" si="111"/>
        <v>2-2025</v>
      </c>
      <c r="H381" s="3" t="s">
        <v>648</v>
      </c>
      <c r="I381" s="3" t="s">
        <v>655</v>
      </c>
      <c r="J381" s="3" t="s">
        <v>670</v>
      </c>
      <c r="K381" s="3" t="s">
        <v>703</v>
      </c>
      <c r="L381" s="3" t="s">
        <v>710</v>
      </c>
      <c r="M381" s="3" t="s">
        <v>721</v>
      </c>
      <c r="N381" s="3" t="s">
        <v>729</v>
      </c>
      <c r="O381" s="3" t="s">
        <v>1113</v>
      </c>
      <c r="P381" s="19">
        <v>837.39</v>
      </c>
      <c r="Q381" s="19">
        <v>1905.42</v>
      </c>
      <c r="R381" s="15">
        <v>3.2000000000000001E-2</v>
      </c>
      <c r="S381" s="7">
        <v>18</v>
      </c>
      <c r="T381" s="13">
        <f t="shared" si="99"/>
        <v>33200.038079999998</v>
      </c>
      <c r="U381" s="13">
        <f t="shared" si="100"/>
        <v>15073.02</v>
      </c>
      <c r="V381" s="13">
        <f t="shared" si="112"/>
        <v>18127.018079999998</v>
      </c>
      <c r="W381" s="15">
        <f t="shared" si="113"/>
        <v>0.54599389423350919</v>
      </c>
      <c r="X381" s="17" t="str">
        <f t="shared" si="114"/>
        <v>Q1-2025</v>
      </c>
      <c r="Y381" t="str">
        <f t="shared" si="115"/>
        <v>Americas → Brazil → São Paulo</v>
      </c>
      <c r="Z381" t="str">
        <f t="shared" si="116"/>
        <v>Medium</v>
      </c>
      <c r="AA381">
        <f t="shared" si="101"/>
        <v>2025</v>
      </c>
      <c r="AB381">
        <f t="shared" si="102"/>
        <v>2</v>
      </c>
      <c r="AC381" t="str">
        <f t="shared" si="103"/>
        <v>No</v>
      </c>
      <c r="AD381" t="str">
        <f t="shared" si="104"/>
        <v>No</v>
      </c>
      <c r="AE381" s="36">
        <f>IF(Dashboard!$P$47&gt;'Staging Data'!R381,'Staging Data'!R381,Dashboard!$P$47)</f>
        <v>3.2000000000000001E-2</v>
      </c>
      <c r="AF381">
        <f>(100%+Dashboard!$P$48)*'Staging Data'!P381</f>
        <v>879.2595</v>
      </c>
      <c r="AG381">
        <f>(100%+Dashboard!$P$49)*S381</f>
        <v>18.72</v>
      </c>
      <c r="AH381" s="13">
        <f t="shared" si="105"/>
        <v>34528.039603199999</v>
      </c>
      <c r="AI381" s="13">
        <f t="shared" si="106"/>
        <v>16459.737839999998</v>
      </c>
      <c r="AJ381" s="13">
        <f t="shared" si="107"/>
        <v>18068.301763200001</v>
      </c>
    </row>
    <row r="382" spans="1:36" x14ac:dyDescent="0.45">
      <c r="A382" s="3" t="s">
        <v>394</v>
      </c>
      <c r="B382" s="5">
        <v>45688</v>
      </c>
      <c r="C382" s="5">
        <v>45705</v>
      </c>
      <c r="D382" s="5">
        <f t="shared" si="108"/>
        <v>45688</v>
      </c>
      <c r="E382" s="5">
        <f t="shared" si="109"/>
        <v>45705</v>
      </c>
      <c r="F382" s="7">
        <f t="shared" si="110"/>
        <v>17</v>
      </c>
      <c r="G382" s="23" t="str">
        <f t="shared" si="111"/>
        <v>1-2025</v>
      </c>
      <c r="H382" s="3" t="s">
        <v>649</v>
      </c>
      <c r="I382" s="3" t="s">
        <v>658</v>
      </c>
      <c r="J382" s="3" t="s">
        <v>683</v>
      </c>
      <c r="K382" s="3" t="s">
        <v>706</v>
      </c>
      <c r="L382" s="3" t="s">
        <v>707</v>
      </c>
      <c r="M382" s="3" t="s">
        <v>722</v>
      </c>
      <c r="N382" s="3" t="s">
        <v>727</v>
      </c>
      <c r="O382" s="3" t="s">
        <v>812</v>
      </c>
      <c r="P382" s="19">
        <v>378.26</v>
      </c>
      <c r="Q382" s="19">
        <v>541.55999999999995</v>
      </c>
      <c r="R382" s="15">
        <v>0.16300000000000001</v>
      </c>
      <c r="S382" s="7">
        <v>25</v>
      </c>
      <c r="T382" s="13">
        <f t="shared" si="99"/>
        <v>11332.142999999998</v>
      </c>
      <c r="U382" s="13">
        <f t="shared" si="100"/>
        <v>9456.5</v>
      </c>
      <c r="V382" s="13">
        <f t="shared" si="112"/>
        <v>1875.6429999999982</v>
      </c>
      <c r="W382" s="15">
        <f t="shared" si="113"/>
        <v>0.16551529573885526</v>
      </c>
      <c r="X382" s="17" t="str">
        <f t="shared" si="114"/>
        <v>Q1-2025</v>
      </c>
      <c r="Y382" t="str">
        <f t="shared" si="115"/>
        <v>Europe → United Kingdom → London</v>
      </c>
      <c r="Z382" t="str">
        <f t="shared" si="116"/>
        <v>Low</v>
      </c>
      <c r="AA382">
        <f t="shared" si="101"/>
        <v>2025</v>
      </c>
      <c r="AB382">
        <f t="shared" si="102"/>
        <v>1</v>
      </c>
      <c r="AC382" t="str">
        <f t="shared" si="103"/>
        <v>No</v>
      </c>
      <c r="AD382" t="str">
        <f t="shared" si="104"/>
        <v>No</v>
      </c>
      <c r="AE382" s="36">
        <f>IF(Dashboard!$P$47&gt;'Staging Data'!R382,'Staging Data'!R382,Dashboard!$P$47)</f>
        <v>0.1</v>
      </c>
      <c r="AF382">
        <f>(100%+Dashboard!$P$48)*'Staging Data'!P382</f>
        <v>397.173</v>
      </c>
      <c r="AG382">
        <f>(100%+Dashboard!$P$49)*S382</f>
        <v>26</v>
      </c>
      <c r="AH382" s="13">
        <f t="shared" si="105"/>
        <v>12672.503999999999</v>
      </c>
      <c r="AI382" s="13">
        <f t="shared" si="106"/>
        <v>10326.498</v>
      </c>
      <c r="AJ382" s="13">
        <f t="shared" si="107"/>
        <v>2346.0059999999994</v>
      </c>
    </row>
    <row r="383" spans="1:36" x14ac:dyDescent="0.45">
      <c r="A383" s="3" t="s">
        <v>395</v>
      </c>
      <c r="B383" s="5">
        <v>45876</v>
      </c>
      <c r="C383" s="5">
        <v>45906</v>
      </c>
      <c r="D383" s="5">
        <f t="shared" si="108"/>
        <v>45876</v>
      </c>
      <c r="E383" s="5">
        <f t="shared" si="109"/>
        <v>45906</v>
      </c>
      <c r="F383" s="7">
        <f t="shared" si="110"/>
        <v>30</v>
      </c>
      <c r="G383" s="23" t="str">
        <f t="shared" si="111"/>
        <v>8-2025</v>
      </c>
      <c r="H383" s="3" t="s">
        <v>648</v>
      </c>
      <c r="I383" s="3" t="s">
        <v>653</v>
      </c>
      <c r="J383" s="3" t="s">
        <v>681</v>
      </c>
      <c r="K383" s="3" t="s">
        <v>702</v>
      </c>
      <c r="L383" s="3" t="s">
        <v>711</v>
      </c>
      <c r="M383" s="3" t="s">
        <v>724</v>
      </c>
      <c r="N383" s="3" t="s">
        <v>729</v>
      </c>
      <c r="O383" s="3" t="s">
        <v>1114</v>
      </c>
      <c r="P383" s="19">
        <v>833.73</v>
      </c>
      <c r="Q383" s="19">
        <v>1116.5999999999999</v>
      </c>
      <c r="R383" s="15">
        <v>0.17599999999999999</v>
      </c>
      <c r="S383" s="7">
        <v>14</v>
      </c>
      <c r="T383" s="13">
        <f t="shared" si="99"/>
        <v>12881.097599999999</v>
      </c>
      <c r="U383" s="13">
        <f t="shared" si="100"/>
        <v>11672.220000000001</v>
      </c>
      <c r="V383" s="13">
        <f t="shared" si="112"/>
        <v>1208.877599999998</v>
      </c>
      <c r="W383" s="15">
        <f t="shared" si="113"/>
        <v>9.3848958958279924E-2</v>
      </c>
      <c r="X383" s="17" t="str">
        <f t="shared" si="114"/>
        <v>Q3-2025</v>
      </c>
      <c r="Y383" t="str">
        <f t="shared" si="115"/>
        <v>Americas → Canada → Montreal</v>
      </c>
      <c r="Z383" t="str">
        <f t="shared" si="116"/>
        <v>Low</v>
      </c>
      <c r="AA383">
        <f t="shared" si="101"/>
        <v>2025</v>
      </c>
      <c r="AB383">
        <f t="shared" si="102"/>
        <v>8</v>
      </c>
      <c r="AC383" t="str">
        <f t="shared" si="103"/>
        <v>No</v>
      </c>
      <c r="AD383" t="str">
        <f t="shared" si="104"/>
        <v>No</v>
      </c>
      <c r="AE383" s="36">
        <f>IF(Dashboard!$P$47&gt;'Staging Data'!R383,'Staging Data'!R383,Dashboard!$P$47)</f>
        <v>0.1</v>
      </c>
      <c r="AF383">
        <f>(100%+Dashboard!$P$48)*'Staging Data'!P383</f>
        <v>875.41650000000004</v>
      </c>
      <c r="AG383">
        <f>(100%+Dashboard!$P$49)*S383</f>
        <v>14.56</v>
      </c>
      <c r="AH383" s="13">
        <f t="shared" si="105"/>
        <v>14631.9264</v>
      </c>
      <c r="AI383" s="13">
        <f t="shared" si="106"/>
        <v>12746.064240000002</v>
      </c>
      <c r="AJ383" s="13">
        <f t="shared" si="107"/>
        <v>1885.8621599999988</v>
      </c>
    </row>
    <row r="384" spans="1:36" x14ac:dyDescent="0.45">
      <c r="A384" s="3" t="s">
        <v>396</v>
      </c>
      <c r="B384" s="5">
        <v>45861</v>
      </c>
      <c r="C384" s="5">
        <v>45886</v>
      </c>
      <c r="D384" s="5">
        <f t="shared" si="108"/>
        <v>45861</v>
      </c>
      <c r="E384" s="5">
        <f t="shared" si="109"/>
        <v>45886</v>
      </c>
      <c r="F384" s="7">
        <f t="shared" si="110"/>
        <v>25</v>
      </c>
      <c r="G384" s="23" t="str">
        <f t="shared" si="111"/>
        <v>7-2025</v>
      </c>
      <c r="H384" s="3" t="s">
        <v>649</v>
      </c>
      <c r="I384" s="3" t="s">
        <v>658</v>
      </c>
      <c r="J384" s="3" t="s">
        <v>674</v>
      </c>
      <c r="K384" s="3" t="s">
        <v>702</v>
      </c>
      <c r="L384" s="3" t="s">
        <v>708</v>
      </c>
      <c r="M384" s="3" t="s">
        <v>714</v>
      </c>
      <c r="N384" s="3" t="s">
        <v>728</v>
      </c>
      <c r="O384" s="3" t="s">
        <v>1115</v>
      </c>
      <c r="P384" s="19">
        <v>1142.06</v>
      </c>
      <c r="Q384" s="19">
        <v>1455</v>
      </c>
      <c r="R384" s="15">
        <v>7.8E-2</v>
      </c>
      <c r="S384" s="7">
        <v>28</v>
      </c>
      <c r="T384" s="13">
        <f t="shared" si="99"/>
        <v>37562.28</v>
      </c>
      <c r="U384" s="13">
        <f t="shared" si="100"/>
        <v>31977.68</v>
      </c>
      <c r="V384" s="13">
        <f t="shared" si="112"/>
        <v>5584.5999999999985</v>
      </c>
      <c r="W384" s="15">
        <f t="shared" si="113"/>
        <v>0.1486757459877302</v>
      </c>
      <c r="X384" s="17" t="str">
        <f t="shared" si="114"/>
        <v>Q3-2025</v>
      </c>
      <c r="Y384" t="str">
        <f t="shared" si="115"/>
        <v>Europe → United Kingdom → Birmingham</v>
      </c>
      <c r="Z384" t="str">
        <f t="shared" si="116"/>
        <v>Medium</v>
      </c>
      <c r="AA384">
        <f t="shared" si="101"/>
        <v>2025</v>
      </c>
      <c r="AB384">
        <f t="shared" si="102"/>
        <v>7</v>
      </c>
      <c r="AC384" t="str">
        <f t="shared" si="103"/>
        <v>No</v>
      </c>
      <c r="AD384" t="str">
        <f t="shared" si="104"/>
        <v>No</v>
      </c>
      <c r="AE384" s="36">
        <f>IF(Dashboard!$P$47&gt;'Staging Data'!R384,'Staging Data'!R384,Dashboard!$P$47)</f>
        <v>7.8E-2</v>
      </c>
      <c r="AF384">
        <f>(100%+Dashboard!$P$48)*'Staging Data'!P384</f>
        <v>1199.163</v>
      </c>
      <c r="AG384">
        <f>(100%+Dashboard!$P$49)*S384</f>
        <v>29.12</v>
      </c>
      <c r="AH384" s="13">
        <f t="shared" si="105"/>
        <v>39064.771200000003</v>
      </c>
      <c r="AI384" s="13">
        <f t="shared" si="106"/>
        <v>34919.626560000004</v>
      </c>
      <c r="AJ384" s="13">
        <f t="shared" si="107"/>
        <v>4145.1446399999986</v>
      </c>
    </row>
    <row r="385" spans="1:36" x14ac:dyDescent="0.45">
      <c r="A385" s="3" t="s">
        <v>397</v>
      </c>
      <c r="B385" s="5">
        <v>45097</v>
      </c>
      <c r="C385" s="5">
        <v>45115</v>
      </c>
      <c r="D385" s="5">
        <f t="shared" si="108"/>
        <v>45097</v>
      </c>
      <c r="E385" s="5">
        <f t="shared" si="109"/>
        <v>45115</v>
      </c>
      <c r="F385" s="7">
        <f t="shared" si="110"/>
        <v>18</v>
      </c>
      <c r="G385" s="23" t="str">
        <f t="shared" si="111"/>
        <v>6-2023</v>
      </c>
      <c r="H385" s="3" t="s">
        <v>648</v>
      </c>
      <c r="I385" s="3" t="s">
        <v>660</v>
      </c>
      <c r="J385" s="3" t="s">
        <v>700</v>
      </c>
      <c r="K385" s="3" t="s">
        <v>704</v>
      </c>
      <c r="L385" s="3" t="s">
        <v>709</v>
      </c>
      <c r="M385" s="3" t="s">
        <v>719</v>
      </c>
      <c r="N385" s="3" t="s">
        <v>729</v>
      </c>
      <c r="O385" s="3" t="s">
        <v>1116</v>
      </c>
      <c r="P385" s="19">
        <v>1145.53</v>
      </c>
      <c r="Q385" s="19">
        <v>1278.3</v>
      </c>
      <c r="R385" s="15">
        <v>0.09</v>
      </c>
      <c r="S385" s="7">
        <v>41</v>
      </c>
      <c r="T385" s="13">
        <f t="shared" si="99"/>
        <v>47693.373</v>
      </c>
      <c r="U385" s="13">
        <f t="shared" si="100"/>
        <v>46966.729999999996</v>
      </c>
      <c r="V385" s="13">
        <f t="shared" si="112"/>
        <v>726.64300000000367</v>
      </c>
      <c r="W385" s="15">
        <f t="shared" si="113"/>
        <v>1.5235722581416158E-2</v>
      </c>
      <c r="X385" s="17" t="str">
        <f t="shared" si="114"/>
        <v>Q2-2023</v>
      </c>
      <c r="Y385" t="str">
        <f t="shared" si="115"/>
        <v>Americas → USA → New York</v>
      </c>
      <c r="Z385" t="str">
        <f t="shared" si="116"/>
        <v>Medium</v>
      </c>
      <c r="AA385">
        <f t="shared" si="101"/>
        <v>2023</v>
      </c>
      <c r="AB385">
        <f t="shared" si="102"/>
        <v>6</v>
      </c>
      <c r="AC385" t="str">
        <f t="shared" si="103"/>
        <v>No</v>
      </c>
      <c r="AD385" t="str">
        <f t="shared" si="104"/>
        <v>No</v>
      </c>
      <c r="AE385" s="36">
        <f>IF(Dashboard!$P$47&gt;'Staging Data'!R385,'Staging Data'!R385,Dashboard!$P$47)</f>
        <v>0.09</v>
      </c>
      <c r="AF385">
        <f>(100%+Dashboard!$P$48)*'Staging Data'!P385</f>
        <v>1202.8064999999999</v>
      </c>
      <c r="AG385">
        <f>(100%+Dashboard!$P$49)*S385</f>
        <v>42.64</v>
      </c>
      <c r="AH385" s="13">
        <f t="shared" si="105"/>
        <v>49601.107920000002</v>
      </c>
      <c r="AI385" s="13">
        <f t="shared" si="106"/>
        <v>51287.669159999998</v>
      </c>
      <c r="AJ385" s="13">
        <f t="shared" si="107"/>
        <v>-1686.5612399999955</v>
      </c>
    </row>
    <row r="386" spans="1:36" x14ac:dyDescent="0.45">
      <c r="A386" s="3" t="s">
        <v>398</v>
      </c>
      <c r="B386" s="5">
        <v>45491</v>
      </c>
      <c r="C386" s="5">
        <v>45511</v>
      </c>
      <c r="D386" s="5">
        <f t="shared" si="108"/>
        <v>45491</v>
      </c>
      <c r="E386" s="5">
        <f t="shared" si="109"/>
        <v>45511</v>
      </c>
      <c r="F386" s="7">
        <f t="shared" si="110"/>
        <v>20</v>
      </c>
      <c r="G386" s="23" t="str">
        <f t="shared" si="111"/>
        <v>7-2024</v>
      </c>
      <c r="H386" s="3" t="s">
        <v>649</v>
      </c>
      <c r="I386" s="3" t="s">
        <v>657</v>
      </c>
      <c r="J386" s="3" t="s">
        <v>673</v>
      </c>
      <c r="K386" s="3" t="s">
        <v>701</v>
      </c>
      <c r="L386" s="3" t="s">
        <v>707</v>
      </c>
      <c r="M386" s="3" t="s">
        <v>721</v>
      </c>
      <c r="N386" s="3" t="s">
        <v>732</v>
      </c>
      <c r="O386" s="3" t="s">
        <v>1117</v>
      </c>
      <c r="P386" s="19">
        <v>941.35</v>
      </c>
      <c r="Q386" s="19">
        <v>899.83</v>
      </c>
      <c r="R386" s="15">
        <v>5.8000000000000003E-2</v>
      </c>
      <c r="S386" s="7">
        <v>18</v>
      </c>
      <c r="T386" s="13">
        <f t="shared" si="99"/>
        <v>15257.51748</v>
      </c>
      <c r="U386" s="13">
        <f t="shared" si="100"/>
        <v>16944.3</v>
      </c>
      <c r="V386" s="13">
        <f t="shared" si="112"/>
        <v>-1686.7825199999988</v>
      </c>
      <c r="W386" s="15">
        <f t="shared" si="113"/>
        <v>-0.11055419220139073</v>
      </c>
      <c r="X386" s="17" t="str">
        <f t="shared" si="114"/>
        <v>Q3-2024</v>
      </c>
      <c r="Y386" t="str">
        <f t="shared" si="115"/>
        <v>Europe → France → Marseille</v>
      </c>
      <c r="Z386" t="str">
        <f t="shared" si="116"/>
        <v>Low</v>
      </c>
      <c r="AA386">
        <f t="shared" si="101"/>
        <v>2024</v>
      </c>
      <c r="AB386">
        <f t="shared" si="102"/>
        <v>7</v>
      </c>
      <c r="AC386" t="str">
        <f t="shared" si="103"/>
        <v>No</v>
      </c>
      <c r="AD386" t="str">
        <f t="shared" si="104"/>
        <v>No</v>
      </c>
      <c r="AE386" s="36">
        <f>IF(Dashboard!$P$47&gt;'Staging Data'!R386,'Staging Data'!R386,Dashboard!$P$47)</f>
        <v>5.8000000000000003E-2</v>
      </c>
      <c r="AF386">
        <f>(100%+Dashboard!$P$48)*'Staging Data'!P386</f>
        <v>988.41750000000002</v>
      </c>
      <c r="AG386">
        <f>(100%+Dashboard!$P$49)*S386</f>
        <v>18.72</v>
      </c>
      <c r="AH386" s="13">
        <f t="shared" si="105"/>
        <v>15867.818179199998</v>
      </c>
      <c r="AI386" s="13">
        <f t="shared" si="106"/>
        <v>18503.175599999999</v>
      </c>
      <c r="AJ386" s="13">
        <f t="shared" si="107"/>
        <v>-2635.3574208000009</v>
      </c>
    </row>
    <row r="387" spans="1:36" x14ac:dyDescent="0.45">
      <c r="A387" s="3" t="s">
        <v>399</v>
      </c>
      <c r="B387" s="5">
        <v>45066</v>
      </c>
      <c r="C387" s="5">
        <v>45096</v>
      </c>
      <c r="D387" s="5">
        <f t="shared" si="108"/>
        <v>45066</v>
      </c>
      <c r="E387" s="5">
        <f t="shared" si="109"/>
        <v>45096</v>
      </c>
      <c r="F387" s="7">
        <f t="shared" si="110"/>
        <v>30</v>
      </c>
      <c r="G387" s="23" t="str">
        <f t="shared" si="111"/>
        <v>5-2023</v>
      </c>
      <c r="H387" s="3" t="s">
        <v>647</v>
      </c>
      <c r="I387" s="3" t="s">
        <v>654</v>
      </c>
      <c r="J387" s="3" t="s">
        <v>680</v>
      </c>
      <c r="K387" s="3" t="s">
        <v>703</v>
      </c>
      <c r="L387" s="3" t="s">
        <v>709</v>
      </c>
      <c r="M387" s="3" t="s">
        <v>722</v>
      </c>
      <c r="N387" s="3" t="s">
        <v>731</v>
      </c>
      <c r="O387" s="3" t="s">
        <v>1118</v>
      </c>
      <c r="P387" s="19">
        <v>1161.2</v>
      </c>
      <c r="Q387" s="19">
        <v>878.73</v>
      </c>
      <c r="R387" s="15">
        <v>0.19</v>
      </c>
      <c r="S387" s="7">
        <v>31</v>
      </c>
      <c r="T387" s="13">
        <f t="shared" ref="T387:T450" si="117">(Q387*S387)*(1-R387)</f>
        <v>22064.910300000003</v>
      </c>
      <c r="U387" s="13">
        <f t="shared" ref="U387:U450" si="118">P387*S387</f>
        <v>35997.200000000004</v>
      </c>
      <c r="V387" s="13">
        <f t="shared" si="112"/>
        <v>-13932.289700000001</v>
      </c>
      <c r="W387" s="15">
        <f t="shared" si="113"/>
        <v>-0.63142290227212028</v>
      </c>
      <c r="X387" s="17" t="str">
        <f t="shared" si="114"/>
        <v>Q2-2023</v>
      </c>
      <c r="Y387" t="str">
        <f t="shared" si="115"/>
        <v>Asia → India → Delhi</v>
      </c>
      <c r="Z387" t="str">
        <f t="shared" si="116"/>
        <v>Low</v>
      </c>
      <c r="AA387">
        <f t="shared" ref="AA387:AA450" si="119">YEAR(D387)</f>
        <v>2023</v>
      </c>
      <c r="AB387">
        <f t="shared" ref="AB387:AB450" si="120">MONTH(D387)</f>
        <v>5</v>
      </c>
      <c r="AC387" t="str">
        <f t="shared" ref="AC387:AC450" si="121">IF(F387&lt;=7,"Yes", "No")</f>
        <v>No</v>
      </c>
      <c r="AD387" t="str">
        <f t="shared" ref="AD387:AD450" si="122">IF(R387&gt;20%,"Yes","No")</f>
        <v>No</v>
      </c>
      <c r="AE387" s="36">
        <f>IF(Dashboard!$P$47&gt;'Staging Data'!R387,'Staging Data'!R387,Dashboard!$P$47)</f>
        <v>0.1</v>
      </c>
      <c r="AF387">
        <f>(100%+Dashboard!$P$48)*'Staging Data'!P387</f>
        <v>1219.26</v>
      </c>
      <c r="AG387">
        <f>(100%+Dashboard!$P$49)*S387</f>
        <v>32.24</v>
      </c>
      <c r="AH387" s="13">
        <f t="shared" ref="AH387:AH450" si="123">(Q387*AG387)*(1-AE387)</f>
        <v>25497.229680000004</v>
      </c>
      <c r="AI387" s="13">
        <f t="shared" ref="AI387:AI450" si="124">AF387*AG387</f>
        <v>39308.9424</v>
      </c>
      <c r="AJ387" s="13">
        <f t="shared" ref="AJ387:AJ450" si="125">AH387-AI387</f>
        <v>-13811.712719999996</v>
      </c>
    </row>
    <row r="388" spans="1:36" x14ac:dyDescent="0.45">
      <c r="A388" s="3" t="s">
        <v>400</v>
      </c>
      <c r="B388" s="5">
        <v>45789</v>
      </c>
      <c r="C388" s="5">
        <v>45803</v>
      </c>
      <c r="D388" s="5">
        <f t="shared" si="108"/>
        <v>45789</v>
      </c>
      <c r="E388" s="5">
        <f t="shared" si="109"/>
        <v>45803</v>
      </c>
      <c r="F388" s="7">
        <f t="shared" si="110"/>
        <v>14</v>
      </c>
      <c r="G388" s="23" t="str">
        <f t="shared" si="111"/>
        <v>5-2025</v>
      </c>
      <c r="H388" s="3" t="s">
        <v>647</v>
      </c>
      <c r="I388" s="3" t="s">
        <v>654</v>
      </c>
      <c r="J388" s="3" t="s">
        <v>696</v>
      </c>
      <c r="K388" s="3" t="s">
        <v>701</v>
      </c>
      <c r="L388" s="3" t="s">
        <v>709</v>
      </c>
      <c r="M388" s="3" t="s">
        <v>715</v>
      </c>
      <c r="N388" s="3" t="s">
        <v>728</v>
      </c>
      <c r="O388" s="3" t="s">
        <v>1119</v>
      </c>
      <c r="P388" s="19">
        <v>320.12</v>
      </c>
      <c r="Q388" s="19">
        <v>594.41999999999996</v>
      </c>
      <c r="R388" s="15">
        <v>0.104</v>
      </c>
      <c r="S388" s="7">
        <v>18</v>
      </c>
      <c r="T388" s="13">
        <f t="shared" si="117"/>
        <v>9586.8057599999993</v>
      </c>
      <c r="U388" s="13">
        <f t="shared" si="118"/>
        <v>5762.16</v>
      </c>
      <c r="V388" s="13">
        <f t="shared" si="112"/>
        <v>3824.6457599999994</v>
      </c>
      <c r="W388" s="15">
        <f t="shared" si="113"/>
        <v>0.39894891538931104</v>
      </c>
      <c r="X388" s="17" t="str">
        <f t="shared" si="114"/>
        <v>Q2-2025</v>
      </c>
      <c r="Y388" t="str">
        <f t="shared" si="115"/>
        <v>Asia → India → Hyderabad</v>
      </c>
      <c r="Z388" t="str">
        <f t="shared" si="116"/>
        <v>Low</v>
      </c>
      <c r="AA388">
        <f t="shared" si="119"/>
        <v>2025</v>
      </c>
      <c r="AB388">
        <f t="shared" si="120"/>
        <v>5</v>
      </c>
      <c r="AC388" t="str">
        <f t="shared" si="121"/>
        <v>No</v>
      </c>
      <c r="AD388" t="str">
        <f t="shared" si="122"/>
        <v>No</v>
      </c>
      <c r="AE388" s="36">
        <f>IF(Dashboard!$P$47&gt;'Staging Data'!R388,'Staging Data'!R388,Dashboard!$P$47)</f>
        <v>0.1</v>
      </c>
      <c r="AF388">
        <f>(100%+Dashboard!$P$48)*'Staging Data'!P388</f>
        <v>336.12600000000003</v>
      </c>
      <c r="AG388">
        <f>(100%+Dashboard!$P$49)*S388</f>
        <v>18.72</v>
      </c>
      <c r="AH388" s="13">
        <f t="shared" si="123"/>
        <v>10014.788159999998</v>
      </c>
      <c r="AI388" s="13">
        <f t="shared" si="124"/>
        <v>6292.2787200000002</v>
      </c>
      <c r="AJ388" s="13">
        <f t="shared" si="125"/>
        <v>3722.509439999998</v>
      </c>
    </row>
    <row r="389" spans="1:36" x14ac:dyDescent="0.45">
      <c r="A389" s="3" t="s">
        <v>401</v>
      </c>
      <c r="B389" s="5">
        <v>45419</v>
      </c>
      <c r="C389" s="5">
        <v>45424</v>
      </c>
      <c r="D389" s="5">
        <f t="shared" si="108"/>
        <v>45419</v>
      </c>
      <c r="E389" s="5">
        <f t="shared" si="109"/>
        <v>45424</v>
      </c>
      <c r="F389" s="7">
        <f t="shared" si="110"/>
        <v>5</v>
      </c>
      <c r="G389" s="23" t="str">
        <f t="shared" si="111"/>
        <v>5-2024</v>
      </c>
      <c r="H389" s="3" t="s">
        <v>646</v>
      </c>
      <c r="I389" s="3" t="s">
        <v>651</v>
      </c>
      <c r="J389" s="3" t="s">
        <v>669</v>
      </c>
      <c r="K389" s="3" t="s">
        <v>703</v>
      </c>
      <c r="L389" s="3" t="s">
        <v>710</v>
      </c>
      <c r="M389" s="3" t="s">
        <v>716</v>
      </c>
      <c r="N389" s="3" t="s">
        <v>731</v>
      </c>
      <c r="O389" s="3" t="s">
        <v>1120</v>
      </c>
      <c r="P389" s="19">
        <v>1163.99</v>
      </c>
      <c r="Q389" s="19">
        <v>1617.85</v>
      </c>
      <c r="R389" s="15">
        <v>0.127</v>
      </c>
      <c r="S389" s="7">
        <v>14</v>
      </c>
      <c r="T389" s="13">
        <f t="shared" si="117"/>
        <v>19773.362699999998</v>
      </c>
      <c r="U389" s="13">
        <f t="shared" si="118"/>
        <v>16295.86</v>
      </c>
      <c r="V389" s="13">
        <f t="shared" si="112"/>
        <v>3477.5026999999973</v>
      </c>
      <c r="W389" s="15">
        <f t="shared" si="113"/>
        <v>0.17586804797749436</v>
      </c>
      <c r="X389" s="17" t="str">
        <f t="shared" si="114"/>
        <v>Q2-2024</v>
      </c>
      <c r="Y389" t="str">
        <f t="shared" si="115"/>
        <v>Africa → Nigeria → Abuja</v>
      </c>
      <c r="Z389" t="str">
        <f t="shared" si="116"/>
        <v>Medium</v>
      </c>
      <c r="AA389">
        <f t="shared" si="119"/>
        <v>2024</v>
      </c>
      <c r="AB389">
        <f t="shared" si="120"/>
        <v>5</v>
      </c>
      <c r="AC389" t="str">
        <f t="shared" si="121"/>
        <v>Yes</v>
      </c>
      <c r="AD389" t="str">
        <f t="shared" si="122"/>
        <v>No</v>
      </c>
      <c r="AE389" s="36">
        <f>IF(Dashboard!$P$47&gt;'Staging Data'!R389,'Staging Data'!R389,Dashboard!$P$47)</f>
        <v>0.1</v>
      </c>
      <c r="AF389">
        <f>(100%+Dashboard!$P$48)*'Staging Data'!P389</f>
        <v>1222.1895</v>
      </c>
      <c r="AG389">
        <f>(100%+Dashboard!$P$49)*S389</f>
        <v>14.56</v>
      </c>
      <c r="AH389" s="13">
        <f t="shared" si="123"/>
        <v>21200.306400000001</v>
      </c>
      <c r="AI389" s="13">
        <f t="shared" si="124"/>
        <v>17795.079119999999</v>
      </c>
      <c r="AJ389" s="13">
        <f t="shared" si="125"/>
        <v>3405.2272800000028</v>
      </c>
    </row>
    <row r="390" spans="1:36" x14ac:dyDescent="0.45">
      <c r="A390" s="3" t="s">
        <v>402</v>
      </c>
      <c r="B390" s="5">
        <v>45199</v>
      </c>
      <c r="C390" s="5">
        <v>45202</v>
      </c>
      <c r="D390" s="5">
        <f t="shared" si="108"/>
        <v>45199</v>
      </c>
      <c r="E390" s="5">
        <f t="shared" si="109"/>
        <v>45202</v>
      </c>
      <c r="F390" s="7">
        <f t="shared" si="110"/>
        <v>3</v>
      </c>
      <c r="G390" s="23" t="str">
        <f t="shared" si="111"/>
        <v>9-2023</v>
      </c>
      <c r="H390" s="3" t="s">
        <v>647</v>
      </c>
      <c r="I390" s="3" t="s">
        <v>659</v>
      </c>
      <c r="J390" s="3" t="s">
        <v>699</v>
      </c>
      <c r="K390" s="3" t="s">
        <v>703</v>
      </c>
      <c r="L390" s="3" t="s">
        <v>707</v>
      </c>
      <c r="M390" s="3" t="s">
        <v>713</v>
      </c>
      <c r="N390" s="3" t="s">
        <v>731</v>
      </c>
      <c r="O390" s="3" t="s">
        <v>1121</v>
      </c>
      <c r="P390" s="19">
        <v>1019.36</v>
      </c>
      <c r="Q390" s="19">
        <v>972.91</v>
      </c>
      <c r="R390" s="15">
        <v>0.14699999999999999</v>
      </c>
      <c r="S390" s="7">
        <v>17</v>
      </c>
      <c r="T390" s="13">
        <f t="shared" si="117"/>
        <v>14108.16791</v>
      </c>
      <c r="U390" s="13">
        <f t="shared" si="118"/>
        <v>17329.12</v>
      </c>
      <c r="V390" s="13">
        <f t="shared" si="112"/>
        <v>-3220.9520899999989</v>
      </c>
      <c r="W390" s="15">
        <f t="shared" si="113"/>
        <v>-0.22830406545678819</v>
      </c>
      <c r="X390" s="17" t="str">
        <f t="shared" si="114"/>
        <v>Q3-2023</v>
      </c>
      <c r="Y390" t="str">
        <f t="shared" si="115"/>
        <v>Asia → China → Beijing</v>
      </c>
      <c r="Z390" t="str">
        <f t="shared" si="116"/>
        <v>Low</v>
      </c>
      <c r="AA390">
        <f t="shared" si="119"/>
        <v>2023</v>
      </c>
      <c r="AB390">
        <f t="shared" si="120"/>
        <v>9</v>
      </c>
      <c r="AC390" t="str">
        <f t="shared" si="121"/>
        <v>Yes</v>
      </c>
      <c r="AD390" t="str">
        <f t="shared" si="122"/>
        <v>No</v>
      </c>
      <c r="AE390" s="36">
        <f>IF(Dashboard!$P$47&gt;'Staging Data'!R390,'Staging Data'!R390,Dashboard!$P$47)</f>
        <v>0.1</v>
      </c>
      <c r="AF390">
        <f>(100%+Dashboard!$P$48)*'Staging Data'!P390</f>
        <v>1070.328</v>
      </c>
      <c r="AG390">
        <f>(100%+Dashboard!$P$49)*S390</f>
        <v>17.68</v>
      </c>
      <c r="AH390" s="13">
        <f t="shared" si="123"/>
        <v>15480.943920000002</v>
      </c>
      <c r="AI390" s="13">
        <f t="shared" si="124"/>
        <v>18923.39904</v>
      </c>
      <c r="AJ390" s="13">
        <f t="shared" si="125"/>
        <v>-3442.4551199999987</v>
      </c>
    </row>
    <row r="391" spans="1:36" x14ac:dyDescent="0.45">
      <c r="A391" s="3" t="s">
        <v>403</v>
      </c>
      <c r="B391" s="5">
        <v>45225</v>
      </c>
      <c r="C391" s="5">
        <v>45235</v>
      </c>
      <c r="D391" s="5">
        <f t="shared" si="108"/>
        <v>45225</v>
      </c>
      <c r="E391" s="5">
        <f t="shared" si="109"/>
        <v>45235</v>
      </c>
      <c r="F391" s="7">
        <f t="shared" si="110"/>
        <v>10</v>
      </c>
      <c r="G391" s="23" t="str">
        <f t="shared" si="111"/>
        <v>10-2023</v>
      </c>
      <c r="H391" s="3" t="s">
        <v>646</v>
      </c>
      <c r="I391" s="3" t="s">
        <v>661</v>
      </c>
      <c r="J391" s="3" t="s">
        <v>695</v>
      </c>
      <c r="K391" s="3" t="s">
        <v>703</v>
      </c>
      <c r="L391" s="3" t="s">
        <v>708</v>
      </c>
      <c r="M391" s="3" t="s">
        <v>714</v>
      </c>
      <c r="N391" s="3" t="s">
        <v>731</v>
      </c>
      <c r="O391" s="3" t="s">
        <v>1122</v>
      </c>
      <c r="P391" s="19">
        <v>20.38</v>
      </c>
      <c r="Q391" s="19">
        <v>42.56</v>
      </c>
      <c r="R391" s="15">
        <v>7.1999999999999995E-2</v>
      </c>
      <c r="S391" s="7">
        <v>11</v>
      </c>
      <c r="T391" s="13">
        <f t="shared" si="117"/>
        <v>434.45248000000004</v>
      </c>
      <c r="U391" s="13">
        <f t="shared" si="118"/>
        <v>224.17999999999998</v>
      </c>
      <c r="V391" s="13">
        <f t="shared" si="112"/>
        <v>210.27248000000006</v>
      </c>
      <c r="W391" s="15">
        <f t="shared" si="113"/>
        <v>0.48399419885921713</v>
      </c>
      <c r="X391" s="17" t="str">
        <f t="shared" si="114"/>
        <v>Q4-2023</v>
      </c>
      <c r="Y391" t="str">
        <f t="shared" si="115"/>
        <v>Africa → South Africa → Cape Town</v>
      </c>
      <c r="Z391" t="str">
        <f t="shared" si="116"/>
        <v>Low</v>
      </c>
      <c r="AA391">
        <f t="shared" si="119"/>
        <v>2023</v>
      </c>
      <c r="AB391">
        <f t="shared" si="120"/>
        <v>10</v>
      </c>
      <c r="AC391" t="str">
        <f t="shared" si="121"/>
        <v>No</v>
      </c>
      <c r="AD391" t="str">
        <f t="shared" si="122"/>
        <v>No</v>
      </c>
      <c r="AE391" s="36">
        <f>IF(Dashboard!$P$47&gt;'Staging Data'!R391,'Staging Data'!R391,Dashboard!$P$47)</f>
        <v>7.1999999999999995E-2</v>
      </c>
      <c r="AF391">
        <f>(100%+Dashboard!$P$48)*'Staging Data'!P391</f>
        <v>21.399000000000001</v>
      </c>
      <c r="AG391">
        <f>(100%+Dashboard!$P$49)*S391</f>
        <v>11.440000000000001</v>
      </c>
      <c r="AH391" s="13">
        <f t="shared" si="123"/>
        <v>451.8305792000001</v>
      </c>
      <c r="AI391" s="13">
        <f t="shared" si="124"/>
        <v>244.80456000000004</v>
      </c>
      <c r="AJ391" s="13">
        <f t="shared" si="125"/>
        <v>207.02601920000006</v>
      </c>
    </row>
    <row r="392" spans="1:36" x14ac:dyDescent="0.45">
      <c r="A392" s="3" t="s">
        <v>404</v>
      </c>
      <c r="B392" s="5">
        <v>45823</v>
      </c>
      <c r="C392" s="5">
        <v>45838</v>
      </c>
      <c r="D392" s="5">
        <f t="shared" si="108"/>
        <v>45823</v>
      </c>
      <c r="E392" s="5">
        <f t="shared" si="109"/>
        <v>45838</v>
      </c>
      <c r="F392" s="7">
        <f t="shared" si="110"/>
        <v>15</v>
      </c>
      <c r="G392" s="23" t="str">
        <f t="shared" si="111"/>
        <v>6-2025</v>
      </c>
      <c r="H392" s="3" t="s">
        <v>646</v>
      </c>
      <c r="I392" s="3" t="s">
        <v>661</v>
      </c>
      <c r="J392" s="3" t="s">
        <v>682</v>
      </c>
      <c r="K392" s="3" t="s">
        <v>705</v>
      </c>
      <c r="L392" s="3" t="s">
        <v>711</v>
      </c>
      <c r="M392" s="3" t="s">
        <v>712</v>
      </c>
      <c r="N392" s="3" t="s">
        <v>732</v>
      </c>
      <c r="O392" s="3" t="s">
        <v>1123</v>
      </c>
      <c r="P392" s="19">
        <v>1487.59</v>
      </c>
      <c r="Q392" s="19">
        <v>1480.83</v>
      </c>
      <c r="R392" s="15">
        <v>8.9999999999999993E-3</v>
      </c>
      <c r="S392" s="7">
        <v>11</v>
      </c>
      <c r="T392" s="13">
        <f t="shared" si="117"/>
        <v>16142.527829999999</v>
      </c>
      <c r="U392" s="13">
        <f t="shared" si="118"/>
        <v>16363.49</v>
      </c>
      <c r="V392" s="13">
        <f t="shared" si="112"/>
        <v>-220.9621700000007</v>
      </c>
      <c r="W392" s="15">
        <f t="shared" si="113"/>
        <v>-1.3688201273492908E-2</v>
      </c>
      <c r="X392" s="17" t="str">
        <f t="shared" si="114"/>
        <v>Q2-2025</v>
      </c>
      <c r="Y392" t="str">
        <f t="shared" si="115"/>
        <v>Africa → South Africa → Johannesburg</v>
      </c>
      <c r="Z392" t="str">
        <f t="shared" si="116"/>
        <v>Medium</v>
      </c>
      <c r="AA392">
        <f t="shared" si="119"/>
        <v>2025</v>
      </c>
      <c r="AB392">
        <f t="shared" si="120"/>
        <v>6</v>
      </c>
      <c r="AC392" t="str">
        <f t="shared" si="121"/>
        <v>No</v>
      </c>
      <c r="AD392" t="str">
        <f t="shared" si="122"/>
        <v>No</v>
      </c>
      <c r="AE392" s="36">
        <f>IF(Dashboard!$P$47&gt;'Staging Data'!R392,'Staging Data'!R392,Dashboard!$P$47)</f>
        <v>8.9999999999999993E-3</v>
      </c>
      <c r="AF392">
        <f>(100%+Dashboard!$P$48)*'Staging Data'!P392</f>
        <v>1561.9694999999999</v>
      </c>
      <c r="AG392">
        <f>(100%+Dashboard!$P$49)*S392</f>
        <v>11.440000000000001</v>
      </c>
      <c r="AH392" s="13">
        <f t="shared" si="123"/>
        <v>16788.228943200003</v>
      </c>
      <c r="AI392" s="13">
        <f t="shared" si="124"/>
        <v>17868.931080000002</v>
      </c>
      <c r="AJ392" s="13">
        <f t="shared" si="125"/>
        <v>-1080.7021367999987</v>
      </c>
    </row>
    <row r="393" spans="1:36" x14ac:dyDescent="0.45">
      <c r="A393" s="3" t="s">
        <v>405</v>
      </c>
      <c r="B393" s="5">
        <v>45514</v>
      </c>
      <c r="C393" s="5">
        <v>45542</v>
      </c>
      <c r="D393" s="5">
        <f t="shared" si="108"/>
        <v>45514</v>
      </c>
      <c r="E393" s="5">
        <f t="shared" si="109"/>
        <v>45542</v>
      </c>
      <c r="F393" s="7">
        <f t="shared" si="110"/>
        <v>28</v>
      </c>
      <c r="G393" s="23" t="str">
        <f t="shared" si="111"/>
        <v>8-2024</v>
      </c>
      <c r="H393" s="3" t="s">
        <v>649</v>
      </c>
      <c r="I393" s="3" t="s">
        <v>657</v>
      </c>
      <c r="J393" s="3" t="s">
        <v>673</v>
      </c>
      <c r="K393" s="3" t="s">
        <v>703</v>
      </c>
      <c r="L393" s="3" t="s">
        <v>711</v>
      </c>
      <c r="M393" s="3" t="s">
        <v>721</v>
      </c>
      <c r="N393" s="3" t="s">
        <v>728</v>
      </c>
      <c r="O393" s="3" t="s">
        <v>1124</v>
      </c>
      <c r="P393" s="19">
        <v>229.96</v>
      </c>
      <c r="Q393" s="19">
        <v>564.26</v>
      </c>
      <c r="R393" s="15">
        <v>0.105</v>
      </c>
      <c r="S393" s="7">
        <v>5</v>
      </c>
      <c r="T393" s="13">
        <f t="shared" si="117"/>
        <v>2525.0635000000002</v>
      </c>
      <c r="U393" s="13">
        <f t="shared" si="118"/>
        <v>1149.8</v>
      </c>
      <c r="V393" s="13">
        <f t="shared" si="112"/>
        <v>1375.2635000000002</v>
      </c>
      <c r="W393" s="15">
        <f t="shared" si="113"/>
        <v>0.54464511486542821</v>
      </c>
      <c r="X393" s="17" t="str">
        <f t="shared" si="114"/>
        <v>Q3-2024</v>
      </c>
      <c r="Y393" t="str">
        <f t="shared" si="115"/>
        <v>Europe → France → Marseille</v>
      </c>
      <c r="Z393" t="str">
        <f t="shared" si="116"/>
        <v>Low</v>
      </c>
      <c r="AA393">
        <f t="shared" si="119"/>
        <v>2024</v>
      </c>
      <c r="AB393">
        <f t="shared" si="120"/>
        <v>8</v>
      </c>
      <c r="AC393" t="str">
        <f t="shared" si="121"/>
        <v>No</v>
      </c>
      <c r="AD393" t="str">
        <f t="shared" si="122"/>
        <v>No</v>
      </c>
      <c r="AE393" s="36">
        <f>IF(Dashboard!$P$47&gt;'Staging Data'!R393,'Staging Data'!R393,Dashboard!$P$47)</f>
        <v>0.1</v>
      </c>
      <c r="AF393">
        <f>(100%+Dashboard!$P$48)*'Staging Data'!P393</f>
        <v>241.45800000000003</v>
      </c>
      <c r="AG393">
        <f>(100%+Dashboard!$P$49)*S393</f>
        <v>5.2</v>
      </c>
      <c r="AH393" s="13">
        <f t="shared" si="123"/>
        <v>2640.7368000000001</v>
      </c>
      <c r="AI393" s="13">
        <f t="shared" si="124"/>
        <v>1255.5816000000002</v>
      </c>
      <c r="AJ393" s="13">
        <f t="shared" si="125"/>
        <v>1385.1551999999999</v>
      </c>
    </row>
    <row r="394" spans="1:36" x14ac:dyDescent="0.45">
      <c r="A394" s="3" t="s">
        <v>406</v>
      </c>
      <c r="B394" s="5">
        <v>45208</v>
      </c>
      <c r="C394" s="5">
        <v>45225</v>
      </c>
      <c r="D394" s="5">
        <f t="shared" si="108"/>
        <v>45208</v>
      </c>
      <c r="E394" s="5">
        <f t="shared" si="109"/>
        <v>45225</v>
      </c>
      <c r="F394" s="7">
        <f t="shared" si="110"/>
        <v>17</v>
      </c>
      <c r="G394" s="23" t="str">
        <f t="shared" si="111"/>
        <v>10-2023</v>
      </c>
      <c r="H394" s="3" t="s">
        <v>647</v>
      </c>
      <c r="I394" s="3" t="s">
        <v>659</v>
      </c>
      <c r="J394" s="3" t="s">
        <v>685</v>
      </c>
      <c r="K394" s="3" t="s">
        <v>704</v>
      </c>
      <c r="L394" s="3" t="s">
        <v>709</v>
      </c>
      <c r="M394" s="3" t="s">
        <v>712</v>
      </c>
      <c r="N394" s="3" t="s">
        <v>727</v>
      </c>
      <c r="O394" s="3" t="s">
        <v>1125</v>
      </c>
      <c r="P394" s="19">
        <v>1132.03</v>
      </c>
      <c r="Q394" s="19">
        <v>2137.21</v>
      </c>
      <c r="R394" s="15">
        <v>0.1186</v>
      </c>
      <c r="S394" s="7">
        <v>35</v>
      </c>
      <c r="T394" s="13">
        <f t="shared" si="117"/>
        <v>65930.791290000008</v>
      </c>
      <c r="U394" s="13">
        <f t="shared" si="118"/>
        <v>39621.049999999996</v>
      </c>
      <c r="V394" s="13">
        <f t="shared" si="112"/>
        <v>26309.741290000013</v>
      </c>
      <c r="W394" s="15">
        <f t="shared" si="113"/>
        <v>0.39905089526796744</v>
      </c>
      <c r="X394" s="17" t="str">
        <f t="shared" si="114"/>
        <v>Q4-2023</v>
      </c>
      <c r="Y394" t="str">
        <f t="shared" si="115"/>
        <v>Asia → China → Shanghai</v>
      </c>
      <c r="Z394" t="str">
        <f t="shared" si="116"/>
        <v>High</v>
      </c>
      <c r="AA394">
        <f t="shared" si="119"/>
        <v>2023</v>
      </c>
      <c r="AB394">
        <f t="shared" si="120"/>
        <v>10</v>
      </c>
      <c r="AC394" t="str">
        <f t="shared" si="121"/>
        <v>No</v>
      </c>
      <c r="AD394" t="str">
        <f t="shared" si="122"/>
        <v>No</v>
      </c>
      <c r="AE394" s="36">
        <f>IF(Dashboard!$P$47&gt;'Staging Data'!R394,'Staging Data'!R394,Dashboard!$P$47)</f>
        <v>0.1</v>
      </c>
      <c r="AF394">
        <f>(100%+Dashboard!$P$48)*'Staging Data'!P394</f>
        <v>1188.6315</v>
      </c>
      <c r="AG394">
        <f>(100%+Dashboard!$P$49)*S394</f>
        <v>36.4</v>
      </c>
      <c r="AH394" s="13">
        <f t="shared" si="123"/>
        <v>70014.99960000001</v>
      </c>
      <c r="AI394" s="13">
        <f t="shared" si="124"/>
        <v>43266.186599999994</v>
      </c>
      <c r="AJ394" s="13">
        <f t="shared" si="125"/>
        <v>26748.813000000016</v>
      </c>
    </row>
    <row r="395" spans="1:36" x14ac:dyDescent="0.45">
      <c r="A395" s="3" t="s">
        <v>407</v>
      </c>
      <c r="B395" s="5">
        <v>45360</v>
      </c>
      <c r="C395" s="5">
        <v>45377</v>
      </c>
      <c r="D395" s="5">
        <f t="shared" ref="D395:D458" si="126">IF(C395&gt;B395,B395,C395)</f>
        <v>45360</v>
      </c>
      <c r="E395" s="5">
        <f t="shared" ref="E395:E458" si="127">IF(C395&gt;B395,C395,B395)</f>
        <v>45377</v>
      </c>
      <c r="F395" s="7">
        <f t="shared" ref="F395:F458" si="128">DATEDIF(D395,E395,"D")</f>
        <v>17</v>
      </c>
      <c r="G395" s="23" t="str">
        <f t="shared" ref="G395:G458" si="129">CONCATENATE(MONTH(D395), "-",YEAR(D395))</f>
        <v>3-2024</v>
      </c>
      <c r="H395" s="3" t="s">
        <v>648</v>
      </c>
      <c r="I395" s="3" t="s">
        <v>660</v>
      </c>
      <c r="J395" s="3" t="s">
        <v>686</v>
      </c>
      <c r="K395" s="3" t="s">
        <v>702</v>
      </c>
      <c r="L395" s="3" t="s">
        <v>711</v>
      </c>
      <c r="M395" s="3" t="s">
        <v>714</v>
      </c>
      <c r="N395" s="3" t="s">
        <v>730</v>
      </c>
      <c r="O395" s="3" t="s">
        <v>1126</v>
      </c>
      <c r="P395" s="19">
        <v>1137.4100000000001</v>
      </c>
      <c r="Q395" s="19">
        <v>1680.93</v>
      </c>
      <c r="R395" s="15">
        <v>0.254</v>
      </c>
      <c r="S395" s="7">
        <v>9</v>
      </c>
      <c r="T395" s="13">
        <f t="shared" si="117"/>
        <v>11285.764020000001</v>
      </c>
      <c r="U395" s="13">
        <f t="shared" si="118"/>
        <v>10236.69</v>
      </c>
      <c r="V395" s="13">
        <f t="shared" ref="V395:V458" si="130">T395-U395</f>
        <v>1049.07402</v>
      </c>
      <c r="W395" s="15">
        <f t="shared" ref="W395:W458" si="131">IF(T395=0, 0,V395/T395)</f>
        <v>9.2955516183121464E-2</v>
      </c>
      <c r="X395" s="17" t="str">
        <f t="shared" ref="X395:X458" si="132">CONCATENATE(IF(MONTH(D395)&lt;=3,"Q1", IF(MONTH(D395)&lt;=6, "Q2", IF(MONTH(D395)&lt;= 9, "Q3", "Q4"))), "-", YEAR(D395))</f>
        <v>Q1-2024</v>
      </c>
      <c r="Y395" t="str">
        <f t="shared" ref="Y395:Y458" si="133">CONCATENATE(H395," → ",I395," → ",J395)</f>
        <v>Americas → USA → San Francisco</v>
      </c>
      <c r="Z395" t="str">
        <f t="shared" ref="Z395:Z458" si="134">IF(Q395&lt;=1193.97, "Low",IF(Q395&lt;1912.05,"Medium", "High"))</f>
        <v>Medium</v>
      </c>
      <c r="AA395">
        <f t="shared" si="119"/>
        <v>2024</v>
      </c>
      <c r="AB395">
        <f t="shared" si="120"/>
        <v>3</v>
      </c>
      <c r="AC395" t="str">
        <f t="shared" si="121"/>
        <v>No</v>
      </c>
      <c r="AD395" t="str">
        <f t="shared" si="122"/>
        <v>Yes</v>
      </c>
      <c r="AE395" s="36">
        <f>IF(Dashboard!$P$47&gt;'Staging Data'!R395,'Staging Data'!R395,Dashboard!$P$47)</f>
        <v>0.1</v>
      </c>
      <c r="AF395">
        <f>(100%+Dashboard!$P$48)*'Staging Data'!P395</f>
        <v>1194.2805000000001</v>
      </c>
      <c r="AG395">
        <f>(100%+Dashboard!$P$49)*S395</f>
        <v>9.36</v>
      </c>
      <c r="AH395" s="13">
        <f t="shared" si="123"/>
        <v>14160.15432</v>
      </c>
      <c r="AI395" s="13">
        <f t="shared" si="124"/>
        <v>11178.465480000001</v>
      </c>
      <c r="AJ395" s="13">
        <f t="shared" si="125"/>
        <v>2981.6888399999989</v>
      </c>
    </row>
    <row r="396" spans="1:36" x14ac:dyDescent="0.45">
      <c r="A396" s="3" t="s">
        <v>408</v>
      </c>
      <c r="B396" s="5">
        <v>45075</v>
      </c>
      <c r="C396" s="5">
        <v>45097</v>
      </c>
      <c r="D396" s="5">
        <f t="shared" si="126"/>
        <v>45075</v>
      </c>
      <c r="E396" s="5">
        <f t="shared" si="127"/>
        <v>45097</v>
      </c>
      <c r="F396" s="7">
        <f t="shared" si="128"/>
        <v>22</v>
      </c>
      <c r="G396" s="23" t="str">
        <f t="shared" si="129"/>
        <v>5-2023</v>
      </c>
      <c r="H396" s="3" t="s">
        <v>649</v>
      </c>
      <c r="I396" s="3" t="s">
        <v>658</v>
      </c>
      <c r="J396" s="3" t="s">
        <v>683</v>
      </c>
      <c r="K396" s="3" t="s">
        <v>705</v>
      </c>
      <c r="L396" s="3" t="s">
        <v>711</v>
      </c>
      <c r="M396" s="3" t="s">
        <v>723</v>
      </c>
      <c r="N396" s="3" t="s">
        <v>727</v>
      </c>
      <c r="O396" s="3" t="s">
        <v>1127</v>
      </c>
      <c r="P396" s="19">
        <v>1295.3900000000001</v>
      </c>
      <c r="Q396" s="19">
        <v>2905.06</v>
      </c>
      <c r="R396" s="15">
        <v>0.14799999999999999</v>
      </c>
      <c r="S396" s="7">
        <v>8</v>
      </c>
      <c r="T396" s="13">
        <f t="shared" si="117"/>
        <v>19800.88896</v>
      </c>
      <c r="U396" s="13">
        <f t="shared" si="118"/>
        <v>10363.120000000001</v>
      </c>
      <c r="V396" s="13">
        <f t="shared" si="130"/>
        <v>9437.7689599999994</v>
      </c>
      <c r="W396" s="15">
        <f t="shared" si="131"/>
        <v>0.47663359857556614</v>
      </c>
      <c r="X396" s="17" t="str">
        <f t="shared" si="132"/>
        <v>Q2-2023</v>
      </c>
      <c r="Y396" t="str">
        <f t="shared" si="133"/>
        <v>Europe → United Kingdom → London</v>
      </c>
      <c r="Z396" t="str">
        <f t="shared" si="134"/>
        <v>High</v>
      </c>
      <c r="AA396">
        <f t="shared" si="119"/>
        <v>2023</v>
      </c>
      <c r="AB396">
        <f t="shared" si="120"/>
        <v>5</v>
      </c>
      <c r="AC396" t="str">
        <f t="shared" si="121"/>
        <v>No</v>
      </c>
      <c r="AD396" t="str">
        <f t="shared" si="122"/>
        <v>No</v>
      </c>
      <c r="AE396" s="36">
        <f>IF(Dashboard!$P$47&gt;'Staging Data'!R396,'Staging Data'!R396,Dashboard!$P$47)</f>
        <v>0.1</v>
      </c>
      <c r="AF396">
        <f>(100%+Dashboard!$P$48)*'Staging Data'!P396</f>
        <v>1360.1595000000002</v>
      </c>
      <c r="AG396">
        <f>(100%+Dashboard!$P$49)*S396</f>
        <v>8.32</v>
      </c>
      <c r="AH396" s="13">
        <f t="shared" si="123"/>
        <v>21753.08928</v>
      </c>
      <c r="AI396" s="13">
        <f t="shared" si="124"/>
        <v>11316.527040000003</v>
      </c>
      <c r="AJ396" s="13">
        <f t="shared" si="125"/>
        <v>10436.562239999997</v>
      </c>
    </row>
    <row r="397" spans="1:36" x14ac:dyDescent="0.45">
      <c r="A397" s="3" t="s">
        <v>40</v>
      </c>
      <c r="B397" s="5">
        <v>45473</v>
      </c>
      <c r="C397" s="5">
        <v>45487</v>
      </c>
      <c r="D397" s="5">
        <f t="shared" si="126"/>
        <v>45473</v>
      </c>
      <c r="E397" s="5">
        <f t="shared" si="127"/>
        <v>45487</v>
      </c>
      <c r="F397" s="7">
        <f t="shared" si="128"/>
        <v>14</v>
      </c>
      <c r="G397" s="23" t="str">
        <f t="shared" si="129"/>
        <v>6-2024</v>
      </c>
      <c r="H397" s="3" t="s">
        <v>648</v>
      </c>
      <c r="I397" s="3" t="s">
        <v>655</v>
      </c>
      <c r="J397" s="3" t="s">
        <v>672</v>
      </c>
      <c r="K397" s="3" t="s">
        <v>702</v>
      </c>
      <c r="L397" s="3" t="s">
        <v>707</v>
      </c>
      <c r="M397" s="3" t="s">
        <v>712</v>
      </c>
      <c r="N397" s="3" t="s">
        <v>733</v>
      </c>
      <c r="O397" s="3" t="s">
        <v>759</v>
      </c>
      <c r="P397" s="19">
        <v>1491.85</v>
      </c>
      <c r="Q397" s="19">
        <v>2583.02</v>
      </c>
      <c r="R397" s="15">
        <v>0.16800000000000001</v>
      </c>
      <c r="S397" s="7">
        <v>4</v>
      </c>
      <c r="T397" s="13">
        <f t="shared" si="117"/>
        <v>8596.2905599999995</v>
      </c>
      <c r="U397" s="13">
        <f t="shared" si="118"/>
        <v>5967.4</v>
      </c>
      <c r="V397" s="13">
        <f t="shared" si="130"/>
        <v>2628.8905599999998</v>
      </c>
      <c r="W397" s="15">
        <f t="shared" si="131"/>
        <v>0.30581685689321325</v>
      </c>
      <c r="X397" s="17" t="str">
        <f t="shared" si="132"/>
        <v>Q2-2024</v>
      </c>
      <c r="Y397" t="str">
        <f t="shared" si="133"/>
        <v>Americas → Brazil → Brasília</v>
      </c>
      <c r="Z397" t="str">
        <f t="shared" si="134"/>
        <v>High</v>
      </c>
      <c r="AA397">
        <f t="shared" si="119"/>
        <v>2024</v>
      </c>
      <c r="AB397">
        <f t="shared" si="120"/>
        <v>6</v>
      </c>
      <c r="AC397" t="str">
        <f t="shared" si="121"/>
        <v>No</v>
      </c>
      <c r="AD397" t="str">
        <f t="shared" si="122"/>
        <v>No</v>
      </c>
      <c r="AE397" s="36">
        <f>IF(Dashboard!$P$47&gt;'Staging Data'!R397,'Staging Data'!R397,Dashboard!$P$47)</f>
        <v>0.1</v>
      </c>
      <c r="AF397">
        <f>(100%+Dashboard!$P$48)*'Staging Data'!P397</f>
        <v>1566.4424999999999</v>
      </c>
      <c r="AG397">
        <f>(100%+Dashboard!$P$49)*S397</f>
        <v>4.16</v>
      </c>
      <c r="AH397" s="13">
        <f t="shared" si="123"/>
        <v>9670.8268800000005</v>
      </c>
      <c r="AI397" s="13">
        <f t="shared" si="124"/>
        <v>6516.4007999999994</v>
      </c>
      <c r="AJ397" s="13">
        <f t="shared" si="125"/>
        <v>3154.4260800000011</v>
      </c>
    </row>
    <row r="398" spans="1:36" x14ac:dyDescent="0.45">
      <c r="A398" s="3" t="s">
        <v>410</v>
      </c>
      <c r="B398" s="5">
        <v>45890</v>
      </c>
      <c r="C398" s="5">
        <v>45914</v>
      </c>
      <c r="D398" s="5">
        <f t="shared" si="126"/>
        <v>45890</v>
      </c>
      <c r="E398" s="5">
        <f t="shared" si="127"/>
        <v>45914</v>
      </c>
      <c r="F398" s="7">
        <f t="shared" si="128"/>
        <v>24</v>
      </c>
      <c r="G398" s="23" t="str">
        <f t="shared" si="129"/>
        <v>8-2025</v>
      </c>
      <c r="H398" s="3" t="s">
        <v>649</v>
      </c>
      <c r="I398" s="3" t="s">
        <v>656</v>
      </c>
      <c r="J398" s="3" t="s">
        <v>671</v>
      </c>
      <c r="K398" s="3" t="s">
        <v>703</v>
      </c>
      <c r="L398" s="3" t="s">
        <v>708</v>
      </c>
      <c r="M398" s="3" t="s">
        <v>720</v>
      </c>
      <c r="N398" s="3" t="s">
        <v>732</v>
      </c>
      <c r="O398" s="3" t="s">
        <v>1129</v>
      </c>
      <c r="P398" s="19">
        <v>1397.67</v>
      </c>
      <c r="Q398" s="19">
        <v>3131.37</v>
      </c>
      <c r="R398" s="15">
        <v>0.10299999999999999</v>
      </c>
      <c r="S398" s="7">
        <v>20</v>
      </c>
      <c r="T398" s="13">
        <f t="shared" si="117"/>
        <v>56176.777799999996</v>
      </c>
      <c r="U398" s="13">
        <f t="shared" si="118"/>
        <v>27953.4</v>
      </c>
      <c r="V398" s="13">
        <f t="shared" si="130"/>
        <v>28223.377799999995</v>
      </c>
      <c r="W398" s="15">
        <f t="shared" si="131"/>
        <v>0.50240293062874808</v>
      </c>
      <c r="X398" s="17" t="str">
        <f t="shared" si="132"/>
        <v>Q3-2025</v>
      </c>
      <c r="Y398" t="str">
        <f t="shared" si="133"/>
        <v>Europe → Germany → Berlin</v>
      </c>
      <c r="Z398" t="str">
        <f t="shared" si="134"/>
        <v>High</v>
      </c>
      <c r="AA398">
        <f t="shared" si="119"/>
        <v>2025</v>
      </c>
      <c r="AB398">
        <f t="shared" si="120"/>
        <v>8</v>
      </c>
      <c r="AC398" t="str">
        <f t="shared" si="121"/>
        <v>No</v>
      </c>
      <c r="AD398" t="str">
        <f t="shared" si="122"/>
        <v>No</v>
      </c>
      <c r="AE398" s="36">
        <f>IF(Dashboard!$P$47&gt;'Staging Data'!R398,'Staging Data'!R398,Dashboard!$P$47)</f>
        <v>0.1</v>
      </c>
      <c r="AF398">
        <f>(100%+Dashboard!$P$48)*'Staging Data'!P398</f>
        <v>1467.5535000000002</v>
      </c>
      <c r="AG398">
        <f>(100%+Dashboard!$P$49)*S398</f>
        <v>20.8</v>
      </c>
      <c r="AH398" s="13">
        <f t="shared" si="123"/>
        <v>58619.246400000004</v>
      </c>
      <c r="AI398" s="13">
        <f t="shared" si="124"/>
        <v>30525.112800000006</v>
      </c>
      <c r="AJ398" s="13">
        <f t="shared" si="125"/>
        <v>28094.133599999997</v>
      </c>
    </row>
    <row r="399" spans="1:36" x14ac:dyDescent="0.45">
      <c r="A399" s="3" t="s">
        <v>411</v>
      </c>
      <c r="B399" s="5">
        <v>45638</v>
      </c>
      <c r="C399" s="5">
        <v>45646</v>
      </c>
      <c r="D399" s="5">
        <f t="shared" si="126"/>
        <v>45638</v>
      </c>
      <c r="E399" s="5">
        <f t="shared" si="127"/>
        <v>45646</v>
      </c>
      <c r="F399" s="7">
        <f t="shared" si="128"/>
        <v>8</v>
      </c>
      <c r="G399" s="23" t="str">
        <f t="shared" si="129"/>
        <v>12-2024</v>
      </c>
      <c r="H399" s="3" t="s">
        <v>647</v>
      </c>
      <c r="I399" s="3" t="s">
        <v>652</v>
      </c>
      <c r="J399" s="3" t="s">
        <v>689</v>
      </c>
      <c r="K399" s="3" t="s">
        <v>701</v>
      </c>
      <c r="L399" s="3" t="s">
        <v>707</v>
      </c>
      <c r="M399" s="3" t="s">
        <v>717</v>
      </c>
      <c r="N399" s="3" t="s">
        <v>731</v>
      </c>
      <c r="O399" s="3" t="s">
        <v>1130</v>
      </c>
      <c r="P399" s="19">
        <v>1202.47</v>
      </c>
      <c r="Q399" s="19">
        <v>1444.72</v>
      </c>
      <c r="R399" s="15">
        <v>0.24099999999999999</v>
      </c>
      <c r="S399" s="7">
        <v>17</v>
      </c>
      <c r="T399" s="13">
        <f t="shared" si="117"/>
        <v>18641.222160000001</v>
      </c>
      <c r="U399" s="13">
        <f t="shared" si="118"/>
        <v>20441.990000000002</v>
      </c>
      <c r="V399" s="13">
        <f t="shared" si="130"/>
        <v>-1800.7678400000004</v>
      </c>
      <c r="W399" s="15">
        <f t="shared" si="131"/>
        <v>-9.6601382921343834E-2</v>
      </c>
      <c r="X399" s="17" t="str">
        <f t="shared" si="132"/>
        <v>Q4-2024</v>
      </c>
      <c r="Y399" t="str">
        <f t="shared" si="133"/>
        <v>Asia → Japan → Tokyo</v>
      </c>
      <c r="Z399" t="str">
        <f t="shared" si="134"/>
        <v>Medium</v>
      </c>
      <c r="AA399">
        <f t="shared" si="119"/>
        <v>2024</v>
      </c>
      <c r="AB399">
        <f t="shared" si="120"/>
        <v>12</v>
      </c>
      <c r="AC399" t="str">
        <f t="shared" si="121"/>
        <v>No</v>
      </c>
      <c r="AD399" t="str">
        <f t="shared" si="122"/>
        <v>Yes</v>
      </c>
      <c r="AE399" s="36">
        <f>IF(Dashboard!$P$47&gt;'Staging Data'!R399,'Staging Data'!R399,Dashboard!$P$47)</f>
        <v>0.1</v>
      </c>
      <c r="AF399">
        <f>(100%+Dashboard!$P$48)*'Staging Data'!P399</f>
        <v>1262.5935000000002</v>
      </c>
      <c r="AG399">
        <f>(100%+Dashboard!$P$49)*S399</f>
        <v>17.68</v>
      </c>
      <c r="AH399" s="13">
        <f t="shared" si="123"/>
        <v>22988.38464</v>
      </c>
      <c r="AI399" s="13">
        <f t="shared" si="124"/>
        <v>22322.653080000004</v>
      </c>
      <c r="AJ399" s="13">
        <f t="shared" si="125"/>
        <v>665.73155999999653</v>
      </c>
    </row>
    <row r="400" spans="1:36" x14ac:dyDescent="0.45">
      <c r="A400" s="3" t="s">
        <v>412</v>
      </c>
      <c r="B400" s="5">
        <v>45914</v>
      </c>
      <c r="C400" s="5">
        <v>45923</v>
      </c>
      <c r="D400" s="5">
        <f t="shared" si="126"/>
        <v>45914</v>
      </c>
      <c r="E400" s="5">
        <f t="shared" si="127"/>
        <v>45923</v>
      </c>
      <c r="F400" s="7">
        <f t="shared" si="128"/>
        <v>9</v>
      </c>
      <c r="G400" s="23" t="str">
        <f t="shared" si="129"/>
        <v>9-2025</v>
      </c>
      <c r="H400" s="3" t="s">
        <v>646</v>
      </c>
      <c r="I400" s="3" t="s">
        <v>661</v>
      </c>
      <c r="J400" s="3" t="s">
        <v>687</v>
      </c>
      <c r="K400" s="3" t="s">
        <v>703</v>
      </c>
      <c r="L400" s="3" t="s">
        <v>708</v>
      </c>
      <c r="M400" s="3" t="s">
        <v>726</v>
      </c>
      <c r="N400" s="3" t="s">
        <v>727</v>
      </c>
      <c r="O400" s="3" t="s">
        <v>1131</v>
      </c>
      <c r="P400" s="19">
        <v>1310.3</v>
      </c>
      <c r="Q400" s="19">
        <v>2875.8</v>
      </c>
      <c r="R400" s="15">
        <v>8.3000000000000004E-2</v>
      </c>
      <c r="S400" s="7">
        <v>5</v>
      </c>
      <c r="T400" s="13">
        <f t="shared" si="117"/>
        <v>13185.543</v>
      </c>
      <c r="U400" s="13">
        <f t="shared" si="118"/>
        <v>6551.5</v>
      </c>
      <c r="V400" s="13">
        <f t="shared" si="130"/>
        <v>6634.0429999999997</v>
      </c>
      <c r="W400" s="15">
        <f t="shared" si="131"/>
        <v>0.50313005691157353</v>
      </c>
      <c r="X400" s="17" t="str">
        <f t="shared" si="132"/>
        <v>Q3-2025</v>
      </c>
      <c r="Y400" t="str">
        <f t="shared" si="133"/>
        <v>Africa → South Africa → Durban</v>
      </c>
      <c r="Z400" t="str">
        <f t="shared" si="134"/>
        <v>High</v>
      </c>
      <c r="AA400">
        <f t="shared" si="119"/>
        <v>2025</v>
      </c>
      <c r="AB400">
        <f t="shared" si="120"/>
        <v>9</v>
      </c>
      <c r="AC400" t="str">
        <f t="shared" si="121"/>
        <v>No</v>
      </c>
      <c r="AD400" t="str">
        <f t="shared" si="122"/>
        <v>No</v>
      </c>
      <c r="AE400" s="36">
        <f>IF(Dashboard!$P$47&gt;'Staging Data'!R400,'Staging Data'!R400,Dashboard!$P$47)</f>
        <v>8.3000000000000004E-2</v>
      </c>
      <c r="AF400">
        <f>(100%+Dashboard!$P$48)*'Staging Data'!P400</f>
        <v>1375.8150000000001</v>
      </c>
      <c r="AG400">
        <f>(100%+Dashboard!$P$49)*S400</f>
        <v>5.2</v>
      </c>
      <c r="AH400" s="13">
        <f t="shared" si="123"/>
        <v>13712.964720000002</v>
      </c>
      <c r="AI400" s="13">
        <f t="shared" si="124"/>
        <v>7154.2380000000003</v>
      </c>
      <c r="AJ400" s="13">
        <f t="shared" si="125"/>
        <v>6558.7267200000015</v>
      </c>
    </row>
    <row r="401" spans="1:36" x14ac:dyDescent="0.45">
      <c r="A401" s="3" t="s">
        <v>413</v>
      </c>
      <c r="B401" s="5">
        <v>45541</v>
      </c>
      <c r="C401" s="5">
        <v>45569</v>
      </c>
      <c r="D401" s="5">
        <f t="shared" si="126"/>
        <v>45541</v>
      </c>
      <c r="E401" s="5">
        <f t="shared" si="127"/>
        <v>45569</v>
      </c>
      <c r="F401" s="7">
        <f t="shared" si="128"/>
        <v>28</v>
      </c>
      <c r="G401" s="23" t="str">
        <f t="shared" si="129"/>
        <v>9-2024</v>
      </c>
      <c r="H401" s="3" t="s">
        <v>646</v>
      </c>
      <c r="I401" s="3" t="s">
        <v>661</v>
      </c>
      <c r="J401" s="3" t="s">
        <v>695</v>
      </c>
      <c r="K401" s="3" t="s">
        <v>701</v>
      </c>
      <c r="L401" s="3" t="s">
        <v>709</v>
      </c>
      <c r="M401" s="3" t="s">
        <v>726</v>
      </c>
      <c r="N401" s="3" t="s">
        <v>732</v>
      </c>
      <c r="O401" s="3" t="s">
        <v>1132</v>
      </c>
      <c r="P401" s="19">
        <v>1174.17</v>
      </c>
      <c r="Q401" s="19">
        <v>1641.61</v>
      </c>
      <c r="R401" s="15">
        <v>0.122</v>
      </c>
      <c r="S401" s="7">
        <v>9</v>
      </c>
      <c r="T401" s="13">
        <f t="shared" si="117"/>
        <v>12972.00222</v>
      </c>
      <c r="U401" s="13">
        <f t="shared" si="118"/>
        <v>10567.53</v>
      </c>
      <c r="V401" s="13">
        <f t="shared" si="130"/>
        <v>2404.4722199999997</v>
      </c>
      <c r="W401" s="15">
        <f t="shared" si="131"/>
        <v>0.18535860380079394</v>
      </c>
      <c r="X401" s="17" t="str">
        <f t="shared" si="132"/>
        <v>Q3-2024</v>
      </c>
      <c r="Y401" t="str">
        <f t="shared" si="133"/>
        <v>Africa → South Africa → Cape Town</v>
      </c>
      <c r="Z401" t="str">
        <f t="shared" si="134"/>
        <v>Medium</v>
      </c>
      <c r="AA401">
        <f t="shared" si="119"/>
        <v>2024</v>
      </c>
      <c r="AB401">
        <f t="shared" si="120"/>
        <v>9</v>
      </c>
      <c r="AC401" t="str">
        <f t="shared" si="121"/>
        <v>No</v>
      </c>
      <c r="AD401" t="str">
        <f t="shared" si="122"/>
        <v>No</v>
      </c>
      <c r="AE401" s="36">
        <f>IF(Dashboard!$P$47&gt;'Staging Data'!R401,'Staging Data'!R401,Dashboard!$P$47)</f>
        <v>0.1</v>
      </c>
      <c r="AF401">
        <f>(100%+Dashboard!$P$48)*'Staging Data'!P401</f>
        <v>1232.8785</v>
      </c>
      <c r="AG401">
        <f>(100%+Dashboard!$P$49)*S401</f>
        <v>9.36</v>
      </c>
      <c r="AH401" s="13">
        <f t="shared" si="123"/>
        <v>13828.922639999999</v>
      </c>
      <c r="AI401" s="13">
        <f t="shared" si="124"/>
        <v>11539.742759999999</v>
      </c>
      <c r="AJ401" s="13">
        <f t="shared" si="125"/>
        <v>2289.1798799999997</v>
      </c>
    </row>
    <row r="402" spans="1:36" x14ac:dyDescent="0.45">
      <c r="A402" s="3" t="s">
        <v>414</v>
      </c>
      <c r="B402" s="5">
        <v>45759</v>
      </c>
      <c r="C402" s="5">
        <v>45777</v>
      </c>
      <c r="D402" s="5">
        <f t="shared" si="126"/>
        <v>45759</v>
      </c>
      <c r="E402" s="5">
        <f t="shared" si="127"/>
        <v>45777</v>
      </c>
      <c r="F402" s="7">
        <f t="shared" si="128"/>
        <v>18</v>
      </c>
      <c r="G402" s="23" t="str">
        <f t="shared" si="129"/>
        <v>4-2025</v>
      </c>
      <c r="H402" s="3" t="s">
        <v>646</v>
      </c>
      <c r="I402" s="3" t="s">
        <v>650</v>
      </c>
      <c r="J402" s="3" t="s">
        <v>662</v>
      </c>
      <c r="K402" s="3" t="s">
        <v>701</v>
      </c>
      <c r="L402" s="3" t="s">
        <v>709</v>
      </c>
      <c r="M402" s="3" t="s">
        <v>721</v>
      </c>
      <c r="N402" s="3" t="s">
        <v>729</v>
      </c>
      <c r="O402" s="3" t="s">
        <v>1133</v>
      </c>
      <c r="P402" s="19">
        <v>1119.04</v>
      </c>
      <c r="Q402" s="19">
        <v>1299.02</v>
      </c>
      <c r="R402" s="15">
        <v>2.5000000000000001E-2</v>
      </c>
      <c r="S402" s="7">
        <v>14</v>
      </c>
      <c r="T402" s="13">
        <f t="shared" si="117"/>
        <v>17731.623</v>
      </c>
      <c r="U402" s="13">
        <f t="shared" si="118"/>
        <v>15666.56</v>
      </c>
      <c r="V402" s="13">
        <f t="shared" si="130"/>
        <v>2065.0630000000001</v>
      </c>
      <c r="W402" s="15">
        <f t="shared" si="131"/>
        <v>0.11646215352085933</v>
      </c>
      <c r="X402" s="17" t="str">
        <f t="shared" si="132"/>
        <v>Q2-2025</v>
      </c>
      <c r="Y402" t="str">
        <f t="shared" si="133"/>
        <v>Africa → Kenya → Kisumu</v>
      </c>
      <c r="Z402" t="str">
        <f t="shared" si="134"/>
        <v>Medium</v>
      </c>
      <c r="AA402">
        <f t="shared" si="119"/>
        <v>2025</v>
      </c>
      <c r="AB402">
        <f t="shared" si="120"/>
        <v>4</v>
      </c>
      <c r="AC402" t="str">
        <f t="shared" si="121"/>
        <v>No</v>
      </c>
      <c r="AD402" t="str">
        <f t="shared" si="122"/>
        <v>No</v>
      </c>
      <c r="AE402" s="36">
        <f>IF(Dashboard!$P$47&gt;'Staging Data'!R402,'Staging Data'!R402,Dashboard!$P$47)</f>
        <v>2.5000000000000001E-2</v>
      </c>
      <c r="AF402">
        <f>(100%+Dashboard!$P$48)*'Staging Data'!P402</f>
        <v>1174.992</v>
      </c>
      <c r="AG402">
        <f>(100%+Dashboard!$P$49)*S402</f>
        <v>14.56</v>
      </c>
      <c r="AH402" s="13">
        <f t="shared" si="123"/>
        <v>18440.887920000001</v>
      </c>
      <c r="AI402" s="13">
        <f t="shared" si="124"/>
        <v>17107.883519999999</v>
      </c>
      <c r="AJ402" s="13">
        <f t="shared" si="125"/>
        <v>1333.0044000000016</v>
      </c>
    </row>
    <row r="403" spans="1:36" x14ac:dyDescent="0.45">
      <c r="A403" s="3" t="s">
        <v>415</v>
      </c>
      <c r="B403" s="5">
        <v>45516</v>
      </c>
      <c r="C403" s="5">
        <v>45519</v>
      </c>
      <c r="D403" s="5">
        <f t="shared" si="126"/>
        <v>45516</v>
      </c>
      <c r="E403" s="5">
        <f t="shared" si="127"/>
        <v>45519</v>
      </c>
      <c r="F403" s="7">
        <f t="shared" si="128"/>
        <v>3</v>
      </c>
      <c r="G403" s="23" t="str">
        <f t="shared" si="129"/>
        <v>8-2024</v>
      </c>
      <c r="H403" s="3" t="s">
        <v>648</v>
      </c>
      <c r="I403" s="3" t="s">
        <v>660</v>
      </c>
      <c r="J403" s="3" t="s">
        <v>677</v>
      </c>
      <c r="K403" s="3" t="s">
        <v>701</v>
      </c>
      <c r="L403" s="3" t="s">
        <v>709</v>
      </c>
      <c r="M403" s="3" t="s">
        <v>726</v>
      </c>
      <c r="N403" s="3" t="s">
        <v>728</v>
      </c>
      <c r="O403" s="3" t="s">
        <v>1134</v>
      </c>
      <c r="P403" s="19">
        <v>850.7</v>
      </c>
      <c r="Q403" s="19">
        <v>1118.56</v>
      </c>
      <c r="R403" s="15">
        <v>0.18</v>
      </c>
      <c r="S403" s="7">
        <v>19</v>
      </c>
      <c r="T403" s="13">
        <f t="shared" si="117"/>
        <v>17427.164800000002</v>
      </c>
      <c r="U403" s="13">
        <f t="shared" si="118"/>
        <v>16163.300000000001</v>
      </c>
      <c r="V403" s="13">
        <f t="shared" si="130"/>
        <v>1263.8648000000012</v>
      </c>
      <c r="W403" s="15">
        <f t="shared" si="131"/>
        <v>7.2522685962090688E-2</v>
      </c>
      <c r="X403" s="17" t="str">
        <f t="shared" si="132"/>
        <v>Q3-2024</v>
      </c>
      <c r="Y403" t="str">
        <f t="shared" si="133"/>
        <v>Americas → USA → Chicago</v>
      </c>
      <c r="Z403" t="str">
        <f t="shared" si="134"/>
        <v>Low</v>
      </c>
      <c r="AA403">
        <f t="shared" si="119"/>
        <v>2024</v>
      </c>
      <c r="AB403">
        <f t="shared" si="120"/>
        <v>8</v>
      </c>
      <c r="AC403" t="str">
        <f t="shared" si="121"/>
        <v>Yes</v>
      </c>
      <c r="AD403" t="str">
        <f t="shared" si="122"/>
        <v>No</v>
      </c>
      <c r="AE403" s="36">
        <f>IF(Dashboard!$P$47&gt;'Staging Data'!R403,'Staging Data'!R403,Dashboard!$P$47)</f>
        <v>0.1</v>
      </c>
      <c r="AF403">
        <f>(100%+Dashboard!$P$48)*'Staging Data'!P403</f>
        <v>893.23500000000013</v>
      </c>
      <c r="AG403">
        <f>(100%+Dashboard!$P$49)*S403</f>
        <v>19.760000000000002</v>
      </c>
      <c r="AH403" s="13">
        <f t="shared" si="123"/>
        <v>19892.471040000004</v>
      </c>
      <c r="AI403" s="13">
        <f t="shared" si="124"/>
        <v>17650.323600000003</v>
      </c>
      <c r="AJ403" s="13">
        <f t="shared" si="125"/>
        <v>2242.1474400000006</v>
      </c>
    </row>
    <row r="404" spans="1:36" x14ac:dyDescent="0.45">
      <c r="A404" s="3" t="s">
        <v>416</v>
      </c>
      <c r="B404" s="5">
        <v>45601</v>
      </c>
      <c r="C404" s="5">
        <v>45604</v>
      </c>
      <c r="D404" s="5">
        <f t="shared" si="126"/>
        <v>45601</v>
      </c>
      <c r="E404" s="5">
        <f t="shared" si="127"/>
        <v>45604</v>
      </c>
      <c r="F404" s="7">
        <f t="shared" si="128"/>
        <v>3</v>
      </c>
      <c r="G404" s="23" t="str">
        <f t="shared" si="129"/>
        <v>11-2024</v>
      </c>
      <c r="H404" s="3" t="s">
        <v>648</v>
      </c>
      <c r="I404" s="3" t="s">
        <v>653</v>
      </c>
      <c r="J404" s="3" t="s">
        <v>667</v>
      </c>
      <c r="K404" s="3" t="s">
        <v>702</v>
      </c>
      <c r="L404" s="3" t="s">
        <v>709</v>
      </c>
      <c r="M404" s="3" t="s">
        <v>719</v>
      </c>
      <c r="N404" s="3" t="s">
        <v>727</v>
      </c>
      <c r="O404" s="3" t="s">
        <v>1135</v>
      </c>
      <c r="P404" s="19">
        <v>1020.4</v>
      </c>
      <c r="Q404" s="19">
        <v>1184.71</v>
      </c>
      <c r="R404" s="15">
        <v>0.106</v>
      </c>
      <c r="S404" s="7">
        <v>16</v>
      </c>
      <c r="T404" s="13">
        <f t="shared" si="117"/>
        <v>16946.091840000001</v>
      </c>
      <c r="U404" s="13">
        <f t="shared" si="118"/>
        <v>16326.4</v>
      </c>
      <c r="V404" s="13">
        <f t="shared" si="130"/>
        <v>619.69184000000132</v>
      </c>
      <c r="W404" s="15">
        <f t="shared" si="131"/>
        <v>3.6568422138328345E-2</v>
      </c>
      <c r="X404" s="17" t="str">
        <f t="shared" si="132"/>
        <v>Q4-2024</v>
      </c>
      <c r="Y404" t="str">
        <f t="shared" si="133"/>
        <v>Americas → Canada → Toronto</v>
      </c>
      <c r="Z404" t="str">
        <f t="shared" si="134"/>
        <v>Low</v>
      </c>
      <c r="AA404">
        <f t="shared" si="119"/>
        <v>2024</v>
      </c>
      <c r="AB404">
        <f t="shared" si="120"/>
        <v>11</v>
      </c>
      <c r="AC404" t="str">
        <f t="shared" si="121"/>
        <v>Yes</v>
      </c>
      <c r="AD404" t="str">
        <f t="shared" si="122"/>
        <v>No</v>
      </c>
      <c r="AE404" s="36">
        <f>IF(Dashboard!$P$47&gt;'Staging Data'!R404,'Staging Data'!R404,Dashboard!$P$47)</f>
        <v>0.1</v>
      </c>
      <c r="AF404">
        <f>(100%+Dashboard!$P$48)*'Staging Data'!P404</f>
        <v>1071.42</v>
      </c>
      <c r="AG404">
        <f>(100%+Dashboard!$P$49)*S404</f>
        <v>16.64</v>
      </c>
      <c r="AH404" s="13">
        <f t="shared" si="123"/>
        <v>17742.216960000002</v>
      </c>
      <c r="AI404" s="13">
        <f t="shared" si="124"/>
        <v>17828.428800000002</v>
      </c>
      <c r="AJ404" s="13">
        <f t="shared" si="125"/>
        <v>-86.211839999999938</v>
      </c>
    </row>
    <row r="405" spans="1:36" x14ac:dyDescent="0.45">
      <c r="A405" s="3" t="s">
        <v>417</v>
      </c>
      <c r="B405" s="5">
        <v>45497</v>
      </c>
      <c r="C405" s="5">
        <v>45512</v>
      </c>
      <c r="D405" s="5">
        <f t="shared" si="126"/>
        <v>45497</v>
      </c>
      <c r="E405" s="5">
        <f t="shared" si="127"/>
        <v>45512</v>
      </c>
      <c r="F405" s="7">
        <f t="shared" si="128"/>
        <v>15</v>
      </c>
      <c r="G405" s="23" t="str">
        <f t="shared" si="129"/>
        <v>7-2024</v>
      </c>
      <c r="H405" s="3" t="s">
        <v>649</v>
      </c>
      <c r="I405" s="3" t="s">
        <v>657</v>
      </c>
      <c r="J405" s="3" t="s">
        <v>673</v>
      </c>
      <c r="K405" s="3" t="s">
        <v>706</v>
      </c>
      <c r="L405" s="3" t="s">
        <v>709</v>
      </c>
      <c r="M405" s="3" t="s">
        <v>722</v>
      </c>
      <c r="N405" s="3" t="s">
        <v>731</v>
      </c>
      <c r="O405" s="3" t="s">
        <v>1136</v>
      </c>
      <c r="P405" s="19">
        <v>501.5</v>
      </c>
      <c r="Q405" s="19">
        <v>1201.47</v>
      </c>
      <c r="R405" s="15">
        <v>0.126</v>
      </c>
      <c r="S405" s="7">
        <v>5</v>
      </c>
      <c r="T405" s="13">
        <f t="shared" si="117"/>
        <v>5250.4239000000007</v>
      </c>
      <c r="U405" s="13">
        <f t="shared" si="118"/>
        <v>2507.5</v>
      </c>
      <c r="V405" s="13">
        <f t="shared" si="130"/>
        <v>2742.9239000000007</v>
      </c>
      <c r="W405" s="15">
        <f t="shared" si="131"/>
        <v>0.52241951359394057</v>
      </c>
      <c r="X405" s="17" t="str">
        <f t="shared" si="132"/>
        <v>Q3-2024</v>
      </c>
      <c r="Y405" t="str">
        <f t="shared" si="133"/>
        <v>Europe → France → Marseille</v>
      </c>
      <c r="Z405" t="str">
        <f t="shared" si="134"/>
        <v>Medium</v>
      </c>
      <c r="AA405">
        <f t="shared" si="119"/>
        <v>2024</v>
      </c>
      <c r="AB405">
        <f t="shared" si="120"/>
        <v>7</v>
      </c>
      <c r="AC405" t="str">
        <f t="shared" si="121"/>
        <v>No</v>
      </c>
      <c r="AD405" t="str">
        <f t="shared" si="122"/>
        <v>No</v>
      </c>
      <c r="AE405" s="36">
        <f>IF(Dashboard!$P$47&gt;'Staging Data'!R405,'Staging Data'!R405,Dashboard!$P$47)</f>
        <v>0.1</v>
      </c>
      <c r="AF405">
        <f>(100%+Dashboard!$P$48)*'Staging Data'!P405</f>
        <v>526.57500000000005</v>
      </c>
      <c r="AG405">
        <f>(100%+Dashboard!$P$49)*S405</f>
        <v>5.2</v>
      </c>
      <c r="AH405" s="13">
        <f t="shared" si="123"/>
        <v>5622.8796000000002</v>
      </c>
      <c r="AI405" s="13">
        <f t="shared" si="124"/>
        <v>2738.1900000000005</v>
      </c>
      <c r="AJ405" s="13">
        <f t="shared" si="125"/>
        <v>2884.6895999999997</v>
      </c>
    </row>
    <row r="406" spans="1:36" x14ac:dyDescent="0.45">
      <c r="A406" s="3" t="s">
        <v>71</v>
      </c>
      <c r="B406" s="5">
        <v>45697</v>
      </c>
      <c r="C406" s="5">
        <v>45717</v>
      </c>
      <c r="D406" s="5">
        <f t="shared" si="126"/>
        <v>45697</v>
      </c>
      <c r="E406" s="5">
        <f t="shared" si="127"/>
        <v>45717</v>
      </c>
      <c r="F406" s="7">
        <f t="shared" si="128"/>
        <v>20</v>
      </c>
      <c r="G406" s="23" t="str">
        <f t="shared" si="129"/>
        <v>2-2025</v>
      </c>
      <c r="H406" s="3" t="s">
        <v>648</v>
      </c>
      <c r="I406" s="3" t="s">
        <v>655</v>
      </c>
      <c r="J406" s="3" t="s">
        <v>670</v>
      </c>
      <c r="K406" s="3" t="s">
        <v>701</v>
      </c>
      <c r="L406" s="3" t="s">
        <v>710</v>
      </c>
      <c r="M406" s="3" t="s">
        <v>717</v>
      </c>
      <c r="N406" s="3" t="s">
        <v>731</v>
      </c>
      <c r="O406" s="3" t="s">
        <v>790</v>
      </c>
      <c r="P406" s="19">
        <v>1154.6400000000001</v>
      </c>
      <c r="Q406" s="19">
        <v>2794.13</v>
      </c>
      <c r="R406" s="15">
        <v>3.5000000000000003E-2</v>
      </c>
      <c r="S406" s="7">
        <v>11</v>
      </c>
      <c r="T406" s="13">
        <f t="shared" si="117"/>
        <v>29659.68995</v>
      </c>
      <c r="U406" s="13">
        <f t="shared" si="118"/>
        <v>12701.04</v>
      </c>
      <c r="V406" s="13">
        <f t="shared" si="130"/>
        <v>16958.649949999999</v>
      </c>
      <c r="W406" s="15">
        <f t="shared" si="131"/>
        <v>0.57177435025749479</v>
      </c>
      <c r="X406" s="17" t="str">
        <f t="shared" si="132"/>
        <v>Q1-2025</v>
      </c>
      <c r="Y406" t="str">
        <f t="shared" si="133"/>
        <v>Americas → Brazil → São Paulo</v>
      </c>
      <c r="Z406" t="str">
        <f t="shared" si="134"/>
        <v>High</v>
      </c>
      <c r="AA406">
        <f t="shared" si="119"/>
        <v>2025</v>
      </c>
      <c r="AB406">
        <f t="shared" si="120"/>
        <v>2</v>
      </c>
      <c r="AC406" t="str">
        <f t="shared" si="121"/>
        <v>No</v>
      </c>
      <c r="AD406" t="str">
        <f t="shared" si="122"/>
        <v>No</v>
      </c>
      <c r="AE406" s="36">
        <f>IF(Dashboard!$P$47&gt;'Staging Data'!R406,'Staging Data'!R406,Dashboard!$P$47)</f>
        <v>3.5000000000000003E-2</v>
      </c>
      <c r="AF406">
        <f>(100%+Dashboard!$P$48)*'Staging Data'!P406</f>
        <v>1212.3720000000001</v>
      </c>
      <c r="AG406">
        <f>(100%+Dashboard!$P$49)*S406</f>
        <v>11.440000000000001</v>
      </c>
      <c r="AH406" s="13">
        <f t="shared" si="123"/>
        <v>30846.077548000001</v>
      </c>
      <c r="AI406" s="13">
        <f t="shared" si="124"/>
        <v>13869.535680000003</v>
      </c>
      <c r="AJ406" s="13">
        <f t="shared" si="125"/>
        <v>16976.541868</v>
      </c>
    </row>
    <row r="407" spans="1:36" x14ac:dyDescent="0.45">
      <c r="A407" s="3" t="s">
        <v>419</v>
      </c>
      <c r="B407" s="5">
        <v>44991</v>
      </c>
      <c r="C407" s="5">
        <v>45020</v>
      </c>
      <c r="D407" s="5">
        <f t="shared" si="126"/>
        <v>44991</v>
      </c>
      <c r="E407" s="5">
        <f t="shared" si="127"/>
        <v>45020</v>
      </c>
      <c r="F407" s="7">
        <f t="shared" si="128"/>
        <v>29</v>
      </c>
      <c r="G407" s="23" t="str">
        <f t="shared" si="129"/>
        <v>3-2023</v>
      </c>
      <c r="H407" s="3" t="s">
        <v>647</v>
      </c>
      <c r="I407" s="3" t="s">
        <v>659</v>
      </c>
      <c r="J407" s="3" t="s">
        <v>699</v>
      </c>
      <c r="K407" s="3" t="s">
        <v>705</v>
      </c>
      <c r="L407" s="3" t="s">
        <v>711</v>
      </c>
      <c r="M407" s="3" t="s">
        <v>712</v>
      </c>
      <c r="N407" s="3" t="s">
        <v>732</v>
      </c>
      <c r="O407" s="3" t="s">
        <v>1138</v>
      </c>
      <c r="P407" s="19">
        <v>1126.29</v>
      </c>
      <c r="Q407" s="19">
        <v>2050.87</v>
      </c>
      <c r="R407" s="15">
        <v>6.4000000000000001E-2</v>
      </c>
      <c r="S407" s="7">
        <v>7</v>
      </c>
      <c r="T407" s="13">
        <f t="shared" si="117"/>
        <v>13437.300239999999</v>
      </c>
      <c r="U407" s="13">
        <f t="shared" si="118"/>
        <v>7884.03</v>
      </c>
      <c r="V407" s="13">
        <f t="shared" si="130"/>
        <v>5553.2702399999989</v>
      </c>
      <c r="W407" s="15">
        <f t="shared" si="131"/>
        <v>0.41327276616690373</v>
      </c>
      <c r="X407" s="17" t="str">
        <f t="shared" si="132"/>
        <v>Q1-2023</v>
      </c>
      <c r="Y407" t="str">
        <f t="shared" si="133"/>
        <v>Asia → China → Beijing</v>
      </c>
      <c r="Z407" t="str">
        <f t="shared" si="134"/>
        <v>High</v>
      </c>
      <c r="AA407">
        <f t="shared" si="119"/>
        <v>2023</v>
      </c>
      <c r="AB407">
        <f t="shared" si="120"/>
        <v>3</v>
      </c>
      <c r="AC407" t="str">
        <f t="shared" si="121"/>
        <v>No</v>
      </c>
      <c r="AD407" t="str">
        <f t="shared" si="122"/>
        <v>No</v>
      </c>
      <c r="AE407" s="36">
        <f>IF(Dashboard!$P$47&gt;'Staging Data'!R407,'Staging Data'!R407,Dashboard!$P$47)</f>
        <v>6.4000000000000001E-2</v>
      </c>
      <c r="AF407">
        <f>(100%+Dashboard!$P$48)*'Staging Data'!P407</f>
        <v>1182.6044999999999</v>
      </c>
      <c r="AG407">
        <f>(100%+Dashboard!$P$49)*S407</f>
        <v>7.28</v>
      </c>
      <c r="AH407" s="13">
        <f t="shared" si="123"/>
        <v>13974.792249599999</v>
      </c>
      <c r="AI407" s="13">
        <f t="shared" si="124"/>
        <v>8609.3607599999996</v>
      </c>
      <c r="AJ407" s="13">
        <f t="shared" si="125"/>
        <v>5365.4314895999996</v>
      </c>
    </row>
    <row r="408" spans="1:36" x14ac:dyDescent="0.45">
      <c r="A408" s="3" t="s">
        <v>420</v>
      </c>
      <c r="B408" s="5">
        <v>45646</v>
      </c>
      <c r="C408" s="5">
        <v>45671</v>
      </c>
      <c r="D408" s="5">
        <f t="shared" si="126"/>
        <v>45646</v>
      </c>
      <c r="E408" s="5">
        <f t="shared" si="127"/>
        <v>45671</v>
      </c>
      <c r="F408" s="7">
        <f t="shared" si="128"/>
        <v>25</v>
      </c>
      <c r="G408" s="23" t="str">
        <f t="shared" si="129"/>
        <v>12-2024</v>
      </c>
      <c r="H408" s="3" t="s">
        <v>647</v>
      </c>
      <c r="I408" s="3" t="s">
        <v>654</v>
      </c>
      <c r="J408" s="3" t="s">
        <v>680</v>
      </c>
      <c r="K408" s="3" t="s">
        <v>705</v>
      </c>
      <c r="L408" s="3" t="s">
        <v>707</v>
      </c>
      <c r="M408" s="3" t="s">
        <v>724</v>
      </c>
      <c r="N408" s="3" t="s">
        <v>728</v>
      </c>
      <c r="O408" s="3" t="s">
        <v>1139</v>
      </c>
      <c r="P408" s="19">
        <v>1361.34</v>
      </c>
      <c r="Q408" s="19">
        <v>1737.9</v>
      </c>
      <c r="R408" s="15">
        <v>7.6999999999999999E-2</v>
      </c>
      <c r="S408" s="7">
        <v>14</v>
      </c>
      <c r="T408" s="13">
        <f t="shared" si="117"/>
        <v>22457.143800000002</v>
      </c>
      <c r="U408" s="13">
        <f t="shared" si="118"/>
        <v>19058.759999999998</v>
      </c>
      <c r="V408" s="13">
        <f t="shared" si="130"/>
        <v>3398.3838000000032</v>
      </c>
      <c r="W408" s="15">
        <f t="shared" si="131"/>
        <v>0.15132751654731813</v>
      </c>
      <c r="X408" s="17" t="str">
        <f t="shared" si="132"/>
        <v>Q4-2024</v>
      </c>
      <c r="Y408" t="str">
        <f t="shared" si="133"/>
        <v>Asia → India → Delhi</v>
      </c>
      <c r="Z408" t="str">
        <f t="shared" si="134"/>
        <v>Medium</v>
      </c>
      <c r="AA408">
        <f t="shared" si="119"/>
        <v>2024</v>
      </c>
      <c r="AB408">
        <f t="shared" si="120"/>
        <v>12</v>
      </c>
      <c r="AC408" t="str">
        <f t="shared" si="121"/>
        <v>No</v>
      </c>
      <c r="AD408" t="str">
        <f t="shared" si="122"/>
        <v>No</v>
      </c>
      <c r="AE408" s="36">
        <f>IF(Dashboard!$P$47&gt;'Staging Data'!R408,'Staging Data'!R408,Dashboard!$P$47)</f>
        <v>7.6999999999999999E-2</v>
      </c>
      <c r="AF408">
        <f>(100%+Dashboard!$P$48)*'Staging Data'!P408</f>
        <v>1429.4069999999999</v>
      </c>
      <c r="AG408">
        <f>(100%+Dashboard!$P$49)*S408</f>
        <v>14.56</v>
      </c>
      <c r="AH408" s="13">
        <f t="shared" si="123"/>
        <v>23355.429552000001</v>
      </c>
      <c r="AI408" s="13">
        <f t="shared" si="124"/>
        <v>20812.165919999999</v>
      </c>
      <c r="AJ408" s="13">
        <f t="shared" si="125"/>
        <v>2543.263632000002</v>
      </c>
    </row>
    <row r="409" spans="1:36" x14ac:dyDescent="0.45">
      <c r="A409" s="3" t="s">
        <v>421</v>
      </c>
      <c r="B409" s="5">
        <v>45709</v>
      </c>
      <c r="C409" s="5">
        <v>45737</v>
      </c>
      <c r="D409" s="5">
        <f t="shared" si="126"/>
        <v>45709</v>
      </c>
      <c r="E409" s="5">
        <f t="shared" si="127"/>
        <v>45737</v>
      </c>
      <c r="F409" s="7">
        <f t="shared" si="128"/>
        <v>28</v>
      </c>
      <c r="G409" s="23" t="str">
        <f t="shared" si="129"/>
        <v>2-2025</v>
      </c>
      <c r="H409" s="3" t="s">
        <v>646</v>
      </c>
      <c r="I409" s="3" t="s">
        <v>651</v>
      </c>
      <c r="J409" s="3" t="s">
        <v>669</v>
      </c>
      <c r="K409" s="3" t="s">
        <v>706</v>
      </c>
      <c r="L409" s="3" t="s">
        <v>709</v>
      </c>
      <c r="M409" s="3" t="s">
        <v>714</v>
      </c>
      <c r="N409" s="3" t="s">
        <v>730</v>
      </c>
      <c r="O409" s="3" t="s">
        <v>1140</v>
      </c>
      <c r="P409" s="19">
        <v>1437.39</v>
      </c>
      <c r="Q409" s="19">
        <v>1388.31</v>
      </c>
      <c r="R409" s="15">
        <v>0.13800000000000001</v>
      </c>
      <c r="S409" s="7">
        <v>18</v>
      </c>
      <c r="T409" s="13">
        <f t="shared" si="117"/>
        <v>21541.017959999997</v>
      </c>
      <c r="U409" s="13">
        <f t="shared" si="118"/>
        <v>25873.02</v>
      </c>
      <c r="V409" s="13">
        <f t="shared" si="130"/>
        <v>-4332.002040000003</v>
      </c>
      <c r="W409" s="15">
        <f t="shared" si="131"/>
        <v>-0.20110479681341872</v>
      </c>
      <c r="X409" s="17" t="str">
        <f t="shared" si="132"/>
        <v>Q1-2025</v>
      </c>
      <c r="Y409" t="str">
        <f t="shared" si="133"/>
        <v>Africa → Nigeria → Abuja</v>
      </c>
      <c r="Z409" t="str">
        <f t="shared" si="134"/>
        <v>Medium</v>
      </c>
      <c r="AA409">
        <f t="shared" si="119"/>
        <v>2025</v>
      </c>
      <c r="AB409">
        <f t="shared" si="120"/>
        <v>2</v>
      </c>
      <c r="AC409" t="str">
        <f t="shared" si="121"/>
        <v>No</v>
      </c>
      <c r="AD409" t="str">
        <f t="shared" si="122"/>
        <v>No</v>
      </c>
      <c r="AE409" s="36">
        <f>IF(Dashboard!$P$47&gt;'Staging Data'!R409,'Staging Data'!R409,Dashboard!$P$47)</f>
        <v>0.1</v>
      </c>
      <c r="AF409">
        <f>(100%+Dashboard!$P$48)*'Staging Data'!P409</f>
        <v>1509.2595000000001</v>
      </c>
      <c r="AG409">
        <f>(100%+Dashboard!$P$49)*S409</f>
        <v>18.72</v>
      </c>
      <c r="AH409" s="13">
        <f t="shared" si="123"/>
        <v>23390.246879999999</v>
      </c>
      <c r="AI409" s="13">
        <f t="shared" si="124"/>
        <v>28253.33784</v>
      </c>
      <c r="AJ409" s="13">
        <f t="shared" si="125"/>
        <v>-4863.0909600000014</v>
      </c>
    </row>
    <row r="410" spans="1:36" x14ac:dyDescent="0.45">
      <c r="A410" s="3" t="s">
        <v>422</v>
      </c>
      <c r="B410" s="5">
        <v>45724</v>
      </c>
      <c r="C410" s="5">
        <v>45731</v>
      </c>
      <c r="D410" s="5">
        <f t="shared" si="126"/>
        <v>45724</v>
      </c>
      <c r="E410" s="5">
        <f t="shared" si="127"/>
        <v>45731</v>
      </c>
      <c r="F410" s="7">
        <f t="shared" si="128"/>
        <v>7</v>
      </c>
      <c r="G410" s="23" t="str">
        <f t="shared" si="129"/>
        <v>3-2025</v>
      </c>
      <c r="H410" s="3" t="s">
        <v>647</v>
      </c>
      <c r="I410" s="3" t="s">
        <v>654</v>
      </c>
      <c r="J410" s="3" t="s">
        <v>668</v>
      </c>
      <c r="K410" s="3" t="s">
        <v>701</v>
      </c>
      <c r="L410" s="3" t="s">
        <v>710</v>
      </c>
      <c r="M410" s="3" t="s">
        <v>723</v>
      </c>
      <c r="N410" s="3" t="s">
        <v>731</v>
      </c>
      <c r="O410" s="3" t="s">
        <v>1141</v>
      </c>
      <c r="P410" s="19">
        <v>475.66</v>
      </c>
      <c r="Q410" s="19">
        <v>529.14</v>
      </c>
      <c r="R410" s="15">
        <v>0.19600000000000001</v>
      </c>
      <c r="S410" s="7">
        <v>11</v>
      </c>
      <c r="T410" s="13">
        <f t="shared" si="117"/>
        <v>4679.7141600000004</v>
      </c>
      <c r="U410" s="13">
        <f t="shared" si="118"/>
        <v>5232.26</v>
      </c>
      <c r="V410" s="13">
        <f t="shared" si="130"/>
        <v>-552.54583999999977</v>
      </c>
      <c r="W410" s="15">
        <f t="shared" si="131"/>
        <v>-0.11807256193613323</v>
      </c>
      <c r="X410" s="17" t="str">
        <f t="shared" si="132"/>
        <v>Q1-2025</v>
      </c>
      <c r="Y410" t="str">
        <f t="shared" si="133"/>
        <v>Asia → India → Bengaluru</v>
      </c>
      <c r="Z410" t="str">
        <f t="shared" si="134"/>
        <v>Low</v>
      </c>
      <c r="AA410">
        <f t="shared" si="119"/>
        <v>2025</v>
      </c>
      <c r="AB410">
        <f t="shared" si="120"/>
        <v>3</v>
      </c>
      <c r="AC410" t="str">
        <f t="shared" si="121"/>
        <v>Yes</v>
      </c>
      <c r="AD410" t="str">
        <f t="shared" si="122"/>
        <v>No</v>
      </c>
      <c r="AE410" s="36">
        <f>IF(Dashboard!$P$47&gt;'Staging Data'!R410,'Staging Data'!R410,Dashboard!$P$47)</f>
        <v>0.1</v>
      </c>
      <c r="AF410">
        <f>(100%+Dashboard!$P$48)*'Staging Data'!P410</f>
        <v>499.44300000000004</v>
      </c>
      <c r="AG410">
        <f>(100%+Dashboard!$P$49)*S410</f>
        <v>11.440000000000001</v>
      </c>
      <c r="AH410" s="13">
        <f t="shared" si="123"/>
        <v>5448.0254400000003</v>
      </c>
      <c r="AI410" s="13">
        <f t="shared" si="124"/>
        <v>5713.6279200000008</v>
      </c>
      <c r="AJ410" s="13">
        <f t="shared" si="125"/>
        <v>-265.60248000000047</v>
      </c>
    </row>
    <row r="411" spans="1:36" x14ac:dyDescent="0.45">
      <c r="A411" s="3" t="s">
        <v>608</v>
      </c>
      <c r="B411" s="5">
        <v>45823</v>
      </c>
      <c r="C411" s="5">
        <v>45850</v>
      </c>
      <c r="D411" s="5">
        <f t="shared" si="126"/>
        <v>45823</v>
      </c>
      <c r="E411" s="5">
        <f t="shared" si="127"/>
        <v>45850</v>
      </c>
      <c r="F411" s="7">
        <f t="shared" si="128"/>
        <v>27</v>
      </c>
      <c r="G411" s="23" t="str">
        <f t="shared" si="129"/>
        <v>6-2025</v>
      </c>
      <c r="H411" s="3" t="s">
        <v>649</v>
      </c>
      <c r="I411" s="3" t="s">
        <v>657</v>
      </c>
      <c r="J411" s="3" t="s">
        <v>673</v>
      </c>
      <c r="K411" s="3" t="s">
        <v>704</v>
      </c>
      <c r="L411" s="3" t="s">
        <v>711</v>
      </c>
      <c r="M411" s="3" t="s">
        <v>712</v>
      </c>
      <c r="N411" s="3" t="s">
        <v>733</v>
      </c>
      <c r="O411" s="3" t="s">
        <v>1326</v>
      </c>
      <c r="P411" s="19">
        <v>318.83</v>
      </c>
      <c r="Q411" s="19">
        <v>699.5</v>
      </c>
      <c r="R411" s="15">
        <v>0.08</v>
      </c>
      <c r="S411" s="7">
        <v>13</v>
      </c>
      <c r="T411" s="13">
        <f t="shared" si="117"/>
        <v>8366.02</v>
      </c>
      <c r="U411" s="13">
        <f t="shared" si="118"/>
        <v>4144.79</v>
      </c>
      <c r="V411" s="13">
        <f t="shared" si="130"/>
        <v>4221.2300000000005</v>
      </c>
      <c r="W411" s="15">
        <f t="shared" si="131"/>
        <v>0.50456848059172699</v>
      </c>
      <c r="X411" s="17" t="str">
        <f t="shared" si="132"/>
        <v>Q2-2025</v>
      </c>
      <c r="Y411" t="str">
        <f t="shared" si="133"/>
        <v>Europe → France → Marseille</v>
      </c>
      <c r="Z411" t="str">
        <f t="shared" si="134"/>
        <v>Low</v>
      </c>
      <c r="AA411">
        <f t="shared" si="119"/>
        <v>2025</v>
      </c>
      <c r="AB411">
        <f t="shared" si="120"/>
        <v>6</v>
      </c>
      <c r="AC411" t="str">
        <f t="shared" si="121"/>
        <v>No</v>
      </c>
      <c r="AD411" t="str">
        <f t="shared" si="122"/>
        <v>No</v>
      </c>
      <c r="AE411" s="36">
        <f>IF(Dashboard!$P$47&gt;'Staging Data'!R411,'Staging Data'!R411,Dashboard!$P$47)</f>
        <v>0.08</v>
      </c>
      <c r="AF411">
        <f>(100%+Dashboard!$P$48)*'Staging Data'!P411</f>
        <v>334.7715</v>
      </c>
      <c r="AG411">
        <f>(100%+Dashboard!$P$49)*S411</f>
        <v>13.52</v>
      </c>
      <c r="AH411" s="13">
        <f t="shared" si="123"/>
        <v>8700.6607999999997</v>
      </c>
      <c r="AI411" s="13">
        <f t="shared" si="124"/>
        <v>4526.1106799999998</v>
      </c>
      <c r="AJ411" s="13">
        <f t="shared" si="125"/>
        <v>4174.5501199999999</v>
      </c>
    </row>
    <row r="412" spans="1:36" x14ac:dyDescent="0.45">
      <c r="A412" s="3" t="s">
        <v>424</v>
      </c>
      <c r="B412" s="5">
        <v>45534</v>
      </c>
      <c r="C412" s="5">
        <v>45540</v>
      </c>
      <c r="D412" s="5">
        <f t="shared" si="126"/>
        <v>45534</v>
      </c>
      <c r="E412" s="5">
        <f t="shared" si="127"/>
        <v>45540</v>
      </c>
      <c r="F412" s="7">
        <f t="shared" si="128"/>
        <v>6</v>
      </c>
      <c r="G412" s="23" t="str">
        <f t="shared" si="129"/>
        <v>8-2024</v>
      </c>
      <c r="H412" s="3" t="s">
        <v>647</v>
      </c>
      <c r="I412" s="3" t="s">
        <v>652</v>
      </c>
      <c r="J412" s="3" t="s">
        <v>694</v>
      </c>
      <c r="K412" s="3" t="s">
        <v>702</v>
      </c>
      <c r="L412" s="3" t="s">
        <v>708</v>
      </c>
      <c r="M412" s="3" t="s">
        <v>725</v>
      </c>
      <c r="N412" s="3" t="s">
        <v>731</v>
      </c>
      <c r="O412" s="3" t="s">
        <v>1143</v>
      </c>
      <c r="P412" s="19">
        <v>466.16</v>
      </c>
      <c r="Q412" s="19">
        <v>876.81</v>
      </c>
      <c r="R412" s="15">
        <v>0.24099999999999999</v>
      </c>
      <c r="S412" s="7">
        <v>8</v>
      </c>
      <c r="T412" s="13">
        <f t="shared" si="117"/>
        <v>5323.9903199999999</v>
      </c>
      <c r="U412" s="13">
        <f t="shared" si="118"/>
        <v>3729.28</v>
      </c>
      <c r="V412" s="13">
        <f t="shared" si="130"/>
        <v>1594.7103199999997</v>
      </c>
      <c r="W412" s="15">
        <f t="shared" si="131"/>
        <v>0.29953291124691594</v>
      </c>
      <c r="X412" s="17" t="str">
        <f t="shared" si="132"/>
        <v>Q3-2024</v>
      </c>
      <c r="Y412" t="str">
        <f t="shared" si="133"/>
        <v>Asia → Japan → Nagoya</v>
      </c>
      <c r="Z412" t="str">
        <f t="shared" si="134"/>
        <v>Low</v>
      </c>
      <c r="AA412">
        <f t="shared" si="119"/>
        <v>2024</v>
      </c>
      <c r="AB412">
        <f t="shared" si="120"/>
        <v>8</v>
      </c>
      <c r="AC412" t="str">
        <f t="shared" si="121"/>
        <v>Yes</v>
      </c>
      <c r="AD412" t="str">
        <f t="shared" si="122"/>
        <v>Yes</v>
      </c>
      <c r="AE412" s="36">
        <f>IF(Dashboard!$P$47&gt;'Staging Data'!R412,'Staging Data'!R412,Dashboard!$P$47)</f>
        <v>0.1</v>
      </c>
      <c r="AF412">
        <f>(100%+Dashboard!$P$48)*'Staging Data'!P412</f>
        <v>489.46800000000007</v>
      </c>
      <c r="AG412">
        <f>(100%+Dashboard!$P$49)*S412</f>
        <v>8.32</v>
      </c>
      <c r="AH412" s="13">
        <f t="shared" si="123"/>
        <v>6565.5532800000001</v>
      </c>
      <c r="AI412" s="13">
        <f t="shared" si="124"/>
        <v>4072.3737600000009</v>
      </c>
      <c r="AJ412" s="13">
        <f t="shared" si="125"/>
        <v>2493.1795199999992</v>
      </c>
    </row>
    <row r="413" spans="1:36" x14ac:dyDescent="0.45">
      <c r="A413" s="3" t="s">
        <v>425</v>
      </c>
      <c r="B413" s="5">
        <v>45430</v>
      </c>
      <c r="C413" s="5">
        <v>45433</v>
      </c>
      <c r="D413" s="5">
        <f t="shared" si="126"/>
        <v>45430</v>
      </c>
      <c r="E413" s="5">
        <f t="shared" si="127"/>
        <v>45433</v>
      </c>
      <c r="F413" s="7">
        <f t="shared" si="128"/>
        <v>3</v>
      </c>
      <c r="G413" s="23" t="str">
        <f t="shared" si="129"/>
        <v>5-2024</v>
      </c>
      <c r="H413" s="3" t="s">
        <v>649</v>
      </c>
      <c r="I413" s="3" t="s">
        <v>657</v>
      </c>
      <c r="J413" s="3" t="s">
        <v>673</v>
      </c>
      <c r="K413" s="3" t="s">
        <v>703</v>
      </c>
      <c r="L413" s="3" t="s">
        <v>709</v>
      </c>
      <c r="M413" s="3" t="s">
        <v>726</v>
      </c>
      <c r="N413" s="3" t="s">
        <v>728</v>
      </c>
      <c r="O413" s="3" t="s">
        <v>1144</v>
      </c>
      <c r="P413" s="19">
        <v>663.66</v>
      </c>
      <c r="Q413" s="19">
        <v>824.26</v>
      </c>
      <c r="R413" s="15">
        <v>0.23899999999999999</v>
      </c>
      <c r="S413" s="7">
        <v>11</v>
      </c>
      <c r="T413" s="13">
        <f t="shared" si="117"/>
        <v>6899.8804600000003</v>
      </c>
      <c r="U413" s="13">
        <f t="shared" si="118"/>
        <v>7300.2599999999993</v>
      </c>
      <c r="V413" s="13">
        <f t="shared" si="130"/>
        <v>-400.379539999999</v>
      </c>
      <c r="W413" s="15">
        <f t="shared" si="131"/>
        <v>-5.8027025587048933E-2</v>
      </c>
      <c r="X413" s="17" t="str">
        <f t="shared" si="132"/>
        <v>Q2-2024</v>
      </c>
      <c r="Y413" t="str">
        <f t="shared" si="133"/>
        <v>Europe → France → Marseille</v>
      </c>
      <c r="Z413" t="str">
        <f t="shared" si="134"/>
        <v>Low</v>
      </c>
      <c r="AA413">
        <f t="shared" si="119"/>
        <v>2024</v>
      </c>
      <c r="AB413">
        <f t="shared" si="120"/>
        <v>5</v>
      </c>
      <c r="AC413" t="str">
        <f t="shared" si="121"/>
        <v>Yes</v>
      </c>
      <c r="AD413" t="str">
        <f t="shared" si="122"/>
        <v>Yes</v>
      </c>
      <c r="AE413" s="36">
        <f>IF(Dashboard!$P$47&gt;'Staging Data'!R413,'Staging Data'!R413,Dashboard!$P$47)</f>
        <v>0.1</v>
      </c>
      <c r="AF413">
        <f>(100%+Dashboard!$P$48)*'Staging Data'!P413</f>
        <v>696.84299999999996</v>
      </c>
      <c r="AG413">
        <f>(100%+Dashboard!$P$49)*S413</f>
        <v>11.440000000000001</v>
      </c>
      <c r="AH413" s="13">
        <f t="shared" si="123"/>
        <v>8486.5809600000011</v>
      </c>
      <c r="AI413" s="13">
        <f t="shared" si="124"/>
        <v>7971.8839200000002</v>
      </c>
      <c r="AJ413" s="13">
        <f t="shared" si="125"/>
        <v>514.69704000000092</v>
      </c>
    </row>
    <row r="414" spans="1:36" x14ac:dyDescent="0.45">
      <c r="A414" s="3" t="s">
        <v>426</v>
      </c>
      <c r="B414" s="5">
        <v>45002</v>
      </c>
      <c r="C414" s="5">
        <v>45022</v>
      </c>
      <c r="D414" s="5">
        <f t="shared" si="126"/>
        <v>45002</v>
      </c>
      <c r="E414" s="5">
        <f t="shared" si="127"/>
        <v>45022</v>
      </c>
      <c r="F414" s="7">
        <f t="shared" si="128"/>
        <v>20</v>
      </c>
      <c r="G414" s="23" t="str">
        <f t="shared" si="129"/>
        <v>3-2023</v>
      </c>
      <c r="H414" s="3" t="s">
        <v>649</v>
      </c>
      <c r="I414" s="3" t="s">
        <v>656</v>
      </c>
      <c r="J414" s="3" t="s">
        <v>684</v>
      </c>
      <c r="K414" s="3" t="s">
        <v>704</v>
      </c>
      <c r="L414" s="3" t="s">
        <v>707</v>
      </c>
      <c r="M414" s="3" t="s">
        <v>719</v>
      </c>
      <c r="N414" s="3" t="s">
        <v>730</v>
      </c>
      <c r="O414" s="3" t="s">
        <v>1145</v>
      </c>
      <c r="P414" s="19">
        <v>692.18</v>
      </c>
      <c r="Q414" s="19">
        <v>1159.3499999999999</v>
      </c>
      <c r="R414" s="15">
        <v>0.112</v>
      </c>
      <c r="S414" s="7">
        <v>2</v>
      </c>
      <c r="T414" s="13">
        <f t="shared" si="117"/>
        <v>2059.0056</v>
      </c>
      <c r="U414" s="13">
        <f t="shared" si="118"/>
        <v>1384.36</v>
      </c>
      <c r="V414" s="13">
        <f t="shared" si="130"/>
        <v>674.64560000000006</v>
      </c>
      <c r="W414" s="15">
        <f t="shared" si="131"/>
        <v>0.32765602968734037</v>
      </c>
      <c r="X414" s="17" t="str">
        <f t="shared" si="132"/>
        <v>Q1-2023</v>
      </c>
      <c r="Y414" t="str">
        <f t="shared" si="133"/>
        <v>Europe → Germany → Munich</v>
      </c>
      <c r="Z414" t="str">
        <f t="shared" si="134"/>
        <v>Low</v>
      </c>
      <c r="AA414">
        <f t="shared" si="119"/>
        <v>2023</v>
      </c>
      <c r="AB414">
        <f t="shared" si="120"/>
        <v>3</v>
      </c>
      <c r="AC414" t="str">
        <f t="shared" si="121"/>
        <v>No</v>
      </c>
      <c r="AD414" t="str">
        <f t="shared" si="122"/>
        <v>No</v>
      </c>
      <c r="AE414" s="36">
        <f>IF(Dashboard!$P$47&gt;'Staging Data'!R414,'Staging Data'!R414,Dashboard!$P$47)</f>
        <v>0.1</v>
      </c>
      <c r="AF414">
        <f>(100%+Dashboard!$P$48)*'Staging Data'!P414</f>
        <v>726.78899999999999</v>
      </c>
      <c r="AG414">
        <f>(100%+Dashboard!$P$49)*S414</f>
        <v>2.08</v>
      </c>
      <c r="AH414" s="13">
        <f t="shared" si="123"/>
        <v>2170.3031999999998</v>
      </c>
      <c r="AI414" s="13">
        <f t="shared" si="124"/>
        <v>1511.7211199999999</v>
      </c>
      <c r="AJ414" s="13">
        <f t="shared" si="125"/>
        <v>658.58207999999991</v>
      </c>
    </row>
    <row r="415" spans="1:36" x14ac:dyDescent="0.45">
      <c r="A415" s="3" t="s">
        <v>427</v>
      </c>
      <c r="B415" s="5">
        <v>45163</v>
      </c>
      <c r="C415" s="5">
        <v>45185</v>
      </c>
      <c r="D415" s="5">
        <f t="shared" si="126"/>
        <v>45163</v>
      </c>
      <c r="E415" s="5">
        <f t="shared" si="127"/>
        <v>45185</v>
      </c>
      <c r="F415" s="7">
        <f t="shared" si="128"/>
        <v>22</v>
      </c>
      <c r="G415" s="23" t="str">
        <f t="shared" si="129"/>
        <v>8-2023</v>
      </c>
      <c r="H415" s="3" t="s">
        <v>646</v>
      </c>
      <c r="I415" s="3" t="s">
        <v>651</v>
      </c>
      <c r="J415" s="3" t="s">
        <v>669</v>
      </c>
      <c r="K415" s="3" t="s">
        <v>701</v>
      </c>
      <c r="L415" s="3" t="s">
        <v>709</v>
      </c>
      <c r="M415" s="3" t="s">
        <v>716</v>
      </c>
      <c r="N415" s="3" t="s">
        <v>730</v>
      </c>
      <c r="O415" s="3" t="s">
        <v>1146</v>
      </c>
      <c r="P415" s="19">
        <v>1196.83</v>
      </c>
      <c r="Q415" s="19">
        <v>2513.5100000000002</v>
      </c>
      <c r="R415" s="15">
        <v>8.3000000000000004E-2</v>
      </c>
      <c r="S415" s="7">
        <v>7</v>
      </c>
      <c r="T415" s="13">
        <f t="shared" si="117"/>
        <v>16134.22069</v>
      </c>
      <c r="U415" s="13">
        <f t="shared" si="118"/>
        <v>8377.81</v>
      </c>
      <c r="V415" s="13">
        <f t="shared" si="130"/>
        <v>7756.4106900000006</v>
      </c>
      <c r="W415" s="15">
        <f t="shared" si="131"/>
        <v>0.48074281609445374</v>
      </c>
      <c r="X415" s="17" t="str">
        <f t="shared" si="132"/>
        <v>Q3-2023</v>
      </c>
      <c r="Y415" t="str">
        <f t="shared" si="133"/>
        <v>Africa → Nigeria → Abuja</v>
      </c>
      <c r="Z415" t="str">
        <f t="shared" si="134"/>
        <v>High</v>
      </c>
      <c r="AA415">
        <f t="shared" si="119"/>
        <v>2023</v>
      </c>
      <c r="AB415">
        <f t="shared" si="120"/>
        <v>8</v>
      </c>
      <c r="AC415" t="str">
        <f t="shared" si="121"/>
        <v>No</v>
      </c>
      <c r="AD415" t="str">
        <f t="shared" si="122"/>
        <v>No</v>
      </c>
      <c r="AE415" s="36">
        <f>IF(Dashboard!$P$47&gt;'Staging Data'!R415,'Staging Data'!R415,Dashboard!$P$47)</f>
        <v>8.3000000000000004E-2</v>
      </c>
      <c r="AF415">
        <f>(100%+Dashboard!$P$48)*'Staging Data'!P415</f>
        <v>1256.6714999999999</v>
      </c>
      <c r="AG415">
        <f>(100%+Dashboard!$P$49)*S415</f>
        <v>7.28</v>
      </c>
      <c r="AH415" s="13">
        <f t="shared" si="123"/>
        <v>16779.589517600001</v>
      </c>
      <c r="AI415" s="13">
        <f t="shared" si="124"/>
        <v>9148.5685199999989</v>
      </c>
      <c r="AJ415" s="13">
        <f t="shared" si="125"/>
        <v>7631.0209976000024</v>
      </c>
    </row>
    <row r="416" spans="1:36" x14ac:dyDescent="0.45">
      <c r="A416" s="3" t="s">
        <v>428</v>
      </c>
      <c r="B416" s="5">
        <v>45449</v>
      </c>
      <c r="C416" s="5">
        <v>45467</v>
      </c>
      <c r="D416" s="5">
        <f t="shared" si="126"/>
        <v>45449</v>
      </c>
      <c r="E416" s="5">
        <f t="shared" si="127"/>
        <v>45467</v>
      </c>
      <c r="F416" s="7">
        <f t="shared" si="128"/>
        <v>18</v>
      </c>
      <c r="G416" s="23" t="str">
        <f t="shared" si="129"/>
        <v>6-2024</v>
      </c>
      <c r="H416" s="3" t="s">
        <v>647</v>
      </c>
      <c r="I416" s="3" t="s">
        <v>654</v>
      </c>
      <c r="J416" s="3" t="s">
        <v>668</v>
      </c>
      <c r="K416" s="3" t="s">
        <v>705</v>
      </c>
      <c r="L416" s="3" t="s">
        <v>711</v>
      </c>
      <c r="M416" s="3" t="s">
        <v>722</v>
      </c>
      <c r="N416" s="3" t="s">
        <v>729</v>
      </c>
      <c r="O416" s="3" t="s">
        <v>1147</v>
      </c>
      <c r="P416" s="19">
        <v>1253.25</v>
      </c>
      <c r="Q416" s="19">
        <v>3087.13</v>
      </c>
      <c r="R416" s="15">
        <v>7.1999999999999995E-2</v>
      </c>
      <c r="S416" s="7">
        <v>11</v>
      </c>
      <c r="T416" s="13">
        <f t="shared" si="117"/>
        <v>31513.423040000001</v>
      </c>
      <c r="U416" s="13">
        <f t="shared" si="118"/>
        <v>13785.75</v>
      </c>
      <c r="V416" s="13">
        <f t="shared" si="130"/>
        <v>17727.673040000001</v>
      </c>
      <c r="W416" s="15">
        <f t="shared" si="131"/>
        <v>0.562543555408064</v>
      </c>
      <c r="X416" s="17" t="str">
        <f t="shared" si="132"/>
        <v>Q2-2024</v>
      </c>
      <c r="Y416" t="str">
        <f t="shared" si="133"/>
        <v>Asia → India → Bengaluru</v>
      </c>
      <c r="Z416" t="str">
        <f t="shared" si="134"/>
        <v>High</v>
      </c>
      <c r="AA416">
        <f t="shared" si="119"/>
        <v>2024</v>
      </c>
      <c r="AB416">
        <f t="shared" si="120"/>
        <v>6</v>
      </c>
      <c r="AC416" t="str">
        <f t="shared" si="121"/>
        <v>No</v>
      </c>
      <c r="AD416" t="str">
        <f t="shared" si="122"/>
        <v>No</v>
      </c>
      <c r="AE416" s="36">
        <f>IF(Dashboard!$P$47&gt;'Staging Data'!R416,'Staging Data'!R416,Dashboard!$P$47)</f>
        <v>7.1999999999999995E-2</v>
      </c>
      <c r="AF416">
        <f>(100%+Dashboard!$P$48)*'Staging Data'!P416</f>
        <v>1315.9125000000001</v>
      </c>
      <c r="AG416">
        <f>(100%+Dashboard!$P$49)*S416</f>
        <v>11.440000000000001</v>
      </c>
      <c r="AH416" s="13">
        <f t="shared" si="123"/>
        <v>32773.959961600005</v>
      </c>
      <c r="AI416" s="13">
        <f t="shared" si="124"/>
        <v>15054.039000000002</v>
      </c>
      <c r="AJ416" s="13">
        <f t="shared" si="125"/>
        <v>17719.920961600001</v>
      </c>
    </row>
    <row r="417" spans="1:36" x14ac:dyDescent="0.45">
      <c r="A417" s="3" t="s">
        <v>429</v>
      </c>
      <c r="B417" s="5">
        <v>45167</v>
      </c>
      <c r="C417" s="5">
        <v>45182</v>
      </c>
      <c r="D417" s="5">
        <f t="shared" si="126"/>
        <v>45167</v>
      </c>
      <c r="E417" s="5">
        <f t="shared" si="127"/>
        <v>45182</v>
      </c>
      <c r="F417" s="7">
        <f t="shared" si="128"/>
        <v>15</v>
      </c>
      <c r="G417" s="23" t="str">
        <f t="shared" si="129"/>
        <v>8-2023</v>
      </c>
      <c r="H417" s="3" t="s">
        <v>648</v>
      </c>
      <c r="I417" s="3" t="s">
        <v>653</v>
      </c>
      <c r="J417" s="3" t="s">
        <v>688</v>
      </c>
      <c r="K417" s="3" t="s">
        <v>705</v>
      </c>
      <c r="L417" s="3" t="s">
        <v>709</v>
      </c>
      <c r="M417" s="3" t="s">
        <v>719</v>
      </c>
      <c r="N417" s="3" t="s">
        <v>728</v>
      </c>
      <c r="O417" s="3" t="s">
        <v>1148</v>
      </c>
      <c r="P417" s="19">
        <v>1287.6400000000001</v>
      </c>
      <c r="Q417" s="19">
        <v>2717.15</v>
      </c>
      <c r="R417" s="15">
        <v>3.2000000000000001E-2</v>
      </c>
      <c r="S417" s="7">
        <v>7</v>
      </c>
      <c r="T417" s="13">
        <f t="shared" si="117"/>
        <v>18411.4084</v>
      </c>
      <c r="U417" s="13">
        <f t="shared" si="118"/>
        <v>9013.4800000000014</v>
      </c>
      <c r="V417" s="13">
        <f t="shared" si="130"/>
        <v>9397.9283999999989</v>
      </c>
      <c r="W417" s="15">
        <f t="shared" si="131"/>
        <v>0.51044049405802105</v>
      </c>
      <c r="X417" s="17" t="str">
        <f t="shared" si="132"/>
        <v>Q3-2023</v>
      </c>
      <c r="Y417" t="str">
        <f t="shared" si="133"/>
        <v>Americas → Canada → Vancouver</v>
      </c>
      <c r="Z417" t="str">
        <f t="shared" si="134"/>
        <v>High</v>
      </c>
      <c r="AA417">
        <f t="shared" si="119"/>
        <v>2023</v>
      </c>
      <c r="AB417">
        <f t="shared" si="120"/>
        <v>8</v>
      </c>
      <c r="AC417" t="str">
        <f t="shared" si="121"/>
        <v>No</v>
      </c>
      <c r="AD417" t="str">
        <f t="shared" si="122"/>
        <v>No</v>
      </c>
      <c r="AE417" s="36">
        <f>IF(Dashboard!$P$47&gt;'Staging Data'!R417,'Staging Data'!R417,Dashboard!$P$47)</f>
        <v>3.2000000000000001E-2</v>
      </c>
      <c r="AF417">
        <f>(100%+Dashboard!$P$48)*'Staging Data'!P417</f>
        <v>1352.0220000000002</v>
      </c>
      <c r="AG417">
        <f>(100%+Dashboard!$P$49)*S417</f>
        <v>7.28</v>
      </c>
      <c r="AH417" s="13">
        <f t="shared" si="123"/>
        <v>19147.864736000003</v>
      </c>
      <c r="AI417" s="13">
        <f t="shared" si="124"/>
        <v>9842.7201600000008</v>
      </c>
      <c r="AJ417" s="13">
        <f t="shared" si="125"/>
        <v>9305.1445760000024</v>
      </c>
    </row>
    <row r="418" spans="1:36" x14ac:dyDescent="0.45">
      <c r="A418" s="3" t="s">
        <v>431</v>
      </c>
      <c r="B418" s="5">
        <v>45813</v>
      </c>
      <c r="C418" s="5">
        <v>45822</v>
      </c>
      <c r="D418" s="5">
        <f t="shared" si="126"/>
        <v>45813</v>
      </c>
      <c r="E418" s="5">
        <f t="shared" si="127"/>
        <v>45822</v>
      </c>
      <c r="F418" s="7">
        <f t="shared" si="128"/>
        <v>9</v>
      </c>
      <c r="G418" s="23" t="str">
        <f t="shared" si="129"/>
        <v>6-2025</v>
      </c>
      <c r="H418" s="3" t="s">
        <v>647</v>
      </c>
      <c r="I418" s="3" t="s">
        <v>654</v>
      </c>
      <c r="J418" s="3" t="s">
        <v>680</v>
      </c>
      <c r="K418" s="3" t="s">
        <v>703</v>
      </c>
      <c r="L418" s="3" t="s">
        <v>707</v>
      </c>
      <c r="M418" s="3" t="s">
        <v>720</v>
      </c>
      <c r="N418" s="3" t="s">
        <v>733</v>
      </c>
      <c r="O418" s="3" t="s">
        <v>1150</v>
      </c>
      <c r="P418" s="19">
        <v>618.69000000000005</v>
      </c>
      <c r="Q418" s="19">
        <v>796.15</v>
      </c>
      <c r="R418" s="15">
        <v>0.09</v>
      </c>
      <c r="S418" s="7">
        <v>11</v>
      </c>
      <c r="T418" s="13">
        <f t="shared" si="117"/>
        <v>7969.4615000000003</v>
      </c>
      <c r="U418" s="13">
        <f t="shared" si="118"/>
        <v>6805.59</v>
      </c>
      <c r="V418" s="13">
        <f t="shared" si="130"/>
        <v>1163.8715000000002</v>
      </c>
      <c r="W418" s="15">
        <f t="shared" si="131"/>
        <v>0.14604142325049191</v>
      </c>
      <c r="X418" s="17" t="str">
        <f t="shared" si="132"/>
        <v>Q2-2025</v>
      </c>
      <c r="Y418" t="str">
        <f t="shared" si="133"/>
        <v>Asia → India → Delhi</v>
      </c>
      <c r="Z418" t="str">
        <f t="shared" si="134"/>
        <v>Low</v>
      </c>
      <c r="AA418">
        <f t="shared" si="119"/>
        <v>2025</v>
      </c>
      <c r="AB418">
        <f t="shared" si="120"/>
        <v>6</v>
      </c>
      <c r="AC418" t="str">
        <f t="shared" si="121"/>
        <v>No</v>
      </c>
      <c r="AD418" t="str">
        <f t="shared" si="122"/>
        <v>No</v>
      </c>
      <c r="AE418" s="36">
        <f>IF(Dashboard!$P$47&gt;'Staging Data'!R418,'Staging Data'!R418,Dashboard!$P$47)</f>
        <v>0.09</v>
      </c>
      <c r="AF418">
        <f>(100%+Dashboard!$P$48)*'Staging Data'!P418</f>
        <v>649.62450000000013</v>
      </c>
      <c r="AG418">
        <f>(100%+Dashboard!$P$49)*S418</f>
        <v>11.440000000000001</v>
      </c>
      <c r="AH418" s="13">
        <f t="shared" si="123"/>
        <v>8288.2399600000008</v>
      </c>
      <c r="AI418" s="13">
        <f t="shared" si="124"/>
        <v>7431.7042800000027</v>
      </c>
      <c r="AJ418" s="13">
        <f t="shared" si="125"/>
        <v>856.53567999999814</v>
      </c>
    </row>
    <row r="419" spans="1:36" x14ac:dyDescent="0.45">
      <c r="A419" s="3" t="s">
        <v>228</v>
      </c>
      <c r="B419" s="5">
        <v>45240</v>
      </c>
      <c r="C419" s="5">
        <v>45258</v>
      </c>
      <c r="D419" s="5">
        <f t="shared" si="126"/>
        <v>45240</v>
      </c>
      <c r="E419" s="5">
        <f t="shared" si="127"/>
        <v>45258</v>
      </c>
      <c r="F419" s="7">
        <f t="shared" si="128"/>
        <v>18</v>
      </c>
      <c r="G419" s="23" t="str">
        <f t="shared" si="129"/>
        <v>11-2023</v>
      </c>
      <c r="H419" s="3" t="s">
        <v>648</v>
      </c>
      <c r="I419" s="3" t="s">
        <v>655</v>
      </c>
      <c r="J419" s="3" t="s">
        <v>672</v>
      </c>
      <c r="K419" s="3" t="s">
        <v>702</v>
      </c>
      <c r="L419" s="3" t="s">
        <v>709</v>
      </c>
      <c r="M419" s="3" t="s">
        <v>716</v>
      </c>
      <c r="N419" s="3" t="s">
        <v>733</v>
      </c>
      <c r="O419" s="3" t="s">
        <v>948</v>
      </c>
      <c r="P419" s="19">
        <v>388.51</v>
      </c>
      <c r="Q419" s="19">
        <v>776.46</v>
      </c>
      <c r="R419" s="15">
        <v>0.157</v>
      </c>
      <c r="S419" s="7">
        <v>12</v>
      </c>
      <c r="T419" s="13">
        <f t="shared" si="117"/>
        <v>7854.6693599999999</v>
      </c>
      <c r="U419" s="13">
        <f t="shared" si="118"/>
        <v>4662.12</v>
      </c>
      <c r="V419" s="13">
        <f t="shared" si="130"/>
        <v>3192.54936</v>
      </c>
      <c r="W419" s="15">
        <f t="shared" si="131"/>
        <v>0.40645241876864946</v>
      </c>
      <c r="X419" s="17" t="str">
        <f t="shared" si="132"/>
        <v>Q4-2023</v>
      </c>
      <c r="Y419" t="str">
        <f t="shared" si="133"/>
        <v>Americas → Brazil → Brasília</v>
      </c>
      <c r="Z419" t="str">
        <f t="shared" si="134"/>
        <v>Low</v>
      </c>
      <c r="AA419">
        <f t="shared" si="119"/>
        <v>2023</v>
      </c>
      <c r="AB419">
        <f t="shared" si="120"/>
        <v>11</v>
      </c>
      <c r="AC419" t="str">
        <f t="shared" si="121"/>
        <v>No</v>
      </c>
      <c r="AD419" t="str">
        <f t="shared" si="122"/>
        <v>No</v>
      </c>
      <c r="AE419" s="36">
        <f>IF(Dashboard!$P$47&gt;'Staging Data'!R419,'Staging Data'!R419,Dashboard!$P$47)</f>
        <v>0.1</v>
      </c>
      <c r="AF419">
        <f>(100%+Dashboard!$P$48)*'Staging Data'!P419</f>
        <v>407.93549999999999</v>
      </c>
      <c r="AG419">
        <f>(100%+Dashboard!$P$49)*S419</f>
        <v>12.48</v>
      </c>
      <c r="AH419" s="13">
        <f t="shared" si="123"/>
        <v>8721.1987200000003</v>
      </c>
      <c r="AI419" s="13">
        <f t="shared" si="124"/>
        <v>5091.0350399999998</v>
      </c>
      <c r="AJ419" s="13">
        <f t="shared" si="125"/>
        <v>3630.1636800000006</v>
      </c>
    </row>
    <row r="420" spans="1:36" x14ac:dyDescent="0.45">
      <c r="A420" s="3" t="s">
        <v>432</v>
      </c>
      <c r="B420" s="5">
        <v>45730</v>
      </c>
      <c r="C420" s="5">
        <v>45755</v>
      </c>
      <c r="D420" s="5">
        <f t="shared" si="126"/>
        <v>45730</v>
      </c>
      <c r="E420" s="5">
        <f t="shared" si="127"/>
        <v>45755</v>
      </c>
      <c r="F420" s="7">
        <f t="shared" si="128"/>
        <v>25</v>
      </c>
      <c r="G420" s="23" t="str">
        <f t="shared" si="129"/>
        <v>3-2025</v>
      </c>
      <c r="H420" s="3" t="s">
        <v>647</v>
      </c>
      <c r="I420" s="3" t="s">
        <v>659</v>
      </c>
      <c r="J420" s="3" t="s">
        <v>1422</v>
      </c>
      <c r="K420" s="3" t="s">
        <v>701</v>
      </c>
      <c r="L420" s="3" t="s">
        <v>710</v>
      </c>
      <c r="M420" s="3" t="s">
        <v>726</v>
      </c>
      <c r="N420" s="3" t="s">
        <v>728</v>
      </c>
      <c r="O420" s="3" t="s">
        <v>1151</v>
      </c>
      <c r="P420" s="19">
        <v>80.59</v>
      </c>
      <c r="Q420" s="19">
        <v>157.82</v>
      </c>
      <c r="R420" s="15">
        <v>0.217</v>
      </c>
      <c r="S420" s="7">
        <v>6</v>
      </c>
      <c r="T420" s="13">
        <f t="shared" si="117"/>
        <v>741.43835999999999</v>
      </c>
      <c r="U420" s="13">
        <f t="shared" si="118"/>
        <v>483.54</v>
      </c>
      <c r="V420" s="13">
        <f t="shared" si="130"/>
        <v>257.89835999999997</v>
      </c>
      <c r="W420" s="15">
        <f t="shared" si="131"/>
        <v>0.34783519967863541</v>
      </c>
      <c r="X420" s="17" t="str">
        <f t="shared" si="132"/>
        <v>Q1-2025</v>
      </c>
      <c r="Y420" t="str">
        <f t="shared" si="133"/>
        <v>Asia → China → Unknown City</v>
      </c>
      <c r="Z420" t="str">
        <f t="shared" si="134"/>
        <v>Low</v>
      </c>
      <c r="AA420">
        <f t="shared" si="119"/>
        <v>2025</v>
      </c>
      <c r="AB420">
        <f t="shared" si="120"/>
        <v>3</v>
      </c>
      <c r="AC420" t="str">
        <f t="shared" si="121"/>
        <v>No</v>
      </c>
      <c r="AD420" t="str">
        <f t="shared" si="122"/>
        <v>Yes</v>
      </c>
      <c r="AE420" s="36">
        <f>IF(Dashboard!$P$47&gt;'Staging Data'!R420,'Staging Data'!R420,Dashboard!$P$47)</f>
        <v>0.1</v>
      </c>
      <c r="AF420">
        <f>(100%+Dashboard!$P$48)*'Staging Data'!P420</f>
        <v>84.619500000000002</v>
      </c>
      <c r="AG420">
        <f>(100%+Dashboard!$P$49)*S420</f>
        <v>6.24</v>
      </c>
      <c r="AH420" s="13">
        <f t="shared" si="123"/>
        <v>886.31711999999993</v>
      </c>
      <c r="AI420" s="13">
        <f t="shared" si="124"/>
        <v>528.02568000000008</v>
      </c>
      <c r="AJ420" s="13">
        <f t="shared" si="125"/>
        <v>358.29143999999985</v>
      </c>
    </row>
    <row r="421" spans="1:36" x14ac:dyDescent="0.45">
      <c r="A421" s="3" t="s">
        <v>433</v>
      </c>
      <c r="B421" s="5">
        <v>45307</v>
      </c>
      <c r="C421" s="5">
        <v>45333</v>
      </c>
      <c r="D421" s="5">
        <f t="shared" si="126"/>
        <v>45307</v>
      </c>
      <c r="E421" s="5">
        <f t="shared" si="127"/>
        <v>45333</v>
      </c>
      <c r="F421" s="7">
        <f t="shared" si="128"/>
        <v>26</v>
      </c>
      <c r="G421" s="23" t="str">
        <f t="shared" si="129"/>
        <v>1-2024</v>
      </c>
      <c r="H421" s="3" t="s">
        <v>649</v>
      </c>
      <c r="I421" s="3" t="s">
        <v>656</v>
      </c>
      <c r="J421" s="3" t="s">
        <v>698</v>
      </c>
      <c r="K421" s="3" t="s">
        <v>703</v>
      </c>
      <c r="L421" s="3" t="s">
        <v>710</v>
      </c>
      <c r="M421" s="3" t="s">
        <v>718</v>
      </c>
      <c r="N421" s="3" t="s">
        <v>732</v>
      </c>
      <c r="O421" s="3" t="s">
        <v>1152</v>
      </c>
      <c r="P421" s="19">
        <v>504.93</v>
      </c>
      <c r="Q421" s="19">
        <v>819.06</v>
      </c>
      <c r="R421" s="15">
        <v>0.22600000000000001</v>
      </c>
      <c r="S421" s="7">
        <v>15</v>
      </c>
      <c r="T421" s="13">
        <f t="shared" si="117"/>
        <v>9509.2865999999995</v>
      </c>
      <c r="U421" s="13">
        <f t="shared" si="118"/>
        <v>7573.95</v>
      </c>
      <c r="V421" s="13">
        <f t="shared" si="130"/>
        <v>1935.3365999999996</v>
      </c>
      <c r="W421" s="15">
        <f t="shared" si="131"/>
        <v>0.20352069312959814</v>
      </c>
      <c r="X421" s="17" t="str">
        <f t="shared" si="132"/>
        <v>Q1-2024</v>
      </c>
      <c r="Y421" t="str">
        <f t="shared" si="133"/>
        <v>Europe → Germany → Frankfurt</v>
      </c>
      <c r="Z421" t="str">
        <f t="shared" si="134"/>
        <v>Low</v>
      </c>
      <c r="AA421">
        <f t="shared" si="119"/>
        <v>2024</v>
      </c>
      <c r="AB421">
        <f t="shared" si="120"/>
        <v>1</v>
      </c>
      <c r="AC421" t="str">
        <f t="shared" si="121"/>
        <v>No</v>
      </c>
      <c r="AD421" t="str">
        <f t="shared" si="122"/>
        <v>Yes</v>
      </c>
      <c r="AE421" s="36">
        <f>IF(Dashboard!$P$47&gt;'Staging Data'!R421,'Staging Data'!R421,Dashboard!$P$47)</f>
        <v>0.1</v>
      </c>
      <c r="AF421">
        <f>(100%+Dashboard!$P$48)*'Staging Data'!P421</f>
        <v>530.17650000000003</v>
      </c>
      <c r="AG421">
        <f>(100%+Dashboard!$P$49)*S421</f>
        <v>15.600000000000001</v>
      </c>
      <c r="AH421" s="13">
        <f t="shared" si="123"/>
        <v>11499.602400000002</v>
      </c>
      <c r="AI421" s="13">
        <f t="shared" si="124"/>
        <v>8270.7534000000014</v>
      </c>
      <c r="AJ421" s="13">
        <f t="shared" si="125"/>
        <v>3228.8490000000002</v>
      </c>
    </row>
    <row r="422" spans="1:36" x14ac:dyDescent="0.45">
      <c r="A422" s="3" t="s">
        <v>434</v>
      </c>
      <c r="B422" s="5">
        <v>45211</v>
      </c>
      <c r="C422" s="5">
        <v>45228</v>
      </c>
      <c r="D422" s="5">
        <f t="shared" si="126"/>
        <v>45211</v>
      </c>
      <c r="E422" s="5">
        <f t="shared" si="127"/>
        <v>45228</v>
      </c>
      <c r="F422" s="7">
        <f t="shared" si="128"/>
        <v>17</v>
      </c>
      <c r="G422" s="23" t="str">
        <f t="shared" si="129"/>
        <v>10-2023</v>
      </c>
      <c r="H422" s="3" t="s">
        <v>647</v>
      </c>
      <c r="I422" s="3" t="s">
        <v>652</v>
      </c>
      <c r="J422" s="3" t="s">
        <v>694</v>
      </c>
      <c r="K422" s="3" t="s">
        <v>703</v>
      </c>
      <c r="L422" s="3" t="s">
        <v>711</v>
      </c>
      <c r="M422" s="3" t="s">
        <v>722</v>
      </c>
      <c r="N422" s="3" t="s">
        <v>730</v>
      </c>
      <c r="O422" s="3" t="s">
        <v>1153</v>
      </c>
      <c r="P422" s="19">
        <v>1102.19</v>
      </c>
      <c r="Q422" s="19">
        <v>1711.16</v>
      </c>
      <c r="R422" s="15">
        <v>0.151</v>
      </c>
      <c r="S422" s="7">
        <v>10</v>
      </c>
      <c r="T422" s="13">
        <f t="shared" si="117"/>
        <v>14527.748400000002</v>
      </c>
      <c r="U422" s="13">
        <f t="shared" si="118"/>
        <v>11021.900000000001</v>
      </c>
      <c r="V422" s="13">
        <f t="shared" si="130"/>
        <v>3505.8484000000008</v>
      </c>
      <c r="W422" s="15">
        <f t="shared" si="131"/>
        <v>0.24132083675127525</v>
      </c>
      <c r="X422" s="17" t="str">
        <f t="shared" si="132"/>
        <v>Q4-2023</v>
      </c>
      <c r="Y422" t="str">
        <f t="shared" si="133"/>
        <v>Asia → Japan → Nagoya</v>
      </c>
      <c r="Z422" t="str">
        <f t="shared" si="134"/>
        <v>Medium</v>
      </c>
      <c r="AA422">
        <f t="shared" si="119"/>
        <v>2023</v>
      </c>
      <c r="AB422">
        <f t="shared" si="120"/>
        <v>10</v>
      </c>
      <c r="AC422" t="str">
        <f t="shared" si="121"/>
        <v>No</v>
      </c>
      <c r="AD422" t="str">
        <f t="shared" si="122"/>
        <v>No</v>
      </c>
      <c r="AE422" s="36">
        <f>IF(Dashboard!$P$47&gt;'Staging Data'!R422,'Staging Data'!R422,Dashboard!$P$47)</f>
        <v>0.1</v>
      </c>
      <c r="AF422">
        <f>(100%+Dashboard!$P$48)*'Staging Data'!P422</f>
        <v>1157.2995000000001</v>
      </c>
      <c r="AG422">
        <f>(100%+Dashboard!$P$49)*S422</f>
        <v>10.4</v>
      </c>
      <c r="AH422" s="13">
        <f t="shared" si="123"/>
        <v>16016.457600000002</v>
      </c>
      <c r="AI422" s="13">
        <f t="shared" si="124"/>
        <v>12035.9148</v>
      </c>
      <c r="AJ422" s="13">
        <f t="shared" si="125"/>
        <v>3980.5428000000011</v>
      </c>
    </row>
    <row r="423" spans="1:36" x14ac:dyDescent="0.45">
      <c r="A423" s="3" t="s">
        <v>435</v>
      </c>
      <c r="B423" s="5">
        <v>45713</v>
      </c>
      <c r="C423" s="5">
        <v>45733</v>
      </c>
      <c r="D423" s="5">
        <f t="shared" si="126"/>
        <v>45713</v>
      </c>
      <c r="E423" s="5">
        <f t="shared" si="127"/>
        <v>45733</v>
      </c>
      <c r="F423" s="7">
        <f t="shared" si="128"/>
        <v>20</v>
      </c>
      <c r="G423" s="23" t="str">
        <f t="shared" si="129"/>
        <v>2-2025</v>
      </c>
      <c r="H423" s="3" t="s">
        <v>648</v>
      </c>
      <c r="I423" s="3" t="s">
        <v>660</v>
      </c>
      <c r="J423" s="3" t="s">
        <v>686</v>
      </c>
      <c r="K423" s="3" t="s">
        <v>703</v>
      </c>
      <c r="L423" s="3" t="s">
        <v>709</v>
      </c>
      <c r="M423" s="3" t="s">
        <v>722</v>
      </c>
      <c r="N423" s="3" t="s">
        <v>730</v>
      </c>
      <c r="O423" s="3" t="s">
        <v>1154</v>
      </c>
      <c r="P423" s="19">
        <v>1205.26</v>
      </c>
      <c r="Q423" s="19">
        <v>1696.35</v>
      </c>
      <c r="R423" s="15">
        <v>1.9E-2</v>
      </c>
      <c r="S423" s="7">
        <v>6</v>
      </c>
      <c r="T423" s="13">
        <f t="shared" si="117"/>
        <v>9984.7160999999978</v>
      </c>
      <c r="U423" s="13">
        <f t="shared" si="118"/>
        <v>7231.5599999999995</v>
      </c>
      <c r="V423" s="13">
        <f t="shared" si="130"/>
        <v>2753.1560999999983</v>
      </c>
      <c r="W423" s="15">
        <f t="shared" si="131"/>
        <v>0.27573704374028213</v>
      </c>
      <c r="X423" s="17" t="str">
        <f t="shared" si="132"/>
        <v>Q1-2025</v>
      </c>
      <c r="Y423" t="str">
        <f t="shared" si="133"/>
        <v>Americas → USA → San Francisco</v>
      </c>
      <c r="Z423" t="str">
        <f t="shared" si="134"/>
        <v>Medium</v>
      </c>
      <c r="AA423">
        <f t="shared" si="119"/>
        <v>2025</v>
      </c>
      <c r="AB423">
        <f t="shared" si="120"/>
        <v>2</v>
      </c>
      <c r="AC423" t="str">
        <f t="shared" si="121"/>
        <v>No</v>
      </c>
      <c r="AD423" t="str">
        <f t="shared" si="122"/>
        <v>No</v>
      </c>
      <c r="AE423" s="36">
        <f>IF(Dashboard!$P$47&gt;'Staging Data'!R423,'Staging Data'!R423,Dashboard!$P$47)</f>
        <v>1.9E-2</v>
      </c>
      <c r="AF423">
        <f>(100%+Dashboard!$P$48)*'Staging Data'!P423</f>
        <v>1265.5230000000001</v>
      </c>
      <c r="AG423">
        <f>(100%+Dashboard!$P$49)*S423</f>
        <v>6.24</v>
      </c>
      <c r="AH423" s="13">
        <f t="shared" si="123"/>
        <v>10384.104744</v>
      </c>
      <c r="AI423" s="13">
        <f t="shared" si="124"/>
        <v>7896.8635200000008</v>
      </c>
      <c r="AJ423" s="13">
        <f t="shared" si="125"/>
        <v>2487.2412239999994</v>
      </c>
    </row>
    <row r="424" spans="1:36" x14ac:dyDescent="0.45">
      <c r="A424" s="3" t="s">
        <v>436</v>
      </c>
      <c r="B424" s="5">
        <v>45841</v>
      </c>
      <c r="C424" s="5">
        <v>45844</v>
      </c>
      <c r="D424" s="5">
        <f t="shared" si="126"/>
        <v>45841</v>
      </c>
      <c r="E424" s="5">
        <f t="shared" si="127"/>
        <v>45844</v>
      </c>
      <c r="F424" s="7">
        <f t="shared" si="128"/>
        <v>3</v>
      </c>
      <c r="G424" s="23" t="str">
        <f t="shared" si="129"/>
        <v>7-2025</v>
      </c>
      <c r="H424" s="3" t="s">
        <v>646</v>
      </c>
      <c r="I424" s="3" t="s">
        <v>651</v>
      </c>
      <c r="J424" s="3" t="s">
        <v>665</v>
      </c>
      <c r="K424" s="3" t="s">
        <v>704</v>
      </c>
      <c r="L424" s="3" t="s">
        <v>708</v>
      </c>
      <c r="M424" s="3" t="s">
        <v>1424</v>
      </c>
      <c r="N424" s="3" t="s">
        <v>731</v>
      </c>
      <c r="O424" s="3" t="s">
        <v>1155</v>
      </c>
      <c r="P424" s="19">
        <v>1313.3</v>
      </c>
      <c r="Q424" s="19">
        <v>2884.34</v>
      </c>
      <c r="R424" s="15">
        <v>0.157</v>
      </c>
      <c r="S424" s="7">
        <v>42</v>
      </c>
      <c r="T424" s="13">
        <f t="shared" si="117"/>
        <v>102122.94203999999</v>
      </c>
      <c r="U424" s="13">
        <f t="shared" si="118"/>
        <v>55158.6</v>
      </c>
      <c r="V424" s="13">
        <f t="shared" si="130"/>
        <v>46964.342039999996</v>
      </c>
      <c r="W424" s="15">
        <f t="shared" si="131"/>
        <v>0.45988042551305253</v>
      </c>
      <c r="X424" s="17" t="str">
        <f t="shared" si="132"/>
        <v>Q3-2025</v>
      </c>
      <c r="Y424" t="str">
        <f t="shared" si="133"/>
        <v>Africa → Nigeria → Lagos</v>
      </c>
      <c r="Z424" t="str">
        <f t="shared" si="134"/>
        <v>High</v>
      </c>
      <c r="AA424">
        <f t="shared" si="119"/>
        <v>2025</v>
      </c>
      <c r="AB424">
        <f t="shared" si="120"/>
        <v>7</v>
      </c>
      <c r="AC424" t="str">
        <f t="shared" si="121"/>
        <v>Yes</v>
      </c>
      <c r="AD424" t="str">
        <f t="shared" si="122"/>
        <v>No</v>
      </c>
      <c r="AE424" s="36">
        <f>IF(Dashboard!$P$47&gt;'Staging Data'!R424,'Staging Data'!R424,Dashboard!$P$47)</f>
        <v>0.1</v>
      </c>
      <c r="AF424">
        <f>(100%+Dashboard!$P$48)*'Staging Data'!P424</f>
        <v>1378.9649999999999</v>
      </c>
      <c r="AG424">
        <f>(100%+Dashboard!$P$49)*S424</f>
        <v>43.68</v>
      </c>
      <c r="AH424" s="13">
        <f t="shared" si="123"/>
        <v>113389.17408</v>
      </c>
      <c r="AI424" s="13">
        <f t="shared" si="124"/>
        <v>60233.191199999994</v>
      </c>
      <c r="AJ424" s="13">
        <f t="shared" si="125"/>
        <v>53155.982880000003</v>
      </c>
    </row>
    <row r="425" spans="1:36" x14ac:dyDescent="0.45">
      <c r="A425" s="3" t="s">
        <v>437</v>
      </c>
      <c r="B425" s="5">
        <v>45915</v>
      </c>
      <c r="C425" s="5">
        <v>45925</v>
      </c>
      <c r="D425" s="5">
        <f t="shared" si="126"/>
        <v>45915</v>
      </c>
      <c r="E425" s="5">
        <f t="shared" si="127"/>
        <v>45925</v>
      </c>
      <c r="F425" s="7">
        <f t="shared" si="128"/>
        <v>10</v>
      </c>
      <c r="G425" s="23" t="str">
        <f t="shared" si="129"/>
        <v>9-2025</v>
      </c>
      <c r="H425" s="3" t="s">
        <v>647</v>
      </c>
      <c r="I425" s="3" t="s">
        <v>654</v>
      </c>
      <c r="J425" s="3" t="s">
        <v>680</v>
      </c>
      <c r="K425" s="3" t="s">
        <v>704</v>
      </c>
      <c r="L425" s="3" t="s">
        <v>707</v>
      </c>
      <c r="M425" s="3" t="s">
        <v>720</v>
      </c>
      <c r="N425" s="3" t="s">
        <v>730</v>
      </c>
      <c r="O425" s="3" t="s">
        <v>1156</v>
      </c>
      <c r="P425" s="19">
        <v>1488.91</v>
      </c>
      <c r="Q425" s="19">
        <v>1483.74</v>
      </c>
      <c r="R425" s="15">
        <v>0.16800000000000001</v>
      </c>
      <c r="S425" s="7">
        <v>24</v>
      </c>
      <c r="T425" s="13">
        <f t="shared" si="117"/>
        <v>29627.320319999999</v>
      </c>
      <c r="U425" s="13">
        <f t="shared" si="118"/>
        <v>35733.840000000004</v>
      </c>
      <c r="V425" s="13">
        <f t="shared" si="130"/>
        <v>-6106.5196800000049</v>
      </c>
      <c r="W425" s="15">
        <f t="shared" si="131"/>
        <v>-0.20611110333450519</v>
      </c>
      <c r="X425" s="17" t="str">
        <f t="shared" si="132"/>
        <v>Q3-2025</v>
      </c>
      <c r="Y425" t="str">
        <f t="shared" si="133"/>
        <v>Asia → India → Delhi</v>
      </c>
      <c r="Z425" t="str">
        <f t="shared" si="134"/>
        <v>Medium</v>
      </c>
      <c r="AA425">
        <f t="shared" si="119"/>
        <v>2025</v>
      </c>
      <c r="AB425">
        <f t="shared" si="120"/>
        <v>9</v>
      </c>
      <c r="AC425" t="str">
        <f t="shared" si="121"/>
        <v>No</v>
      </c>
      <c r="AD425" t="str">
        <f t="shared" si="122"/>
        <v>No</v>
      </c>
      <c r="AE425" s="36">
        <f>IF(Dashboard!$P$47&gt;'Staging Data'!R425,'Staging Data'!R425,Dashboard!$P$47)</f>
        <v>0.1</v>
      </c>
      <c r="AF425">
        <f>(100%+Dashboard!$P$48)*'Staging Data'!P425</f>
        <v>1563.3555000000001</v>
      </c>
      <c r="AG425">
        <f>(100%+Dashboard!$P$49)*S425</f>
        <v>24.96</v>
      </c>
      <c r="AH425" s="13">
        <f t="shared" si="123"/>
        <v>33330.735359999999</v>
      </c>
      <c r="AI425" s="13">
        <f t="shared" si="124"/>
        <v>39021.353280000003</v>
      </c>
      <c r="AJ425" s="13">
        <f t="shared" si="125"/>
        <v>-5690.6179200000042</v>
      </c>
    </row>
    <row r="426" spans="1:36" x14ac:dyDescent="0.45">
      <c r="A426" s="3" t="s">
        <v>438</v>
      </c>
      <c r="B426" s="5">
        <v>45341</v>
      </c>
      <c r="C426" s="5">
        <v>45357</v>
      </c>
      <c r="D426" s="5">
        <f t="shared" si="126"/>
        <v>45341</v>
      </c>
      <c r="E426" s="5">
        <f t="shared" si="127"/>
        <v>45357</v>
      </c>
      <c r="F426" s="7">
        <f t="shared" si="128"/>
        <v>16</v>
      </c>
      <c r="G426" s="23" t="str">
        <f t="shared" si="129"/>
        <v>2-2024</v>
      </c>
      <c r="H426" s="3" t="s">
        <v>647</v>
      </c>
      <c r="I426" s="3" t="s">
        <v>659</v>
      </c>
      <c r="J426" s="3" t="s">
        <v>699</v>
      </c>
      <c r="K426" s="3" t="s">
        <v>702</v>
      </c>
      <c r="L426" s="3" t="s">
        <v>709</v>
      </c>
      <c r="M426" s="3" t="s">
        <v>719</v>
      </c>
      <c r="N426" s="3" t="s">
        <v>728</v>
      </c>
      <c r="O426" s="3" t="s">
        <v>1157</v>
      </c>
      <c r="P426" s="19">
        <v>1477.84</v>
      </c>
      <c r="Q426" s="19">
        <v>3197.47</v>
      </c>
      <c r="R426" s="15">
        <v>0.24299999999999999</v>
      </c>
      <c r="S426" s="7">
        <v>24</v>
      </c>
      <c r="T426" s="13">
        <f t="shared" si="117"/>
        <v>58091.634960000003</v>
      </c>
      <c r="U426" s="13">
        <f t="shared" si="118"/>
        <v>35468.159999999996</v>
      </c>
      <c r="V426" s="13">
        <f t="shared" si="130"/>
        <v>22623.474960000007</v>
      </c>
      <c r="W426" s="15">
        <f t="shared" si="131"/>
        <v>0.38944462443823091</v>
      </c>
      <c r="X426" s="17" t="str">
        <f t="shared" si="132"/>
        <v>Q1-2024</v>
      </c>
      <c r="Y426" t="str">
        <f t="shared" si="133"/>
        <v>Asia → China → Beijing</v>
      </c>
      <c r="Z426" t="str">
        <f t="shared" si="134"/>
        <v>High</v>
      </c>
      <c r="AA426">
        <f t="shared" si="119"/>
        <v>2024</v>
      </c>
      <c r="AB426">
        <f t="shared" si="120"/>
        <v>2</v>
      </c>
      <c r="AC426" t="str">
        <f t="shared" si="121"/>
        <v>No</v>
      </c>
      <c r="AD426" t="str">
        <f t="shared" si="122"/>
        <v>Yes</v>
      </c>
      <c r="AE426" s="36">
        <f>IF(Dashboard!$P$47&gt;'Staging Data'!R426,'Staging Data'!R426,Dashboard!$P$47)</f>
        <v>0.1</v>
      </c>
      <c r="AF426">
        <f>(100%+Dashboard!$P$48)*'Staging Data'!P426</f>
        <v>1551.732</v>
      </c>
      <c r="AG426">
        <f>(100%+Dashboard!$P$49)*S426</f>
        <v>24.96</v>
      </c>
      <c r="AH426" s="13">
        <f t="shared" si="123"/>
        <v>71827.966080000013</v>
      </c>
      <c r="AI426" s="13">
        <f t="shared" si="124"/>
        <v>38731.23072</v>
      </c>
      <c r="AJ426" s="13">
        <f t="shared" si="125"/>
        <v>33096.735360000013</v>
      </c>
    </row>
    <row r="427" spans="1:36" x14ac:dyDescent="0.45">
      <c r="A427" s="3" t="s">
        <v>439</v>
      </c>
      <c r="B427" s="5">
        <v>45349</v>
      </c>
      <c r="C427" s="5">
        <v>45377</v>
      </c>
      <c r="D427" s="5">
        <f t="shared" si="126"/>
        <v>45349</v>
      </c>
      <c r="E427" s="5">
        <f t="shared" si="127"/>
        <v>45377</v>
      </c>
      <c r="F427" s="7">
        <f t="shared" si="128"/>
        <v>28</v>
      </c>
      <c r="G427" s="23" t="str">
        <f t="shared" si="129"/>
        <v>2-2024</v>
      </c>
      <c r="H427" s="3" t="s">
        <v>647</v>
      </c>
      <c r="I427" s="3" t="s">
        <v>654</v>
      </c>
      <c r="J427" s="3" t="s">
        <v>691</v>
      </c>
      <c r="K427" s="3" t="s">
        <v>702</v>
      </c>
      <c r="L427" s="3" t="s">
        <v>709</v>
      </c>
      <c r="M427" s="3" t="s">
        <v>715</v>
      </c>
      <c r="N427" s="3" t="s">
        <v>731</v>
      </c>
      <c r="O427" s="3" t="s">
        <v>1158</v>
      </c>
      <c r="P427" s="19">
        <v>1035.19</v>
      </c>
      <c r="Q427" s="19">
        <v>2322.6999999999998</v>
      </c>
      <c r="R427" s="15">
        <v>0.17299999999999999</v>
      </c>
      <c r="S427" s="7">
        <v>8</v>
      </c>
      <c r="T427" s="13">
        <f t="shared" si="117"/>
        <v>15366.983199999999</v>
      </c>
      <c r="U427" s="13">
        <f t="shared" si="118"/>
        <v>8281.52</v>
      </c>
      <c r="V427" s="13">
        <f t="shared" si="130"/>
        <v>7085.4631999999983</v>
      </c>
      <c r="W427" s="15">
        <f t="shared" si="131"/>
        <v>0.46108355217047409</v>
      </c>
      <c r="X427" s="17" t="str">
        <f t="shared" si="132"/>
        <v>Q1-2024</v>
      </c>
      <c r="Y427" t="str">
        <f t="shared" si="133"/>
        <v>Asia → India → Mumbai</v>
      </c>
      <c r="Z427" t="str">
        <f t="shared" si="134"/>
        <v>High</v>
      </c>
      <c r="AA427">
        <f t="shared" si="119"/>
        <v>2024</v>
      </c>
      <c r="AB427">
        <f t="shared" si="120"/>
        <v>2</v>
      </c>
      <c r="AC427" t="str">
        <f t="shared" si="121"/>
        <v>No</v>
      </c>
      <c r="AD427" t="str">
        <f t="shared" si="122"/>
        <v>No</v>
      </c>
      <c r="AE427" s="36">
        <f>IF(Dashboard!$P$47&gt;'Staging Data'!R427,'Staging Data'!R427,Dashboard!$P$47)</f>
        <v>0.1</v>
      </c>
      <c r="AF427">
        <f>(100%+Dashboard!$P$48)*'Staging Data'!P427</f>
        <v>1086.9495000000002</v>
      </c>
      <c r="AG427">
        <f>(100%+Dashboard!$P$49)*S427</f>
        <v>8.32</v>
      </c>
      <c r="AH427" s="13">
        <f t="shared" si="123"/>
        <v>17392.3776</v>
      </c>
      <c r="AI427" s="13">
        <f t="shared" si="124"/>
        <v>9043.4198400000023</v>
      </c>
      <c r="AJ427" s="13">
        <f t="shared" si="125"/>
        <v>8348.9577599999975</v>
      </c>
    </row>
    <row r="428" spans="1:36" x14ac:dyDescent="0.45">
      <c r="A428" s="3" t="s">
        <v>440</v>
      </c>
      <c r="B428" s="5">
        <v>45897</v>
      </c>
      <c r="C428" s="5">
        <v>45905</v>
      </c>
      <c r="D428" s="5">
        <f t="shared" si="126"/>
        <v>45897</v>
      </c>
      <c r="E428" s="5">
        <f t="shared" si="127"/>
        <v>45905</v>
      </c>
      <c r="F428" s="7">
        <f t="shared" si="128"/>
        <v>8</v>
      </c>
      <c r="G428" s="23" t="str">
        <f t="shared" si="129"/>
        <v>8-2025</v>
      </c>
      <c r="H428" s="3" t="s">
        <v>646</v>
      </c>
      <c r="I428" s="3" t="s">
        <v>651</v>
      </c>
      <c r="J428" s="3" t="s">
        <v>663</v>
      </c>
      <c r="K428" s="3" t="s">
        <v>705</v>
      </c>
      <c r="L428" s="3" t="s">
        <v>709</v>
      </c>
      <c r="M428" s="3" t="s">
        <v>718</v>
      </c>
      <c r="N428" s="3" t="s">
        <v>731</v>
      </c>
      <c r="O428" s="3" t="s">
        <v>1159</v>
      </c>
      <c r="P428" s="19">
        <v>1271.0999999999999</v>
      </c>
      <c r="Q428" s="19">
        <v>1932.42</v>
      </c>
      <c r="R428" s="15">
        <v>0.25</v>
      </c>
      <c r="S428" s="7">
        <v>21</v>
      </c>
      <c r="T428" s="13">
        <f t="shared" si="117"/>
        <v>30435.614999999998</v>
      </c>
      <c r="U428" s="13">
        <f t="shared" si="118"/>
        <v>26693.1</v>
      </c>
      <c r="V428" s="13">
        <f t="shared" si="130"/>
        <v>3742.5149999999994</v>
      </c>
      <c r="W428" s="15">
        <f t="shared" si="131"/>
        <v>0.12296498690760807</v>
      </c>
      <c r="X428" s="17" t="str">
        <f t="shared" si="132"/>
        <v>Q3-2025</v>
      </c>
      <c r="Y428" t="str">
        <f t="shared" si="133"/>
        <v>Africa → Nigeria → Port Harcourt</v>
      </c>
      <c r="Z428" t="str">
        <f t="shared" si="134"/>
        <v>High</v>
      </c>
      <c r="AA428">
        <f t="shared" si="119"/>
        <v>2025</v>
      </c>
      <c r="AB428">
        <f t="shared" si="120"/>
        <v>8</v>
      </c>
      <c r="AC428" t="str">
        <f t="shared" si="121"/>
        <v>No</v>
      </c>
      <c r="AD428" t="str">
        <f t="shared" si="122"/>
        <v>Yes</v>
      </c>
      <c r="AE428" s="36">
        <f>IF(Dashboard!$P$47&gt;'Staging Data'!R428,'Staging Data'!R428,Dashboard!$P$47)</f>
        <v>0.1</v>
      </c>
      <c r="AF428">
        <f>(100%+Dashboard!$P$48)*'Staging Data'!P428</f>
        <v>1334.655</v>
      </c>
      <c r="AG428">
        <f>(100%+Dashboard!$P$49)*S428</f>
        <v>21.84</v>
      </c>
      <c r="AH428" s="13">
        <f t="shared" si="123"/>
        <v>37983.647520000006</v>
      </c>
      <c r="AI428" s="13">
        <f t="shared" si="124"/>
        <v>29148.8652</v>
      </c>
      <c r="AJ428" s="13">
        <f t="shared" si="125"/>
        <v>8834.7823200000057</v>
      </c>
    </row>
    <row r="429" spans="1:36" x14ac:dyDescent="0.45">
      <c r="A429" s="3" t="s">
        <v>441</v>
      </c>
      <c r="B429" s="5">
        <v>45522</v>
      </c>
      <c r="C429" s="5">
        <v>45547</v>
      </c>
      <c r="D429" s="5">
        <f t="shared" si="126"/>
        <v>45522</v>
      </c>
      <c r="E429" s="5">
        <f t="shared" si="127"/>
        <v>45547</v>
      </c>
      <c r="F429" s="7">
        <f t="shared" si="128"/>
        <v>25</v>
      </c>
      <c r="G429" s="23" t="str">
        <f t="shared" si="129"/>
        <v>8-2024</v>
      </c>
      <c r="H429" s="3" t="s">
        <v>647</v>
      </c>
      <c r="I429" s="3" t="s">
        <v>654</v>
      </c>
      <c r="J429" s="3" t="s">
        <v>691</v>
      </c>
      <c r="K429" s="3" t="s">
        <v>704</v>
      </c>
      <c r="L429" s="3" t="s">
        <v>709</v>
      </c>
      <c r="M429" s="3" t="s">
        <v>712</v>
      </c>
      <c r="N429" s="3" t="s">
        <v>730</v>
      </c>
      <c r="O429" s="3" t="s">
        <v>1160</v>
      </c>
      <c r="P429" s="19">
        <v>1154.03</v>
      </c>
      <c r="Q429" s="19">
        <v>1590.36</v>
      </c>
      <c r="R429" s="15">
        <v>0.1186</v>
      </c>
      <c r="S429" s="7">
        <v>18</v>
      </c>
      <c r="T429" s="13">
        <f t="shared" si="117"/>
        <v>25231.379471999997</v>
      </c>
      <c r="U429" s="13">
        <f t="shared" si="118"/>
        <v>20772.54</v>
      </c>
      <c r="V429" s="13">
        <f t="shared" si="130"/>
        <v>4458.839471999996</v>
      </c>
      <c r="W429" s="15">
        <f t="shared" si="131"/>
        <v>0.17671802197529871</v>
      </c>
      <c r="X429" s="17" t="str">
        <f t="shared" si="132"/>
        <v>Q3-2024</v>
      </c>
      <c r="Y429" t="str">
        <f t="shared" si="133"/>
        <v>Asia → India → Mumbai</v>
      </c>
      <c r="Z429" t="str">
        <f t="shared" si="134"/>
        <v>Medium</v>
      </c>
      <c r="AA429">
        <f t="shared" si="119"/>
        <v>2024</v>
      </c>
      <c r="AB429">
        <f t="shared" si="120"/>
        <v>8</v>
      </c>
      <c r="AC429" t="str">
        <f t="shared" si="121"/>
        <v>No</v>
      </c>
      <c r="AD429" t="str">
        <f t="shared" si="122"/>
        <v>No</v>
      </c>
      <c r="AE429" s="36">
        <f>IF(Dashboard!$P$47&gt;'Staging Data'!R429,'Staging Data'!R429,Dashboard!$P$47)</f>
        <v>0.1</v>
      </c>
      <c r="AF429">
        <f>(100%+Dashboard!$P$48)*'Staging Data'!P429</f>
        <v>1211.7315000000001</v>
      </c>
      <c r="AG429">
        <f>(100%+Dashboard!$P$49)*S429</f>
        <v>18.72</v>
      </c>
      <c r="AH429" s="13">
        <f t="shared" si="123"/>
        <v>26794.385279999995</v>
      </c>
      <c r="AI429" s="13">
        <f t="shared" si="124"/>
        <v>22683.613680000002</v>
      </c>
      <c r="AJ429" s="13">
        <f t="shared" si="125"/>
        <v>4110.7715999999928</v>
      </c>
    </row>
    <row r="430" spans="1:36" x14ac:dyDescent="0.45">
      <c r="A430" s="3" t="s">
        <v>442</v>
      </c>
      <c r="B430" s="5">
        <v>45347</v>
      </c>
      <c r="C430" s="5">
        <v>45360</v>
      </c>
      <c r="D430" s="5">
        <f t="shared" si="126"/>
        <v>45347</v>
      </c>
      <c r="E430" s="5">
        <f t="shared" si="127"/>
        <v>45360</v>
      </c>
      <c r="F430" s="7">
        <f t="shared" si="128"/>
        <v>13</v>
      </c>
      <c r="G430" s="23" t="str">
        <f t="shared" si="129"/>
        <v>2-2024</v>
      </c>
      <c r="H430" s="3" t="s">
        <v>649</v>
      </c>
      <c r="I430" s="3" t="s">
        <v>657</v>
      </c>
      <c r="J430" s="3" t="s">
        <v>673</v>
      </c>
      <c r="K430" s="3" t="s">
        <v>705</v>
      </c>
      <c r="L430" s="3" t="s">
        <v>710</v>
      </c>
      <c r="M430" s="3" t="s">
        <v>718</v>
      </c>
      <c r="N430" s="3" t="s">
        <v>732</v>
      </c>
      <c r="O430" s="3" t="s">
        <v>1161</v>
      </c>
      <c r="P430" s="19">
        <v>322.44</v>
      </c>
      <c r="Q430" s="19">
        <v>395.61</v>
      </c>
      <c r="R430" s="15">
        <v>0</v>
      </c>
      <c r="S430" s="7">
        <v>34</v>
      </c>
      <c r="T430" s="13">
        <f t="shared" si="117"/>
        <v>13450.74</v>
      </c>
      <c r="U430" s="13">
        <f t="shared" si="118"/>
        <v>10962.96</v>
      </c>
      <c r="V430" s="13">
        <f t="shared" si="130"/>
        <v>2487.7800000000007</v>
      </c>
      <c r="W430" s="15">
        <f t="shared" si="131"/>
        <v>0.18495487980586947</v>
      </c>
      <c r="X430" s="17" t="str">
        <f t="shared" si="132"/>
        <v>Q1-2024</v>
      </c>
      <c r="Y430" t="str">
        <f t="shared" si="133"/>
        <v>Europe → France → Marseille</v>
      </c>
      <c r="Z430" t="str">
        <f t="shared" si="134"/>
        <v>Low</v>
      </c>
      <c r="AA430">
        <f t="shared" si="119"/>
        <v>2024</v>
      </c>
      <c r="AB430">
        <f t="shared" si="120"/>
        <v>2</v>
      </c>
      <c r="AC430" t="str">
        <f t="shared" si="121"/>
        <v>No</v>
      </c>
      <c r="AD430" t="str">
        <f t="shared" si="122"/>
        <v>No</v>
      </c>
      <c r="AE430" s="36">
        <f>IF(Dashboard!$P$47&gt;'Staging Data'!R430,'Staging Data'!R430,Dashboard!$P$47)</f>
        <v>0</v>
      </c>
      <c r="AF430">
        <f>(100%+Dashboard!$P$48)*'Staging Data'!P430</f>
        <v>338.56200000000001</v>
      </c>
      <c r="AG430">
        <f>(100%+Dashboard!$P$49)*S430</f>
        <v>35.36</v>
      </c>
      <c r="AH430" s="13">
        <f t="shared" si="123"/>
        <v>13988.7696</v>
      </c>
      <c r="AI430" s="13">
        <f t="shared" si="124"/>
        <v>11971.552320000001</v>
      </c>
      <c r="AJ430" s="13">
        <f t="shared" si="125"/>
        <v>2017.2172799999989</v>
      </c>
    </row>
    <row r="431" spans="1:36" x14ac:dyDescent="0.45">
      <c r="A431" s="3" t="s">
        <v>443</v>
      </c>
      <c r="B431" s="5">
        <v>45784</v>
      </c>
      <c r="C431" s="5">
        <v>45790</v>
      </c>
      <c r="D431" s="5">
        <f t="shared" si="126"/>
        <v>45784</v>
      </c>
      <c r="E431" s="5">
        <f t="shared" si="127"/>
        <v>45790</v>
      </c>
      <c r="F431" s="7">
        <f t="shared" si="128"/>
        <v>6</v>
      </c>
      <c r="G431" s="23" t="str">
        <f t="shared" si="129"/>
        <v>5-2025</v>
      </c>
      <c r="H431" s="3" t="s">
        <v>647</v>
      </c>
      <c r="I431" s="3" t="s">
        <v>654</v>
      </c>
      <c r="J431" s="3" t="s">
        <v>668</v>
      </c>
      <c r="K431" s="3" t="s">
        <v>706</v>
      </c>
      <c r="L431" s="3" t="s">
        <v>711</v>
      </c>
      <c r="M431" s="3" t="s">
        <v>713</v>
      </c>
      <c r="N431" s="3" t="s">
        <v>730</v>
      </c>
      <c r="O431" s="3" t="s">
        <v>1162</v>
      </c>
      <c r="P431" s="19">
        <v>935.98</v>
      </c>
      <c r="Q431" s="19">
        <v>2077.69</v>
      </c>
      <c r="R431" s="15">
        <v>0.17499999999999999</v>
      </c>
      <c r="S431" s="7">
        <v>24</v>
      </c>
      <c r="T431" s="13">
        <f t="shared" si="117"/>
        <v>41138.261999999995</v>
      </c>
      <c r="U431" s="13">
        <f t="shared" si="118"/>
        <v>22463.52</v>
      </c>
      <c r="V431" s="13">
        <f t="shared" si="130"/>
        <v>18674.741999999995</v>
      </c>
      <c r="W431" s="15">
        <f t="shared" si="131"/>
        <v>0.45395067978321491</v>
      </c>
      <c r="X431" s="17" t="str">
        <f t="shared" si="132"/>
        <v>Q2-2025</v>
      </c>
      <c r="Y431" t="str">
        <f t="shared" si="133"/>
        <v>Asia → India → Bengaluru</v>
      </c>
      <c r="Z431" t="str">
        <f t="shared" si="134"/>
        <v>High</v>
      </c>
      <c r="AA431">
        <f t="shared" si="119"/>
        <v>2025</v>
      </c>
      <c r="AB431">
        <f t="shared" si="120"/>
        <v>5</v>
      </c>
      <c r="AC431" t="str">
        <f t="shared" si="121"/>
        <v>Yes</v>
      </c>
      <c r="AD431" t="str">
        <f t="shared" si="122"/>
        <v>No</v>
      </c>
      <c r="AE431" s="36">
        <f>IF(Dashboard!$P$47&gt;'Staging Data'!R431,'Staging Data'!R431,Dashboard!$P$47)</f>
        <v>0.1</v>
      </c>
      <c r="AF431">
        <f>(100%+Dashboard!$P$48)*'Staging Data'!P431</f>
        <v>982.77900000000011</v>
      </c>
      <c r="AG431">
        <f>(100%+Dashboard!$P$49)*S431</f>
        <v>24.96</v>
      </c>
      <c r="AH431" s="13">
        <f t="shared" si="123"/>
        <v>46673.228160000006</v>
      </c>
      <c r="AI431" s="13">
        <f t="shared" si="124"/>
        <v>24530.163840000005</v>
      </c>
      <c r="AJ431" s="13">
        <f t="shared" si="125"/>
        <v>22143.064320000001</v>
      </c>
    </row>
    <row r="432" spans="1:36" x14ac:dyDescent="0.45">
      <c r="A432" s="3" t="s">
        <v>444</v>
      </c>
      <c r="B432" s="5">
        <v>45597</v>
      </c>
      <c r="C432" s="5">
        <v>45608</v>
      </c>
      <c r="D432" s="5">
        <f t="shared" si="126"/>
        <v>45597</v>
      </c>
      <c r="E432" s="5">
        <f t="shared" si="127"/>
        <v>45608</v>
      </c>
      <c r="F432" s="7">
        <f t="shared" si="128"/>
        <v>11</v>
      </c>
      <c r="G432" s="23" t="str">
        <f t="shared" si="129"/>
        <v>11-2024</v>
      </c>
      <c r="H432" s="3" t="s">
        <v>649</v>
      </c>
      <c r="I432" s="3" t="s">
        <v>656</v>
      </c>
      <c r="J432" s="3" t="s">
        <v>698</v>
      </c>
      <c r="K432" s="3" t="s">
        <v>704</v>
      </c>
      <c r="L432" s="3" t="s">
        <v>708</v>
      </c>
      <c r="M432" s="3" t="s">
        <v>717</v>
      </c>
      <c r="N432" s="3" t="s">
        <v>728</v>
      </c>
      <c r="O432" s="3" t="s">
        <v>1163</v>
      </c>
      <c r="P432" s="19">
        <v>599.84</v>
      </c>
      <c r="Q432" s="19">
        <v>1330.85</v>
      </c>
      <c r="R432" s="15">
        <v>0.115</v>
      </c>
      <c r="S432" s="7">
        <v>11</v>
      </c>
      <c r="T432" s="13">
        <f t="shared" si="117"/>
        <v>12955.824749999998</v>
      </c>
      <c r="U432" s="13">
        <f t="shared" si="118"/>
        <v>6598.2400000000007</v>
      </c>
      <c r="V432" s="13">
        <f t="shared" si="130"/>
        <v>6357.5847499999973</v>
      </c>
      <c r="W432" s="15">
        <f t="shared" si="131"/>
        <v>0.49071246892252063</v>
      </c>
      <c r="X432" s="17" t="str">
        <f t="shared" si="132"/>
        <v>Q4-2024</v>
      </c>
      <c r="Y432" t="str">
        <f t="shared" si="133"/>
        <v>Europe → Germany → Frankfurt</v>
      </c>
      <c r="Z432" t="str">
        <f t="shared" si="134"/>
        <v>Medium</v>
      </c>
      <c r="AA432">
        <f t="shared" si="119"/>
        <v>2024</v>
      </c>
      <c r="AB432">
        <f t="shared" si="120"/>
        <v>11</v>
      </c>
      <c r="AC432" t="str">
        <f t="shared" si="121"/>
        <v>No</v>
      </c>
      <c r="AD432" t="str">
        <f t="shared" si="122"/>
        <v>No</v>
      </c>
      <c r="AE432" s="36">
        <f>IF(Dashboard!$P$47&gt;'Staging Data'!R432,'Staging Data'!R432,Dashboard!$P$47)</f>
        <v>0.1</v>
      </c>
      <c r="AF432">
        <f>(100%+Dashboard!$P$48)*'Staging Data'!P432</f>
        <v>629.83200000000011</v>
      </c>
      <c r="AG432">
        <f>(100%+Dashboard!$P$49)*S432</f>
        <v>11.440000000000001</v>
      </c>
      <c r="AH432" s="13">
        <f t="shared" si="123"/>
        <v>13702.431600000002</v>
      </c>
      <c r="AI432" s="13">
        <f t="shared" si="124"/>
        <v>7205.2780800000019</v>
      </c>
      <c r="AJ432" s="13">
        <f t="shared" si="125"/>
        <v>6497.1535199999998</v>
      </c>
    </row>
    <row r="433" spans="1:36" x14ac:dyDescent="0.45">
      <c r="A433" s="3" t="s">
        <v>445</v>
      </c>
      <c r="B433" s="5">
        <v>45654</v>
      </c>
      <c r="C433" s="5">
        <v>45665</v>
      </c>
      <c r="D433" s="5">
        <f t="shared" si="126"/>
        <v>45654</v>
      </c>
      <c r="E433" s="5">
        <f t="shared" si="127"/>
        <v>45665</v>
      </c>
      <c r="F433" s="7">
        <f t="shared" si="128"/>
        <v>11</v>
      </c>
      <c r="G433" s="23" t="str">
        <f t="shared" si="129"/>
        <v>12-2024</v>
      </c>
      <c r="H433" s="3" t="s">
        <v>647</v>
      </c>
      <c r="I433" s="3" t="s">
        <v>659</v>
      </c>
      <c r="J433" s="3" t="s">
        <v>676</v>
      </c>
      <c r="K433" s="3" t="s">
        <v>706</v>
      </c>
      <c r="L433" s="3" t="s">
        <v>708</v>
      </c>
      <c r="M433" s="3" t="s">
        <v>723</v>
      </c>
      <c r="N433" s="3" t="s">
        <v>731</v>
      </c>
      <c r="O433" s="3" t="s">
        <v>1164</v>
      </c>
      <c r="P433" s="19">
        <v>1201.31</v>
      </c>
      <c r="Q433" s="19">
        <v>2764.65</v>
      </c>
      <c r="R433" s="15">
        <v>0</v>
      </c>
      <c r="S433" s="7">
        <v>21</v>
      </c>
      <c r="T433" s="13">
        <f t="shared" si="117"/>
        <v>58057.65</v>
      </c>
      <c r="U433" s="13">
        <f t="shared" si="118"/>
        <v>25227.51</v>
      </c>
      <c r="V433" s="13">
        <f t="shared" si="130"/>
        <v>32830.14</v>
      </c>
      <c r="W433" s="15">
        <f t="shared" si="131"/>
        <v>0.56547483406579491</v>
      </c>
      <c r="X433" s="17" t="str">
        <f t="shared" si="132"/>
        <v>Q4-2024</v>
      </c>
      <c r="Y433" t="str">
        <f t="shared" si="133"/>
        <v>Asia → China → Shenzhen</v>
      </c>
      <c r="Z433" t="str">
        <f t="shared" si="134"/>
        <v>High</v>
      </c>
      <c r="AA433">
        <f t="shared" si="119"/>
        <v>2024</v>
      </c>
      <c r="AB433">
        <f t="shared" si="120"/>
        <v>12</v>
      </c>
      <c r="AC433" t="str">
        <f t="shared" si="121"/>
        <v>No</v>
      </c>
      <c r="AD433" t="str">
        <f t="shared" si="122"/>
        <v>No</v>
      </c>
      <c r="AE433" s="36">
        <f>IF(Dashboard!$P$47&gt;'Staging Data'!R433,'Staging Data'!R433,Dashboard!$P$47)</f>
        <v>0</v>
      </c>
      <c r="AF433">
        <f>(100%+Dashboard!$P$48)*'Staging Data'!P433</f>
        <v>1261.3755000000001</v>
      </c>
      <c r="AG433">
        <f>(100%+Dashboard!$P$49)*S433</f>
        <v>21.84</v>
      </c>
      <c r="AH433" s="13">
        <f t="shared" si="123"/>
        <v>60379.955999999998</v>
      </c>
      <c r="AI433" s="13">
        <f t="shared" si="124"/>
        <v>27548.440920000001</v>
      </c>
      <c r="AJ433" s="13">
        <f t="shared" si="125"/>
        <v>32831.515079999997</v>
      </c>
    </row>
    <row r="434" spans="1:36" x14ac:dyDescent="0.45">
      <c r="A434" s="3" t="s">
        <v>446</v>
      </c>
      <c r="B434" s="5">
        <v>45220</v>
      </c>
      <c r="C434" s="5">
        <v>45220</v>
      </c>
      <c r="D434" s="5">
        <f t="shared" si="126"/>
        <v>45220</v>
      </c>
      <c r="E434" s="5">
        <f t="shared" si="127"/>
        <v>45220</v>
      </c>
      <c r="F434" s="7">
        <f t="shared" si="128"/>
        <v>0</v>
      </c>
      <c r="G434" s="23" t="str">
        <f t="shared" si="129"/>
        <v>10-2023</v>
      </c>
      <c r="H434" s="3" t="s">
        <v>649</v>
      </c>
      <c r="I434" s="3" t="s">
        <v>658</v>
      </c>
      <c r="J434" s="3" t="s">
        <v>693</v>
      </c>
      <c r="K434" s="3" t="s">
        <v>706</v>
      </c>
      <c r="L434" s="3" t="s">
        <v>710</v>
      </c>
      <c r="M434" s="3" t="s">
        <v>713</v>
      </c>
      <c r="N434" s="3" t="s">
        <v>732</v>
      </c>
      <c r="O434" s="3" t="s">
        <v>1165</v>
      </c>
      <c r="P434" s="19">
        <v>384.19</v>
      </c>
      <c r="Q434" s="19">
        <v>278.35000000000002</v>
      </c>
      <c r="R434" s="15">
        <v>5.6000000000000001E-2</v>
      </c>
      <c r="S434" s="7">
        <v>10</v>
      </c>
      <c r="T434" s="13">
        <f t="shared" si="117"/>
        <v>2627.6239999999998</v>
      </c>
      <c r="U434" s="13">
        <f t="shared" si="118"/>
        <v>3841.9</v>
      </c>
      <c r="V434" s="13">
        <f t="shared" si="130"/>
        <v>-1214.2760000000003</v>
      </c>
      <c r="W434" s="15">
        <f t="shared" si="131"/>
        <v>-0.46211938998882657</v>
      </c>
      <c r="X434" s="17" t="str">
        <f t="shared" si="132"/>
        <v>Q4-2023</v>
      </c>
      <c r="Y434" t="str">
        <f t="shared" si="133"/>
        <v>Europe → United Kingdom → Manchester</v>
      </c>
      <c r="Z434" t="str">
        <f t="shared" si="134"/>
        <v>Low</v>
      </c>
      <c r="AA434">
        <f t="shared" si="119"/>
        <v>2023</v>
      </c>
      <c r="AB434">
        <f t="shared" si="120"/>
        <v>10</v>
      </c>
      <c r="AC434" t="str">
        <f t="shared" si="121"/>
        <v>Yes</v>
      </c>
      <c r="AD434" t="str">
        <f t="shared" si="122"/>
        <v>No</v>
      </c>
      <c r="AE434" s="36">
        <f>IF(Dashboard!$P$47&gt;'Staging Data'!R434,'Staging Data'!R434,Dashboard!$P$47)</f>
        <v>5.6000000000000001E-2</v>
      </c>
      <c r="AF434">
        <f>(100%+Dashboard!$P$48)*'Staging Data'!P434</f>
        <v>403.39949999999999</v>
      </c>
      <c r="AG434">
        <f>(100%+Dashboard!$P$49)*S434</f>
        <v>10.4</v>
      </c>
      <c r="AH434" s="13">
        <f t="shared" si="123"/>
        <v>2732.7289599999999</v>
      </c>
      <c r="AI434" s="13">
        <f t="shared" si="124"/>
        <v>4195.3548000000001</v>
      </c>
      <c r="AJ434" s="13">
        <f t="shared" si="125"/>
        <v>-1462.6258400000002</v>
      </c>
    </row>
    <row r="435" spans="1:36" x14ac:dyDescent="0.45">
      <c r="A435" s="3" t="s">
        <v>447</v>
      </c>
      <c r="B435" s="5">
        <v>45636</v>
      </c>
      <c r="C435" s="5">
        <v>45645</v>
      </c>
      <c r="D435" s="5">
        <f t="shared" si="126"/>
        <v>45636</v>
      </c>
      <c r="E435" s="5">
        <f t="shared" si="127"/>
        <v>45645</v>
      </c>
      <c r="F435" s="7">
        <f t="shared" si="128"/>
        <v>9</v>
      </c>
      <c r="G435" s="23" t="str">
        <f t="shared" si="129"/>
        <v>12-2024</v>
      </c>
      <c r="H435" s="3" t="s">
        <v>646</v>
      </c>
      <c r="I435" s="3" t="s">
        <v>651</v>
      </c>
      <c r="J435" s="3" t="s">
        <v>665</v>
      </c>
      <c r="K435" s="3" t="s">
        <v>701</v>
      </c>
      <c r="L435" s="3" t="s">
        <v>707</v>
      </c>
      <c r="M435" s="3" t="s">
        <v>719</v>
      </c>
      <c r="N435" s="3" t="s">
        <v>732</v>
      </c>
      <c r="O435" s="3" t="s">
        <v>1166</v>
      </c>
      <c r="P435" s="19">
        <v>488.68</v>
      </c>
      <c r="Q435" s="19">
        <v>984.36</v>
      </c>
      <c r="R435" s="15">
        <v>5.8999999999999997E-2</v>
      </c>
      <c r="S435" s="7">
        <v>14</v>
      </c>
      <c r="T435" s="13">
        <f t="shared" si="117"/>
        <v>12967.958640000001</v>
      </c>
      <c r="U435" s="13">
        <f t="shared" si="118"/>
        <v>6841.52</v>
      </c>
      <c r="V435" s="13">
        <f t="shared" si="130"/>
        <v>6126.4386400000003</v>
      </c>
      <c r="W435" s="15">
        <f t="shared" si="131"/>
        <v>0.47242891576649876</v>
      </c>
      <c r="X435" s="17" t="str">
        <f t="shared" si="132"/>
        <v>Q4-2024</v>
      </c>
      <c r="Y435" t="str">
        <f t="shared" si="133"/>
        <v>Africa → Nigeria → Lagos</v>
      </c>
      <c r="Z435" t="str">
        <f t="shared" si="134"/>
        <v>Low</v>
      </c>
      <c r="AA435">
        <f t="shared" si="119"/>
        <v>2024</v>
      </c>
      <c r="AB435">
        <f t="shared" si="120"/>
        <v>12</v>
      </c>
      <c r="AC435" t="str">
        <f t="shared" si="121"/>
        <v>No</v>
      </c>
      <c r="AD435" t="str">
        <f t="shared" si="122"/>
        <v>No</v>
      </c>
      <c r="AE435" s="36">
        <f>IF(Dashboard!$P$47&gt;'Staging Data'!R435,'Staging Data'!R435,Dashboard!$P$47)</f>
        <v>5.8999999999999997E-2</v>
      </c>
      <c r="AF435">
        <f>(100%+Dashboard!$P$48)*'Staging Data'!P435</f>
        <v>513.11400000000003</v>
      </c>
      <c r="AG435">
        <f>(100%+Dashboard!$P$49)*S435</f>
        <v>14.56</v>
      </c>
      <c r="AH435" s="13">
        <f t="shared" si="123"/>
        <v>13486.676985600001</v>
      </c>
      <c r="AI435" s="13">
        <f t="shared" si="124"/>
        <v>7470.9398400000009</v>
      </c>
      <c r="AJ435" s="13">
        <f t="shared" si="125"/>
        <v>6015.7371456000001</v>
      </c>
    </row>
    <row r="436" spans="1:36" x14ac:dyDescent="0.45">
      <c r="A436" s="3" t="s">
        <v>448</v>
      </c>
      <c r="B436" s="5">
        <v>45542</v>
      </c>
      <c r="C436" s="5">
        <v>45553</v>
      </c>
      <c r="D436" s="5">
        <f t="shared" si="126"/>
        <v>45542</v>
      </c>
      <c r="E436" s="5">
        <f t="shared" si="127"/>
        <v>45553</v>
      </c>
      <c r="F436" s="7">
        <f t="shared" si="128"/>
        <v>11</v>
      </c>
      <c r="G436" s="23" t="str">
        <f t="shared" si="129"/>
        <v>9-2024</v>
      </c>
      <c r="H436" s="3" t="s">
        <v>647</v>
      </c>
      <c r="I436" s="3" t="s">
        <v>659</v>
      </c>
      <c r="J436" s="3" t="s">
        <v>699</v>
      </c>
      <c r="K436" s="3" t="s">
        <v>704</v>
      </c>
      <c r="L436" s="3" t="s">
        <v>710</v>
      </c>
      <c r="M436" s="3" t="s">
        <v>719</v>
      </c>
      <c r="N436" s="3" t="s">
        <v>729</v>
      </c>
      <c r="O436" s="3" t="s">
        <v>1167</v>
      </c>
      <c r="P436" s="19">
        <v>181.74</v>
      </c>
      <c r="Q436" s="19">
        <v>190.84</v>
      </c>
      <c r="R436" s="15">
        <v>0.214</v>
      </c>
      <c r="S436" s="7">
        <v>13</v>
      </c>
      <c r="T436" s="13">
        <f t="shared" si="117"/>
        <v>1950.0031200000001</v>
      </c>
      <c r="U436" s="13">
        <f t="shared" si="118"/>
        <v>2362.62</v>
      </c>
      <c r="V436" s="13">
        <f t="shared" si="130"/>
        <v>-412.61687999999981</v>
      </c>
      <c r="W436" s="15">
        <f t="shared" si="131"/>
        <v>-0.21159806144310159</v>
      </c>
      <c r="X436" s="17" t="str">
        <f t="shared" si="132"/>
        <v>Q3-2024</v>
      </c>
      <c r="Y436" t="str">
        <f t="shared" si="133"/>
        <v>Asia → China → Beijing</v>
      </c>
      <c r="Z436" t="str">
        <f t="shared" si="134"/>
        <v>Low</v>
      </c>
      <c r="AA436">
        <f t="shared" si="119"/>
        <v>2024</v>
      </c>
      <c r="AB436">
        <f t="shared" si="120"/>
        <v>9</v>
      </c>
      <c r="AC436" t="str">
        <f t="shared" si="121"/>
        <v>No</v>
      </c>
      <c r="AD436" t="str">
        <f t="shared" si="122"/>
        <v>Yes</v>
      </c>
      <c r="AE436" s="36">
        <f>IF(Dashboard!$P$47&gt;'Staging Data'!R436,'Staging Data'!R436,Dashboard!$P$47)</f>
        <v>0.1</v>
      </c>
      <c r="AF436">
        <f>(100%+Dashboard!$P$48)*'Staging Data'!P436</f>
        <v>190.82700000000003</v>
      </c>
      <c r="AG436">
        <f>(100%+Dashboard!$P$49)*S436</f>
        <v>13.52</v>
      </c>
      <c r="AH436" s="13">
        <f t="shared" si="123"/>
        <v>2322.1411199999998</v>
      </c>
      <c r="AI436" s="13">
        <f t="shared" si="124"/>
        <v>2579.9810400000001</v>
      </c>
      <c r="AJ436" s="13">
        <f t="shared" si="125"/>
        <v>-257.83992000000035</v>
      </c>
    </row>
    <row r="437" spans="1:36" x14ac:dyDescent="0.45">
      <c r="A437" s="3" t="s">
        <v>449</v>
      </c>
      <c r="B437" s="5">
        <v>45217</v>
      </c>
      <c r="C437" s="5">
        <v>45219</v>
      </c>
      <c r="D437" s="5">
        <f t="shared" si="126"/>
        <v>45217</v>
      </c>
      <c r="E437" s="5">
        <f t="shared" si="127"/>
        <v>45219</v>
      </c>
      <c r="F437" s="7">
        <f t="shared" si="128"/>
        <v>2</v>
      </c>
      <c r="G437" s="23" t="str">
        <f t="shared" si="129"/>
        <v>10-2023</v>
      </c>
      <c r="H437" s="3" t="s">
        <v>646</v>
      </c>
      <c r="I437" s="3" t="s">
        <v>650</v>
      </c>
      <c r="J437" s="3" t="s">
        <v>662</v>
      </c>
      <c r="K437" s="3" t="s">
        <v>704</v>
      </c>
      <c r="L437" s="3" t="s">
        <v>707</v>
      </c>
      <c r="M437" s="3" t="s">
        <v>713</v>
      </c>
      <c r="N437" s="3" t="s">
        <v>730</v>
      </c>
      <c r="O437" s="3" t="s">
        <v>1168</v>
      </c>
      <c r="P437" s="19">
        <v>774.12</v>
      </c>
      <c r="Q437" s="19">
        <v>908.3</v>
      </c>
      <c r="R437" s="15">
        <v>0</v>
      </c>
      <c r="S437" s="7">
        <v>30</v>
      </c>
      <c r="T437" s="13">
        <f t="shared" si="117"/>
        <v>27249</v>
      </c>
      <c r="U437" s="13">
        <f t="shared" si="118"/>
        <v>23223.599999999999</v>
      </c>
      <c r="V437" s="13">
        <f t="shared" si="130"/>
        <v>4025.4000000000015</v>
      </c>
      <c r="W437" s="15">
        <f t="shared" si="131"/>
        <v>0.14772652207420461</v>
      </c>
      <c r="X437" s="17" t="str">
        <f t="shared" si="132"/>
        <v>Q4-2023</v>
      </c>
      <c r="Y437" t="str">
        <f t="shared" si="133"/>
        <v>Africa → Kenya → Kisumu</v>
      </c>
      <c r="Z437" t="str">
        <f t="shared" si="134"/>
        <v>Low</v>
      </c>
      <c r="AA437">
        <f t="shared" si="119"/>
        <v>2023</v>
      </c>
      <c r="AB437">
        <f t="shared" si="120"/>
        <v>10</v>
      </c>
      <c r="AC437" t="str">
        <f t="shared" si="121"/>
        <v>Yes</v>
      </c>
      <c r="AD437" t="str">
        <f t="shared" si="122"/>
        <v>No</v>
      </c>
      <c r="AE437" s="36">
        <f>IF(Dashboard!$P$47&gt;'Staging Data'!R437,'Staging Data'!R437,Dashboard!$P$47)</f>
        <v>0</v>
      </c>
      <c r="AF437">
        <f>(100%+Dashboard!$P$48)*'Staging Data'!P437</f>
        <v>812.82600000000002</v>
      </c>
      <c r="AG437">
        <f>(100%+Dashboard!$P$49)*S437</f>
        <v>31.200000000000003</v>
      </c>
      <c r="AH437" s="13">
        <f t="shared" si="123"/>
        <v>28338.960000000003</v>
      </c>
      <c r="AI437" s="13">
        <f t="shared" si="124"/>
        <v>25360.171200000004</v>
      </c>
      <c r="AJ437" s="13">
        <f t="shared" si="125"/>
        <v>2978.7887999999984</v>
      </c>
    </row>
    <row r="438" spans="1:36" x14ac:dyDescent="0.45">
      <c r="A438" s="3" t="s">
        <v>450</v>
      </c>
      <c r="B438" s="5">
        <v>45650</v>
      </c>
      <c r="C438" s="5">
        <v>45670</v>
      </c>
      <c r="D438" s="5">
        <f t="shared" si="126"/>
        <v>45650</v>
      </c>
      <c r="E438" s="5">
        <f t="shared" si="127"/>
        <v>45670</v>
      </c>
      <c r="F438" s="7">
        <f t="shared" si="128"/>
        <v>20</v>
      </c>
      <c r="G438" s="23" t="str">
        <f t="shared" si="129"/>
        <v>12-2024</v>
      </c>
      <c r="H438" s="3" t="s">
        <v>647</v>
      </c>
      <c r="I438" s="3" t="s">
        <v>654</v>
      </c>
      <c r="J438" s="3" t="s">
        <v>668</v>
      </c>
      <c r="K438" s="3" t="s">
        <v>701</v>
      </c>
      <c r="L438" s="3" t="s">
        <v>709</v>
      </c>
      <c r="M438" s="3" t="s">
        <v>726</v>
      </c>
      <c r="N438" s="3" t="s">
        <v>729</v>
      </c>
      <c r="O438" s="3" t="s">
        <v>1169</v>
      </c>
      <c r="P438" s="19">
        <v>126.15</v>
      </c>
      <c r="Q438" s="19">
        <v>284.23</v>
      </c>
      <c r="R438" s="15">
        <v>0.113</v>
      </c>
      <c r="S438" s="7">
        <v>22</v>
      </c>
      <c r="T438" s="13">
        <f t="shared" si="117"/>
        <v>5546.4642200000008</v>
      </c>
      <c r="U438" s="13">
        <f t="shared" si="118"/>
        <v>2775.3</v>
      </c>
      <c r="V438" s="13">
        <f t="shared" si="130"/>
        <v>2771.1642200000006</v>
      </c>
      <c r="W438" s="15">
        <f t="shared" si="131"/>
        <v>0.49962716968541088</v>
      </c>
      <c r="X438" s="17" t="str">
        <f t="shared" si="132"/>
        <v>Q4-2024</v>
      </c>
      <c r="Y438" t="str">
        <f t="shared" si="133"/>
        <v>Asia → India → Bengaluru</v>
      </c>
      <c r="Z438" t="str">
        <f t="shared" si="134"/>
        <v>Low</v>
      </c>
      <c r="AA438">
        <f t="shared" si="119"/>
        <v>2024</v>
      </c>
      <c r="AB438">
        <f t="shared" si="120"/>
        <v>12</v>
      </c>
      <c r="AC438" t="str">
        <f t="shared" si="121"/>
        <v>No</v>
      </c>
      <c r="AD438" t="str">
        <f t="shared" si="122"/>
        <v>No</v>
      </c>
      <c r="AE438" s="36">
        <f>IF(Dashboard!$P$47&gt;'Staging Data'!R438,'Staging Data'!R438,Dashboard!$P$47)</f>
        <v>0.1</v>
      </c>
      <c r="AF438">
        <f>(100%+Dashboard!$P$48)*'Staging Data'!P438</f>
        <v>132.45750000000001</v>
      </c>
      <c r="AG438">
        <f>(100%+Dashboard!$P$49)*S438</f>
        <v>22.880000000000003</v>
      </c>
      <c r="AH438" s="13">
        <f t="shared" si="123"/>
        <v>5852.8641600000019</v>
      </c>
      <c r="AI438" s="13">
        <f t="shared" si="124"/>
        <v>3030.6276000000007</v>
      </c>
      <c r="AJ438" s="13">
        <f t="shared" si="125"/>
        <v>2822.2365600000012</v>
      </c>
    </row>
    <row r="439" spans="1:36" x14ac:dyDescent="0.45">
      <c r="A439" s="3" t="s">
        <v>451</v>
      </c>
      <c r="B439" s="5">
        <v>45037</v>
      </c>
      <c r="C439" s="5">
        <v>45035</v>
      </c>
      <c r="D439" s="5">
        <f t="shared" si="126"/>
        <v>45035</v>
      </c>
      <c r="E439" s="5">
        <f t="shared" si="127"/>
        <v>45037</v>
      </c>
      <c r="F439" s="7">
        <f t="shared" si="128"/>
        <v>2</v>
      </c>
      <c r="G439" s="23" t="str">
        <f t="shared" si="129"/>
        <v>4-2023</v>
      </c>
      <c r="H439" s="3" t="s">
        <v>647</v>
      </c>
      <c r="I439" s="3" t="s">
        <v>652</v>
      </c>
      <c r="J439" s="3" t="s">
        <v>694</v>
      </c>
      <c r="K439" s="3" t="s">
        <v>705</v>
      </c>
      <c r="L439" s="3" t="s">
        <v>711</v>
      </c>
      <c r="M439" s="3" t="s">
        <v>724</v>
      </c>
      <c r="N439" s="3" t="s">
        <v>727</v>
      </c>
      <c r="O439" s="3" t="s">
        <v>1170</v>
      </c>
      <c r="P439" s="19">
        <v>607.04</v>
      </c>
      <c r="Q439" s="19">
        <v>1229.3399999999999</v>
      </c>
      <c r="R439" s="15">
        <v>0.14699999999999999</v>
      </c>
      <c r="S439" s="7">
        <v>7</v>
      </c>
      <c r="T439" s="13">
        <f t="shared" si="117"/>
        <v>7340.3891399999993</v>
      </c>
      <c r="U439" s="13">
        <f t="shared" si="118"/>
        <v>4249.28</v>
      </c>
      <c r="V439" s="13">
        <f t="shared" si="130"/>
        <v>3091.1091399999996</v>
      </c>
      <c r="W439" s="15">
        <f t="shared" si="131"/>
        <v>0.42110970972310058</v>
      </c>
      <c r="X439" s="17" t="str">
        <f t="shared" si="132"/>
        <v>Q2-2023</v>
      </c>
      <c r="Y439" t="str">
        <f t="shared" si="133"/>
        <v>Asia → Japan → Nagoya</v>
      </c>
      <c r="Z439" t="str">
        <f t="shared" si="134"/>
        <v>Medium</v>
      </c>
      <c r="AA439">
        <f t="shared" si="119"/>
        <v>2023</v>
      </c>
      <c r="AB439">
        <f t="shared" si="120"/>
        <v>4</v>
      </c>
      <c r="AC439" t="str">
        <f t="shared" si="121"/>
        <v>Yes</v>
      </c>
      <c r="AD439" t="str">
        <f t="shared" si="122"/>
        <v>No</v>
      </c>
      <c r="AE439" s="36">
        <f>IF(Dashboard!$P$47&gt;'Staging Data'!R439,'Staging Data'!R439,Dashboard!$P$47)</f>
        <v>0.1</v>
      </c>
      <c r="AF439">
        <f>(100%+Dashboard!$P$48)*'Staging Data'!P439</f>
        <v>637.39199999999994</v>
      </c>
      <c r="AG439">
        <f>(100%+Dashboard!$P$49)*S439</f>
        <v>7.28</v>
      </c>
      <c r="AH439" s="13">
        <f t="shared" si="123"/>
        <v>8054.6356800000003</v>
      </c>
      <c r="AI439" s="13">
        <f t="shared" si="124"/>
        <v>4640.2137599999996</v>
      </c>
      <c r="AJ439" s="13">
        <f t="shared" si="125"/>
        <v>3414.4219200000007</v>
      </c>
    </row>
    <row r="440" spans="1:36" x14ac:dyDescent="0.45">
      <c r="A440" s="3" t="s">
        <v>197</v>
      </c>
      <c r="B440" s="5">
        <v>45690</v>
      </c>
      <c r="C440" s="5">
        <v>45720</v>
      </c>
      <c r="D440" s="5">
        <f t="shared" si="126"/>
        <v>45690</v>
      </c>
      <c r="E440" s="5">
        <f t="shared" si="127"/>
        <v>45720</v>
      </c>
      <c r="F440" s="7">
        <f t="shared" si="128"/>
        <v>30</v>
      </c>
      <c r="G440" s="23" t="str">
        <f t="shared" si="129"/>
        <v>2-2025</v>
      </c>
      <c r="H440" s="3" t="s">
        <v>647</v>
      </c>
      <c r="I440" s="3" t="s">
        <v>652</v>
      </c>
      <c r="J440" s="3" t="s">
        <v>666</v>
      </c>
      <c r="K440" s="3" t="s">
        <v>702</v>
      </c>
      <c r="L440" s="3" t="s">
        <v>710</v>
      </c>
      <c r="M440" s="3" t="s">
        <v>716</v>
      </c>
      <c r="N440" s="3" t="s">
        <v>733</v>
      </c>
      <c r="O440" s="3" t="s">
        <v>916</v>
      </c>
      <c r="P440" s="19">
        <v>766.59</v>
      </c>
      <c r="Q440" s="19">
        <v>1912.8</v>
      </c>
      <c r="R440" s="15">
        <v>0.19600000000000001</v>
      </c>
      <c r="S440" s="7">
        <v>5</v>
      </c>
      <c r="T440" s="13">
        <f t="shared" si="117"/>
        <v>7689.4560000000001</v>
      </c>
      <c r="U440" s="13">
        <f t="shared" si="118"/>
        <v>3832.9500000000003</v>
      </c>
      <c r="V440" s="13">
        <f t="shared" si="130"/>
        <v>3856.5059999999999</v>
      </c>
      <c r="W440" s="15">
        <f t="shared" si="131"/>
        <v>0.50153170783472845</v>
      </c>
      <c r="X440" s="17" t="str">
        <f t="shared" si="132"/>
        <v>Q1-2025</v>
      </c>
      <c r="Y440" t="str">
        <f t="shared" si="133"/>
        <v>Asia → Japan → Osaka</v>
      </c>
      <c r="Z440" t="str">
        <f t="shared" si="134"/>
        <v>High</v>
      </c>
      <c r="AA440">
        <f t="shared" si="119"/>
        <v>2025</v>
      </c>
      <c r="AB440">
        <f t="shared" si="120"/>
        <v>2</v>
      </c>
      <c r="AC440" t="str">
        <f t="shared" si="121"/>
        <v>No</v>
      </c>
      <c r="AD440" t="str">
        <f t="shared" si="122"/>
        <v>No</v>
      </c>
      <c r="AE440" s="36">
        <f>IF(Dashboard!$P$47&gt;'Staging Data'!R440,'Staging Data'!R440,Dashboard!$P$47)</f>
        <v>0.1</v>
      </c>
      <c r="AF440">
        <f>(100%+Dashboard!$P$48)*'Staging Data'!P440</f>
        <v>804.91950000000008</v>
      </c>
      <c r="AG440">
        <f>(100%+Dashboard!$P$49)*S440</f>
        <v>5.2</v>
      </c>
      <c r="AH440" s="13">
        <f t="shared" si="123"/>
        <v>8951.9040000000005</v>
      </c>
      <c r="AI440" s="13">
        <f t="shared" si="124"/>
        <v>4185.5814000000009</v>
      </c>
      <c r="AJ440" s="13">
        <f t="shared" si="125"/>
        <v>4766.3225999999995</v>
      </c>
    </row>
    <row r="441" spans="1:36" x14ac:dyDescent="0.45">
      <c r="A441" s="3" t="s">
        <v>453</v>
      </c>
      <c r="B441" s="5">
        <v>44978</v>
      </c>
      <c r="C441" s="5">
        <v>44997</v>
      </c>
      <c r="D441" s="5">
        <f t="shared" si="126"/>
        <v>44978</v>
      </c>
      <c r="E441" s="5">
        <f t="shared" si="127"/>
        <v>44997</v>
      </c>
      <c r="F441" s="7">
        <f t="shared" si="128"/>
        <v>19</v>
      </c>
      <c r="G441" s="23" t="str">
        <f t="shared" si="129"/>
        <v>2-2023</v>
      </c>
      <c r="H441" s="3" t="s">
        <v>646</v>
      </c>
      <c r="I441" s="3" t="s">
        <v>650</v>
      </c>
      <c r="J441" s="3" t="s">
        <v>678</v>
      </c>
      <c r="K441" s="3" t="s">
        <v>701</v>
      </c>
      <c r="L441" s="3" t="s">
        <v>708</v>
      </c>
      <c r="M441" s="3" t="s">
        <v>721</v>
      </c>
      <c r="N441" s="3" t="s">
        <v>729</v>
      </c>
      <c r="O441" s="3" t="s">
        <v>1172</v>
      </c>
      <c r="P441" s="19">
        <v>352.65</v>
      </c>
      <c r="Q441" s="19">
        <v>485.86</v>
      </c>
      <c r="R441" s="15">
        <v>4.1000000000000002E-2</v>
      </c>
      <c r="S441" s="7">
        <v>6</v>
      </c>
      <c r="T441" s="13">
        <f t="shared" si="117"/>
        <v>2795.6384399999997</v>
      </c>
      <c r="U441" s="13">
        <f t="shared" si="118"/>
        <v>2115.8999999999996</v>
      </c>
      <c r="V441" s="13">
        <f t="shared" si="130"/>
        <v>679.73844000000008</v>
      </c>
      <c r="W441" s="15">
        <f t="shared" si="131"/>
        <v>0.24314247159943908</v>
      </c>
      <c r="X441" s="17" t="str">
        <f t="shared" si="132"/>
        <v>Q1-2023</v>
      </c>
      <c r="Y441" t="str">
        <f t="shared" si="133"/>
        <v>Africa → Kenya → Nakuru</v>
      </c>
      <c r="Z441" t="str">
        <f t="shared" si="134"/>
        <v>Low</v>
      </c>
      <c r="AA441">
        <f t="shared" si="119"/>
        <v>2023</v>
      </c>
      <c r="AB441">
        <f t="shared" si="120"/>
        <v>2</v>
      </c>
      <c r="AC441" t="str">
        <f t="shared" si="121"/>
        <v>No</v>
      </c>
      <c r="AD441" t="str">
        <f t="shared" si="122"/>
        <v>No</v>
      </c>
      <c r="AE441" s="36">
        <f>IF(Dashboard!$P$47&gt;'Staging Data'!R441,'Staging Data'!R441,Dashboard!$P$47)</f>
        <v>4.1000000000000002E-2</v>
      </c>
      <c r="AF441">
        <f>(100%+Dashboard!$P$48)*'Staging Data'!P441</f>
        <v>370.28249999999997</v>
      </c>
      <c r="AG441">
        <f>(100%+Dashboard!$P$49)*S441</f>
        <v>6.24</v>
      </c>
      <c r="AH441" s="13">
        <f t="shared" si="123"/>
        <v>2907.4639775999999</v>
      </c>
      <c r="AI441" s="13">
        <f t="shared" si="124"/>
        <v>2310.5627999999997</v>
      </c>
      <c r="AJ441" s="13">
        <f t="shared" si="125"/>
        <v>596.90117760000021</v>
      </c>
    </row>
    <row r="442" spans="1:36" x14ac:dyDescent="0.45">
      <c r="A442" s="3" t="s">
        <v>454</v>
      </c>
      <c r="B442" s="5">
        <v>45063</v>
      </c>
      <c r="C442" s="5">
        <v>45080</v>
      </c>
      <c r="D442" s="5">
        <f t="shared" si="126"/>
        <v>45063</v>
      </c>
      <c r="E442" s="5">
        <f t="shared" si="127"/>
        <v>45080</v>
      </c>
      <c r="F442" s="7">
        <f t="shared" si="128"/>
        <v>17</v>
      </c>
      <c r="G442" s="23" t="str">
        <f t="shared" si="129"/>
        <v>5-2023</v>
      </c>
      <c r="H442" s="3" t="s">
        <v>647</v>
      </c>
      <c r="I442" s="3" t="s">
        <v>659</v>
      </c>
      <c r="J442" s="3" t="s">
        <v>699</v>
      </c>
      <c r="K442" s="3" t="s">
        <v>703</v>
      </c>
      <c r="L442" s="3" t="s">
        <v>710</v>
      </c>
      <c r="M442" s="3" t="s">
        <v>724</v>
      </c>
      <c r="N442" s="3" t="s">
        <v>728</v>
      </c>
      <c r="O442" s="3" t="s">
        <v>1173</v>
      </c>
      <c r="P442" s="19">
        <v>979.59</v>
      </c>
      <c r="Q442" s="19">
        <v>2210.94</v>
      </c>
      <c r="R442" s="15">
        <v>0.15</v>
      </c>
      <c r="S442" s="7">
        <v>11</v>
      </c>
      <c r="T442" s="13">
        <f t="shared" si="117"/>
        <v>20672.289000000001</v>
      </c>
      <c r="U442" s="13">
        <f t="shared" si="118"/>
        <v>10775.49</v>
      </c>
      <c r="V442" s="13">
        <f t="shared" si="130"/>
        <v>9896.7990000000009</v>
      </c>
      <c r="W442" s="15">
        <f t="shared" si="131"/>
        <v>0.47874712858358359</v>
      </c>
      <c r="X442" s="17" t="str">
        <f t="shared" si="132"/>
        <v>Q2-2023</v>
      </c>
      <c r="Y442" t="str">
        <f t="shared" si="133"/>
        <v>Asia → China → Beijing</v>
      </c>
      <c r="Z442" t="str">
        <f t="shared" si="134"/>
        <v>High</v>
      </c>
      <c r="AA442">
        <f t="shared" si="119"/>
        <v>2023</v>
      </c>
      <c r="AB442">
        <f t="shared" si="120"/>
        <v>5</v>
      </c>
      <c r="AC442" t="str">
        <f t="shared" si="121"/>
        <v>No</v>
      </c>
      <c r="AD442" t="str">
        <f t="shared" si="122"/>
        <v>No</v>
      </c>
      <c r="AE442" s="36">
        <f>IF(Dashboard!$P$47&gt;'Staging Data'!R442,'Staging Data'!R442,Dashboard!$P$47)</f>
        <v>0.1</v>
      </c>
      <c r="AF442">
        <f>(100%+Dashboard!$P$48)*'Staging Data'!P442</f>
        <v>1028.5695000000001</v>
      </c>
      <c r="AG442">
        <f>(100%+Dashboard!$P$49)*S442</f>
        <v>11.440000000000001</v>
      </c>
      <c r="AH442" s="13">
        <f t="shared" si="123"/>
        <v>22763.838240000005</v>
      </c>
      <c r="AI442" s="13">
        <f t="shared" si="124"/>
        <v>11766.835080000003</v>
      </c>
      <c r="AJ442" s="13">
        <f t="shared" si="125"/>
        <v>10997.003160000002</v>
      </c>
    </row>
    <row r="443" spans="1:36" x14ac:dyDescent="0.45">
      <c r="A443" s="3" t="s">
        <v>455</v>
      </c>
      <c r="B443" s="5">
        <v>45374</v>
      </c>
      <c r="C443" s="5">
        <v>45377</v>
      </c>
      <c r="D443" s="5">
        <f t="shared" si="126"/>
        <v>45374</v>
      </c>
      <c r="E443" s="5">
        <f t="shared" si="127"/>
        <v>45377</v>
      </c>
      <c r="F443" s="7">
        <f t="shared" si="128"/>
        <v>3</v>
      </c>
      <c r="G443" s="23" t="str">
        <f t="shared" si="129"/>
        <v>3-2024</v>
      </c>
      <c r="H443" s="3" t="s">
        <v>647</v>
      </c>
      <c r="I443" s="3" t="s">
        <v>654</v>
      </c>
      <c r="J443" s="3" t="s">
        <v>668</v>
      </c>
      <c r="K443" s="3" t="s">
        <v>702</v>
      </c>
      <c r="L443" s="3" t="s">
        <v>711</v>
      </c>
      <c r="M443" s="3" t="s">
        <v>715</v>
      </c>
      <c r="N443" s="3" t="s">
        <v>730</v>
      </c>
      <c r="O443" s="3" t="s">
        <v>1174</v>
      </c>
      <c r="P443" s="19">
        <v>382.21</v>
      </c>
      <c r="Q443" s="19">
        <v>571.89</v>
      </c>
      <c r="R443" s="15">
        <v>0.14799999999999999</v>
      </c>
      <c r="S443" s="7">
        <v>26</v>
      </c>
      <c r="T443" s="13">
        <f t="shared" si="117"/>
        <v>12668.50728</v>
      </c>
      <c r="U443" s="13">
        <f t="shared" si="118"/>
        <v>9937.4599999999991</v>
      </c>
      <c r="V443" s="13">
        <f t="shared" si="130"/>
        <v>2731.0472800000007</v>
      </c>
      <c r="W443" s="15">
        <f t="shared" si="131"/>
        <v>0.2155776698578809</v>
      </c>
      <c r="X443" s="17" t="str">
        <f t="shared" si="132"/>
        <v>Q1-2024</v>
      </c>
      <c r="Y443" t="str">
        <f t="shared" si="133"/>
        <v>Asia → India → Bengaluru</v>
      </c>
      <c r="Z443" t="str">
        <f t="shared" si="134"/>
        <v>Low</v>
      </c>
      <c r="AA443">
        <f t="shared" si="119"/>
        <v>2024</v>
      </c>
      <c r="AB443">
        <f t="shared" si="120"/>
        <v>3</v>
      </c>
      <c r="AC443" t="str">
        <f t="shared" si="121"/>
        <v>Yes</v>
      </c>
      <c r="AD443" t="str">
        <f t="shared" si="122"/>
        <v>No</v>
      </c>
      <c r="AE443" s="36">
        <f>IF(Dashboard!$P$47&gt;'Staging Data'!R443,'Staging Data'!R443,Dashboard!$P$47)</f>
        <v>0.1</v>
      </c>
      <c r="AF443">
        <f>(100%+Dashboard!$P$48)*'Staging Data'!P443</f>
        <v>401.32049999999998</v>
      </c>
      <c r="AG443">
        <f>(100%+Dashboard!$P$49)*S443</f>
        <v>27.04</v>
      </c>
      <c r="AH443" s="13">
        <f t="shared" si="123"/>
        <v>13917.51504</v>
      </c>
      <c r="AI443" s="13">
        <f t="shared" si="124"/>
        <v>10851.706319999999</v>
      </c>
      <c r="AJ443" s="13">
        <f t="shared" si="125"/>
        <v>3065.8087200000009</v>
      </c>
    </row>
    <row r="444" spans="1:36" x14ac:dyDescent="0.45">
      <c r="A444" s="3" t="s">
        <v>29</v>
      </c>
      <c r="B444" s="5">
        <v>45901</v>
      </c>
      <c r="C444" s="5">
        <v>45930</v>
      </c>
      <c r="D444" s="5">
        <f t="shared" si="126"/>
        <v>45901</v>
      </c>
      <c r="E444" s="5">
        <f t="shared" si="127"/>
        <v>45930</v>
      </c>
      <c r="F444" s="7">
        <f t="shared" si="128"/>
        <v>29</v>
      </c>
      <c r="G444" s="23" t="str">
        <f t="shared" si="129"/>
        <v>9-2025</v>
      </c>
      <c r="H444" s="3" t="s">
        <v>648</v>
      </c>
      <c r="I444" s="3" t="s">
        <v>655</v>
      </c>
      <c r="J444" s="3" t="s">
        <v>672</v>
      </c>
      <c r="K444" s="3" t="s">
        <v>702</v>
      </c>
      <c r="L444" s="3" t="s">
        <v>707</v>
      </c>
      <c r="M444" s="3" t="s">
        <v>723</v>
      </c>
      <c r="N444" s="3" t="s">
        <v>733</v>
      </c>
      <c r="O444" s="3" t="s">
        <v>748</v>
      </c>
      <c r="P444" s="19">
        <v>780.59</v>
      </c>
      <c r="Q444" s="19">
        <v>631.57000000000005</v>
      </c>
      <c r="R444" s="15">
        <v>0</v>
      </c>
      <c r="S444" s="7">
        <v>12</v>
      </c>
      <c r="T444" s="13">
        <f t="shared" si="117"/>
        <v>7578.84</v>
      </c>
      <c r="U444" s="13">
        <f t="shared" si="118"/>
        <v>9367.08</v>
      </c>
      <c r="V444" s="13">
        <f t="shared" si="130"/>
        <v>-1788.2399999999998</v>
      </c>
      <c r="W444" s="15">
        <f t="shared" si="131"/>
        <v>-0.23595167598207639</v>
      </c>
      <c r="X444" s="17" t="str">
        <f t="shared" si="132"/>
        <v>Q3-2025</v>
      </c>
      <c r="Y444" t="str">
        <f t="shared" si="133"/>
        <v>Americas → Brazil → Brasília</v>
      </c>
      <c r="Z444" t="str">
        <f t="shared" si="134"/>
        <v>Low</v>
      </c>
      <c r="AA444">
        <f t="shared" si="119"/>
        <v>2025</v>
      </c>
      <c r="AB444">
        <f t="shared" si="120"/>
        <v>9</v>
      </c>
      <c r="AC444" t="str">
        <f t="shared" si="121"/>
        <v>No</v>
      </c>
      <c r="AD444" t="str">
        <f t="shared" si="122"/>
        <v>No</v>
      </c>
      <c r="AE444" s="36">
        <f>IF(Dashboard!$P$47&gt;'Staging Data'!R444,'Staging Data'!R444,Dashboard!$P$47)</f>
        <v>0</v>
      </c>
      <c r="AF444">
        <f>(100%+Dashboard!$P$48)*'Staging Data'!P444</f>
        <v>819.61950000000002</v>
      </c>
      <c r="AG444">
        <f>(100%+Dashboard!$P$49)*S444</f>
        <v>12.48</v>
      </c>
      <c r="AH444" s="13">
        <f t="shared" si="123"/>
        <v>7881.9936000000007</v>
      </c>
      <c r="AI444" s="13">
        <f t="shared" si="124"/>
        <v>10228.851360000001</v>
      </c>
      <c r="AJ444" s="13">
        <f t="shared" si="125"/>
        <v>-2346.8577599999999</v>
      </c>
    </row>
    <row r="445" spans="1:36" x14ac:dyDescent="0.45">
      <c r="A445" s="3" t="s">
        <v>457</v>
      </c>
      <c r="B445" s="5">
        <v>45526</v>
      </c>
      <c r="C445" s="5">
        <v>45539</v>
      </c>
      <c r="D445" s="5">
        <f t="shared" si="126"/>
        <v>45526</v>
      </c>
      <c r="E445" s="5">
        <f t="shared" si="127"/>
        <v>45539</v>
      </c>
      <c r="F445" s="7">
        <f t="shared" si="128"/>
        <v>13</v>
      </c>
      <c r="G445" s="23" t="str">
        <f t="shared" si="129"/>
        <v>8-2024</v>
      </c>
      <c r="H445" s="3" t="s">
        <v>649</v>
      </c>
      <c r="I445" s="3" t="s">
        <v>656</v>
      </c>
      <c r="J445" s="3" t="s">
        <v>698</v>
      </c>
      <c r="K445" s="3" t="s">
        <v>703</v>
      </c>
      <c r="L445" s="3" t="s">
        <v>707</v>
      </c>
      <c r="M445" s="3" t="s">
        <v>716</v>
      </c>
      <c r="N445" s="3" t="s">
        <v>728</v>
      </c>
      <c r="O445" s="3" t="s">
        <v>1176</v>
      </c>
      <c r="P445" s="19">
        <v>90.04</v>
      </c>
      <c r="Q445" s="19">
        <v>194.62</v>
      </c>
      <c r="R445" s="15">
        <v>4.2999999999999997E-2</v>
      </c>
      <c r="S445" s="7">
        <v>32</v>
      </c>
      <c r="T445" s="13">
        <f t="shared" si="117"/>
        <v>5960.04288</v>
      </c>
      <c r="U445" s="13">
        <f t="shared" si="118"/>
        <v>2881.28</v>
      </c>
      <c r="V445" s="13">
        <f t="shared" si="130"/>
        <v>3078.7628799999998</v>
      </c>
      <c r="W445" s="15">
        <f t="shared" si="131"/>
        <v>0.51656723650954672</v>
      </c>
      <c r="X445" s="17" t="str">
        <f t="shared" si="132"/>
        <v>Q3-2024</v>
      </c>
      <c r="Y445" t="str">
        <f t="shared" si="133"/>
        <v>Europe → Germany → Frankfurt</v>
      </c>
      <c r="Z445" t="str">
        <f t="shared" si="134"/>
        <v>Low</v>
      </c>
      <c r="AA445">
        <f t="shared" si="119"/>
        <v>2024</v>
      </c>
      <c r="AB445">
        <f t="shared" si="120"/>
        <v>8</v>
      </c>
      <c r="AC445" t="str">
        <f t="shared" si="121"/>
        <v>No</v>
      </c>
      <c r="AD445" t="str">
        <f t="shared" si="122"/>
        <v>No</v>
      </c>
      <c r="AE445" s="36">
        <f>IF(Dashboard!$P$47&gt;'Staging Data'!R445,'Staging Data'!R445,Dashboard!$P$47)</f>
        <v>4.2999999999999997E-2</v>
      </c>
      <c r="AF445">
        <f>(100%+Dashboard!$P$48)*'Staging Data'!P445</f>
        <v>94.542000000000016</v>
      </c>
      <c r="AG445">
        <f>(100%+Dashboard!$P$49)*S445</f>
        <v>33.28</v>
      </c>
      <c r="AH445" s="13">
        <f t="shared" si="123"/>
        <v>6198.4445952000005</v>
      </c>
      <c r="AI445" s="13">
        <f t="shared" si="124"/>
        <v>3146.3577600000008</v>
      </c>
      <c r="AJ445" s="13">
        <f t="shared" si="125"/>
        <v>3052.0868351999998</v>
      </c>
    </row>
    <row r="446" spans="1:36" x14ac:dyDescent="0.45">
      <c r="A446" s="3" t="s">
        <v>458</v>
      </c>
      <c r="B446" s="5">
        <v>45560</v>
      </c>
      <c r="C446" s="5">
        <v>45568</v>
      </c>
      <c r="D446" s="5">
        <f t="shared" si="126"/>
        <v>45560</v>
      </c>
      <c r="E446" s="5">
        <f t="shared" si="127"/>
        <v>45568</v>
      </c>
      <c r="F446" s="7">
        <f t="shared" si="128"/>
        <v>8</v>
      </c>
      <c r="G446" s="23" t="str">
        <f t="shared" si="129"/>
        <v>9-2024</v>
      </c>
      <c r="H446" s="3" t="s">
        <v>648</v>
      </c>
      <c r="I446" s="3" t="s">
        <v>653</v>
      </c>
      <c r="J446" s="3" t="s">
        <v>667</v>
      </c>
      <c r="K446" s="3" t="s">
        <v>704</v>
      </c>
      <c r="L446" s="3" t="s">
        <v>708</v>
      </c>
      <c r="M446" s="3" t="s">
        <v>718</v>
      </c>
      <c r="N446" s="3" t="s">
        <v>728</v>
      </c>
      <c r="O446" s="3" t="s">
        <v>1177</v>
      </c>
      <c r="P446" s="19">
        <v>558.19000000000005</v>
      </c>
      <c r="Q446" s="19">
        <v>1031.6400000000001</v>
      </c>
      <c r="R446" s="15">
        <v>0</v>
      </c>
      <c r="S446" s="7">
        <v>21</v>
      </c>
      <c r="T446" s="13">
        <f t="shared" si="117"/>
        <v>21664.440000000002</v>
      </c>
      <c r="U446" s="13">
        <f t="shared" si="118"/>
        <v>11721.990000000002</v>
      </c>
      <c r="V446" s="13">
        <f t="shared" si="130"/>
        <v>9942.4500000000007</v>
      </c>
      <c r="W446" s="15">
        <f t="shared" si="131"/>
        <v>0.45892947152107322</v>
      </c>
      <c r="X446" s="17" t="str">
        <f t="shared" si="132"/>
        <v>Q3-2024</v>
      </c>
      <c r="Y446" t="str">
        <f t="shared" si="133"/>
        <v>Americas → Canada → Toronto</v>
      </c>
      <c r="Z446" t="str">
        <f t="shared" si="134"/>
        <v>Low</v>
      </c>
      <c r="AA446">
        <f t="shared" si="119"/>
        <v>2024</v>
      </c>
      <c r="AB446">
        <f t="shared" si="120"/>
        <v>9</v>
      </c>
      <c r="AC446" t="str">
        <f t="shared" si="121"/>
        <v>No</v>
      </c>
      <c r="AD446" t="str">
        <f t="shared" si="122"/>
        <v>No</v>
      </c>
      <c r="AE446" s="36">
        <f>IF(Dashboard!$P$47&gt;'Staging Data'!R446,'Staging Data'!R446,Dashboard!$P$47)</f>
        <v>0</v>
      </c>
      <c r="AF446">
        <f>(100%+Dashboard!$P$48)*'Staging Data'!P446</f>
        <v>586.09950000000003</v>
      </c>
      <c r="AG446">
        <f>(100%+Dashboard!$P$49)*S446</f>
        <v>21.84</v>
      </c>
      <c r="AH446" s="13">
        <f t="shared" si="123"/>
        <v>22531.017600000003</v>
      </c>
      <c r="AI446" s="13">
        <f t="shared" si="124"/>
        <v>12800.41308</v>
      </c>
      <c r="AJ446" s="13">
        <f t="shared" si="125"/>
        <v>9730.6045200000026</v>
      </c>
    </row>
    <row r="447" spans="1:36" x14ac:dyDescent="0.45">
      <c r="A447" s="3" t="s">
        <v>459</v>
      </c>
      <c r="B447" s="5">
        <v>45090</v>
      </c>
      <c r="C447" s="5">
        <v>45101</v>
      </c>
      <c r="D447" s="5">
        <f t="shared" si="126"/>
        <v>45090</v>
      </c>
      <c r="E447" s="5">
        <f t="shared" si="127"/>
        <v>45101</v>
      </c>
      <c r="F447" s="7">
        <f t="shared" si="128"/>
        <v>11</v>
      </c>
      <c r="G447" s="23" t="str">
        <f t="shared" si="129"/>
        <v>6-2023</v>
      </c>
      <c r="H447" s="3" t="s">
        <v>648</v>
      </c>
      <c r="I447" s="3" t="s">
        <v>653</v>
      </c>
      <c r="J447" s="3" t="s">
        <v>667</v>
      </c>
      <c r="K447" s="3" t="s">
        <v>701</v>
      </c>
      <c r="L447" s="3" t="s">
        <v>708</v>
      </c>
      <c r="M447" s="3" t="s">
        <v>712</v>
      </c>
      <c r="N447" s="3" t="s">
        <v>728</v>
      </c>
      <c r="O447" s="3" t="s">
        <v>1178</v>
      </c>
      <c r="P447" s="19">
        <v>247.07</v>
      </c>
      <c r="Q447" s="19">
        <v>495.19</v>
      </c>
      <c r="R447" s="15">
        <v>2.8000000000000001E-2</v>
      </c>
      <c r="S447" s="7">
        <v>4</v>
      </c>
      <c r="T447" s="13">
        <f t="shared" si="117"/>
        <v>1925.29872</v>
      </c>
      <c r="U447" s="13">
        <f t="shared" si="118"/>
        <v>988.28</v>
      </c>
      <c r="V447" s="13">
        <f t="shared" si="130"/>
        <v>937.01872000000003</v>
      </c>
      <c r="W447" s="15">
        <f t="shared" si="131"/>
        <v>0.48668744764968214</v>
      </c>
      <c r="X447" s="17" t="str">
        <f t="shared" si="132"/>
        <v>Q2-2023</v>
      </c>
      <c r="Y447" t="str">
        <f t="shared" si="133"/>
        <v>Americas → Canada → Toronto</v>
      </c>
      <c r="Z447" t="str">
        <f t="shared" si="134"/>
        <v>Low</v>
      </c>
      <c r="AA447">
        <f t="shared" si="119"/>
        <v>2023</v>
      </c>
      <c r="AB447">
        <f t="shared" si="120"/>
        <v>6</v>
      </c>
      <c r="AC447" t="str">
        <f t="shared" si="121"/>
        <v>No</v>
      </c>
      <c r="AD447" t="str">
        <f t="shared" si="122"/>
        <v>No</v>
      </c>
      <c r="AE447" s="36">
        <f>IF(Dashboard!$P$47&gt;'Staging Data'!R447,'Staging Data'!R447,Dashboard!$P$47)</f>
        <v>2.8000000000000001E-2</v>
      </c>
      <c r="AF447">
        <f>(100%+Dashboard!$P$48)*'Staging Data'!P447</f>
        <v>259.42349999999999</v>
      </c>
      <c r="AG447">
        <f>(100%+Dashboard!$P$49)*S447</f>
        <v>4.16</v>
      </c>
      <c r="AH447" s="13">
        <f t="shared" si="123"/>
        <v>2002.3106688</v>
      </c>
      <c r="AI447" s="13">
        <f t="shared" si="124"/>
        <v>1079.2017599999999</v>
      </c>
      <c r="AJ447" s="13">
        <f t="shared" si="125"/>
        <v>923.10890880000011</v>
      </c>
    </row>
    <row r="448" spans="1:36" x14ac:dyDescent="0.45">
      <c r="A448" s="3" t="s">
        <v>460</v>
      </c>
      <c r="B448" s="5">
        <v>45284</v>
      </c>
      <c r="C448" s="5">
        <v>45304</v>
      </c>
      <c r="D448" s="5">
        <f t="shared" si="126"/>
        <v>45284</v>
      </c>
      <c r="E448" s="5">
        <f t="shared" si="127"/>
        <v>45304</v>
      </c>
      <c r="F448" s="7">
        <f t="shared" si="128"/>
        <v>20</v>
      </c>
      <c r="G448" s="23" t="str">
        <f t="shared" si="129"/>
        <v>12-2023</v>
      </c>
      <c r="H448" s="3" t="s">
        <v>647</v>
      </c>
      <c r="I448" s="3" t="s">
        <v>652</v>
      </c>
      <c r="J448" s="3" t="s">
        <v>694</v>
      </c>
      <c r="K448" s="3" t="s">
        <v>702</v>
      </c>
      <c r="L448" s="3" t="s">
        <v>711</v>
      </c>
      <c r="M448" s="3" t="s">
        <v>717</v>
      </c>
      <c r="N448" s="3" t="s">
        <v>731</v>
      </c>
      <c r="O448" s="3" t="s">
        <v>1179</v>
      </c>
      <c r="P448" s="19">
        <v>625.37</v>
      </c>
      <c r="Q448" s="19">
        <v>1319.04</v>
      </c>
      <c r="R448" s="15">
        <v>7.3999999999999996E-2</v>
      </c>
      <c r="S448" s="7">
        <v>8</v>
      </c>
      <c r="T448" s="13">
        <f t="shared" si="117"/>
        <v>9771.4483199999995</v>
      </c>
      <c r="U448" s="13">
        <f t="shared" si="118"/>
        <v>5002.96</v>
      </c>
      <c r="V448" s="13">
        <f t="shared" si="130"/>
        <v>4768.4883199999995</v>
      </c>
      <c r="W448" s="15">
        <f t="shared" si="131"/>
        <v>0.48800220436513547</v>
      </c>
      <c r="X448" s="17" t="str">
        <f t="shared" si="132"/>
        <v>Q4-2023</v>
      </c>
      <c r="Y448" t="str">
        <f t="shared" si="133"/>
        <v>Asia → Japan → Nagoya</v>
      </c>
      <c r="Z448" t="str">
        <f t="shared" si="134"/>
        <v>Medium</v>
      </c>
      <c r="AA448">
        <f t="shared" si="119"/>
        <v>2023</v>
      </c>
      <c r="AB448">
        <f t="shared" si="120"/>
        <v>12</v>
      </c>
      <c r="AC448" t="str">
        <f t="shared" si="121"/>
        <v>No</v>
      </c>
      <c r="AD448" t="str">
        <f t="shared" si="122"/>
        <v>No</v>
      </c>
      <c r="AE448" s="36">
        <f>IF(Dashboard!$P$47&gt;'Staging Data'!R448,'Staging Data'!R448,Dashboard!$P$47)</f>
        <v>7.3999999999999996E-2</v>
      </c>
      <c r="AF448">
        <f>(100%+Dashboard!$P$48)*'Staging Data'!P448</f>
        <v>656.63850000000002</v>
      </c>
      <c r="AG448">
        <f>(100%+Dashboard!$P$49)*S448</f>
        <v>8.32</v>
      </c>
      <c r="AH448" s="13">
        <f t="shared" si="123"/>
        <v>10162.306252800001</v>
      </c>
      <c r="AI448" s="13">
        <f t="shared" si="124"/>
        <v>5463.2323200000001</v>
      </c>
      <c r="AJ448" s="13">
        <f t="shared" si="125"/>
        <v>4699.0739328000009</v>
      </c>
    </row>
    <row r="449" spans="1:36" x14ac:dyDescent="0.45">
      <c r="A449" s="3" t="s">
        <v>461</v>
      </c>
      <c r="B449" s="5">
        <v>45746</v>
      </c>
      <c r="C449" s="5">
        <v>45776</v>
      </c>
      <c r="D449" s="5">
        <f t="shared" si="126"/>
        <v>45746</v>
      </c>
      <c r="E449" s="5">
        <f t="shared" si="127"/>
        <v>45776</v>
      </c>
      <c r="F449" s="7">
        <f t="shared" si="128"/>
        <v>30</v>
      </c>
      <c r="G449" s="23" t="str">
        <f t="shared" si="129"/>
        <v>3-2025</v>
      </c>
      <c r="H449" s="3" t="s">
        <v>646</v>
      </c>
      <c r="I449" s="3" t="s">
        <v>661</v>
      </c>
      <c r="J449" s="3" t="s">
        <v>687</v>
      </c>
      <c r="K449" s="3" t="s">
        <v>704</v>
      </c>
      <c r="L449" s="3" t="s">
        <v>709</v>
      </c>
      <c r="M449" s="3" t="s">
        <v>713</v>
      </c>
      <c r="N449" s="3" t="s">
        <v>732</v>
      </c>
      <c r="O449" s="3" t="s">
        <v>1180</v>
      </c>
      <c r="P449" s="19">
        <v>194.6</v>
      </c>
      <c r="Q449" s="19">
        <v>314.87</v>
      </c>
      <c r="R449" s="15">
        <v>0.29299999999999998</v>
      </c>
      <c r="S449" s="7">
        <v>25</v>
      </c>
      <c r="T449" s="13">
        <f t="shared" si="117"/>
        <v>5565.3272500000003</v>
      </c>
      <c r="U449" s="13">
        <f t="shared" si="118"/>
        <v>4865</v>
      </c>
      <c r="V449" s="13">
        <f t="shared" si="130"/>
        <v>700.32725000000028</v>
      </c>
      <c r="W449" s="15">
        <f t="shared" si="131"/>
        <v>0.1258375686712763</v>
      </c>
      <c r="X449" s="17" t="str">
        <f t="shared" si="132"/>
        <v>Q1-2025</v>
      </c>
      <c r="Y449" t="str">
        <f t="shared" si="133"/>
        <v>Africa → South Africa → Durban</v>
      </c>
      <c r="Z449" t="str">
        <f t="shared" si="134"/>
        <v>Low</v>
      </c>
      <c r="AA449">
        <f t="shared" si="119"/>
        <v>2025</v>
      </c>
      <c r="AB449">
        <f t="shared" si="120"/>
        <v>3</v>
      </c>
      <c r="AC449" t="str">
        <f t="shared" si="121"/>
        <v>No</v>
      </c>
      <c r="AD449" t="str">
        <f t="shared" si="122"/>
        <v>Yes</v>
      </c>
      <c r="AE449" s="36">
        <f>IF(Dashboard!$P$47&gt;'Staging Data'!R449,'Staging Data'!R449,Dashboard!$P$47)</f>
        <v>0.1</v>
      </c>
      <c r="AF449">
        <f>(100%+Dashboard!$P$48)*'Staging Data'!P449</f>
        <v>204.33</v>
      </c>
      <c r="AG449">
        <f>(100%+Dashboard!$P$49)*S449</f>
        <v>26</v>
      </c>
      <c r="AH449" s="13">
        <f t="shared" si="123"/>
        <v>7367.9580000000005</v>
      </c>
      <c r="AI449" s="13">
        <f t="shared" si="124"/>
        <v>5312.58</v>
      </c>
      <c r="AJ449" s="13">
        <f t="shared" si="125"/>
        <v>2055.3780000000006</v>
      </c>
    </row>
    <row r="450" spans="1:36" x14ac:dyDescent="0.45">
      <c r="A450" s="3" t="s">
        <v>462</v>
      </c>
      <c r="B450" s="5">
        <v>45446</v>
      </c>
      <c r="C450" s="5">
        <v>45467</v>
      </c>
      <c r="D450" s="5">
        <f t="shared" si="126"/>
        <v>45446</v>
      </c>
      <c r="E450" s="5">
        <f t="shared" si="127"/>
        <v>45467</v>
      </c>
      <c r="F450" s="7">
        <f t="shared" si="128"/>
        <v>21</v>
      </c>
      <c r="G450" s="23" t="str">
        <f t="shared" si="129"/>
        <v>6-2024</v>
      </c>
      <c r="H450" s="3" t="s">
        <v>648</v>
      </c>
      <c r="I450" s="3" t="s">
        <v>653</v>
      </c>
      <c r="J450" s="3" t="s">
        <v>667</v>
      </c>
      <c r="K450" s="3" t="s">
        <v>705</v>
      </c>
      <c r="L450" s="3" t="s">
        <v>711</v>
      </c>
      <c r="M450" s="3" t="s">
        <v>715</v>
      </c>
      <c r="N450" s="3" t="s">
        <v>732</v>
      </c>
      <c r="O450" s="3" t="s">
        <v>1181</v>
      </c>
      <c r="P450" s="19">
        <v>1205.5</v>
      </c>
      <c r="Q450" s="19">
        <v>2210.17</v>
      </c>
      <c r="R450" s="15">
        <v>0.104</v>
      </c>
      <c r="S450" s="7">
        <v>23</v>
      </c>
      <c r="T450" s="13">
        <f t="shared" si="117"/>
        <v>45547.183360000003</v>
      </c>
      <c r="U450" s="13">
        <f t="shared" si="118"/>
        <v>27726.5</v>
      </c>
      <c r="V450" s="13">
        <f t="shared" si="130"/>
        <v>17820.683360000003</v>
      </c>
      <c r="W450" s="15">
        <f t="shared" si="131"/>
        <v>0.39125763758314652</v>
      </c>
      <c r="X450" s="17" t="str">
        <f t="shared" si="132"/>
        <v>Q2-2024</v>
      </c>
      <c r="Y450" t="str">
        <f t="shared" si="133"/>
        <v>Americas → Canada → Toronto</v>
      </c>
      <c r="Z450" t="str">
        <f t="shared" si="134"/>
        <v>High</v>
      </c>
      <c r="AA450">
        <f t="shared" si="119"/>
        <v>2024</v>
      </c>
      <c r="AB450">
        <f t="shared" si="120"/>
        <v>6</v>
      </c>
      <c r="AC450" t="str">
        <f t="shared" si="121"/>
        <v>No</v>
      </c>
      <c r="AD450" t="str">
        <f t="shared" si="122"/>
        <v>No</v>
      </c>
      <c r="AE450" s="36">
        <f>IF(Dashboard!$P$47&gt;'Staging Data'!R450,'Staging Data'!R450,Dashboard!$P$47)</f>
        <v>0.1</v>
      </c>
      <c r="AF450">
        <f>(100%+Dashboard!$P$48)*'Staging Data'!P450</f>
        <v>1265.7750000000001</v>
      </c>
      <c r="AG450">
        <f>(100%+Dashboard!$P$49)*S450</f>
        <v>23.92</v>
      </c>
      <c r="AH450" s="13">
        <f t="shared" si="123"/>
        <v>47580.539760000007</v>
      </c>
      <c r="AI450" s="13">
        <f t="shared" si="124"/>
        <v>30277.338000000003</v>
      </c>
      <c r="AJ450" s="13">
        <f t="shared" si="125"/>
        <v>17303.201760000004</v>
      </c>
    </row>
    <row r="451" spans="1:36" x14ac:dyDescent="0.45">
      <c r="A451" s="3" t="s">
        <v>463</v>
      </c>
      <c r="B451" s="5">
        <v>45454</v>
      </c>
      <c r="C451" s="5">
        <v>45482</v>
      </c>
      <c r="D451" s="5">
        <f t="shared" si="126"/>
        <v>45454</v>
      </c>
      <c r="E451" s="5">
        <f t="shared" si="127"/>
        <v>45482</v>
      </c>
      <c r="F451" s="7">
        <f t="shared" si="128"/>
        <v>28</v>
      </c>
      <c r="G451" s="23" t="str">
        <f t="shared" si="129"/>
        <v>6-2024</v>
      </c>
      <c r="H451" s="3" t="s">
        <v>646</v>
      </c>
      <c r="I451" s="3" t="s">
        <v>651</v>
      </c>
      <c r="J451" s="3" t="s">
        <v>663</v>
      </c>
      <c r="K451" s="3" t="s">
        <v>701</v>
      </c>
      <c r="L451" s="3" t="s">
        <v>709</v>
      </c>
      <c r="M451" s="3" t="s">
        <v>714</v>
      </c>
      <c r="N451" s="3" t="s">
        <v>730</v>
      </c>
      <c r="O451" s="3" t="s">
        <v>1182</v>
      </c>
      <c r="P451" s="19">
        <v>895.54</v>
      </c>
      <c r="Q451" s="19">
        <v>1045</v>
      </c>
      <c r="R451" s="15">
        <v>0.216</v>
      </c>
      <c r="S451" s="7">
        <v>15</v>
      </c>
      <c r="T451" s="13">
        <f t="shared" ref="T451:T514" si="135">(Q451*S451)*(1-R451)</f>
        <v>12289.2</v>
      </c>
      <c r="U451" s="13">
        <f t="shared" ref="U451:U514" si="136">P451*S451</f>
        <v>13433.099999999999</v>
      </c>
      <c r="V451" s="13">
        <f t="shared" si="130"/>
        <v>-1143.8999999999978</v>
      </c>
      <c r="W451" s="15">
        <f t="shared" si="131"/>
        <v>-9.3081730299775234E-2</v>
      </c>
      <c r="X451" s="17" t="str">
        <f t="shared" si="132"/>
        <v>Q2-2024</v>
      </c>
      <c r="Y451" t="str">
        <f t="shared" si="133"/>
        <v>Africa → Nigeria → Port Harcourt</v>
      </c>
      <c r="Z451" t="str">
        <f t="shared" si="134"/>
        <v>Low</v>
      </c>
      <c r="AA451">
        <f t="shared" ref="AA451:AA514" si="137">YEAR(D451)</f>
        <v>2024</v>
      </c>
      <c r="AB451">
        <f t="shared" ref="AB451:AB514" si="138">MONTH(D451)</f>
        <v>6</v>
      </c>
      <c r="AC451" t="str">
        <f t="shared" ref="AC451:AC514" si="139">IF(F451&lt;=7,"Yes", "No")</f>
        <v>No</v>
      </c>
      <c r="AD451" t="str">
        <f t="shared" ref="AD451:AD514" si="140">IF(R451&gt;20%,"Yes","No")</f>
        <v>Yes</v>
      </c>
      <c r="AE451" s="36">
        <f>IF(Dashboard!$P$47&gt;'Staging Data'!R451,'Staging Data'!R451,Dashboard!$P$47)</f>
        <v>0.1</v>
      </c>
      <c r="AF451">
        <f>(100%+Dashboard!$P$48)*'Staging Data'!P451</f>
        <v>940.31700000000001</v>
      </c>
      <c r="AG451">
        <f>(100%+Dashboard!$P$49)*S451</f>
        <v>15.600000000000001</v>
      </c>
      <c r="AH451" s="13">
        <f t="shared" ref="AH451:AH514" si="141">(Q451*AG451)*(1-AE451)</f>
        <v>14671.800000000001</v>
      </c>
      <c r="AI451" s="13">
        <f t="shared" ref="AI451:AI514" si="142">AF451*AG451</f>
        <v>14668.945200000002</v>
      </c>
      <c r="AJ451" s="13">
        <f t="shared" ref="AJ451:AJ514" si="143">AH451-AI451</f>
        <v>2.8547999999991589</v>
      </c>
    </row>
    <row r="452" spans="1:36" x14ac:dyDescent="0.45">
      <c r="A452" s="3" t="s">
        <v>464</v>
      </c>
      <c r="B452" s="5">
        <v>45129</v>
      </c>
      <c r="C452" s="5">
        <v>45128</v>
      </c>
      <c r="D452" s="5">
        <f t="shared" si="126"/>
        <v>45128</v>
      </c>
      <c r="E452" s="5">
        <f t="shared" si="127"/>
        <v>45129</v>
      </c>
      <c r="F452" s="7">
        <f t="shared" si="128"/>
        <v>1</v>
      </c>
      <c r="G452" s="23" t="str">
        <f t="shared" si="129"/>
        <v>7-2023</v>
      </c>
      <c r="H452" s="3" t="s">
        <v>647</v>
      </c>
      <c r="I452" s="3" t="s">
        <v>654</v>
      </c>
      <c r="J452" s="3" t="s">
        <v>680</v>
      </c>
      <c r="K452" s="3" t="s">
        <v>705</v>
      </c>
      <c r="L452" s="3" t="s">
        <v>710</v>
      </c>
      <c r="M452" s="3" t="s">
        <v>718</v>
      </c>
      <c r="N452" s="3" t="s">
        <v>728</v>
      </c>
      <c r="O452" s="3" t="s">
        <v>1183</v>
      </c>
      <c r="P452" s="19">
        <v>946.99</v>
      </c>
      <c r="Q452" s="19">
        <v>2132.19</v>
      </c>
      <c r="R452" s="15">
        <v>0.16500000000000001</v>
      </c>
      <c r="S452" s="7">
        <v>7</v>
      </c>
      <c r="T452" s="13">
        <f t="shared" si="135"/>
        <v>12462.65055</v>
      </c>
      <c r="U452" s="13">
        <f t="shared" si="136"/>
        <v>6628.93</v>
      </c>
      <c r="V452" s="13">
        <f t="shared" si="130"/>
        <v>5833.72055</v>
      </c>
      <c r="W452" s="15">
        <f t="shared" si="131"/>
        <v>0.46809629513362228</v>
      </c>
      <c r="X452" s="17" t="str">
        <f t="shared" si="132"/>
        <v>Q3-2023</v>
      </c>
      <c r="Y452" t="str">
        <f t="shared" si="133"/>
        <v>Asia → India → Delhi</v>
      </c>
      <c r="Z452" t="str">
        <f t="shared" si="134"/>
        <v>High</v>
      </c>
      <c r="AA452">
        <f t="shared" si="137"/>
        <v>2023</v>
      </c>
      <c r="AB452">
        <f t="shared" si="138"/>
        <v>7</v>
      </c>
      <c r="AC452" t="str">
        <f t="shared" si="139"/>
        <v>Yes</v>
      </c>
      <c r="AD452" t="str">
        <f t="shared" si="140"/>
        <v>No</v>
      </c>
      <c r="AE452" s="36">
        <f>IF(Dashboard!$P$47&gt;'Staging Data'!R452,'Staging Data'!R452,Dashboard!$P$47)</f>
        <v>0.1</v>
      </c>
      <c r="AF452">
        <f>(100%+Dashboard!$P$48)*'Staging Data'!P452</f>
        <v>994.33950000000004</v>
      </c>
      <c r="AG452">
        <f>(100%+Dashboard!$P$49)*S452</f>
        <v>7.28</v>
      </c>
      <c r="AH452" s="13">
        <f t="shared" si="141"/>
        <v>13970.108880000002</v>
      </c>
      <c r="AI452" s="13">
        <f t="shared" si="142"/>
        <v>7238.7915600000006</v>
      </c>
      <c r="AJ452" s="13">
        <f t="shared" si="143"/>
        <v>6731.317320000001</v>
      </c>
    </row>
    <row r="453" spans="1:36" x14ac:dyDescent="0.45">
      <c r="A453" s="3" t="s">
        <v>273</v>
      </c>
      <c r="B453" s="5">
        <v>45210</v>
      </c>
      <c r="C453" s="5">
        <v>45212</v>
      </c>
      <c r="D453" s="5">
        <f t="shared" si="126"/>
        <v>45210</v>
      </c>
      <c r="E453" s="5">
        <f t="shared" si="127"/>
        <v>45212</v>
      </c>
      <c r="F453" s="7">
        <f t="shared" si="128"/>
        <v>2</v>
      </c>
      <c r="G453" s="23" t="str">
        <f t="shared" si="129"/>
        <v>10-2023</v>
      </c>
      <c r="H453" s="3" t="s">
        <v>648</v>
      </c>
      <c r="I453" s="3" t="s">
        <v>655</v>
      </c>
      <c r="J453" s="3" t="s">
        <v>672</v>
      </c>
      <c r="K453" s="3" t="s">
        <v>704</v>
      </c>
      <c r="L453" s="3" t="s">
        <v>710</v>
      </c>
      <c r="M453" s="3" t="s">
        <v>1424</v>
      </c>
      <c r="N453" s="3" t="s">
        <v>733</v>
      </c>
      <c r="O453" s="3" t="s">
        <v>993</v>
      </c>
      <c r="P453" s="19">
        <v>715.94</v>
      </c>
      <c r="Q453" s="19">
        <v>550.07000000000005</v>
      </c>
      <c r="R453" s="15">
        <v>0.14000000000000001</v>
      </c>
      <c r="S453" s="7">
        <v>16</v>
      </c>
      <c r="T453" s="13">
        <f t="shared" si="135"/>
        <v>7568.9632000000001</v>
      </c>
      <c r="U453" s="13">
        <f t="shared" si="136"/>
        <v>11455.04</v>
      </c>
      <c r="V453" s="13">
        <f t="shared" si="130"/>
        <v>-3886.0768000000007</v>
      </c>
      <c r="W453" s="15">
        <f t="shared" si="131"/>
        <v>-0.51342260456491595</v>
      </c>
      <c r="X453" s="17" t="str">
        <f t="shared" si="132"/>
        <v>Q4-2023</v>
      </c>
      <c r="Y453" t="str">
        <f t="shared" si="133"/>
        <v>Americas → Brazil → Brasília</v>
      </c>
      <c r="Z453" t="str">
        <f t="shared" si="134"/>
        <v>Low</v>
      </c>
      <c r="AA453">
        <f t="shared" si="137"/>
        <v>2023</v>
      </c>
      <c r="AB453">
        <f t="shared" si="138"/>
        <v>10</v>
      </c>
      <c r="AC453" t="str">
        <f t="shared" si="139"/>
        <v>Yes</v>
      </c>
      <c r="AD453" t="str">
        <f t="shared" si="140"/>
        <v>No</v>
      </c>
      <c r="AE453" s="36">
        <f>IF(Dashboard!$P$47&gt;'Staging Data'!R453,'Staging Data'!R453,Dashboard!$P$47)</f>
        <v>0.1</v>
      </c>
      <c r="AF453">
        <f>(100%+Dashboard!$P$48)*'Staging Data'!P453</f>
        <v>751.73700000000008</v>
      </c>
      <c r="AG453">
        <f>(100%+Dashboard!$P$49)*S453</f>
        <v>16.64</v>
      </c>
      <c r="AH453" s="13">
        <f t="shared" si="141"/>
        <v>8237.848320000001</v>
      </c>
      <c r="AI453" s="13">
        <f t="shared" si="142"/>
        <v>12508.903680000001</v>
      </c>
      <c r="AJ453" s="13">
        <f t="shared" si="143"/>
        <v>-4271.0553600000003</v>
      </c>
    </row>
    <row r="454" spans="1:36" x14ac:dyDescent="0.45">
      <c r="A454" s="3" t="s">
        <v>466</v>
      </c>
      <c r="B454" s="5">
        <v>45413</v>
      </c>
      <c r="C454" s="5">
        <v>45428</v>
      </c>
      <c r="D454" s="5">
        <f t="shared" si="126"/>
        <v>45413</v>
      </c>
      <c r="E454" s="5">
        <f t="shared" si="127"/>
        <v>45428</v>
      </c>
      <c r="F454" s="7">
        <f t="shared" si="128"/>
        <v>15</v>
      </c>
      <c r="G454" s="23" t="str">
        <f t="shared" si="129"/>
        <v>5-2024</v>
      </c>
      <c r="H454" s="3" t="s">
        <v>647</v>
      </c>
      <c r="I454" s="3" t="s">
        <v>654</v>
      </c>
      <c r="J454" s="3" t="s">
        <v>668</v>
      </c>
      <c r="K454" s="3" t="s">
        <v>705</v>
      </c>
      <c r="L454" s="3" t="s">
        <v>707</v>
      </c>
      <c r="M454" s="3" t="s">
        <v>716</v>
      </c>
      <c r="N454" s="3" t="s">
        <v>727</v>
      </c>
      <c r="O454" s="3" t="s">
        <v>1185</v>
      </c>
      <c r="P454" s="19">
        <v>901.19</v>
      </c>
      <c r="Q454" s="19">
        <v>2125.44</v>
      </c>
      <c r="R454" s="15">
        <v>7.0999999999999994E-2</v>
      </c>
      <c r="S454" s="7">
        <v>12</v>
      </c>
      <c r="T454" s="13">
        <f t="shared" si="135"/>
        <v>23694.405119999999</v>
      </c>
      <c r="U454" s="13">
        <f t="shared" si="136"/>
        <v>10814.28</v>
      </c>
      <c r="V454" s="13">
        <f t="shared" si="130"/>
        <v>12880.125119999999</v>
      </c>
      <c r="W454" s="15">
        <f t="shared" si="131"/>
        <v>0.54359352154100415</v>
      </c>
      <c r="X454" s="17" t="str">
        <f t="shared" si="132"/>
        <v>Q2-2024</v>
      </c>
      <c r="Y454" t="str">
        <f t="shared" si="133"/>
        <v>Asia → India → Bengaluru</v>
      </c>
      <c r="Z454" t="str">
        <f t="shared" si="134"/>
        <v>High</v>
      </c>
      <c r="AA454">
        <f t="shared" si="137"/>
        <v>2024</v>
      </c>
      <c r="AB454">
        <f t="shared" si="138"/>
        <v>5</v>
      </c>
      <c r="AC454" t="str">
        <f t="shared" si="139"/>
        <v>No</v>
      </c>
      <c r="AD454" t="str">
        <f t="shared" si="140"/>
        <v>No</v>
      </c>
      <c r="AE454" s="36">
        <f>IF(Dashboard!$P$47&gt;'Staging Data'!R454,'Staging Data'!R454,Dashboard!$P$47)</f>
        <v>7.0999999999999994E-2</v>
      </c>
      <c r="AF454">
        <f>(100%+Dashboard!$P$48)*'Staging Data'!P454</f>
        <v>946.24950000000013</v>
      </c>
      <c r="AG454">
        <f>(100%+Dashboard!$P$49)*S454</f>
        <v>12.48</v>
      </c>
      <c r="AH454" s="13">
        <f t="shared" si="141"/>
        <v>24642.1813248</v>
      </c>
      <c r="AI454" s="13">
        <f t="shared" si="142"/>
        <v>11809.193760000002</v>
      </c>
      <c r="AJ454" s="13">
        <f t="shared" si="143"/>
        <v>12832.987564799998</v>
      </c>
    </row>
    <row r="455" spans="1:36" x14ac:dyDescent="0.45">
      <c r="A455" s="3" t="s">
        <v>467</v>
      </c>
      <c r="B455" s="5">
        <v>45817</v>
      </c>
      <c r="C455" s="5">
        <v>45832</v>
      </c>
      <c r="D455" s="5">
        <f t="shared" si="126"/>
        <v>45817</v>
      </c>
      <c r="E455" s="5">
        <f t="shared" si="127"/>
        <v>45832</v>
      </c>
      <c r="F455" s="7">
        <f t="shared" si="128"/>
        <v>15</v>
      </c>
      <c r="G455" s="23" t="str">
        <f t="shared" si="129"/>
        <v>6-2025</v>
      </c>
      <c r="H455" s="3" t="s">
        <v>647</v>
      </c>
      <c r="I455" s="3" t="s">
        <v>652</v>
      </c>
      <c r="J455" s="3" t="s">
        <v>694</v>
      </c>
      <c r="K455" s="3" t="s">
        <v>701</v>
      </c>
      <c r="L455" s="3" t="s">
        <v>711</v>
      </c>
      <c r="M455" s="3" t="s">
        <v>717</v>
      </c>
      <c r="N455" s="3" t="s">
        <v>730</v>
      </c>
      <c r="O455" s="3" t="s">
        <v>1186</v>
      </c>
      <c r="P455" s="19">
        <v>400.39</v>
      </c>
      <c r="Q455" s="19">
        <v>712.75</v>
      </c>
      <c r="R455" s="15">
        <v>0.115</v>
      </c>
      <c r="S455" s="7">
        <v>19</v>
      </c>
      <c r="T455" s="13">
        <f t="shared" si="135"/>
        <v>11984.891250000001</v>
      </c>
      <c r="U455" s="13">
        <f t="shared" si="136"/>
        <v>7607.41</v>
      </c>
      <c r="V455" s="13">
        <f t="shared" si="130"/>
        <v>4377.4812500000007</v>
      </c>
      <c r="W455" s="15">
        <f t="shared" si="131"/>
        <v>0.36524997671547504</v>
      </c>
      <c r="X455" s="17" t="str">
        <f t="shared" si="132"/>
        <v>Q2-2025</v>
      </c>
      <c r="Y455" t="str">
        <f t="shared" si="133"/>
        <v>Asia → Japan → Nagoya</v>
      </c>
      <c r="Z455" t="str">
        <f t="shared" si="134"/>
        <v>Low</v>
      </c>
      <c r="AA455">
        <f t="shared" si="137"/>
        <v>2025</v>
      </c>
      <c r="AB455">
        <f t="shared" si="138"/>
        <v>6</v>
      </c>
      <c r="AC455" t="str">
        <f t="shared" si="139"/>
        <v>No</v>
      </c>
      <c r="AD455" t="str">
        <f t="shared" si="140"/>
        <v>No</v>
      </c>
      <c r="AE455" s="36">
        <f>IF(Dashboard!$P$47&gt;'Staging Data'!R455,'Staging Data'!R455,Dashboard!$P$47)</f>
        <v>0.1</v>
      </c>
      <c r="AF455">
        <f>(100%+Dashboard!$P$48)*'Staging Data'!P455</f>
        <v>420.40949999999998</v>
      </c>
      <c r="AG455">
        <f>(100%+Dashboard!$P$49)*S455</f>
        <v>19.760000000000002</v>
      </c>
      <c r="AH455" s="13">
        <f t="shared" si="141"/>
        <v>12675.546</v>
      </c>
      <c r="AI455" s="13">
        <f t="shared" si="142"/>
        <v>8307.2917200000011</v>
      </c>
      <c r="AJ455" s="13">
        <f t="shared" si="143"/>
        <v>4368.2542799999992</v>
      </c>
    </row>
    <row r="456" spans="1:36" x14ac:dyDescent="0.45">
      <c r="A456" s="3" t="s">
        <v>468</v>
      </c>
      <c r="B456" s="5">
        <v>45070</v>
      </c>
      <c r="C456" s="5">
        <v>45098</v>
      </c>
      <c r="D456" s="5">
        <f t="shared" si="126"/>
        <v>45070</v>
      </c>
      <c r="E456" s="5">
        <f t="shared" si="127"/>
        <v>45098</v>
      </c>
      <c r="F456" s="7">
        <f t="shared" si="128"/>
        <v>28</v>
      </c>
      <c r="G456" s="23" t="str">
        <f t="shared" si="129"/>
        <v>5-2023</v>
      </c>
      <c r="H456" s="3" t="s">
        <v>648</v>
      </c>
      <c r="I456" s="3" t="s">
        <v>660</v>
      </c>
      <c r="J456" s="3" t="s">
        <v>697</v>
      </c>
      <c r="K456" s="3" t="s">
        <v>705</v>
      </c>
      <c r="L456" s="3" t="s">
        <v>709</v>
      </c>
      <c r="M456" s="3" t="s">
        <v>715</v>
      </c>
      <c r="N456" s="3" t="s">
        <v>732</v>
      </c>
      <c r="O456" s="3" t="s">
        <v>1187</v>
      </c>
      <c r="P456" s="19">
        <v>813.97</v>
      </c>
      <c r="Q456" s="19">
        <v>1568.83</v>
      </c>
      <c r="R456" s="15">
        <v>1.7000000000000001E-2</v>
      </c>
      <c r="S456" s="7">
        <v>15</v>
      </c>
      <c r="T456" s="13">
        <f t="shared" si="135"/>
        <v>23132.398349999996</v>
      </c>
      <c r="U456" s="13">
        <f t="shared" si="136"/>
        <v>12209.550000000001</v>
      </c>
      <c r="V456" s="13">
        <f t="shared" si="130"/>
        <v>10922.848349999995</v>
      </c>
      <c r="W456" s="15">
        <f t="shared" si="131"/>
        <v>0.4721883215364911</v>
      </c>
      <c r="X456" s="17" t="str">
        <f t="shared" si="132"/>
        <v>Q2-2023</v>
      </c>
      <c r="Y456" t="str">
        <f t="shared" si="133"/>
        <v>Americas → USA → Austin</v>
      </c>
      <c r="Z456" t="str">
        <f t="shared" si="134"/>
        <v>Medium</v>
      </c>
      <c r="AA456">
        <f t="shared" si="137"/>
        <v>2023</v>
      </c>
      <c r="AB456">
        <f t="shared" si="138"/>
        <v>5</v>
      </c>
      <c r="AC456" t="str">
        <f t="shared" si="139"/>
        <v>No</v>
      </c>
      <c r="AD456" t="str">
        <f t="shared" si="140"/>
        <v>No</v>
      </c>
      <c r="AE456" s="36">
        <f>IF(Dashboard!$P$47&gt;'Staging Data'!R456,'Staging Data'!R456,Dashboard!$P$47)</f>
        <v>1.7000000000000001E-2</v>
      </c>
      <c r="AF456">
        <f>(100%+Dashboard!$P$48)*'Staging Data'!P456</f>
        <v>854.66850000000011</v>
      </c>
      <c r="AG456">
        <f>(100%+Dashboard!$P$49)*S456</f>
        <v>15.600000000000001</v>
      </c>
      <c r="AH456" s="13">
        <f t="shared" si="141"/>
        <v>24057.694283999997</v>
      </c>
      <c r="AI456" s="13">
        <f t="shared" si="142"/>
        <v>13332.828600000003</v>
      </c>
      <c r="AJ456" s="13">
        <f t="shared" si="143"/>
        <v>10724.865683999995</v>
      </c>
    </row>
    <row r="457" spans="1:36" x14ac:dyDescent="0.45">
      <c r="A457" s="3" t="s">
        <v>506</v>
      </c>
      <c r="B457" s="5">
        <v>45861</v>
      </c>
      <c r="C457" s="5">
        <v>45888</v>
      </c>
      <c r="D457" s="5">
        <f t="shared" si="126"/>
        <v>45861</v>
      </c>
      <c r="E457" s="5">
        <f t="shared" si="127"/>
        <v>45888</v>
      </c>
      <c r="F457" s="7">
        <f t="shared" si="128"/>
        <v>27</v>
      </c>
      <c r="G457" s="23" t="str">
        <f t="shared" si="129"/>
        <v>7-2025</v>
      </c>
      <c r="H457" s="3" t="s">
        <v>647</v>
      </c>
      <c r="I457" s="3" t="s">
        <v>652</v>
      </c>
      <c r="J457" s="3" t="s">
        <v>694</v>
      </c>
      <c r="K457" s="3" t="s">
        <v>704</v>
      </c>
      <c r="L457" s="3" t="s">
        <v>709</v>
      </c>
      <c r="M457" s="3" t="s">
        <v>717</v>
      </c>
      <c r="N457" s="3" t="s">
        <v>733</v>
      </c>
      <c r="O457" s="3" t="s">
        <v>1225</v>
      </c>
      <c r="P457" s="19">
        <v>896.09</v>
      </c>
      <c r="Q457" s="19">
        <v>744.27</v>
      </c>
      <c r="R457" s="15">
        <v>8.3000000000000004E-2</v>
      </c>
      <c r="S457" s="7">
        <v>11</v>
      </c>
      <c r="T457" s="13">
        <f t="shared" si="135"/>
        <v>7507.4514899999995</v>
      </c>
      <c r="U457" s="13">
        <f t="shared" si="136"/>
        <v>9856.99</v>
      </c>
      <c r="V457" s="13">
        <f t="shared" si="130"/>
        <v>-2349.5385100000003</v>
      </c>
      <c r="W457" s="15">
        <f t="shared" si="131"/>
        <v>-0.31296086469950679</v>
      </c>
      <c r="X457" s="17" t="str">
        <f t="shared" si="132"/>
        <v>Q3-2025</v>
      </c>
      <c r="Y457" t="str">
        <f t="shared" si="133"/>
        <v>Asia → Japan → Nagoya</v>
      </c>
      <c r="Z457" t="str">
        <f t="shared" si="134"/>
        <v>Low</v>
      </c>
      <c r="AA457">
        <f t="shared" si="137"/>
        <v>2025</v>
      </c>
      <c r="AB457">
        <f t="shared" si="138"/>
        <v>7</v>
      </c>
      <c r="AC457" t="str">
        <f t="shared" si="139"/>
        <v>No</v>
      </c>
      <c r="AD457" t="str">
        <f t="shared" si="140"/>
        <v>No</v>
      </c>
      <c r="AE457" s="36">
        <f>IF(Dashboard!$P$47&gt;'Staging Data'!R457,'Staging Data'!R457,Dashboard!$P$47)</f>
        <v>8.3000000000000004E-2</v>
      </c>
      <c r="AF457">
        <f>(100%+Dashboard!$P$48)*'Staging Data'!P457</f>
        <v>940.89450000000011</v>
      </c>
      <c r="AG457">
        <f>(100%+Dashboard!$P$49)*S457</f>
        <v>11.440000000000001</v>
      </c>
      <c r="AH457" s="13">
        <f t="shared" si="141"/>
        <v>7807.7495496000001</v>
      </c>
      <c r="AI457" s="13">
        <f t="shared" si="142"/>
        <v>10763.833080000002</v>
      </c>
      <c r="AJ457" s="13">
        <f t="shared" si="143"/>
        <v>-2956.083530400002</v>
      </c>
    </row>
    <row r="458" spans="1:36" x14ac:dyDescent="0.45">
      <c r="A458" s="3" t="s">
        <v>145</v>
      </c>
      <c r="B458" s="5">
        <v>45700</v>
      </c>
      <c r="C458" s="5">
        <v>45716</v>
      </c>
      <c r="D458" s="5">
        <f t="shared" si="126"/>
        <v>45700</v>
      </c>
      <c r="E458" s="5">
        <f t="shared" si="127"/>
        <v>45716</v>
      </c>
      <c r="F458" s="7">
        <f t="shared" si="128"/>
        <v>16</v>
      </c>
      <c r="G458" s="23" t="str">
        <f t="shared" si="129"/>
        <v>2-2025</v>
      </c>
      <c r="H458" s="3" t="s">
        <v>648</v>
      </c>
      <c r="I458" s="3" t="s">
        <v>655</v>
      </c>
      <c r="J458" s="3" t="s">
        <v>670</v>
      </c>
      <c r="K458" s="3" t="s">
        <v>703</v>
      </c>
      <c r="L458" s="3" t="s">
        <v>711</v>
      </c>
      <c r="M458" s="3" t="s">
        <v>717</v>
      </c>
      <c r="N458" s="3" t="s">
        <v>732</v>
      </c>
      <c r="O458" s="3" t="s">
        <v>864</v>
      </c>
      <c r="P458" s="19">
        <v>414.95</v>
      </c>
      <c r="Q458" s="19">
        <v>1027.73</v>
      </c>
      <c r="R458" s="15">
        <v>6.3E-2</v>
      </c>
      <c r="S458" s="7">
        <v>8</v>
      </c>
      <c r="T458" s="13">
        <f t="shared" si="135"/>
        <v>7703.8640800000003</v>
      </c>
      <c r="U458" s="13">
        <f t="shared" si="136"/>
        <v>3319.6</v>
      </c>
      <c r="V458" s="13">
        <f t="shared" si="130"/>
        <v>4384.2640800000008</v>
      </c>
      <c r="W458" s="15">
        <f t="shared" si="131"/>
        <v>0.56909935513815568</v>
      </c>
      <c r="X458" s="17" t="str">
        <f t="shared" si="132"/>
        <v>Q1-2025</v>
      </c>
      <c r="Y458" t="str">
        <f t="shared" si="133"/>
        <v>Americas → Brazil → São Paulo</v>
      </c>
      <c r="Z458" t="str">
        <f t="shared" si="134"/>
        <v>Low</v>
      </c>
      <c r="AA458">
        <f t="shared" si="137"/>
        <v>2025</v>
      </c>
      <c r="AB458">
        <f t="shared" si="138"/>
        <v>2</v>
      </c>
      <c r="AC458" t="str">
        <f t="shared" si="139"/>
        <v>No</v>
      </c>
      <c r="AD458" t="str">
        <f t="shared" si="140"/>
        <v>No</v>
      </c>
      <c r="AE458" s="36">
        <f>IF(Dashboard!$P$47&gt;'Staging Data'!R458,'Staging Data'!R458,Dashboard!$P$47)</f>
        <v>6.3E-2</v>
      </c>
      <c r="AF458">
        <f>(100%+Dashboard!$P$48)*'Staging Data'!P458</f>
        <v>435.69749999999999</v>
      </c>
      <c r="AG458">
        <f>(100%+Dashboard!$P$49)*S458</f>
        <v>8.32</v>
      </c>
      <c r="AH458" s="13">
        <f t="shared" si="141"/>
        <v>8012.018643200001</v>
      </c>
      <c r="AI458" s="13">
        <f t="shared" si="142"/>
        <v>3625.0032000000001</v>
      </c>
      <c r="AJ458" s="13">
        <f t="shared" si="143"/>
        <v>4387.0154432000008</v>
      </c>
    </row>
    <row r="459" spans="1:36" x14ac:dyDescent="0.45">
      <c r="A459" s="3" t="s">
        <v>471</v>
      </c>
      <c r="B459" s="5">
        <v>45048</v>
      </c>
      <c r="C459" s="5">
        <v>45065</v>
      </c>
      <c r="D459" s="5">
        <f t="shared" ref="D459:D522" si="144">IF(C459&gt;B459,B459,C459)</f>
        <v>45048</v>
      </c>
      <c r="E459" s="5">
        <f t="shared" ref="E459:E522" si="145">IF(C459&gt;B459,C459,B459)</f>
        <v>45065</v>
      </c>
      <c r="F459" s="7">
        <f t="shared" ref="F459:F522" si="146">DATEDIF(D459,E459,"D")</f>
        <v>17</v>
      </c>
      <c r="G459" s="23" t="str">
        <f t="shared" ref="G459:G522" si="147">CONCATENATE(MONTH(D459), "-",YEAR(D459))</f>
        <v>5-2023</v>
      </c>
      <c r="H459" s="3" t="s">
        <v>647</v>
      </c>
      <c r="I459" s="3" t="s">
        <v>659</v>
      </c>
      <c r="J459" s="3" t="s">
        <v>685</v>
      </c>
      <c r="K459" s="3" t="s">
        <v>703</v>
      </c>
      <c r="L459" s="3" t="s">
        <v>711</v>
      </c>
      <c r="M459" s="3" t="s">
        <v>713</v>
      </c>
      <c r="N459" s="3" t="s">
        <v>732</v>
      </c>
      <c r="O459" s="3" t="s">
        <v>1190</v>
      </c>
      <c r="P459" s="19">
        <v>714.28</v>
      </c>
      <c r="Q459" s="19">
        <v>757.59</v>
      </c>
      <c r="R459" s="15">
        <v>0.13600000000000001</v>
      </c>
      <c r="S459" s="7">
        <v>12</v>
      </c>
      <c r="T459" s="13">
        <f t="shared" si="135"/>
        <v>7854.6931199999999</v>
      </c>
      <c r="U459" s="13">
        <f t="shared" si="136"/>
        <v>8571.36</v>
      </c>
      <c r="V459" s="13">
        <f t="shared" ref="V459:V522" si="148">T459-U459</f>
        <v>-716.66688000000067</v>
      </c>
      <c r="W459" s="15">
        <f t="shared" ref="W459:W522" si="149">IF(T459=0, 0,V459/T459)</f>
        <v>-9.1240595787910383E-2</v>
      </c>
      <c r="X459" s="17" t="str">
        <f t="shared" ref="X459:X522" si="150">CONCATENATE(IF(MONTH(D459)&lt;=3,"Q1", IF(MONTH(D459)&lt;=6, "Q2", IF(MONTH(D459)&lt;= 9, "Q3", "Q4"))), "-", YEAR(D459))</f>
        <v>Q2-2023</v>
      </c>
      <c r="Y459" t="str">
        <f t="shared" ref="Y459:Y522" si="151">CONCATENATE(H459," → ",I459," → ",J459)</f>
        <v>Asia → China → Shanghai</v>
      </c>
      <c r="Z459" t="str">
        <f t="shared" ref="Z459:Z522" si="152">IF(Q459&lt;=1193.97, "Low",IF(Q459&lt;1912.05,"Medium", "High"))</f>
        <v>Low</v>
      </c>
      <c r="AA459">
        <f t="shared" si="137"/>
        <v>2023</v>
      </c>
      <c r="AB459">
        <f t="shared" si="138"/>
        <v>5</v>
      </c>
      <c r="AC459" t="str">
        <f t="shared" si="139"/>
        <v>No</v>
      </c>
      <c r="AD459" t="str">
        <f t="shared" si="140"/>
        <v>No</v>
      </c>
      <c r="AE459" s="36">
        <f>IF(Dashboard!$P$47&gt;'Staging Data'!R459,'Staging Data'!R459,Dashboard!$P$47)</f>
        <v>0.1</v>
      </c>
      <c r="AF459">
        <f>(100%+Dashboard!$P$48)*'Staging Data'!P459</f>
        <v>749.99400000000003</v>
      </c>
      <c r="AG459">
        <f>(100%+Dashboard!$P$49)*S459</f>
        <v>12.48</v>
      </c>
      <c r="AH459" s="13">
        <f t="shared" si="141"/>
        <v>8509.2508800000014</v>
      </c>
      <c r="AI459" s="13">
        <f t="shared" si="142"/>
        <v>9359.9251199999999</v>
      </c>
      <c r="AJ459" s="13">
        <f t="shared" si="143"/>
        <v>-850.67423999999846</v>
      </c>
    </row>
    <row r="460" spans="1:36" x14ac:dyDescent="0.45">
      <c r="A460" s="3" t="s">
        <v>472</v>
      </c>
      <c r="B460" s="5">
        <v>45260</v>
      </c>
      <c r="C460" s="5">
        <v>45270</v>
      </c>
      <c r="D460" s="5">
        <f t="shared" si="144"/>
        <v>45260</v>
      </c>
      <c r="E460" s="5">
        <f t="shared" si="145"/>
        <v>45270</v>
      </c>
      <c r="F460" s="7">
        <f t="shared" si="146"/>
        <v>10</v>
      </c>
      <c r="G460" s="23" t="str">
        <f t="shared" si="147"/>
        <v>11-2023</v>
      </c>
      <c r="H460" s="3" t="s">
        <v>649</v>
      </c>
      <c r="I460" s="3" t="s">
        <v>656</v>
      </c>
      <c r="J460" s="3" t="s">
        <v>684</v>
      </c>
      <c r="K460" s="3" t="s">
        <v>705</v>
      </c>
      <c r="L460" s="3" t="s">
        <v>711</v>
      </c>
      <c r="M460" s="3" t="s">
        <v>721</v>
      </c>
      <c r="N460" s="3" t="s">
        <v>731</v>
      </c>
      <c r="O460" s="3" t="s">
        <v>1191</v>
      </c>
      <c r="P460" s="19">
        <v>174.74</v>
      </c>
      <c r="Q460" s="19">
        <v>415.96</v>
      </c>
      <c r="R460" s="15">
        <v>0.125</v>
      </c>
      <c r="S460" s="7">
        <v>21</v>
      </c>
      <c r="T460" s="13">
        <f t="shared" si="135"/>
        <v>7643.2649999999994</v>
      </c>
      <c r="U460" s="13">
        <f t="shared" si="136"/>
        <v>3669.54</v>
      </c>
      <c r="V460" s="13">
        <f t="shared" si="148"/>
        <v>3973.7249999999995</v>
      </c>
      <c r="W460" s="15">
        <f t="shared" si="149"/>
        <v>0.51989889137691803</v>
      </c>
      <c r="X460" s="17" t="str">
        <f t="shared" si="150"/>
        <v>Q4-2023</v>
      </c>
      <c r="Y460" t="str">
        <f t="shared" si="151"/>
        <v>Europe → Germany → Munich</v>
      </c>
      <c r="Z460" t="str">
        <f t="shared" si="152"/>
        <v>Low</v>
      </c>
      <c r="AA460">
        <f t="shared" si="137"/>
        <v>2023</v>
      </c>
      <c r="AB460">
        <f t="shared" si="138"/>
        <v>11</v>
      </c>
      <c r="AC460" t="str">
        <f t="shared" si="139"/>
        <v>No</v>
      </c>
      <c r="AD460" t="str">
        <f t="shared" si="140"/>
        <v>No</v>
      </c>
      <c r="AE460" s="36">
        <f>IF(Dashboard!$P$47&gt;'Staging Data'!R460,'Staging Data'!R460,Dashboard!$P$47)</f>
        <v>0.1</v>
      </c>
      <c r="AF460">
        <f>(100%+Dashboard!$P$48)*'Staging Data'!P460</f>
        <v>183.477</v>
      </c>
      <c r="AG460">
        <f>(100%+Dashboard!$P$49)*S460</f>
        <v>21.84</v>
      </c>
      <c r="AH460" s="13">
        <f t="shared" si="141"/>
        <v>8176.1097600000003</v>
      </c>
      <c r="AI460" s="13">
        <f t="shared" si="142"/>
        <v>4007.1376800000003</v>
      </c>
      <c r="AJ460" s="13">
        <f t="shared" si="143"/>
        <v>4168.9720799999996</v>
      </c>
    </row>
    <row r="461" spans="1:36" x14ac:dyDescent="0.45">
      <c r="A461" s="3" t="s">
        <v>473</v>
      </c>
      <c r="B461" s="5">
        <v>45417</v>
      </c>
      <c r="C461" s="5">
        <v>45430</v>
      </c>
      <c r="D461" s="5">
        <f t="shared" si="144"/>
        <v>45417</v>
      </c>
      <c r="E461" s="5">
        <f t="shared" si="145"/>
        <v>45430</v>
      </c>
      <c r="F461" s="7">
        <f t="shared" si="146"/>
        <v>13</v>
      </c>
      <c r="G461" s="23" t="str">
        <f t="shared" si="147"/>
        <v>5-2024</v>
      </c>
      <c r="H461" s="3" t="s">
        <v>649</v>
      </c>
      <c r="I461" s="3" t="s">
        <v>657</v>
      </c>
      <c r="J461" s="3" t="s">
        <v>673</v>
      </c>
      <c r="K461" s="3" t="s">
        <v>701</v>
      </c>
      <c r="L461" s="3" t="s">
        <v>709</v>
      </c>
      <c r="M461" s="3" t="s">
        <v>720</v>
      </c>
      <c r="N461" s="3" t="s">
        <v>727</v>
      </c>
      <c r="O461" s="3" t="s">
        <v>1192</v>
      </c>
      <c r="P461" s="19">
        <v>1264.04</v>
      </c>
      <c r="Q461" s="19">
        <v>1870.89</v>
      </c>
      <c r="R461" s="15">
        <v>0</v>
      </c>
      <c r="S461" s="7">
        <v>13</v>
      </c>
      <c r="T461" s="13">
        <f t="shared" si="135"/>
        <v>24321.57</v>
      </c>
      <c r="U461" s="13">
        <f t="shared" si="136"/>
        <v>16432.52</v>
      </c>
      <c r="V461" s="13">
        <f t="shared" si="148"/>
        <v>7889.0499999999993</v>
      </c>
      <c r="W461" s="15">
        <f t="shared" si="149"/>
        <v>0.32436433996653996</v>
      </c>
      <c r="X461" s="17" t="str">
        <f t="shared" si="150"/>
        <v>Q2-2024</v>
      </c>
      <c r="Y461" t="str">
        <f t="shared" si="151"/>
        <v>Europe → France → Marseille</v>
      </c>
      <c r="Z461" t="str">
        <f t="shared" si="152"/>
        <v>Medium</v>
      </c>
      <c r="AA461">
        <f t="shared" si="137"/>
        <v>2024</v>
      </c>
      <c r="AB461">
        <f t="shared" si="138"/>
        <v>5</v>
      </c>
      <c r="AC461" t="str">
        <f t="shared" si="139"/>
        <v>No</v>
      </c>
      <c r="AD461" t="str">
        <f t="shared" si="140"/>
        <v>No</v>
      </c>
      <c r="AE461" s="36">
        <f>IF(Dashboard!$P$47&gt;'Staging Data'!R461,'Staging Data'!R461,Dashboard!$P$47)</f>
        <v>0</v>
      </c>
      <c r="AF461">
        <f>(100%+Dashboard!$P$48)*'Staging Data'!P461</f>
        <v>1327.242</v>
      </c>
      <c r="AG461">
        <f>(100%+Dashboard!$P$49)*S461</f>
        <v>13.52</v>
      </c>
      <c r="AH461" s="13">
        <f t="shared" si="141"/>
        <v>25294.432800000002</v>
      </c>
      <c r="AI461" s="13">
        <f t="shared" si="142"/>
        <v>17944.311839999998</v>
      </c>
      <c r="AJ461" s="13">
        <f t="shared" si="143"/>
        <v>7350.1209600000038</v>
      </c>
    </row>
    <row r="462" spans="1:36" x14ac:dyDescent="0.45">
      <c r="A462" s="3" t="s">
        <v>474</v>
      </c>
      <c r="B462" s="5">
        <v>45116</v>
      </c>
      <c r="C462" s="5">
        <v>45126</v>
      </c>
      <c r="D462" s="5">
        <f t="shared" si="144"/>
        <v>45116</v>
      </c>
      <c r="E462" s="5">
        <f t="shared" si="145"/>
        <v>45126</v>
      </c>
      <c r="F462" s="7">
        <f t="shared" si="146"/>
        <v>10</v>
      </c>
      <c r="G462" s="23" t="str">
        <f t="shared" si="147"/>
        <v>7-2023</v>
      </c>
      <c r="H462" s="3" t="s">
        <v>647</v>
      </c>
      <c r="I462" s="3" t="s">
        <v>652</v>
      </c>
      <c r="J462" s="3" t="s">
        <v>689</v>
      </c>
      <c r="K462" s="3" t="s">
        <v>706</v>
      </c>
      <c r="L462" s="3" t="s">
        <v>710</v>
      </c>
      <c r="M462" s="3" t="s">
        <v>725</v>
      </c>
      <c r="N462" s="3" t="s">
        <v>727</v>
      </c>
      <c r="O462" s="3" t="s">
        <v>1193</v>
      </c>
      <c r="P462" s="19">
        <v>141.26</v>
      </c>
      <c r="Q462" s="19">
        <v>206.88</v>
      </c>
      <c r="R462" s="15">
        <v>0.107</v>
      </c>
      <c r="S462" s="7">
        <v>9</v>
      </c>
      <c r="T462" s="13">
        <f t="shared" si="135"/>
        <v>1662.6945600000001</v>
      </c>
      <c r="U462" s="13">
        <f t="shared" si="136"/>
        <v>1271.3399999999999</v>
      </c>
      <c r="V462" s="13">
        <f t="shared" si="148"/>
        <v>391.35456000000022</v>
      </c>
      <c r="W462" s="15">
        <f t="shared" si="149"/>
        <v>0.23537369365062469</v>
      </c>
      <c r="X462" s="17" t="str">
        <f t="shared" si="150"/>
        <v>Q3-2023</v>
      </c>
      <c r="Y462" t="str">
        <f t="shared" si="151"/>
        <v>Asia → Japan → Tokyo</v>
      </c>
      <c r="Z462" t="str">
        <f t="shared" si="152"/>
        <v>Low</v>
      </c>
      <c r="AA462">
        <f t="shared" si="137"/>
        <v>2023</v>
      </c>
      <c r="AB462">
        <f t="shared" si="138"/>
        <v>7</v>
      </c>
      <c r="AC462" t="str">
        <f t="shared" si="139"/>
        <v>No</v>
      </c>
      <c r="AD462" t="str">
        <f t="shared" si="140"/>
        <v>No</v>
      </c>
      <c r="AE462" s="36">
        <f>IF(Dashboard!$P$47&gt;'Staging Data'!R462,'Staging Data'!R462,Dashboard!$P$47)</f>
        <v>0.1</v>
      </c>
      <c r="AF462">
        <f>(100%+Dashboard!$P$48)*'Staging Data'!P462</f>
        <v>148.32300000000001</v>
      </c>
      <c r="AG462">
        <f>(100%+Dashboard!$P$49)*S462</f>
        <v>9.36</v>
      </c>
      <c r="AH462" s="13">
        <f t="shared" si="141"/>
        <v>1742.7571199999998</v>
      </c>
      <c r="AI462" s="13">
        <f t="shared" si="142"/>
        <v>1388.3032800000001</v>
      </c>
      <c r="AJ462" s="13">
        <f t="shared" si="143"/>
        <v>354.45383999999967</v>
      </c>
    </row>
    <row r="463" spans="1:36" x14ac:dyDescent="0.45">
      <c r="A463" s="3" t="s">
        <v>307</v>
      </c>
      <c r="B463" s="5">
        <v>45161</v>
      </c>
      <c r="C463" s="5">
        <v>45191</v>
      </c>
      <c r="D463" s="5">
        <f t="shared" si="144"/>
        <v>45161</v>
      </c>
      <c r="E463" s="5">
        <f t="shared" si="145"/>
        <v>45191</v>
      </c>
      <c r="F463" s="7">
        <f t="shared" si="146"/>
        <v>30</v>
      </c>
      <c r="G463" s="23" t="str">
        <f t="shared" si="147"/>
        <v>8-2023</v>
      </c>
      <c r="H463" s="3" t="s">
        <v>649</v>
      </c>
      <c r="I463" s="3" t="s">
        <v>658</v>
      </c>
      <c r="J463" s="3" t="s">
        <v>683</v>
      </c>
      <c r="K463" s="3" t="s">
        <v>704</v>
      </c>
      <c r="L463" s="3" t="s">
        <v>710</v>
      </c>
      <c r="M463" s="3" t="s">
        <v>719</v>
      </c>
      <c r="N463" s="3" t="s">
        <v>733</v>
      </c>
      <c r="O463" s="3" t="s">
        <v>1027</v>
      </c>
      <c r="P463" s="19">
        <v>209.81</v>
      </c>
      <c r="Q463" s="19">
        <v>523</v>
      </c>
      <c r="R463" s="15">
        <v>5.8999999999999997E-2</v>
      </c>
      <c r="S463" s="7">
        <v>15</v>
      </c>
      <c r="T463" s="13">
        <f t="shared" si="135"/>
        <v>7382.1450000000004</v>
      </c>
      <c r="U463" s="13">
        <f t="shared" si="136"/>
        <v>3147.15</v>
      </c>
      <c r="V463" s="13">
        <f t="shared" si="148"/>
        <v>4234.9950000000008</v>
      </c>
      <c r="W463" s="15">
        <f t="shared" si="149"/>
        <v>0.57368082041195356</v>
      </c>
      <c r="X463" s="17" t="str">
        <f t="shared" si="150"/>
        <v>Q3-2023</v>
      </c>
      <c r="Y463" t="str">
        <f t="shared" si="151"/>
        <v>Europe → United Kingdom → London</v>
      </c>
      <c r="Z463" t="str">
        <f t="shared" si="152"/>
        <v>Low</v>
      </c>
      <c r="AA463">
        <f t="shared" si="137"/>
        <v>2023</v>
      </c>
      <c r="AB463">
        <f t="shared" si="138"/>
        <v>8</v>
      </c>
      <c r="AC463" t="str">
        <f t="shared" si="139"/>
        <v>No</v>
      </c>
      <c r="AD463" t="str">
        <f t="shared" si="140"/>
        <v>No</v>
      </c>
      <c r="AE463" s="36">
        <f>IF(Dashboard!$P$47&gt;'Staging Data'!R463,'Staging Data'!R463,Dashboard!$P$47)</f>
        <v>5.8999999999999997E-2</v>
      </c>
      <c r="AF463">
        <f>(100%+Dashboard!$P$48)*'Staging Data'!P463</f>
        <v>220.3005</v>
      </c>
      <c r="AG463">
        <f>(100%+Dashboard!$P$49)*S463</f>
        <v>15.600000000000001</v>
      </c>
      <c r="AH463" s="13">
        <f t="shared" si="141"/>
        <v>7677.4308000000019</v>
      </c>
      <c r="AI463" s="13">
        <f t="shared" si="142"/>
        <v>3436.6878000000002</v>
      </c>
      <c r="AJ463" s="13">
        <f t="shared" si="143"/>
        <v>4240.7430000000022</v>
      </c>
    </row>
    <row r="464" spans="1:36" x14ac:dyDescent="0.45">
      <c r="A464" s="3" t="s">
        <v>476</v>
      </c>
      <c r="B464" s="5">
        <v>45358</v>
      </c>
      <c r="C464" s="5">
        <v>45385</v>
      </c>
      <c r="D464" s="5">
        <f t="shared" si="144"/>
        <v>45358</v>
      </c>
      <c r="E464" s="5">
        <f t="shared" si="145"/>
        <v>45385</v>
      </c>
      <c r="F464" s="7">
        <f t="shared" si="146"/>
        <v>27</v>
      </c>
      <c r="G464" s="23" t="str">
        <f t="shared" si="147"/>
        <v>3-2024</v>
      </c>
      <c r="H464" s="3" t="s">
        <v>649</v>
      </c>
      <c r="I464" s="3" t="s">
        <v>656</v>
      </c>
      <c r="J464" s="3" t="s">
        <v>698</v>
      </c>
      <c r="K464" s="3" t="s">
        <v>701</v>
      </c>
      <c r="L464" s="3" t="s">
        <v>711</v>
      </c>
      <c r="M464" s="3" t="s">
        <v>724</v>
      </c>
      <c r="N464" s="3" t="s">
        <v>728</v>
      </c>
      <c r="O464" s="3" t="s">
        <v>1195</v>
      </c>
      <c r="P464" s="19">
        <v>738.16</v>
      </c>
      <c r="Q464" s="19">
        <v>956.49</v>
      </c>
      <c r="R464" s="15">
        <v>0.152</v>
      </c>
      <c r="S464" s="7">
        <v>5</v>
      </c>
      <c r="T464" s="13">
        <f t="shared" si="135"/>
        <v>4055.5175999999997</v>
      </c>
      <c r="U464" s="13">
        <f t="shared" si="136"/>
        <v>3690.7999999999997</v>
      </c>
      <c r="V464" s="13">
        <f t="shared" si="148"/>
        <v>364.71759999999995</v>
      </c>
      <c r="W464" s="15">
        <f t="shared" si="149"/>
        <v>8.9931208780847108E-2</v>
      </c>
      <c r="X464" s="17" t="str">
        <f t="shared" si="150"/>
        <v>Q1-2024</v>
      </c>
      <c r="Y464" t="str">
        <f t="shared" si="151"/>
        <v>Europe → Germany → Frankfurt</v>
      </c>
      <c r="Z464" t="str">
        <f t="shared" si="152"/>
        <v>Low</v>
      </c>
      <c r="AA464">
        <f t="shared" si="137"/>
        <v>2024</v>
      </c>
      <c r="AB464">
        <f t="shared" si="138"/>
        <v>3</v>
      </c>
      <c r="AC464" t="str">
        <f t="shared" si="139"/>
        <v>No</v>
      </c>
      <c r="AD464" t="str">
        <f t="shared" si="140"/>
        <v>No</v>
      </c>
      <c r="AE464" s="36">
        <f>IF(Dashboard!$P$47&gt;'Staging Data'!R464,'Staging Data'!R464,Dashboard!$P$47)</f>
        <v>0.1</v>
      </c>
      <c r="AF464">
        <f>(100%+Dashboard!$P$48)*'Staging Data'!P464</f>
        <v>775.06799999999998</v>
      </c>
      <c r="AG464">
        <f>(100%+Dashboard!$P$49)*S464</f>
        <v>5.2</v>
      </c>
      <c r="AH464" s="13">
        <f t="shared" si="141"/>
        <v>4476.3732000000009</v>
      </c>
      <c r="AI464" s="13">
        <f t="shared" si="142"/>
        <v>4030.3535999999999</v>
      </c>
      <c r="AJ464" s="13">
        <f t="shared" si="143"/>
        <v>446.01960000000099</v>
      </c>
    </row>
    <row r="465" spans="1:36" x14ac:dyDescent="0.45">
      <c r="A465" s="3" t="s">
        <v>477</v>
      </c>
      <c r="B465" s="5">
        <v>45757</v>
      </c>
      <c r="C465" s="5">
        <v>45766</v>
      </c>
      <c r="D465" s="5">
        <f t="shared" si="144"/>
        <v>45757</v>
      </c>
      <c r="E465" s="5">
        <f t="shared" si="145"/>
        <v>45766</v>
      </c>
      <c r="F465" s="7">
        <f t="shared" si="146"/>
        <v>9</v>
      </c>
      <c r="G465" s="23" t="str">
        <f t="shared" si="147"/>
        <v>4-2025</v>
      </c>
      <c r="H465" s="3" t="s">
        <v>646</v>
      </c>
      <c r="I465" s="3" t="s">
        <v>661</v>
      </c>
      <c r="J465" s="3" t="s">
        <v>687</v>
      </c>
      <c r="K465" s="3" t="s">
        <v>706</v>
      </c>
      <c r="L465" s="3" t="s">
        <v>1423</v>
      </c>
      <c r="M465" s="3" t="s">
        <v>715</v>
      </c>
      <c r="N465" s="3" t="s">
        <v>729</v>
      </c>
      <c r="O465" s="3" t="s">
        <v>1196</v>
      </c>
      <c r="P465" s="19">
        <v>113.74</v>
      </c>
      <c r="Q465" s="19">
        <v>165.7</v>
      </c>
      <c r="R465" s="15">
        <v>0.124</v>
      </c>
      <c r="S465" s="7">
        <v>13</v>
      </c>
      <c r="T465" s="13">
        <f t="shared" si="135"/>
        <v>1886.9915999999998</v>
      </c>
      <c r="U465" s="13">
        <f t="shared" si="136"/>
        <v>1478.62</v>
      </c>
      <c r="V465" s="13">
        <f t="shared" si="148"/>
        <v>408.37159999999994</v>
      </c>
      <c r="W465" s="15">
        <f t="shared" si="149"/>
        <v>0.21641410592394794</v>
      </c>
      <c r="X465" s="17" t="str">
        <f t="shared" si="150"/>
        <v>Q2-2025</v>
      </c>
      <c r="Y465" t="str">
        <f t="shared" si="151"/>
        <v>Africa → South Africa → Durban</v>
      </c>
      <c r="Z465" t="str">
        <f t="shared" si="152"/>
        <v>Low</v>
      </c>
      <c r="AA465">
        <f t="shared" si="137"/>
        <v>2025</v>
      </c>
      <c r="AB465">
        <f t="shared" si="138"/>
        <v>4</v>
      </c>
      <c r="AC465" t="str">
        <f t="shared" si="139"/>
        <v>No</v>
      </c>
      <c r="AD465" t="str">
        <f t="shared" si="140"/>
        <v>No</v>
      </c>
      <c r="AE465" s="36">
        <f>IF(Dashboard!$P$47&gt;'Staging Data'!R465,'Staging Data'!R465,Dashboard!$P$47)</f>
        <v>0.1</v>
      </c>
      <c r="AF465">
        <f>(100%+Dashboard!$P$48)*'Staging Data'!P465</f>
        <v>119.42700000000001</v>
      </c>
      <c r="AG465">
        <f>(100%+Dashboard!$P$49)*S465</f>
        <v>13.52</v>
      </c>
      <c r="AH465" s="13">
        <f t="shared" si="141"/>
        <v>2016.2375999999997</v>
      </c>
      <c r="AI465" s="13">
        <f t="shared" si="142"/>
        <v>1614.6530400000001</v>
      </c>
      <c r="AJ465" s="13">
        <f t="shared" si="143"/>
        <v>401.58455999999956</v>
      </c>
    </row>
    <row r="466" spans="1:36" x14ac:dyDescent="0.45">
      <c r="A466" s="3" t="s">
        <v>478</v>
      </c>
      <c r="B466" s="5">
        <v>45865</v>
      </c>
      <c r="C466" s="5">
        <v>45884</v>
      </c>
      <c r="D466" s="5">
        <f t="shared" si="144"/>
        <v>45865</v>
      </c>
      <c r="E466" s="5">
        <f t="shared" si="145"/>
        <v>45884</v>
      </c>
      <c r="F466" s="7">
        <f t="shared" si="146"/>
        <v>19</v>
      </c>
      <c r="G466" s="23" t="str">
        <f t="shared" si="147"/>
        <v>7-2025</v>
      </c>
      <c r="H466" s="3" t="s">
        <v>647</v>
      </c>
      <c r="I466" s="3" t="s">
        <v>652</v>
      </c>
      <c r="J466" s="3" t="s">
        <v>689</v>
      </c>
      <c r="K466" s="3" t="s">
        <v>705</v>
      </c>
      <c r="L466" s="3" t="s">
        <v>709</v>
      </c>
      <c r="M466" s="3" t="s">
        <v>713</v>
      </c>
      <c r="N466" s="3" t="s">
        <v>727</v>
      </c>
      <c r="O466" s="3" t="s">
        <v>1197</v>
      </c>
      <c r="P466" s="19">
        <v>275.43</v>
      </c>
      <c r="Q466" s="19">
        <v>608.36</v>
      </c>
      <c r="R466" s="15">
        <v>0.25700000000000001</v>
      </c>
      <c r="S466" s="7">
        <v>4</v>
      </c>
      <c r="T466" s="13">
        <f t="shared" si="135"/>
        <v>1808.04592</v>
      </c>
      <c r="U466" s="13">
        <f t="shared" si="136"/>
        <v>1101.72</v>
      </c>
      <c r="V466" s="13">
        <f t="shared" si="148"/>
        <v>706.32592</v>
      </c>
      <c r="W466" s="15">
        <f t="shared" si="149"/>
        <v>0.39065706915231446</v>
      </c>
      <c r="X466" s="17" t="str">
        <f t="shared" si="150"/>
        <v>Q3-2025</v>
      </c>
      <c r="Y466" t="str">
        <f t="shared" si="151"/>
        <v>Asia → Japan → Tokyo</v>
      </c>
      <c r="Z466" t="str">
        <f t="shared" si="152"/>
        <v>Low</v>
      </c>
      <c r="AA466">
        <f t="shared" si="137"/>
        <v>2025</v>
      </c>
      <c r="AB466">
        <f t="shared" si="138"/>
        <v>7</v>
      </c>
      <c r="AC466" t="str">
        <f t="shared" si="139"/>
        <v>No</v>
      </c>
      <c r="AD466" t="str">
        <f t="shared" si="140"/>
        <v>Yes</v>
      </c>
      <c r="AE466" s="36">
        <f>IF(Dashboard!$P$47&gt;'Staging Data'!R466,'Staging Data'!R466,Dashboard!$P$47)</f>
        <v>0.1</v>
      </c>
      <c r="AF466">
        <f>(100%+Dashboard!$P$48)*'Staging Data'!P466</f>
        <v>289.20150000000001</v>
      </c>
      <c r="AG466">
        <f>(100%+Dashboard!$P$49)*S466</f>
        <v>4.16</v>
      </c>
      <c r="AH466" s="13">
        <f t="shared" si="141"/>
        <v>2277.6998400000002</v>
      </c>
      <c r="AI466" s="13">
        <f t="shared" si="142"/>
        <v>1203.0782400000001</v>
      </c>
      <c r="AJ466" s="13">
        <f t="shared" si="143"/>
        <v>1074.6216000000002</v>
      </c>
    </row>
    <row r="467" spans="1:36" x14ac:dyDescent="0.45">
      <c r="A467" s="3" t="s">
        <v>479</v>
      </c>
      <c r="B467" s="5">
        <v>45618</v>
      </c>
      <c r="C467" s="5">
        <v>45641</v>
      </c>
      <c r="D467" s="5">
        <f t="shared" si="144"/>
        <v>45618</v>
      </c>
      <c r="E467" s="5">
        <f t="shared" si="145"/>
        <v>45641</v>
      </c>
      <c r="F467" s="7">
        <f t="shared" si="146"/>
        <v>23</v>
      </c>
      <c r="G467" s="23" t="str">
        <f t="shared" si="147"/>
        <v>11-2024</v>
      </c>
      <c r="H467" s="3" t="s">
        <v>646</v>
      </c>
      <c r="I467" s="3" t="s">
        <v>650</v>
      </c>
      <c r="J467" s="3" t="s">
        <v>675</v>
      </c>
      <c r="K467" s="3" t="s">
        <v>703</v>
      </c>
      <c r="L467" s="3" t="s">
        <v>710</v>
      </c>
      <c r="M467" s="3" t="s">
        <v>712</v>
      </c>
      <c r="N467" s="3" t="s">
        <v>727</v>
      </c>
      <c r="O467" s="3" t="s">
        <v>1198</v>
      </c>
      <c r="P467" s="19">
        <v>1335.76</v>
      </c>
      <c r="Q467" s="19">
        <v>2665.91</v>
      </c>
      <c r="R467" s="15">
        <v>0.21099999999999999</v>
      </c>
      <c r="S467" s="7">
        <v>40</v>
      </c>
      <c r="T467" s="13">
        <f t="shared" si="135"/>
        <v>84136.119600000005</v>
      </c>
      <c r="U467" s="13">
        <f t="shared" si="136"/>
        <v>53430.400000000001</v>
      </c>
      <c r="V467" s="13">
        <f t="shared" si="148"/>
        <v>30705.719600000004</v>
      </c>
      <c r="W467" s="15">
        <f t="shared" si="149"/>
        <v>0.36495288522909253</v>
      </c>
      <c r="X467" s="17" t="str">
        <f t="shared" si="150"/>
        <v>Q4-2024</v>
      </c>
      <c r="Y467" t="str">
        <f t="shared" si="151"/>
        <v>Africa → Kenya → Mombasa</v>
      </c>
      <c r="Z467" t="str">
        <f t="shared" si="152"/>
        <v>High</v>
      </c>
      <c r="AA467">
        <f t="shared" si="137"/>
        <v>2024</v>
      </c>
      <c r="AB467">
        <f t="shared" si="138"/>
        <v>11</v>
      </c>
      <c r="AC467" t="str">
        <f t="shared" si="139"/>
        <v>No</v>
      </c>
      <c r="AD467" t="str">
        <f t="shared" si="140"/>
        <v>Yes</v>
      </c>
      <c r="AE467" s="36">
        <f>IF(Dashboard!$P$47&gt;'Staging Data'!R467,'Staging Data'!R467,Dashboard!$P$47)</f>
        <v>0.1</v>
      </c>
      <c r="AF467">
        <f>(100%+Dashboard!$P$48)*'Staging Data'!P467</f>
        <v>1402.548</v>
      </c>
      <c r="AG467">
        <f>(100%+Dashboard!$P$49)*S467</f>
        <v>41.6</v>
      </c>
      <c r="AH467" s="13">
        <f t="shared" si="141"/>
        <v>99811.670400000003</v>
      </c>
      <c r="AI467" s="13">
        <f t="shared" si="142"/>
        <v>58345.996800000001</v>
      </c>
      <c r="AJ467" s="13">
        <f t="shared" si="143"/>
        <v>41465.673600000002</v>
      </c>
    </row>
    <row r="468" spans="1:36" x14ac:dyDescent="0.45">
      <c r="A468" s="3" t="s">
        <v>284</v>
      </c>
      <c r="B468" s="5">
        <v>45141</v>
      </c>
      <c r="C468" s="5">
        <v>45152</v>
      </c>
      <c r="D468" s="5">
        <f t="shared" si="144"/>
        <v>45141</v>
      </c>
      <c r="E468" s="5">
        <f t="shared" si="145"/>
        <v>45152</v>
      </c>
      <c r="F468" s="7">
        <f t="shared" si="146"/>
        <v>11</v>
      </c>
      <c r="G468" s="23" t="str">
        <f t="shared" si="147"/>
        <v>8-2023</v>
      </c>
      <c r="H468" s="3" t="s">
        <v>648</v>
      </c>
      <c r="I468" s="3" t="s">
        <v>655</v>
      </c>
      <c r="J468" s="3" t="s">
        <v>672</v>
      </c>
      <c r="K468" s="3" t="s">
        <v>701</v>
      </c>
      <c r="L468" s="3" t="s">
        <v>711</v>
      </c>
      <c r="M468" s="3" t="s">
        <v>713</v>
      </c>
      <c r="N468" s="3" t="s">
        <v>733</v>
      </c>
      <c r="O468" s="3" t="s">
        <v>1004</v>
      </c>
      <c r="P468" s="19">
        <v>232.73</v>
      </c>
      <c r="Q468" s="19">
        <v>334.19</v>
      </c>
      <c r="R468" s="15">
        <v>0.13400000000000001</v>
      </c>
      <c r="S468" s="7">
        <v>25</v>
      </c>
      <c r="T468" s="13">
        <f t="shared" si="135"/>
        <v>7235.2134999999998</v>
      </c>
      <c r="U468" s="13">
        <f t="shared" si="136"/>
        <v>5818.25</v>
      </c>
      <c r="V468" s="13">
        <f t="shared" si="148"/>
        <v>1416.9634999999998</v>
      </c>
      <c r="W468" s="15">
        <f t="shared" si="149"/>
        <v>0.1958426658729559</v>
      </c>
      <c r="X468" s="17" t="str">
        <f t="shared" si="150"/>
        <v>Q3-2023</v>
      </c>
      <c r="Y468" t="str">
        <f t="shared" si="151"/>
        <v>Americas → Brazil → Brasília</v>
      </c>
      <c r="Z468" t="str">
        <f t="shared" si="152"/>
        <v>Low</v>
      </c>
      <c r="AA468">
        <f t="shared" si="137"/>
        <v>2023</v>
      </c>
      <c r="AB468">
        <f t="shared" si="138"/>
        <v>8</v>
      </c>
      <c r="AC468" t="str">
        <f t="shared" si="139"/>
        <v>No</v>
      </c>
      <c r="AD468" t="str">
        <f t="shared" si="140"/>
        <v>No</v>
      </c>
      <c r="AE468" s="36">
        <f>IF(Dashboard!$P$47&gt;'Staging Data'!R468,'Staging Data'!R468,Dashboard!$P$47)</f>
        <v>0.1</v>
      </c>
      <c r="AF468">
        <f>(100%+Dashboard!$P$48)*'Staging Data'!P468</f>
        <v>244.3665</v>
      </c>
      <c r="AG468">
        <f>(100%+Dashboard!$P$49)*S468</f>
        <v>26</v>
      </c>
      <c r="AH468" s="13">
        <f t="shared" si="141"/>
        <v>7820.0460000000003</v>
      </c>
      <c r="AI468" s="13">
        <f t="shared" si="142"/>
        <v>6353.5290000000005</v>
      </c>
      <c r="AJ468" s="13">
        <f t="shared" si="143"/>
        <v>1466.5169999999998</v>
      </c>
    </row>
    <row r="469" spans="1:36" x14ac:dyDescent="0.45">
      <c r="A469" s="3" t="s">
        <v>481</v>
      </c>
      <c r="B469" s="5">
        <v>45278</v>
      </c>
      <c r="C469" s="5">
        <v>45305</v>
      </c>
      <c r="D469" s="5">
        <f t="shared" si="144"/>
        <v>45278</v>
      </c>
      <c r="E469" s="5">
        <f t="shared" si="145"/>
        <v>45305</v>
      </c>
      <c r="F469" s="7">
        <f t="shared" si="146"/>
        <v>27</v>
      </c>
      <c r="G469" s="23" t="str">
        <f t="shared" si="147"/>
        <v>12-2023</v>
      </c>
      <c r="H469" s="3" t="s">
        <v>647</v>
      </c>
      <c r="I469" s="3" t="s">
        <v>654</v>
      </c>
      <c r="J469" s="3" t="s">
        <v>691</v>
      </c>
      <c r="K469" s="3" t="s">
        <v>704</v>
      </c>
      <c r="L469" s="3" t="s">
        <v>710</v>
      </c>
      <c r="M469" s="3" t="s">
        <v>726</v>
      </c>
      <c r="N469" s="3" t="s">
        <v>729</v>
      </c>
      <c r="O469" s="3" t="s">
        <v>1200</v>
      </c>
      <c r="P469" s="19">
        <v>1408.3</v>
      </c>
      <c r="Q469" s="19">
        <v>2193.13</v>
      </c>
      <c r="R469" s="15">
        <v>7.0999999999999994E-2</v>
      </c>
      <c r="S469" s="7">
        <v>7</v>
      </c>
      <c r="T469" s="13">
        <f t="shared" si="135"/>
        <v>14261.92439</v>
      </c>
      <c r="U469" s="13">
        <f t="shared" si="136"/>
        <v>9858.1</v>
      </c>
      <c r="V469" s="13">
        <f t="shared" si="148"/>
        <v>4403.8243899999998</v>
      </c>
      <c r="W469" s="15">
        <f t="shared" si="149"/>
        <v>0.30878191957656281</v>
      </c>
      <c r="X469" s="17" t="str">
        <f t="shared" si="150"/>
        <v>Q4-2023</v>
      </c>
      <c r="Y469" t="str">
        <f t="shared" si="151"/>
        <v>Asia → India → Mumbai</v>
      </c>
      <c r="Z469" t="str">
        <f t="shared" si="152"/>
        <v>High</v>
      </c>
      <c r="AA469">
        <f t="shared" si="137"/>
        <v>2023</v>
      </c>
      <c r="AB469">
        <f t="shared" si="138"/>
        <v>12</v>
      </c>
      <c r="AC469" t="str">
        <f t="shared" si="139"/>
        <v>No</v>
      </c>
      <c r="AD469" t="str">
        <f t="shared" si="140"/>
        <v>No</v>
      </c>
      <c r="AE469" s="36">
        <f>IF(Dashboard!$P$47&gt;'Staging Data'!R469,'Staging Data'!R469,Dashboard!$P$47)</f>
        <v>7.0999999999999994E-2</v>
      </c>
      <c r="AF469">
        <f>(100%+Dashboard!$P$48)*'Staging Data'!P469</f>
        <v>1478.7149999999999</v>
      </c>
      <c r="AG469">
        <f>(100%+Dashboard!$P$49)*S469</f>
        <v>7.28</v>
      </c>
      <c r="AH469" s="13">
        <f t="shared" si="141"/>
        <v>14832.401365600002</v>
      </c>
      <c r="AI469" s="13">
        <f t="shared" si="142"/>
        <v>10765.0452</v>
      </c>
      <c r="AJ469" s="13">
        <f t="shared" si="143"/>
        <v>4067.356165600002</v>
      </c>
    </row>
    <row r="470" spans="1:36" x14ac:dyDescent="0.45">
      <c r="A470" s="3" t="s">
        <v>482</v>
      </c>
      <c r="B470" s="5">
        <v>45809</v>
      </c>
      <c r="C470" s="5">
        <v>45813</v>
      </c>
      <c r="D470" s="5">
        <f t="shared" si="144"/>
        <v>45809</v>
      </c>
      <c r="E470" s="5">
        <f t="shared" si="145"/>
        <v>45813</v>
      </c>
      <c r="F470" s="7">
        <f t="shared" si="146"/>
        <v>4</v>
      </c>
      <c r="G470" s="23" t="str">
        <f t="shared" si="147"/>
        <v>6-2025</v>
      </c>
      <c r="H470" s="3" t="s">
        <v>649</v>
      </c>
      <c r="I470" s="3" t="s">
        <v>656</v>
      </c>
      <c r="J470" s="3" t="s">
        <v>684</v>
      </c>
      <c r="K470" s="3" t="s">
        <v>706</v>
      </c>
      <c r="L470" s="3" t="s">
        <v>711</v>
      </c>
      <c r="M470" s="3" t="s">
        <v>724</v>
      </c>
      <c r="N470" s="3" t="s">
        <v>727</v>
      </c>
      <c r="O470" s="3" t="s">
        <v>1201</v>
      </c>
      <c r="P470" s="19">
        <v>1171.42</v>
      </c>
      <c r="Q470" s="19">
        <v>2187.8000000000002</v>
      </c>
      <c r="R470" s="15">
        <v>0.23</v>
      </c>
      <c r="S470" s="7">
        <v>15</v>
      </c>
      <c r="T470" s="13">
        <f t="shared" si="135"/>
        <v>25269.09</v>
      </c>
      <c r="U470" s="13">
        <f t="shared" si="136"/>
        <v>17571.300000000003</v>
      </c>
      <c r="V470" s="13">
        <f t="shared" si="148"/>
        <v>7697.7899999999972</v>
      </c>
      <c r="W470" s="15">
        <f t="shared" si="149"/>
        <v>0.30463265594447592</v>
      </c>
      <c r="X470" s="17" t="str">
        <f t="shared" si="150"/>
        <v>Q2-2025</v>
      </c>
      <c r="Y470" t="str">
        <f t="shared" si="151"/>
        <v>Europe → Germany → Munich</v>
      </c>
      <c r="Z470" t="str">
        <f t="shared" si="152"/>
        <v>High</v>
      </c>
      <c r="AA470">
        <f t="shared" si="137"/>
        <v>2025</v>
      </c>
      <c r="AB470">
        <f t="shared" si="138"/>
        <v>6</v>
      </c>
      <c r="AC470" t="str">
        <f t="shared" si="139"/>
        <v>Yes</v>
      </c>
      <c r="AD470" t="str">
        <f t="shared" si="140"/>
        <v>Yes</v>
      </c>
      <c r="AE470" s="36">
        <f>IF(Dashboard!$P$47&gt;'Staging Data'!R470,'Staging Data'!R470,Dashboard!$P$47)</f>
        <v>0.1</v>
      </c>
      <c r="AF470">
        <f>(100%+Dashboard!$P$48)*'Staging Data'!P470</f>
        <v>1229.9910000000002</v>
      </c>
      <c r="AG470">
        <f>(100%+Dashboard!$P$49)*S470</f>
        <v>15.600000000000001</v>
      </c>
      <c r="AH470" s="13">
        <f t="shared" si="141"/>
        <v>30716.712000000007</v>
      </c>
      <c r="AI470" s="13">
        <f t="shared" si="142"/>
        <v>19187.859600000003</v>
      </c>
      <c r="AJ470" s="13">
        <f t="shared" si="143"/>
        <v>11528.852400000003</v>
      </c>
    </row>
    <row r="471" spans="1:36" x14ac:dyDescent="0.45">
      <c r="A471" s="3" t="s">
        <v>483</v>
      </c>
      <c r="B471" s="5">
        <v>45739</v>
      </c>
      <c r="C471" s="5">
        <v>45749</v>
      </c>
      <c r="D471" s="5">
        <f t="shared" si="144"/>
        <v>45739</v>
      </c>
      <c r="E471" s="5">
        <f t="shared" si="145"/>
        <v>45749</v>
      </c>
      <c r="F471" s="7">
        <f t="shared" si="146"/>
        <v>10</v>
      </c>
      <c r="G471" s="23" t="str">
        <f t="shared" si="147"/>
        <v>3-2025</v>
      </c>
      <c r="H471" s="3" t="s">
        <v>649</v>
      </c>
      <c r="I471" s="3" t="s">
        <v>656</v>
      </c>
      <c r="J471" s="3" t="s">
        <v>671</v>
      </c>
      <c r="K471" s="3" t="s">
        <v>706</v>
      </c>
      <c r="L471" s="3" t="s">
        <v>708</v>
      </c>
      <c r="M471" s="3" t="s">
        <v>718</v>
      </c>
      <c r="N471" s="3" t="s">
        <v>728</v>
      </c>
      <c r="O471" s="3" t="s">
        <v>1202</v>
      </c>
      <c r="P471" s="19">
        <v>663.61</v>
      </c>
      <c r="Q471" s="19">
        <v>1002.11</v>
      </c>
      <c r="R471" s="15">
        <v>4.5999999999999999E-2</v>
      </c>
      <c r="S471" s="7">
        <v>17</v>
      </c>
      <c r="T471" s="13">
        <f t="shared" si="135"/>
        <v>16252.219979999998</v>
      </c>
      <c r="U471" s="13">
        <f t="shared" si="136"/>
        <v>11281.37</v>
      </c>
      <c r="V471" s="13">
        <f t="shared" si="148"/>
        <v>4970.8499799999972</v>
      </c>
      <c r="W471" s="15">
        <f t="shared" si="149"/>
        <v>0.30585667595670812</v>
      </c>
      <c r="X471" s="17" t="str">
        <f t="shared" si="150"/>
        <v>Q1-2025</v>
      </c>
      <c r="Y471" t="str">
        <f t="shared" si="151"/>
        <v>Europe → Germany → Berlin</v>
      </c>
      <c r="Z471" t="str">
        <f t="shared" si="152"/>
        <v>Low</v>
      </c>
      <c r="AA471">
        <f t="shared" si="137"/>
        <v>2025</v>
      </c>
      <c r="AB471">
        <f t="shared" si="138"/>
        <v>3</v>
      </c>
      <c r="AC471" t="str">
        <f t="shared" si="139"/>
        <v>No</v>
      </c>
      <c r="AD471" t="str">
        <f t="shared" si="140"/>
        <v>No</v>
      </c>
      <c r="AE471" s="36">
        <f>IF(Dashboard!$P$47&gt;'Staging Data'!R471,'Staging Data'!R471,Dashboard!$P$47)</f>
        <v>4.5999999999999999E-2</v>
      </c>
      <c r="AF471">
        <f>(100%+Dashboard!$P$48)*'Staging Data'!P471</f>
        <v>696.79050000000007</v>
      </c>
      <c r="AG471">
        <f>(100%+Dashboard!$P$49)*S471</f>
        <v>17.68</v>
      </c>
      <c r="AH471" s="13">
        <f t="shared" si="141"/>
        <v>16902.308779200001</v>
      </c>
      <c r="AI471" s="13">
        <f t="shared" si="142"/>
        <v>12319.25604</v>
      </c>
      <c r="AJ471" s="13">
        <f t="shared" si="143"/>
        <v>4583.0527392000004</v>
      </c>
    </row>
    <row r="472" spans="1:36" x14ac:dyDescent="0.45">
      <c r="A472" s="3" t="s">
        <v>484</v>
      </c>
      <c r="B472" s="5">
        <v>45060</v>
      </c>
      <c r="C472" s="5">
        <v>45068</v>
      </c>
      <c r="D472" s="5">
        <f t="shared" si="144"/>
        <v>45060</v>
      </c>
      <c r="E472" s="5">
        <f t="shared" si="145"/>
        <v>45068</v>
      </c>
      <c r="F472" s="7">
        <f t="shared" si="146"/>
        <v>8</v>
      </c>
      <c r="G472" s="23" t="str">
        <f t="shared" si="147"/>
        <v>5-2023</v>
      </c>
      <c r="H472" s="3" t="s">
        <v>646</v>
      </c>
      <c r="I472" s="3" t="s">
        <v>650</v>
      </c>
      <c r="J472" s="3" t="s">
        <v>675</v>
      </c>
      <c r="K472" s="3" t="s">
        <v>705</v>
      </c>
      <c r="L472" s="3" t="s">
        <v>710</v>
      </c>
      <c r="M472" s="3" t="s">
        <v>721</v>
      </c>
      <c r="N472" s="3" t="s">
        <v>728</v>
      </c>
      <c r="O472" s="3" t="s">
        <v>1203</v>
      </c>
      <c r="P472" s="19">
        <v>432.01</v>
      </c>
      <c r="Q472" s="19">
        <v>913.78</v>
      </c>
      <c r="R472" s="15">
        <v>4.9000000000000002E-2</v>
      </c>
      <c r="S472" s="7">
        <v>12</v>
      </c>
      <c r="T472" s="13">
        <f t="shared" si="135"/>
        <v>10428.057360000001</v>
      </c>
      <c r="U472" s="13">
        <f t="shared" si="136"/>
        <v>5184.12</v>
      </c>
      <c r="V472" s="13">
        <f t="shared" si="148"/>
        <v>5243.9373600000008</v>
      </c>
      <c r="W472" s="15">
        <f t="shared" si="149"/>
        <v>0.50286809699711899</v>
      </c>
      <c r="X472" s="17" t="str">
        <f t="shared" si="150"/>
        <v>Q2-2023</v>
      </c>
      <c r="Y472" t="str">
        <f t="shared" si="151"/>
        <v>Africa → Kenya → Mombasa</v>
      </c>
      <c r="Z472" t="str">
        <f t="shared" si="152"/>
        <v>Low</v>
      </c>
      <c r="AA472">
        <f t="shared" si="137"/>
        <v>2023</v>
      </c>
      <c r="AB472">
        <f t="shared" si="138"/>
        <v>5</v>
      </c>
      <c r="AC472" t="str">
        <f t="shared" si="139"/>
        <v>No</v>
      </c>
      <c r="AD472" t="str">
        <f t="shared" si="140"/>
        <v>No</v>
      </c>
      <c r="AE472" s="36">
        <f>IF(Dashboard!$P$47&gt;'Staging Data'!R472,'Staging Data'!R472,Dashboard!$P$47)</f>
        <v>4.9000000000000002E-2</v>
      </c>
      <c r="AF472">
        <f>(100%+Dashboard!$P$48)*'Staging Data'!P472</f>
        <v>453.6105</v>
      </c>
      <c r="AG472">
        <f>(100%+Dashboard!$P$49)*S472</f>
        <v>12.48</v>
      </c>
      <c r="AH472" s="13">
        <f t="shared" si="141"/>
        <v>10845.179654399999</v>
      </c>
      <c r="AI472" s="13">
        <f t="shared" si="142"/>
        <v>5661.0590400000001</v>
      </c>
      <c r="AJ472" s="13">
        <f t="shared" si="143"/>
        <v>5184.1206143999989</v>
      </c>
    </row>
    <row r="473" spans="1:36" x14ac:dyDescent="0.45">
      <c r="A473" s="3" t="s">
        <v>485</v>
      </c>
      <c r="B473" s="5">
        <v>45167</v>
      </c>
      <c r="C473" s="5">
        <v>45188</v>
      </c>
      <c r="D473" s="5">
        <f t="shared" si="144"/>
        <v>45167</v>
      </c>
      <c r="E473" s="5">
        <f t="shared" si="145"/>
        <v>45188</v>
      </c>
      <c r="F473" s="7">
        <f t="shared" si="146"/>
        <v>21</v>
      </c>
      <c r="G473" s="23" t="str">
        <f t="shared" si="147"/>
        <v>8-2023</v>
      </c>
      <c r="H473" s="3" t="s">
        <v>649</v>
      </c>
      <c r="I473" s="3" t="s">
        <v>657</v>
      </c>
      <c r="J473" s="3" t="s">
        <v>679</v>
      </c>
      <c r="K473" s="3" t="s">
        <v>705</v>
      </c>
      <c r="L473" s="3" t="s">
        <v>711</v>
      </c>
      <c r="M473" s="3" t="s">
        <v>717</v>
      </c>
      <c r="N473" s="3" t="s">
        <v>728</v>
      </c>
      <c r="O473" s="3" t="s">
        <v>1204</v>
      </c>
      <c r="P473" s="19">
        <v>784.46</v>
      </c>
      <c r="Q473" s="19">
        <v>1843.51</v>
      </c>
      <c r="R473" s="15">
        <v>0.13800000000000001</v>
      </c>
      <c r="S473" s="7">
        <v>23</v>
      </c>
      <c r="T473" s="13">
        <f t="shared" si="135"/>
        <v>36549.429260000004</v>
      </c>
      <c r="U473" s="13">
        <f t="shared" si="136"/>
        <v>18042.580000000002</v>
      </c>
      <c r="V473" s="13">
        <f t="shared" si="148"/>
        <v>18506.849260000003</v>
      </c>
      <c r="W473" s="15">
        <f t="shared" si="149"/>
        <v>0.50635125184441798</v>
      </c>
      <c r="X473" s="17" t="str">
        <f t="shared" si="150"/>
        <v>Q3-2023</v>
      </c>
      <c r="Y473" t="str">
        <f t="shared" si="151"/>
        <v>Europe → France → Lyon</v>
      </c>
      <c r="Z473" t="str">
        <f t="shared" si="152"/>
        <v>Medium</v>
      </c>
      <c r="AA473">
        <f t="shared" si="137"/>
        <v>2023</v>
      </c>
      <c r="AB473">
        <f t="shared" si="138"/>
        <v>8</v>
      </c>
      <c r="AC473" t="str">
        <f t="shared" si="139"/>
        <v>No</v>
      </c>
      <c r="AD473" t="str">
        <f t="shared" si="140"/>
        <v>No</v>
      </c>
      <c r="AE473" s="36">
        <f>IF(Dashboard!$P$47&gt;'Staging Data'!R473,'Staging Data'!R473,Dashboard!$P$47)</f>
        <v>0.1</v>
      </c>
      <c r="AF473">
        <f>(100%+Dashboard!$P$48)*'Staging Data'!P473</f>
        <v>823.68300000000011</v>
      </c>
      <c r="AG473">
        <f>(100%+Dashboard!$P$49)*S473</f>
        <v>23.92</v>
      </c>
      <c r="AH473" s="13">
        <f t="shared" si="141"/>
        <v>39687.083279999999</v>
      </c>
      <c r="AI473" s="13">
        <f t="shared" si="142"/>
        <v>19702.497360000005</v>
      </c>
      <c r="AJ473" s="13">
        <f t="shared" si="143"/>
        <v>19984.585919999994</v>
      </c>
    </row>
    <row r="474" spans="1:36" x14ac:dyDescent="0.45">
      <c r="A474" s="3" t="s">
        <v>486</v>
      </c>
      <c r="B474" s="5">
        <v>45841</v>
      </c>
      <c r="C474" s="5">
        <v>45861</v>
      </c>
      <c r="D474" s="5">
        <f t="shared" si="144"/>
        <v>45841</v>
      </c>
      <c r="E474" s="5">
        <f t="shared" si="145"/>
        <v>45861</v>
      </c>
      <c r="F474" s="7">
        <f t="shared" si="146"/>
        <v>20</v>
      </c>
      <c r="G474" s="23" t="str">
        <f t="shared" si="147"/>
        <v>7-2025</v>
      </c>
      <c r="H474" s="3" t="s">
        <v>647</v>
      </c>
      <c r="I474" s="3" t="s">
        <v>659</v>
      </c>
      <c r="J474" s="3" t="s">
        <v>699</v>
      </c>
      <c r="K474" s="3" t="s">
        <v>705</v>
      </c>
      <c r="L474" s="3" t="s">
        <v>708</v>
      </c>
      <c r="M474" s="3" t="s">
        <v>724</v>
      </c>
      <c r="N474" s="3" t="s">
        <v>727</v>
      </c>
      <c r="O474" s="3" t="s">
        <v>1205</v>
      </c>
      <c r="P474" s="19">
        <v>647.36</v>
      </c>
      <c r="Q474" s="19">
        <v>1383.6</v>
      </c>
      <c r="R474" s="15">
        <v>7.3999999999999996E-2</v>
      </c>
      <c r="S474" s="7">
        <v>12</v>
      </c>
      <c r="T474" s="13">
        <f t="shared" si="135"/>
        <v>15374.563199999999</v>
      </c>
      <c r="U474" s="13">
        <f t="shared" si="136"/>
        <v>7768.32</v>
      </c>
      <c r="V474" s="13">
        <f t="shared" si="148"/>
        <v>7606.243199999999</v>
      </c>
      <c r="W474" s="15">
        <f t="shared" si="149"/>
        <v>0.49472906000997802</v>
      </c>
      <c r="X474" s="17" t="str">
        <f t="shared" si="150"/>
        <v>Q3-2025</v>
      </c>
      <c r="Y474" t="str">
        <f t="shared" si="151"/>
        <v>Asia → China → Beijing</v>
      </c>
      <c r="Z474" t="str">
        <f t="shared" si="152"/>
        <v>Medium</v>
      </c>
      <c r="AA474">
        <f t="shared" si="137"/>
        <v>2025</v>
      </c>
      <c r="AB474">
        <f t="shared" si="138"/>
        <v>7</v>
      </c>
      <c r="AC474" t="str">
        <f t="shared" si="139"/>
        <v>No</v>
      </c>
      <c r="AD474" t="str">
        <f t="shared" si="140"/>
        <v>No</v>
      </c>
      <c r="AE474" s="36">
        <f>IF(Dashboard!$P$47&gt;'Staging Data'!R474,'Staging Data'!R474,Dashboard!$P$47)</f>
        <v>7.3999999999999996E-2</v>
      </c>
      <c r="AF474">
        <f>(100%+Dashboard!$P$48)*'Staging Data'!P474</f>
        <v>679.72800000000007</v>
      </c>
      <c r="AG474">
        <f>(100%+Dashboard!$P$49)*S474</f>
        <v>12.48</v>
      </c>
      <c r="AH474" s="13">
        <f t="shared" si="141"/>
        <v>15989.545727999999</v>
      </c>
      <c r="AI474" s="13">
        <f t="shared" si="142"/>
        <v>8483.0054400000008</v>
      </c>
      <c r="AJ474" s="13">
        <f t="shared" si="143"/>
        <v>7506.5402879999983</v>
      </c>
    </row>
    <row r="475" spans="1:36" x14ac:dyDescent="0.45">
      <c r="A475" s="3" t="s">
        <v>487</v>
      </c>
      <c r="B475" s="5">
        <v>45328</v>
      </c>
      <c r="C475" s="5">
        <v>45350</v>
      </c>
      <c r="D475" s="5">
        <f t="shared" si="144"/>
        <v>45328</v>
      </c>
      <c r="E475" s="5">
        <f t="shared" si="145"/>
        <v>45350</v>
      </c>
      <c r="F475" s="7">
        <f t="shared" si="146"/>
        <v>22</v>
      </c>
      <c r="G475" s="23" t="str">
        <f t="shared" si="147"/>
        <v>2-2024</v>
      </c>
      <c r="H475" s="3" t="s">
        <v>646</v>
      </c>
      <c r="I475" s="3" t="s">
        <v>650</v>
      </c>
      <c r="J475" s="3" t="s">
        <v>662</v>
      </c>
      <c r="K475" s="3" t="s">
        <v>703</v>
      </c>
      <c r="L475" s="3" t="s">
        <v>708</v>
      </c>
      <c r="M475" s="3" t="s">
        <v>723</v>
      </c>
      <c r="N475" s="3" t="s">
        <v>732</v>
      </c>
      <c r="O475" s="3" t="s">
        <v>1206</v>
      </c>
      <c r="P475" s="19">
        <v>834.93</v>
      </c>
      <c r="Q475" s="19">
        <v>1588.53</v>
      </c>
      <c r="R475" s="15">
        <v>0.126</v>
      </c>
      <c r="S475" s="7">
        <v>6</v>
      </c>
      <c r="T475" s="13">
        <f t="shared" si="135"/>
        <v>8330.2513199999994</v>
      </c>
      <c r="U475" s="13">
        <f t="shared" si="136"/>
        <v>5009.58</v>
      </c>
      <c r="V475" s="13">
        <f t="shared" si="148"/>
        <v>3320.6713199999995</v>
      </c>
      <c r="W475" s="15">
        <f t="shared" si="149"/>
        <v>0.39862798761274343</v>
      </c>
      <c r="X475" s="17" t="str">
        <f t="shared" si="150"/>
        <v>Q1-2024</v>
      </c>
      <c r="Y475" t="str">
        <f t="shared" si="151"/>
        <v>Africa → Kenya → Kisumu</v>
      </c>
      <c r="Z475" t="str">
        <f t="shared" si="152"/>
        <v>Medium</v>
      </c>
      <c r="AA475">
        <f t="shared" si="137"/>
        <v>2024</v>
      </c>
      <c r="AB475">
        <f t="shared" si="138"/>
        <v>2</v>
      </c>
      <c r="AC475" t="str">
        <f t="shared" si="139"/>
        <v>No</v>
      </c>
      <c r="AD475" t="str">
        <f t="shared" si="140"/>
        <v>No</v>
      </c>
      <c r="AE475" s="36">
        <f>IF(Dashboard!$P$47&gt;'Staging Data'!R475,'Staging Data'!R475,Dashboard!$P$47)</f>
        <v>0.1</v>
      </c>
      <c r="AF475">
        <f>(100%+Dashboard!$P$48)*'Staging Data'!P475</f>
        <v>876.67650000000003</v>
      </c>
      <c r="AG475">
        <f>(100%+Dashboard!$P$49)*S475</f>
        <v>6.24</v>
      </c>
      <c r="AH475" s="13">
        <f t="shared" si="141"/>
        <v>8921.1844799999999</v>
      </c>
      <c r="AI475" s="13">
        <f t="shared" si="142"/>
        <v>5470.4613600000002</v>
      </c>
      <c r="AJ475" s="13">
        <f t="shared" si="143"/>
        <v>3450.7231199999997</v>
      </c>
    </row>
    <row r="476" spans="1:36" x14ac:dyDescent="0.45">
      <c r="A476" s="3" t="s">
        <v>488</v>
      </c>
      <c r="B476" s="5">
        <v>45882</v>
      </c>
      <c r="C476" s="5">
        <v>45903</v>
      </c>
      <c r="D476" s="5">
        <f t="shared" si="144"/>
        <v>45882</v>
      </c>
      <c r="E476" s="5">
        <f t="shared" si="145"/>
        <v>45903</v>
      </c>
      <c r="F476" s="7">
        <f t="shared" si="146"/>
        <v>21</v>
      </c>
      <c r="G476" s="23" t="str">
        <f t="shared" si="147"/>
        <v>8-2025</v>
      </c>
      <c r="H476" s="3" t="s">
        <v>649</v>
      </c>
      <c r="I476" s="3" t="s">
        <v>657</v>
      </c>
      <c r="J476" s="3" t="s">
        <v>690</v>
      </c>
      <c r="K476" s="3" t="s">
        <v>702</v>
      </c>
      <c r="L476" s="3" t="s">
        <v>707</v>
      </c>
      <c r="M476" s="3" t="s">
        <v>714</v>
      </c>
      <c r="N476" s="3" t="s">
        <v>730</v>
      </c>
      <c r="O476" s="3" t="s">
        <v>1207</v>
      </c>
      <c r="P476" s="19">
        <v>603.47</v>
      </c>
      <c r="Q476" s="19">
        <v>1344.05</v>
      </c>
      <c r="R476" s="15">
        <v>0.20499999999999999</v>
      </c>
      <c r="S476" s="7">
        <v>18</v>
      </c>
      <c r="T476" s="13">
        <f t="shared" si="135"/>
        <v>19233.355499999998</v>
      </c>
      <c r="U476" s="13">
        <f t="shared" si="136"/>
        <v>10862.460000000001</v>
      </c>
      <c r="V476" s="13">
        <f t="shared" si="148"/>
        <v>8370.8954999999969</v>
      </c>
      <c r="W476" s="15">
        <f t="shared" si="149"/>
        <v>0.43522803392262976</v>
      </c>
      <c r="X476" s="17" t="str">
        <f t="shared" si="150"/>
        <v>Q3-2025</v>
      </c>
      <c r="Y476" t="str">
        <f t="shared" si="151"/>
        <v>Europe → France → Paris</v>
      </c>
      <c r="Z476" t="str">
        <f t="shared" si="152"/>
        <v>Medium</v>
      </c>
      <c r="AA476">
        <f t="shared" si="137"/>
        <v>2025</v>
      </c>
      <c r="AB476">
        <f t="shared" si="138"/>
        <v>8</v>
      </c>
      <c r="AC476" t="str">
        <f t="shared" si="139"/>
        <v>No</v>
      </c>
      <c r="AD476" t="str">
        <f t="shared" si="140"/>
        <v>Yes</v>
      </c>
      <c r="AE476" s="36">
        <f>IF(Dashboard!$P$47&gt;'Staging Data'!R476,'Staging Data'!R476,Dashboard!$P$47)</f>
        <v>0.1</v>
      </c>
      <c r="AF476">
        <f>(100%+Dashboard!$P$48)*'Staging Data'!P476</f>
        <v>633.64350000000002</v>
      </c>
      <c r="AG476">
        <f>(100%+Dashboard!$P$49)*S476</f>
        <v>18.72</v>
      </c>
      <c r="AH476" s="13">
        <f t="shared" si="141"/>
        <v>22644.554399999997</v>
      </c>
      <c r="AI476" s="13">
        <f t="shared" si="142"/>
        <v>11861.80632</v>
      </c>
      <c r="AJ476" s="13">
        <f t="shared" si="143"/>
        <v>10782.748079999998</v>
      </c>
    </row>
    <row r="477" spans="1:36" x14ac:dyDescent="0.45">
      <c r="A477" s="3" t="s">
        <v>27</v>
      </c>
      <c r="B477" s="5">
        <v>45722</v>
      </c>
      <c r="C477" s="5">
        <v>45747</v>
      </c>
      <c r="D477" s="5">
        <f t="shared" si="144"/>
        <v>45722</v>
      </c>
      <c r="E477" s="5">
        <f t="shared" si="145"/>
        <v>45747</v>
      </c>
      <c r="F477" s="7">
        <f t="shared" si="146"/>
        <v>25</v>
      </c>
      <c r="G477" s="23" t="str">
        <f t="shared" si="147"/>
        <v>3-2025</v>
      </c>
      <c r="H477" s="3" t="s">
        <v>648</v>
      </c>
      <c r="I477" s="3" t="s">
        <v>655</v>
      </c>
      <c r="J477" s="3" t="s">
        <v>672</v>
      </c>
      <c r="K477" s="3" t="s">
        <v>703</v>
      </c>
      <c r="L477" s="3" t="s">
        <v>708</v>
      </c>
      <c r="M477" s="3" t="s">
        <v>713</v>
      </c>
      <c r="N477" s="3" t="s">
        <v>727</v>
      </c>
      <c r="O477" s="3" t="s">
        <v>746</v>
      </c>
      <c r="P477" s="19">
        <v>331.57</v>
      </c>
      <c r="Q477" s="19">
        <v>548.4</v>
      </c>
      <c r="R477" s="15">
        <v>9.4E-2</v>
      </c>
      <c r="S477" s="7">
        <v>10</v>
      </c>
      <c r="T477" s="13">
        <f t="shared" si="135"/>
        <v>4968.5039999999999</v>
      </c>
      <c r="U477" s="13">
        <f t="shared" si="136"/>
        <v>3315.7</v>
      </c>
      <c r="V477" s="13">
        <f t="shared" si="148"/>
        <v>1652.8040000000001</v>
      </c>
      <c r="W477" s="15">
        <f t="shared" si="149"/>
        <v>0.33265626836568918</v>
      </c>
      <c r="X477" s="17" t="str">
        <f t="shared" si="150"/>
        <v>Q1-2025</v>
      </c>
      <c r="Y477" t="str">
        <f t="shared" si="151"/>
        <v>Americas → Brazil → Brasília</v>
      </c>
      <c r="Z477" t="str">
        <f t="shared" si="152"/>
        <v>Low</v>
      </c>
      <c r="AA477">
        <f t="shared" si="137"/>
        <v>2025</v>
      </c>
      <c r="AB477">
        <f t="shared" si="138"/>
        <v>3</v>
      </c>
      <c r="AC477" t="str">
        <f t="shared" si="139"/>
        <v>No</v>
      </c>
      <c r="AD477" t="str">
        <f t="shared" si="140"/>
        <v>No</v>
      </c>
      <c r="AE477" s="36">
        <f>IF(Dashboard!$P$47&gt;'Staging Data'!R477,'Staging Data'!R477,Dashboard!$P$47)</f>
        <v>9.4E-2</v>
      </c>
      <c r="AF477">
        <f>(100%+Dashboard!$P$48)*'Staging Data'!P477</f>
        <v>348.14850000000001</v>
      </c>
      <c r="AG477">
        <f>(100%+Dashboard!$P$49)*S477</f>
        <v>10.4</v>
      </c>
      <c r="AH477" s="13">
        <f t="shared" si="141"/>
        <v>5167.2441600000002</v>
      </c>
      <c r="AI477" s="13">
        <f t="shared" si="142"/>
        <v>3620.7444</v>
      </c>
      <c r="AJ477" s="13">
        <f t="shared" si="143"/>
        <v>1546.4997600000002</v>
      </c>
    </row>
    <row r="478" spans="1:36" x14ac:dyDescent="0.45">
      <c r="A478" s="3" t="s">
        <v>490</v>
      </c>
      <c r="B478" s="5">
        <v>45422</v>
      </c>
      <c r="C478" s="5">
        <v>45428</v>
      </c>
      <c r="D478" s="5">
        <f t="shared" si="144"/>
        <v>45422</v>
      </c>
      <c r="E478" s="5">
        <f t="shared" si="145"/>
        <v>45428</v>
      </c>
      <c r="F478" s="7">
        <f t="shared" si="146"/>
        <v>6</v>
      </c>
      <c r="G478" s="23" t="str">
        <f t="shared" si="147"/>
        <v>5-2024</v>
      </c>
      <c r="H478" s="3" t="s">
        <v>649</v>
      </c>
      <c r="I478" s="3" t="s">
        <v>658</v>
      </c>
      <c r="J478" s="3" t="s">
        <v>674</v>
      </c>
      <c r="K478" s="3" t="s">
        <v>703</v>
      </c>
      <c r="L478" s="3" t="s">
        <v>711</v>
      </c>
      <c r="M478" s="3" t="s">
        <v>715</v>
      </c>
      <c r="N478" s="3" t="s">
        <v>731</v>
      </c>
      <c r="O478" s="3" t="s">
        <v>1209</v>
      </c>
      <c r="P478" s="19">
        <v>210.76</v>
      </c>
      <c r="Q478" s="19">
        <v>221.58</v>
      </c>
      <c r="R478" s="15">
        <v>8.8999999999999996E-2</v>
      </c>
      <c r="S478" s="7">
        <v>5</v>
      </c>
      <c r="T478" s="13">
        <f t="shared" si="135"/>
        <v>1009.2969000000002</v>
      </c>
      <c r="U478" s="13">
        <f t="shared" si="136"/>
        <v>1053.8</v>
      </c>
      <c r="V478" s="13">
        <f t="shared" si="148"/>
        <v>-44.50309999999979</v>
      </c>
      <c r="W478" s="15">
        <f t="shared" si="149"/>
        <v>-4.4093170205912434E-2</v>
      </c>
      <c r="X478" s="17" t="str">
        <f t="shared" si="150"/>
        <v>Q2-2024</v>
      </c>
      <c r="Y478" t="str">
        <f t="shared" si="151"/>
        <v>Europe → United Kingdom → Birmingham</v>
      </c>
      <c r="Z478" t="str">
        <f t="shared" si="152"/>
        <v>Low</v>
      </c>
      <c r="AA478">
        <f t="shared" si="137"/>
        <v>2024</v>
      </c>
      <c r="AB478">
        <f t="shared" si="138"/>
        <v>5</v>
      </c>
      <c r="AC478" t="str">
        <f t="shared" si="139"/>
        <v>Yes</v>
      </c>
      <c r="AD478" t="str">
        <f t="shared" si="140"/>
        <v>No</v>
      </c>
      <c r="AE478" s="36">
        <f>IF(Dashboard!$P$47&gt;'Staging Data'!R478,'Staging Data'!R478,Dashboard!$P$47)</f>
        <v>8.8999999999999996E-2</v>
      </c>
      <c r="AF478">
        <f>(100%+Dashboard!$P$48)*'Staging Data'!P478</f>
        <v>221.298</v>
      </c>
      <c r="AG478">
        <f>(100%+Dashboard!$P$49)*S478</f>
        <v>5.2</v>
      </c>
      <c r="AH478" s="13">
        <f t="shared" si="141"/>
        <v>1049.6687760000002</v>
      </c>
      <c r="AI478" s="13">
        <f t="shared" si="142"/>
        <v>1150.7496000000001</v>
      </c>
      <c r="AJ478" s="13">
        <f t="shared" si="143"/>
        <v>-101.08082399999989</v>
      </c>
    </row>
    <row r="479" spans="1:36" x14ac:dyDescent="0.45">
      <c r="A479" s="3" t="s">
        <v>491</v>
      </c>
      <c r="B479" s="5">
        <v>44999</v>
      </c>
      <c r="C479" s="5">
        <v>45003</v>
      </c>
      <c r="D479" s="5">
        <f t="shared" si="144"/>
        <v>44999</v>
      </c>
      <c r="E479" s="5">
        <f t="shared" si="145"/>
        <v>45003</v>
      </c>
      <c r="F479" s="7">
        <f t="shared" si="146"/>
        <v>4</v>
      </c>
      <c r="G479" s="23" t="str">
        <f t="shared" si="147"/>
        <v>3-2023</v>
      </c>
      <c r="H479" s="3" t="s">
        <v>649</v>
      </c>
      <c r="I479" s="3" t="s">
        <v>656</v>
      </c>
      <c r="J479" s="3" t="s">
        <v>698</v>
      </c>
      <c r="K479" s="3" t="s">
        <v>706</v>
      </c>
      <c r="L479" s="3" t="s">
        <v>711</v>
      </c>
      <c r="M479" s="3" t="s">
        <v>720</v>
      </c>
      <c r="N479" s="3" t="s">
        <v>727</v>
      </c>
      <c r="O479" s="3" t="s">
        <v>1210</v>
      </c>
      <c r="P479" s="19">
        <v>472.33</v>
      </c>
      <c r="Q479" s="19">
        <v>360.34</v>
      </c>
      <c r="R479" s="15">
        <v>0.16500000000000001</v>
      </c>
      <c r="S479" s="7">
        <v>14</v>
      </c>
      <c r="T479" s="13">
        <f t="shared" si="135"/>
        <v>4212.3745999999992</v>
      </c>
      <c r="U479" s="13">
        <f t="shared" si="136"/>
        <v>6612.62</v>
      </c>
      <c r="V479" s="13">
        <f t="shared" si="148"/>
        <v>-2400.2454000000007</v>
      </c>
      <c r="W479" s="15">
        <f t="shared" si="149"/>
        <v>-0.56980815523861561</v>
      </c>
      <c r="X479" s="17" t="str">
        <f t="shared" si="150"/>
        <v>Q1-2023</v>
      </c>
      <c r="Y479" t="str">
        <f t="shared" si="151"/>
        <v>Europe → Germany → Frankfurt</v>
      </c>
      <c r="Z479" t="str">
        <f t="shared" si="152"/>
        <v>Low</v>
      </c>
      <c r="AA479">
        <f t="shared" si="137"/>
        <v>2023</v>
      </c>
      <c r="AB479">
        <f t="shared" si="138"/>
        <v>3</v>
      </c>
      <c r="AC479" t="str">
        <f t="shared" si="139"/>
        <v>Yes</v>
      </c>
      <c r="AD479" t="str">
        <f t="shared" si="140"/>
        <v>No</v>
      </c>
      <c r="AE479" s="36">
        <f>IF(Dashboard!$P$47&gt;'Staging Data'!R479,'Staging Data'!R479,Dashboard!$P$47)</f>
        <v>0.1</v>
      </c>
      <c r="AF479">
        <f>(100%+Dashboard!$P$48)*'Staging Data'!P479</f>
        <v>495.94650000000001</v>
      </c>
      <c r="AG479">
        <f>(100%+Dashboard!$P$49)*S479</f>
        <v>14.56</v>
      </c>
      <c r="AH479" s="13">
        <f t="shared" si="141"/>
        <v>4721.8953600000004</v>
      </c>
      <c r="AI479" s="13">
        <f t="shared" si="142"/>
        <v>7220.9810400000006</v>
      </c>
      <c r="AJ479" s="13">
        <f t="shared" si="143"/>
        <v>-2499.0856800000001</v>
      </c>
    </row>
    <row r="480" spans="1:36" x14ac:dyDescent="0.45">
      <c r="A480" s="3" t="s">
        <v>492</v>
      </c>
      <c r="B480" s="5">
        <v>45123</v>
      </c>
      <c r="C480" s="5">
        <v>45151</v>
      </c>
      <c r="D480" s="5">
        <f t="shared" si="144"/>
        <v>45123</v>
      </c>
      <c r="E480" s="5">
        <f t="shared" si="145"/>
        <v>45151</v>
      </c>
      <c r="F480" s="7">
        <f t="shared" si="146"/>
        <v>28</v>
      </c>
      <c r="G480" s="23" t="str">
        <f t="shared" si="147"/>
        <v>7-2023</v>
      </c>
      <c r="H480" s="3" t="s">
        <v>649</v>
      </c>
      <c r="I480" s="3" t="s">
        <v>658</v>
      </c>
      <c r="J480" s="3" t="s">
        <v>693</v>
      </c>
      <c r="K480" s="3" t="s">
        <v>703</v>
      </c>
      <c r="L480" s="3" t="s">
        <v>708</v>
      </c>
      <c r="M480" s="3" t="s">
        <v>713</v>
      </c>
      <c r="N480" s="3" t="s">
        <v>731</v>
      </c>
      <c r="O480" s="3" t="s">
        <v>1211</v>
      </c>
      <c r="P480" s="19">
        <v>1039.03</v>
      </c>
      <c r="Q480" s="19">
        <v>2545.81</v>
      </c>
      <c r="R480" s="15">
        <v>0.216</v>
      </c>
      <c r="S480" s="7">
        <v>21</v>
      </c>
      <c r="T480" s="13">
        <f t="shared" si="135"/>
        <v>41914.215840000004</v>
      </c>
      <c r="U480" s="13">
        <f t="shared" si="136"/>
        <v>21819.63</v>
      </c>
      <c r="V480" s="13">
        <f t="shared" si="148"/>
        <v>20094.585840000003</v>
      </c>
      <c r="W480" s="15">
        <f t="shared" si="149"/>
        <v>0.47942172929364774</v>
      </c>
      <c r="X480" s="17" t="str">
        <f t="shared" si="150"/>
        <v>Q3-2023</v>
      </c>
      <c r="Y480" t="str">
        <f t="shared" si="151"/>
        <v>Europe → United Kingdom → Manchester</v>
      </c>
      <c r="Z480" t="str">
        <f t="shared" si="152"/>
        <v>High</v>
      </c>
      <c r="AA480">
        <f t="shared" si="137"/>
        <v>2023</v>
      </c>
      <c r="AB480">
        <f t="shared" si="138"/>
        <v>7</v>
      </c>
      <c r="AC480" t="str">
        <f t="shared" si="139"/>
        <v>No</v>
      </c>
      <c r="AD480" t="str">
        <f t="shared" si="140"/>
        <v>Yes</v>
      </c>
      <c r="AE480" s="36">
        <f>IF(Dashboard!$P$47&gt;'Staging Data'!R480,'Staging Data'!R480,Dashboard!$P$47)</f>
        <v>0.1</v>
      </c>
      <c r="AF480">
        <f>(100%+Dashboard!$P$48)*'Staging Data'!P480</f>
        <v>1090.9815000000001</v>
      </c>
      <c r="AG480">
        <f>(100%+Dashboard!$P$49)*S480</f>
        <v>21.84</v>
      </c>
      <c r="AH480" s="13">
        <f t="shared" si="141"/>
        <v>50040.441359999997</v>
      </c>
      <c r="AI480" s="13">
        <f t="shared" si="142"/>
        <v>23827.035960000001</v>
      </c>
      <c r="AJ480" s="13">
        <f t="shared" si="143"/>
        <v>26213.405399999996</v>
      </c>
    </row>
    <row r="481" spans="1:36" x14ac:dyDescent="0.45">
      <c r="A481" s="3" t="s">
        <v>346</v>
      </c>
      <c r="B481" s="5">
        <v>45168</v>
      </c>
      <c r="C481" s="5">
        <v>45172</v>
      </c>
      <c r="D481" s="5">
        <f t="shared" si="144"/>
        <v>45168</v>
      </c>
      <c r="E481" s="5">
        <f t="shared" si="145"/>
        <v>45172</v>
      </c>
      <c r="F481" s="7">
        <f t="shared" si="146"/>
        <v>4</v>
      </c>
      <c r="G481" s="23" t="str">
        <f t="shared" si="147"/>
        <v>8-2023</v>
      </c>
      <c r="H481" s="3" t="s">
        <v>647</v>
      </c>
      <c r="I481" s="3" t="s">
        <v>654</v>
      </c>
      <c r="J481" s="3" t="s">
        <v>680</v>
      </c>
      <c r="K481" s="3" t="s">
        <v>705</v>
      </c>
      <c r="L481" s="3" t="s">
        <v>709</v>
      </c>
      <c r="M481" s="3" t="s">
        <v>716</v>
      </c>
      <c r="N481" s="3" t="s">
        <v>733</v>
      </c>
      <c r="O481" s="3" t="s">
        <v>1066</v>
      </c>
      <c r="P481" s="19">
        <v>1082.25</v>
      </c>
      <c r="Q481" s="19">
        <v>2433.34</v>
      </c>
      <c r="R481" s="15">
        <v>0.27</v>
      </c>
      <c r="S481" s="7">
        <v>4</v>
      </c>
      <c r="T481" s="13">
        <f t="shared" si="135"/>
        <v>7105.3528000000006</v>
      </c>
      <c r="U481" s="13">
        <f t="shared" si="136"/>
        <v>4329</v>
      </c>
      <c r="V481" s="13">
        <f t="shared" si="148"/>
        <v>2776.3528000000006</v>
      </c>
      <c r="W481" s="15">
        <f t="shared" si="149"/>
        <v>0.3907410199251472</v>
      </c>
      <c r="X481" s="17" t="str">
        <f t="shared" si="150"/>
        <v>Q3-2023</v>
      </c>
      <c r="Y481" t="str">
        <f t="shared" si="151"/>
        <v>Asia → India → Delhi</v>
      </c>
      <c r="Z481" t="str">
        <f t="shared" si="152"/>
        <v>High</v>
      </c>
      <c r="AA481">
        <f t="shared" si="137"/>
        <v>2023</v>
      </c>
      <c r="AB481">
        <f t="shared" si="138"/>
        <v>8</v>
      </c>
      <c r="AC481" t="str">
        <f t="shared" si="139"/>
        <v>Yes</v>
      </c>
      <c r="AD481" t="str">
        <f t="shared" si="140"/>
        <v>Yes</v>
      </c>
      <c r="AE481" s="36">
        <f>IF(Dashboard!$P$47&gt;'Staging Data'!R481,'Staging Data'!R481,Dashboard!$P$47)</f>
        <v>0.1</v>
      </c>
      <c r="AF481">
        <f>(100%+Dashboard!$P$48)*'Staging Data'!P481</f>
        <v>1136.3625</v>
      </c>
      <c r="AG481">
        <f>(100%+Dashboard!$P$49)*S481</f>
        <v>4.16</v>
      </c>
      <c r="AH481" s="13">
        <f t="shared" si="141"/>
        <v>9110.4249600000003</v>
      </c>
      <c r="AI481" s="13">
        <f t="shared" si="142"/>
        <v>4727.268</v>
      </c>
      <c r="AJ481" s="13">
        <f t="shared" si="143"/>
        <v>4383.1569600000003</v>
      </c>
    </row>
    <row r="482" spans="1:36" x14ac:dyDescent="0.45">
      <c r="A482" s="3" t="s">
        <v>494</v>
      </c>
      <c r="B482" s="5">
        <v>45293</v>
      </c>
      <c r="C482" s="5">
        <v>45306</v>
      </c>
      <c r="D482" s="5">
        <f t="shared" si="144"/>
        <v>45293</v>
      </c>
      <c r="E482" s="5">
        <f t="shared" si="145"/>
        <v>45306</v>
      </c>
      <c r="F482" s="7">
        <f t="shared" si="146"/>
        <v>13</v>
      </c>
      <c r="G482" s="23" t="str">
        <f t="shared" si="147"/>
        <v>1-2024</v>
      </c>
      <c r="H482" s="3" t="s">
        <v>647</v>
      </c>
      <c r="I482" s="3" t="s">
        <v>652</v>
      </c>
      <c r="J482" s="3" t="s">
        <v>694</v>
      </c>
      <c r="K482" s="3" t="s">
        <v>705</v>
      </c>
      <c r="L482" s="3" t="s">
        <v>709</v>
      </c>
      <c r="M482" s="3" t="s">
        <v>715</v>
      </c>
      <c r="N482" s="3" t="s">
        <v>729</v>
      </c>
      <c r="O482" s="3" t="s">
        <v>1213</v>
      </c>
      <c r="P482" s="19">
        <v>1219.06</v>
      </c>
      <c r="Q482" s="19">
        <v>2738.69</v>
      </c>
      <c r="R482" s="15">
        <v>7.5999999999999998E-2</v>
      </c>
      <c r="S482" s="7">
        <v>16</v>
      </c>
      <c r="T482" s="13">
        <f t="shared" si="135"/>
        <v>40488.792960000006</v>
      </c>
      <c r="U482" s="13">
        <f t="shared" si="136"/>
        <v>19504.96</v>
      </c>
      <c r="V482" s="13">
        <f t="shared" si="148"/>
        <v>20983.832960000007</v>
      </c>
      <c r="W482" s="15">
        <f t="shared" si="149"/>
        <v>0.51826274447673737</v>
      </c>
      <c r="X482" s="17" t="str">
        <f t="shared" si="150"/>
        <v>Q1-2024</v>
      </c>
      <c r="Y482" t="str">
        <f t="shared" si="151"/>
        <v>Asia → Japan → Nagoya</v>
      </c>
      <c r="Z482" t="str">
        <f t="shared" si="152"/>
        <v>High</v>
      </c>
      <c r="AA482">
        <f t="shared" si="137"/>
        <v>2024</v>
      </c>
      <c r="AB482">
        <f t="shared" si="138"/>
        <v>1</v>
      </c>
      <c r="AC482" t="str">
        <f t="shared" si="139"/>
        <v>No</v>
      </c>
      <c r="AD482" t="str">
        <f t="shared" si="140"/>
        <v>No</v>
      </c>
      <c r="AE482" s="36">
        <f>IF(Dashboard!$P$47&gt;'Staging Data'!R482,'Staging Data'!R482,Dashboard!$P$47)</f>
        <v>7.5999999999999998E-2</v>
      </c>
      <c r="AF482">
        <f>(100%+Dashboard!$P$48)*'Staging Data'!P482</f>
        <v>1280.0129999999999</v>
      </c>
      <c r="AG482">
        <f>(100%+Dashboard!$P$49)*S482</f>
        <v>16.64</v>
      </c>
      <c r="AH482" s="13">
        <f t="shared" si="141"/>
        <v>42108.344678400004</v>
      </c>
      <c r="AI482" s="13">
        <f t="shared" si="142"/>
        <v>21299.41632</v>
      </c>
      <c r="AJ482" s="13">
        <f t="shared" si="143"/>
        <v>20808.928358400004</v>
      </c>
    </row>
    <row r="483" spans="1:36" x14ac:dyDescent="0.45">
      <c r="A483" s="3" t="s">
        <v>495</v>
      </c>
      <c r="B483" s="5">
        <v>45538</v>
      </c>
      <c r="C483" s="5">
        <v>45542</v>
      </c>
      <c r="D483" s="5">
        <f t="shared" si="144"/>
        <v>45538</v>
      </c>
      <c r="E483" s="5">
        <f t="shared" si="145"/>
        <v>45542</v>
      </c>
      <c r="F483" s="7">
        <f t="shared" si="146"/>
        <v>4</v>
      </c>
      <c r="G483" s="23" t="str">
        <f t="shared" si="147"/>
        <v>9-2024</v>
      </c>
      <c r="H483" s="3" t="s">
        <v>647</v>
      </c>
      <c r="I483" s="3" t="s">
        <v>652</v>
      </c>
      <c r="J483" s="3" t="s">
        <v>689</v>
      </c>
      <c r="K483" s="3" t="s">
        <v>705</v>
      </c>
      <c r="L483" s="3" t="s">
        <v>710</v>
      </c>
      <c r="M483" s="3" t="s">
        <v>725</v>
      </c>
      <c r="N483" s="3" t="s">
        <v>728</v>
      </c>
      <c r="O483" s="3" t="s">
        <v>1214</v>
      </c>
      <c r="P483" s="19">
        <v>43.23</v>
      </c>
      <c r="Q483" s="19">
        <v>94.78</v>
      </c>
      <c r="R483" s="15">
        <v>9.0999999999999998E-2</v>
      </c>
      <c r="S483" s="7">
        <v>55</v>
      </c>
      <c r="T483" s="13">
        <f t="shared" si="135"/>
        <v>4738.5261</v>
      </c>
      <c r="U483" s="13">
        <f t="shared" si="136"/>
        <v>2377.6499999999996</v>
      </c>
      <c r="V483" s="13">
        <f t="shared" si="148"/>
        <v>2360.8761000000004</v>
      </c>
      <c r="W483" s="15">
        <f t="shared" si="149"/>
        <v>0.49823005090127082</v>
      </c>
      <c r="X483" s="17" t="str">
        <f t="shared" si="150"/>
        <v>Q3-2024</v>
      </c>
      <c r="Y483" t="str">
        <f t="shared" si="151"/>
        <v>Asia → Japan → Tokyo</v>
      </c>
      <c r="Z483" t="str">
        <f t="shared" si="152"/>
        <v>Low</v>
      </c>
      <c r="AA483">
        <f t="shared" si="137"/>
        <v>2024</v>
      </c>
      <c r="AB483">
        <f t="shared" si="138"/>
        <v>9</v>
      </c>
      <c r="AC483" t="str">
        <f t="shared" si="139"/>
        <v>Yes</v>
      </c>
      <c r="AD483" t="str">
        <f t="shared" si="140"/>
        <v>No</v>
      </c>
      <c r="AE483" s="36">
        <f>IF(Dashboard!$P$47&gt;'Staging Data'!R483,'Staging Data'!R483,Dashboard!$P$47)</f>
        <v>9.0999999999999998E-2</v>
      </c>
      <c r="AF483">
        <f>(100%+Dashboard!$P$48)*'Staging Data'!P483</f>
        <v>45.391500000000001</v>
      </c>
      <c r="AG483">
        <f>(100%+Dashboard!$P$49)*S483</f>
        <v>57.2</v>
      </c>
      <c r="AH483" s="13">
        <f t="shared" si="141"/>
        <v>4928.0671440000006</v>
      </c>
      <c r="AI483" s="13">
        <f t="shared" si="142"/>
        <v>2596.3938000000003</v>
      </c>
      <c r="AJ483" s="13">
        <f t="shared" si="143"/>
        <v>2331.6733440000003</v>
      </c>
    </row>
    <row r="484" spans="1:36" x14ac:dyDescent="0.45">
      <c r="A484" s="3" t="s">
        <v>496</v>
      </c>
      <c r="B484" s="5">
        <v>45899</v>
      </c>
      <c r="C484" s="5">
        <v>45903</v>
      </c>
      <c r="D484" s="5">
        <f t="shared" si="144"/>
        <v>45899</v>
      </c>
      <c r="E484" s="5">
        <f t="shared" si="145"/>
        <v>45903</v>
      </c>
      <c r="F484" s="7">
        <f t="shared" si="146"/>
        <v>4</v>
      </c>
      <c r="G484" s="23" t="str">
        <f t="shared" si="147"/>
        <v>8-2025</v>
      </c>
      <c r="H484" s="3" t="s">
        <v>649</v>
      </c>
      <c r="I484" s="3" t="s">
        <v>657</v>
      </c>
      <c r="J484" s="3" t="s">
        <v>673</v>
      </c>
      <c r="K484" s="3" t="s">
        <v>705</v>
      </c>
      <c r="L484" s="3" t="s">
        <v>709</v>
      </c>
      <c r="M484" s="3" t="s">
        <v>713</v>
      </c>
      <c r="N484" s="3" t="s">
        <v>731</v>
      </c>
      <c r="O484" s="3" t="s">
        <v>1215</v>
      </c>
      <c r="P484" s="19">
        <v>1286.56</v>
      </c>
      <c r="Q484" s="19">
        <v>2777.35</v>
      </c>
      <c r="R484" s="15">
        <v>0.13200000000000001</v>
      </c>
      <c r="S484" s="7">
        <v>15</v>
      </c>
      <c r="T484" s="13">
        <f t="shared" si="135"/>
        <v>36161.097000000002</v>
      </c>
      <c r="U484" s="13">
        <f t="shared" si="136"/>
        <v>19298.399999999998</v>
      </c>
      <c r="V484" s="13">
        <f t="shared" si="148"/>
        <v>16862.697000000004</v>
      </c>
      <c r="W484" s="15">
        <f t="shared" si="149"/>
        <v>0.46632150014696744</v>
      </c>
      <c r="X484" s="17" t="str">
        <f t="shared" si="150"/>
        <v>Q3-2025</v>
      </c>
      <c r="Y484" t="str">
        <f t="shared" si="151"/>
        <v>Europe → France → Marseille</v>
      </c>
      <c r="Z484" t="str">
        <f t="shared" si="152"/>
        <v>High</v>
      </c>
      <c r="AA484">
        <f t="shared" si="137"/>
        <v>2025</v>
      </c>
      <c r="AB484">
        <f t="shared" si="138"/>
        <v>8</v>
      </c>
      <c r="AC484" t="str">
        <f t="shared" si="139"/>
        <v>Yes</v>
      </c>
      <c r="AD484" t="str">
        <f t="shared" si="140"/>
        <v>No</v>
      </c>
      <c r="AE484" s="36">
        <f>IF(Dashboard!$P$47&gt;'Staging Data'!R484,'Staging Data'!R484,Dashboard!$P$47)</f>
        <v>0.1</v>
      </c>
      <c r="AF484">
        <f>(100%+Dashboard!$P$48)*'Staging Data'!P484</f>
        <v>1350.8879999999999</v>
      </c>
      <c r="AG484">
        <f>(100%+Dashboard!$P$49)*S484</f>
        <v>15.600000000000001</v>
      </c>
      <c r="AH484" s="13">
        <f t="shared" si="141"/>
        <v>38993.994000000006</v>
      </c>
      <c r="AI484" s="13">
        <f t="shared" si="142"/>
        <v>21073.852800000001</v>
      </c>
      <c r="AJ484" s="13">
        <f t="shared" si="143"/>
        <v>17920.141200000005</v>
      </c>
    </row>
    <row r="485" spans="1:36" x14ac:dyDescent="0.45">
      <c r="A485" s="3" t="s">
        <v>497</v>
      </c>
      <c r="B485" s="5">
        <v>45775</v>
      </c>
      <c r="C485" s="5">
        <v>45796</v>
      </c>
      <c r="D485" s="5">
        <f t="shared" si="144"/>
        <v>45775</v>
      </c>
      <c r="E485" s="5">
        <f t="shared" si="145"/>
        <v>45796</v>
      </c>
      <c r="F485" s="7">
        <f t="shared" si="146"/>
        <v>21</v>
      </c>
      <c r="G485" s="23" t="str">
        <f t="shared" si="147"/>
        <v>4-2025</v>
      </c>
      <c r="H485" s="3" t="s">
        <v>649</v>
      </c>
      <c r="I485" s="3" t="s">
        <v>656</v>
      </c>
      <c r="J485" s="3" t="s">
        <v>671</v>
      </c>
      <c r="K485" s="3" t="s">
        <v>701</v>
      </c>
      <c r="L485" s="3" t="s">
        <v>710</v>
      </c>
      <c r="M485" s="3" t="s">
        <v>717</v>
      </c>
      <c r="N485" s="3" t="s">
        <v>730</v>
      </c>
      <c r="O485" s="3" t="s">
        <v>1216</v>
      </c>
      <c r="P485" s="19">
        <v>350.76</v>
      </c>
      <c r="Q485" s="19">
        <v>492.18</v>
      </c>
      <c r="R485" s="15">
        <v>5.2999999999999999E-2</v>
      </c>
      <c r="S485" s="7">
        <v>11</v>
      </c>
      <c r="T485" s="13">
        <f t="shared" si="135"/>
        <v>5127.0390600000001</v>
      </c>
      <c r="U485" s="13">
        <f t="shared" si="136"/>
        <v>3858.3599999999997</v>
      </c>
      <c r="V485" s="13">
        <f t="shared" si="148"/>
        <v>1268.6790600000004</v>
      </c>
      <c r="W485" s="15">
        <f t="shared" si="149"/>
        <v>0.24744868239798437</v>
      </c>
      <c r="X485" s="17" t="str">
        <f t="shared" si="150"/>
        <v>Q2-2025</v>
      </c>
      <c r="Y485" t="str">
        <f t="shared" si="151"/>
        <v>Europe → Germany → Berlin</v>
      </c>
      <c r="Z485" t="str">
        <f t="shared" si="152"/>
        <v>Low</v>
      </c>
      <c r="AA485">
        <f t="shared" si="137"/>
        <v>2025</v>
      </c>
      <c r="AB485">
        <f t="shared" si="138"/>
        <v>4</v>
      </c>
      <c r="AC485" t="str">
        <f t="shared" si="139"/>
        <v>No</v>
      </c>
      <c r="AD485" t="str">
        <f t="shared" si="140"/>
        <v>No</v>
      </c>
      <c r="AE485" s="36">
        <f>IF(Dashboard!$P$47&gt;'Staging Data'!R485,'Staging Data'!R485,Dashboard!$P$47)</f>
        <v>5.2999999999999999E-2</v>
      </c>
      <c r="AF485">
        <f>(100%+Dashboard!$P$48)*'Staging Data'!P485</f>
        <v>368.298</v>
      </c>
      <c r="AG485">
        <f>(100%+Dashboard!$P$49)*S485</f>
        <v>11.440000000000001</v>
      </c>
      <c r="AH485" s="13">
        <f t="shared" si="141"/>
        <v>5332.1206224000007</v>
      </c>
      <c r="AI485" s="13">
        <f t="shared" si="142"/>
        <v>4213.3291200000003</v>
      </c>
      <c r="AJ485" s="13">
        <f t="shared" si="143"/>
        <v>1118.7915024000004</v>
      </c>
    </row>
    <row r="486" spans="1:36" x14ac:dyDescent="0.45">
      <c r="A486" s="3" t="s">
        <v>518</v>
      </c>
      <c r="B486" s="5">
        <v>45726</v>
      </c>
      <c r="C486" s="5">
        <v>45743</v>
      </c>
      <c r="D486" s="5">
        <f t="shared" si="144"/>
        <v>45726</v>
      </c>
      <c r="E486" s="5">
        <f t="shared" si="145"/>
        <v>45743</v>
      </c>
      <c r="F486" s="7">
        <f t="shared" si="146"/>
        <v>17</v>
      </c>
      <c r="G486" s="23" t="str">
        <f t="shared" si="147"/>
        <v>3-2025</v>
      </c>
      <c r="H486" s="3" t="s">
        <v>648</v>
      </c>
      <c r="I486" s="3" t="s">
        <v>655</v>
      </c>
      <c r="J486" s="3" t="s">
        <v>692</v>
      </c>
      <c r="K486" s="3" t="s">
        <v>706</v>
      </c>
      <c r="L486" s="3" t="s">
        <v>711</v>
      </c>
      <c r="M486" s="3" t="s">
        <v>721</v>
      </c>
      <c r="N486" s="3" t="s">
        <v>729</v>
      </c>
      <c r="O486" s="3" t="s">
        <v>1237</v>
      </c>
      <c r="P486" s="19">
        <v>996.73</v>
      </c>
      <c r="Q486" s="19">
        <v>1217.43</v>
      </c>
      <c r="R486" s="15">
        <v>7.0000000000000007E-2</v>
      </c>
      <c r="S486" s="7">
        <v>9</v>
      </c>
      <c r="T486" s="13">
        <f t="shared" si="135"/>
        <v>10189.8891</v>
      </c>
      <c r="U486" s="13">
        <f t="shared" si="136"/>
        <v>8970.57</v>
      </c>
      <c r="V486" s="13">
        <f t="shared" si="148"/>
        <v>1219.3191000000006</v>
      </c>
      <c r="W486" s="15">
        <f t="shared" si="149"/>
        <v>0.11965970267527255</v>
      </c>
      <c r="X486" s="17" t="str">
        <f t="shared" si="150"/>
        <v>Q1-2025</v>
      </c>
      <c r="Y486" t="str">
        <f t="shared" si="151"/>
        <v>Americas → Brazil → Rio de Janeiro</v>
      </c>
      <c r="Z486" t="str">
        <f t="shared" si="152"/>
        <v>Medium</v>
      </c>
      <c r="AA486">
        <f t="shared" si="137"/>
        <v>2025</v>
      </c>
      <c r="AB486">
        <f t="shared" si="138"/>
        <v>3</v>
      </c>
      <c r="AC486" t="str">
        <f t="shared" si="139"/>
        <v>No</v>
      </c>
      <c r="AD486" t="str">
        <f t="shared" si="140"/>
        <v>No</v>
      </c>
      <c r="AE486" s="36">
        <f>IF(Dashboard!$P$47&gt;'Staging Data'!R486,'Staging Data'!R486,Dashboard!$P$47)</f>
        <v>7.0000000000000007E-2</v>
      </c>
      <c r="AF486">
        <f>(100%+Dashboard!$P$48)*'Staging Data'!P486</f>
        <v>1046.5665000000001</v>
      </c>
      <c r="AG486">
        <f>(100%+Dashboard!$P$49)*S486</f>
        <v>9.36</v>
      </c>
      <c r="AH486" s="13">
        <f t="shared" si="141"/>
        <v>10597.484664</v>
      </c>
      <c r="AI486" s="13">
        <f t="shared" si="142"/>
        <v>9795.8624400000008</v>
      </c>
      <c r="AJ486" s="13">
        <f t="shared" si="143"/>
        <v>801.62222399999882</v>
      </c>
    </row>
    <row r="487" spans="1:36" x14ac:dyDescent="0.45">
      <c r="A487" s="3" t="s">
        <v>499</v>
      </c>
      <c r="B487" s="5">
        <v>45634</v>
      </c>
      <c r="C487" s="5">
        <v>45634</v>
      </c>
      <c r="D487" s="5">
        <f t="shared" si="144"/>
        <v>45634</v>
      </c>
      <c r="E487" s="5">
        <f t="shared" si="145"/>
        <v>45634</v>
      </c>
      <c r="F487" s="7">
        <f t="shared" si="146"/>
        <v>0</v>
      </c>
      <c r="G487" s="23" t="str">
        <f t="shared" si="147"/>
        <v>12-2024</v>
      </c>
      <c r="H487" s="3" t="s">
        <v>649</v>
      </c>
      <c r="I487" s="3" t="s">
        <v>657</v>
      </c>
      <c r="J487" s="3" t="s">
        <v>679</v>
      </c>
      <c r="K487" s="3" t="s">
        <v>706</v>
      </c>
      <c r="L487" s="3" t="s">
        <v>707</v>
      </c>
      <c r="M487" s="3" t="s">
        <v>722</v>
      </c>
      <c r="N487" s="3" t="s">
        <v>727</v>
      </c>
      <c r="O487" s="3" t="s">
        <v>1218</v>
      </c>
      <c r="P487" s="19">
        <v>257.44</v>
      </c>
      <c r="Q487" s="19">
        <v>290.33</v>
      </c>
      <c r="R487" s="15">
        <v>9.1999999999999998E-2</v>
      </c>
      <c r="S487" s="7">
        <v>23</v>
      </c>
      <c r="T487" s="13">
        <f t="shared" si="135"/>
        <v>6063.2517199999993</v>
      </c>
      <c r="U487" s="13">
        <f t="shared" si="136"/>
        <v>5921.12</v>
      </c>
      <c r="V487" s="13">
        <f t="shared" si="148"/>
        <v>142.1317199999994</v>
      </c>
      <c r="W487" s="15">
        <f t="shared" si="149"/>
        <v>2.3441500792581216E-2</v>
      </c>
      <c r="X487" s="17" t="str">
        <f t="shared" si="150"/>
        <v>Q4-2024</v>
      </c>
      <c r="Y487" t="str">
        <f t="shared" si="151"/>
        <v>Europe → France → Lyon</v>
      </c>
      <c r="Z487" t="str">
        <f t="shared" si="152"/>
        <v>Low</v>
      </c>
      <c r="AA487">
        <f t="shared" si="137"/>
        <v>2024</v>
      </c>
      <c r="AB487">
        <f t="shared" si="138"/>
        <v>12</v>
      </c>
      <c r="AC487" t="str">
        <f t="shared" si="139"/>
        <v>Yes</v>
      </c>
      <c r="AD487" t="str">
        <f t="shared" si="140"/>
        <v>No</v>
      </c>
      <c r="AE487" s="36">
        <f>IF(Dashboard!$P$47&gt;'Staging Data'!R487,'Staging Data'!R487,Dashboard!$P$47)</f>
        <v>9.1999999999999998E-2</v>
      </c>
      <c r="AF487">
        <f>(100%+Dashboard!$P$48)*'Staging Data'!P487</f>
        <v>270.31200000000001</v>
      </c>
      <c r="AG487">
        <f>(100%+Dashboard!$P$49)*S487</f>
        <v>23.92</v>
      </c>
      <c r="AH487" s="13">
        <f t="shared" si="141"/>
        <v>6305.7817888000009</v>
      </c>
      <c r="AI487" s="13">
        <f t="shared" si="142"/>
        <v>6465.8630400000011</v>
      </c>
      <c r="AJ487" s="13">
        <f t="shared" si="143"/>
        <v>-160.08125120000022</v>
      </c>
    </row>
    <row r="488" spans="1:36" x14ac:dyDescent="0.45">
      <c r="A488" s="3" t="s">
        <v>500</v>
      </c>
      <c r="B488" s="5">
        <v>45224</v>
      </c>
      <c r="C488" s="5">
        <v>45254</v>
      </c>
      <c r="D488" s="5">
        <f t="shared" si="144"/>
        <v>45224</v>
      </c>
      <c r="E488" s="5">
        <f t="shared" si="145"/>
        <v>45254</v>
      </c>
      <c r="F488" s="7">
        <f t="shared" si="146"/>
        <v>30</v>
      </c>
      <c r="G488" s="23" t="str">
        <f t="shared" si="147"/>
        <v>10-2023</v>
      </c>
      <c r="H488" s="3" t="s">
        <v>649</v>
      </c>
      <c r="I488" s="3" t="s">
        <v>657</v>
      </c>
      <c r="J488" s="3" t="s">
        <v>690</v>
      </c>
      <c r="K488" s="3" t="s">
        <v>706</v>
      </c>
      <c r="L488" s="3" t="s">
        <v>710</v>
      </c>
      <c r="M488" s="3" t="s">
        <v>712</v>
      </c>
      <c r="N488" s="3" t="s">
        <v>730</v>
      </c>
      <c r="O488" s="3" t="s">
        <v>1219</v>
      </c>
      <c r="P488" s="19">
        <v>287.85000000000002</v>
      </c>
      <c r="Q488" s="19">
        <v>602.91999999999996</v>
      </c>
      <c r="R488" s="15">
        <v>0.222</v>
      </c>
      <c r="S488" s="7">
        <v>11</v>
      </c>
      <c r="T488" s="13">
        <f t="shared" si="135"/>
        <v>5159.7893599999998</v>
      </c>
      <c r="U488" s="13">
        <f t="shared" si="136"/>
        <v>3166.3500000000004</v>
      </c>
      <c r="V488" s="13">
        <f t="shared" si="148"/>
        <v>1993.4393599999994</v>
      </c>
      <c r="W488" s="15">
        <f t="shared" si="149"/>
        <v>0.38634122847216373</v>
      </c>
      <c r="X488" s="17" t="str">
        <f t="shared" si="150"/>
        <v>Q4-2023</v>
      </c>
      <c r="Y488" t="str">
        <f t="shared" si="151"/>
        <v>Europe → France → Paris</v>
      </c>
      <c r="Z488" t="str">
        <f t="shared" si="152"/>
        <v>Low</v>
      </c>
      <c r="AA488">
        <f t="shared" si="137"/>
        <v>2023</v>
      </c>
      <c r="AB488">
        <f t="shared" si="138"/>
        <v>10</v>
      </c>
      <c r="AC488" t="str">
        <f t="shared" si="139"/>
        <v>No</v>
      </c>
      <c r="AD488" t="str">
        <f t="shared" si="140"/>
        <v>Yes</v>
      </c>
      <c r="AE488" s="36">
        <f>IF(Dashboard!$P$47&gt;'Staging Data'!R488,'Staging Data'!R488,Dashboard!$P$47)</f>
        <v>0.1</v>
      </c>
      <c r="AF488">
        <f>(100%+Dashboard!$P$48)*'Staging Data'!P488</f>
        <v>302.24250000000006</v>
      </c>
      <c r="AG488">
        <f>(100%+Dashboard!$P$49)*S488</f>
        <v>11.440000000000001</v>
      </c>
      <c r="AH488" s="13">
        <f t="shared" si="141"/>
        <v>6207.6643200000008</v>
      </c>
      <c r="AI488" s="13">
        <f t="shared" si="142"/>
        <v>3457.6542000000013</v>
      </c>
      <c r="AJ488" s="13">
        <f t="shared" si="143"/>
        <v>2750.0101199999995</v>
      </c>
    </row>
    <row r="489" spans="1:36" x14ac:dyDescent="0.45">
      <c r="A489" s="3" t="s">
        <v>501</v>
      </c>
      <c r="B489" s="5">
        <v>45613</v>
      </c>
      <c r="C489" s="5">
        <v>45624</v>
      </c>
      <c r="D489" s="5">
        <f t="shared" si="144"/>
        <v>45613</v>
      </c>
      <c r="E489" s="5">
        <f t="shared" si="145"/>
        <v>45624</v>
      </c>
      <c r="F489" s="7">
        <f t="shared" si="146"/>
        <v>11</v>
      </c>
      <c r="G489" s="23" t="str">
        <f t="shared" si="147"/>
        <v>11-2024</v>
      </c>
      <c r="H489" s="3" t="s">
        <v>648</v>
      </c>
      <c r="I489" s="3" t="s">
        <v>653</v>
      </c>
      <c r="J489" s="3" t="s">
        <v>1422</v>
      </c>
      <c r="K489" s="3" t="s">
        <v>704</v>
      </c>
      <c r="L489" s="3" t="s">
        <v>710</v>
      </c>
      <c r="M489" s="3" t="s">
        <v>720</v>
      </c>
      <c r="N489" s="3" t="s">
        <v>728</v>
      </c>
      <c r="O489" s="3" t="s">
        <v>1220</v>
      </c>
      <c r="P489" s="19">
        <v>1008.16</v>
      </c>
      <c r="Q489" s="19">
        <v>2077.5</v>
      </c>
      <c r="R489" s="15">
        <v>7.3999999999999996E-2</v>
      </c>
      <c r="S489" s="7">
        <v>15</v>
      </c>
      <c r="T489" s="13">
        <f t="shared" si="135"/>
        <v>28856.475000000002</v>
      </c>
      <c r="U489" s="13">
        <f t="shared" si="136"/>
        <v>15122.4</v>
      </c>
      <c r="V489" s="13">
        <f t="shared" si="148"/>
        <v>13734.075000000003</v>
      </c>
      <c r="W489" s="15">
        <f t="shared" si="149"/>
        <v>0.47594430712691005</v>
      </c>
      <c r="X489" s="17" t="str">
        <f t="shared" si="150"/>
        <v>Q4-2024</v>
      </c>
      <c r="Y489" t="str">
        <f t="shared" si="151"/>
        <v>Americas → Canada → Unknown City</v>
      </c>
      <c r="Z489" t="str">
        <f t="shared" si="152"/>
        <v>High</v>
      </c>
      <c r="AA489">
        <f t="shared" si="137"/>
        <v>2024</v>
      </c>
      <c r="AB489">
        <f t="shared" si="138"/>
        <v>11</v>
      </c>
      <c r="AC489" t="str">
        <f t="shared" si="139"/>
        <v>No</v>
      </c>
      <c r="AD489" t="str">
        <f t="shared" si="140"/>
        <v>No</v>
      </c>
      <c r="AE489" s="36">
        <f>IF(Dashboard!$P$47&gt;'Staging Data'!R489,'Staging Data'!R489,Dashboard!$P$47)</f>
        <v>7.3999999999999996E-2</v>
      </c>
      <c r="AF489">
        <f>(100%+Dashboard!$P$48)*'Staging Data'!P489</f>
        <v>1058.568</v>
      </c>
      <c r="AG489">
        <f>(100%+Dashboard!$P$49)*S489</f>
        <v>15.600000000000001</v>
      </c>
      <c r="AH489" s="13">
        <f t="shared" si="141"/>
        <v>30010.734000000004</v>
      </c>
      <c r="AI489" s="13">
        <f t="shared" si="142"/>
        <v>16513.660800000001</v>
      </c>
      <c r="AJ489" s="13">
        <f t="shared" si="143"/>
        <v>13497.073200000003</v>
      </c>
    </row>
    <row r="490" spans="1:36" x14ac:dyDescent="0.45">
      <c r="A490" s="3" t="s">
        <v>502</v>
      </c>
      <c r="B490" s="5">
        <v>45424</v>
      </c>
      <c r="C490" s="5">
        <v>45436</v>
      </c>
      <c r="D490" s="5">
        <f t="shared" si="144"/>
        <v>45424</v>
      </c>
      <c r="E490" s="5">
        <f t="shared" si="145"/>
        <v>45436</v>
      </c>
      <c r="F490" s="7">
        <f t="shared" si="146"/>
        <v>12</v>
      </c>
      <c r="G490" s="23" t="str">
        <f t="shared" si="147"/>
        <v>5-2024</v>
      </c>
      <c r="H490" s="3" t="s">
        <v>649</v>
      </c>
      <c r="I490" s="3" t="s">
        <v>658</v>
      </c>
      <c r="J490" s="3" t="s">
        <v>693</v>
      </c>
      <c r="K490" s="3" t="s">
        <v>702</v>
      </c>
      <c r="L490" s="3" t="s">
        <v>709</v>
      </c>
      <c r="M490" s="3" t="s">
        <v>723</v>
      </c>
      <c r="N490" s="3" t="s">
        <v>728</v>
      </c>
      <c r="O490" s="3" t="s">
        <v>1221</v>
      </c>
      <c r="P490" s="19">
        <v>111.02</v>
      </c>
      <c r="Q490" s="19">
        <v>172.88</v>
      </c>
      <c r="R490" s="15">
        <v>0.19700000000000001</v>
      </c>
      <c r="S490" s="7">
        <v>29</v>
      </c>
      <c r="T490" s="13">
        <f t="shared" si="135"/>
        <v>4025.8565599999993</v>
      </c>
      <c r="U490" s="13">
        <f t="shared" si="136"/>
        <v>3219.58</v>
      </c>
      <c r="V490" s="13">
        <f t="shared" si="148"/>
        <v>806.27655999999934</v>
      </c>
      <c r="W490" s="15">
        <f t="shared" si="149"/>
        <v>0.20027453735212053</v>
      </c>
      <c r="X490" s="17" t="str">
        <f t="shared" si="150"/>
        <v>Q2-2024</v>
      </c>
      <c r="Y490" t="str">
        <f t="shared" si="151"/>
        <v>Europe → United Kingdom → Manchester</v>
      </c>
      <c r="Z490" t="str">
        <f t="shared" si="152"/>
        <v>Low</v>
      </c>
      <c r="AA490">
        <f t="shared" si="137"/>
        <v>2024</v>
      </c>
      <c r="AB490">
        <f t="shared" si="138"/>
        <v>5</v>
      </c>
      <c r="AC490" t="str">
        <f t="shared" si="139"/>
        <v>No</v>
      </c>
      <c r="AD490" t="str">
        <f t="shared" si="140"/>
        <v>No</v>
      </c>
      <c r="AE490" s="36">
        <f>IF(Dashboard!$P$47&gt;'Staging Data'!R490,'Staging Data'!R490,Dashboard!$P$47)</f>
        <v>0.1</v>
      </c>
      <c r="AF490">
        <f>(100%+Dashboard!$P$48)*'Staging Data'!P490</f>
        <v>116.571</v>
      </c>
      <c r="AG490">
        <f>(100%+Dashboard!$P$49)*S490</f>
        <v>30.16</v>
      </c>
      <c r="AH490" s="13">
        <f t="shared" si="141"/>
        <v>4692.6547200000005</v>
      </c>
      <c r="AI490" s="13">
        <f t="shared" si="142"/>
        <v>3515.7813599999999</v>
      </c>
      <c r="AJ490" s="13">
        <f t="shared" si="143"/>
        <v>1176.8733600000005</v>
      </c>
    </row>
    <row r="491" spans="1:36" x14ac:dyDescent="0.45">
      <c r="A491" s="3" t="s">
        <v>503</v>
      </c>
      <c r="B491" s="5">
        <v>45792</v>
      </c>
      <c r="C491" s="5">
        <v>45813</v>
      </c>
      <c r="D491" s="5">
        <f t="shared" si="144"/>
        <v>45792</v>
      </c>
      <c r="E491" s="5">
        <f t="shared" si="145"/>
        <v>45813</v>
      </c>
      <c r="F491" s="7">
        <f t="shared" si="146"/>
        <v>21</v>
      </c>
      <c r="G491" s="23" t="str">
        <f t="shared" si="147"/>
        <v>5-2025</v>
      </c>
      <c r="H491" s="3" t="s">
        <v>647</v>
      </c>
      <c r="I491" s="3" t="s">
        <v>652</v>
      </c>
      <c r="J491" s="3" t="s">
        <v>666</v>
      </c>
      <c r="K491" s="3" t="s">
        <v>706</v>
      </c>
      <c r="L491" s="3" t="s">
        <v>711</v>
      </c>
      <c r="M491" s="3" t="s">
        <v>722</v>
      </c>
      <c r="N491" s="3" t="s">
        <v>730</v>
      </c>
      <c r="O491" s="3" t="s">
        <v>1222</v>
      </c>
      <c r="P491" s="19">
        <v>1466.5</v>
      </c>
      <c r="Q491" s="19">
        <v>2778.74</v>
      </c>
      <c r="R491" s="15">
        <v>0.13500000000000001</v>
      </c>
      <c r="S491" s="7">
        <v>4</v>
      </c>
      <c r="T491" s="13">
        <f t="shared" si="135"/>
        <v>9614.4403999999995</v>
      </c>
      <c r="U491" s="13">
        <f t="shared" si="136"/>
        <v>5866</v>
      </c>
      <c r="V491" s="13">
        <f t="shared" si="148"/>
        <v>3748.4403999999995</v>
      </c>
      <c r="W491" s="15">
        <f t="shared" si="149"/>
        <v>0.38987608680792279</v>
      </c>
      <c r="X491" s="17" t="str">
        <f t="shared" si="150"/>
        <v>Q2-2025</v>
      </c>
      <c r="Y491" t="str">
        <f t="shared" si="151"/>
        <v>Asia → Japan → Osaka</v>
      </c>
      <c r="Z491" t="str">
        <f t="shared" si="152"/>
        <v>High</v>
      </c>
      <c r="AA491">
        <f t="shared" si="137"/>
        <v>2025</v>
      </c>
      <c r="AB491">
        <f t="shared" si="138"/>
        <v>5</v>
      </c>
      <c r="AC491" t="str">
        <f t="shared" si="139"/>
        <v>No</v>
      </c>
      <c r="AD491" t="str">
        <f t="shared" si="140"/>
        <v>No</v>
      </c>
      <c r="AE491" s="36">
        <f>IF(Dashboard!$P$47&gt;'Staging Data'!R491,'Staging Data'!R491,Dashboard!$P$47)</f>
        <v>0.1</v>
      </c>
      <c r="AF491">
        <f>(100%+Dashboard!$P$48)*'Staging Data'!P491</f>
        <v>1539.825</v>
      </c>
      <c r="AG491">
        <f>(100%+Dashboard!$P$49)*S491</f>
        <v>4.16</v>
      </c>
      <c r="AH491" s="13">
        <f t="shared" si="141"/>
        <v>10403.602559999999</v>
      </c>
      <c r="AI491" s="13">
        <f t="shared" si="142"/>
        <v>6405.6720000000005</v>
      </c>
      <c r="AJ491" s="13">
        <f t="shared" si="143"/>
        <v>3997.9305599999989</v>
      </c>
    </row>
    <row r="492" spans="1:36" x14ac:dyDescent="0.45">
      <c r="A492" s="3" t="s">
        <v>592</v>
      </c>
      <c r="B492" s="5">
        <v>45092</v>
      </c>
      <c r="C492" s="5">
        <v>45119</v>
      </c>
      <c r="D492" s="5">
        <f t="shared" si="144"/>
        <v>45092</v>
      </c>
      <c r="E492" s="5">
        <f t="shared" si="145"/>
        <v>45119</v>
      </c>
      <c r="F492" s="7">
        <f t="shared" si="146"/>
        <v>27</v>
      </c>
      <c r="G492" s="23" t="str">
        <f t="shared" si="147"/>
        <v>6-2023</v>
      </c>
      <c r="H492" s="3" t="s">
        <v>649</v>
      </c>
      <c r="I492" s="3" t="s">
        <v>658</v>
      </c>
      <c r="J492" s="3" t="s">
        <v>693</v>
      </c>
      <c r="K492" s="3" t="s">
        <v>704</v>
      </c>
      <c r="L492" s="3" t="s">
        <v>711</v>
      </c>
      <c r="M492" s="3" t="s">
        <v>714</v>
      </c>
      <c r="N492" s="3" t="s">
        <v>733</v>
      </c>
      <c r="O492" s="3" t="s">
        <v>1310</v>
      </c>
      <c r="P492" s="19">
        <v>751.28</v>
      </c>
      <c r="Q492" s="19">
        <v>1111.8800000000001</v>
      </c>
      <c r="R492" s="15">
        <v>0.13500000000000001</v>
      </c>
      <c r="S492" s="7">
        <v>7</v>
      </c>
      <c r="T492" s="13">
        <f t="shared" si="135"/>
        <v>6732.4334000000008</v>
      </c>
      <c r="U492" s="13">
        <f t="shared" si="136"/>
        <v>5258.96</v>
      </c>
      <c r="V492" s="13">
        <f t="shared" si="148"/>
        <v>1473.4734000000008</v>
      </c>
      <c r="W492" s="15">
        <f t="shared" si="149"/>
        <v>0.21886193482433863</v>
      </c>
      <c r="X492" s="17" t="str">
        <f t="shared" si="150"/>
        <v>Q2-2023</v>
      </c>
      <c r="Y492" t="str">
        <f t="shared" si="151"/>
        <v>Europe → United Kingdom → Manchester</v>
      </c>
      <c r="Z492" t="str">
        <f t="shared" si="152"/>
        <v>Low</v>
      </c>
      <c r="AA492">
        <f t="shared" si="137"/>
        <v>2023</v>
      </c>
      <c r="AB492">
        <f t="shared" si="138"/>
        <v>6</v>
      </c>
      <c r="AC492" t="str">
        <f t="shared" si="139"/>
        <v>No</v>
      </c>
      <c r="AD492" t="str">
        <f t="shared" si="140"/>
        <v>No</v>
      </c>
      <c r="AE492" s="36">
        <f>IF(Dashboard!$P$47&gt;'Staging Data'!R492,'Staging Data'!R492,Dashboard!$P$47)</f>
        <v>0.1</v>
      </c>
      <c r="AF492">
        <f>(100%+Dashboard!$P$48)*'Staging Data'!P492</f>
        <v>788.84400000000005</v>
      </c>
      <c r="AG492">
        <f>(100%+Dashboard!$P$49)*S492</f>
        <v>7.28</v>
      </c>
      <c r="AH492" s="13">
        <f t="shared" si="141"/>
        <v>7285.0377600000011</v>
      </c>
      <c r="AI492" s="13">
        <f t="shared" si="142"/>
        <v>5742.7843200000007</v>
      </c>
      <c r="AJ492" s="13">
        <f t="shared" si="143"/>
        <v>1542.2534400000004</v>
      </c>
    </row>
    <row r="493" spans="1:36" x14ac:dyDescent="0.45">
      <c r="A493" s="3" t="s">
        <v>505</v>
      </c>
      <c r="B493" s="5">
        <v>45523</v>
      </c>
      <c r="C493" s="5">
        <v>45542</v>
      </c>
      <c r="D493" s="5">
        <f t="shared" si="144"/>
        <v>45523</v>
      </c>
      <c r="E493" s="5">
        <f t="shared" si="145"/>
        <v>45542</v>
      </c>
      <c r="F493" s="7">
        <f t="shared" si="146"/>
        <v>19</v>
      </c>
      <c r="G493" s="23" t="str">
        <f t="shared" si="147"/>
        <v>8-2024</v>
      </c>
      <c r="H493" s="3" t="s">
        <v>649</v>
      </c>
      <c r="I493" s="3" t="s">
        <v>657</v>
      </c>
      <c r="J493" s="3" t="s">
        <v>679</v>
      </c>
      <c r="K493" s="3" t="s">
        <v>701</v>
      </c>
      <c r="L493" s="3" t="s">
        <v>711</v>
      </c>
      <c r="M493" s="3" t="s">
        <v>713</v>
      </c>
      <c r="N493" s="3" t="s">
        <v>727</v>
      </c>
      <c r="O493" s="3" t="s">
        <v>1224</v>
      </c>
      <c r="P493" s="19">
        <v>297.58999999999997</v>
      </c>
      <c r="Q493" s="19">
        <v>666.41</v>
      </c>
      <c r="R493" s="15">
        <v>0</v>
      </c>
      <c r="S493" s="7">
        <v>10</v>
      </c>
      <c r="T493" s="13">
        <f t="shared" si="135"/>
        <v>6664.0999999999995</v>
      </c>
      <c r="U493" s="13">
        <f t="shared" si="136"/>
        <v>2975.8999999999996</v>
      </c>
      <c r="V493" s="13">
        <f t="shared" si="148"/>
        <v>3688.2</v>
      </c>
      <c r="W493" s="15">
        <f t="shared" si="149"/>
        <v>0.55344307558409989</v>
      </c>
      <c r="X493" s="17" t="str">
        <f t="shared" si="150"/>
        <v>Q3-2024</v>
      </c>
      <c r="Y493" t="str">
        <f t="shared" si="151"/>
        <v>Europe → France → Lyon</v>
      </c>
      <c r="Z493" t="str">
        <f t="shared" si="152"/>
        <v>Low</v>
      </c>
      <c r="AA493">
        <f t="shared" si="137"/>
        <v>2024</v>
      </c>
      <c r="AB493">
        <f t="shared" si="138"/>
        <v>8</v>
      </c>
      <c r="AC493" t="str">
        <f t="shared" si="139"/>
        <v>No</v>
      </c>
      <c r="AD493" t="str">
        <f t="shared" si="140"/>
        <v>No</v>
      </c>
      <c r="AE493" s="36">
        <f>IF(Dashboard!$P$47&gt;'Staging Data'!R493,'Staging Data'!R493,Dashboard!$P$47)</f>
        <v>0</v>
      </c>
      <c r="AF493">
        <f>(100%+Dashboard!$P$48)*'Staging Data'!P493</f>
        <v>312.46949999999998</v>
      </c>
      <c r="AG493">
        <f>(100%+Dashboard!$P$49)*S493</f>
        <v>10.4</v>
      </c>
      <c r="AH493" s="13">
        <f t="shared" si="141"/>
        <v>6930.6639999999998</v>
      </c>
      <c r="AI493" s="13">
        <f t="shared" si="142"/>
        <v>3249.6828</v>
      </c>
      <c r="AJ493" s="13">
        <f t="shared" si="143"/>
        <v>3680.9811999999997</v>
      </c>
    </row>
    <row r="494" spans="1:36" x14ac:dyDescent="0.45">
      <c r="A494" s="3" t="s">
        <v>291</v>
      </c>
      <c r="B494" s="5">
        <v>45832</v>
      </c>
      <c r="C494" s="5">
        <v>45852</v>
      </c>
      <c r="D494" s="5">
        <f t="shared" si="144"/>
        <v>45832</v>
      </c>
      <c r="E494" s="5">
        <f t="shared" si="145"/>
        <v>45852</v>
      </c>
      <c r="F494" s="7">
        <f t="shared" si="146"/>
        <v>20</v>
      </c>
      <c r="G494" s="23" t="str">
        <f t="shared" si="147"/>
        <v>6-2025</v>
      </c>
      <c r="H494" s="3" t="s">
        <v>649</v>
      </c>
      <c r="I494" s="3" t="s">
        <v>656</v>
      </c>
      <c r="J494" s="3" t="s">
        <v>671</v>
      </c>
      <c r="K494" s="3" t="s">
        <v>701</v>
      </c>
      <c r="L494" s="3" t="s">
        <v>711</v>
      </c>
      <c r="M494" s="3" t="s">
        <v>719</v>
      </c>
      <c r="N494" s="3" t="s">
        <v>733</v>
      </c>
      <c r="O494" s="3" t="s">
        <v>1011</v>
      </c>
      <c r="P494" s="19">
        <v>385.08</v>
      </c>
      <c r="Q494" s="19">
        <v>893.19</v>
      </c>
      <c r="R494" s="15">
        <v>0.151</v>
      </c>
      <c r="S494" s="7">
        <v>8</v>
      </c>
      <c r="T494" s="13">
        <f t="shared" si="135"/>
        <v>6066.54648</v>
      </c>
      <c r="U494" s="13">
        <f t="shared" si="136"/>
        <v>3080.64</v>
      </c>
      <c r="V494" s="13">
        <f t="shared" si="148"/>
        <v>2985.9064800000001</v>
      </c>
      <c r="W494" s="15">
        <f t="shared" si="149"/>
        <v>0.49219213762621666</v>
      </c>
      <c r="X494" s="17" t="str">
        <f t="shared" si="150"/>
        <v>Q2-2025</v>
      </c>
      <c r="Y494" t="str">
        <f t="shared" si="151"/>
        <v>Europe → Germany → Berlin</v>
      </c>
      <c r="Z494" t="str">
        <f t="shared" si="152"/>
        <v>Low</v>
      </c>
      <c r="AA494">
        <f t="shared" si="137"/>
        <v>2025</v>
      </c>
      <c r="AB494">
        <f t="shared" si="138"/>
        <v>6</v>
      </c>
      <c r="AC494" t="str">
        <f t="shared" si="139"/>
        <v>No</v>
      </c>
      <c r="AD494" t="str">
        <f t="shared" si="140"/>
        <v>No</v>
      </c>
      <c r="AE494" s="36">
        <f>IF(Dashboard!$P$47&gt;'Staging Data'!R494,'Staging Data'!R494,Dashboard!$P$47)</f>
        <v>0.1</v>
      </c>
      <c r="AF494">
        <f>(100%+Dashboard!$P$48)*'Staging Data'!P494</f>
        <v>404.334</v>
      </c>
      <c r="AG494">
        <f>(100%+Dashboard!$P$49)*S494</f>
        <v>8.32</v>
      </c>
      <c r="AH494" s="13">
        <f t="shared" si="141"/>
        <v>6688.206720000001</v>
      </c>
      <c r="AI494" s="13">
        <f t="shared" si="142"/>
        <v>3364.05888</v>
      </c>
      <c r="AJ494" s="13">
        <f t="shared" si="143"/>
        <v>3324.147840000001</v>
      </c>
    </row>
    <row r="495" spans="1:36" x14ac:dyDescent="0.45">
      <c r="A495" s="3" t="s">
        <v>305</v>
      </c>
      <c r="B495" s="5">
        <v>45746</v>
      </c>
      <c r="C495" s="5">
        <v>45754</v>
      </c>
      <c r="D495" s="5">
        <f t="shared" si="144"/>
        <v>45746</v>
      </c>
      <c r="E495" s="5">
        <f t="shared" si="145"/>
        <v>45754</v>
      </c>
      <c r="F495" s="7">
        <f t="shared" si="146"/>
        <v>8</v>
      </c>
      <c r="G495" s="23" t="str">
        <f t="shared" si="147"/>
        <v>3-2025</v>
      </c>
      <c r="H495" s="3" t="s">
        <v>648</v>
      </c>
      <c r="I495" s="3" t="s">
        <v>655</v>
      </c>
      <c r="J495" s="3" t="s">
        <v>670</v>
      </c>
      <c r="K495" s="3" t="s">
        <v>703</v>
      </c>
      <c r="L495" s="3" t="s">
        <v>711</v>
      </c>
      <c r="M495" s="3" t="s">
        <v>716</v>
      </c>
      <c r="N495" s="3" t="s">
        <v>728</v>
      </c>
      <c r="O495" s="3" t="s">
        <v>1025</v>
      </c>
      <c r="P495" s="19">
        <v>71.62</v>
      </c>
      <c r="Q495" s="19">
        <v>118.37</v>
      </c>
      <c r="R495" s="15">
        <v>0.156</v>
      </c>
      <c r="S495" s="7">
        <v>11</v>
      </c>
      <c r="T495" s="13">
        <f t="shared" si="135"/>
        <v>1098.9470800000001</v>
      </c>
      <c r="U495" s="13">
        <f t="shared" si="136"/>
        <v>787.82</v>
      </c>
      <c r="V495" s="13">
        <f t="shared" si="148"/>
        <v>311.12708000000009</v>
      </c>
      <c r="W495" s="15">
        <f t="shared" si="149"/>
        <v>0.28311379652603474</v>
      </c>
      <c r="X495" s="17" t="str">
        <f t="shared" si="150"/>
        <v>Q1-2025</v>
      </c>
      <c r="Y495" t="str">
        <f t="shared" si="151"/>
        <v>Americas → Brazil → São Paulo</v>
      </c>
      <c r="Z495" t="str">
        <f t="shared" si="152"/>
        <v>Low</v>
      </c>
      <c r="AA495">
        <f t="shared" si="137"/>
        <v>2025</v>
      </c>
      <c r="AB495">
        <f t="shared" si="138"/>
        <v>3</v>
      </c>
      <c r="AC495" t="str">
        <f t="shared" si="139"/>
        <v>No</v>
      </c>
      <c r="AD495" t="str">
        <f t="shared" si="140"/>
        <v>No</v>
      </c>
      <c r="AE495" s="36">
        <f>IF(Dashboard!$P$47&gt;'Staging Data'!R495,'Staging Data'!R495,Dashboard!$P$47)</f>
        <v>0.1</v>
      </c>
      <c r="AF495">
        <f>(100%+Dashboard!$P$48)*'Staging Data'!P495</f>
        <v>75.201000000000008</v>
      </c>
      <c r="AG495">
        <f>(100%+Dashboard!$P$49)*S495</f>
        <v>11.440000000000001</v>
      </c>
      <c r="AH495" s="13">
        <f t="shared" si="141"/>
        <v>1218.7375200000004</v>
      </c>
      <c r="AI495" s="13">
        <f t="shared" si="142"/>
        <v>860.29944000000023</v>
      </c>
      <c r="AJ495" s="13">
        <f t="shared" si="143"/>
        <v>358.43808000000013</v>
      </c>
    </row>
    <row r="496" spans="1:36" x14ac:dyDescent="0.45">
      <c r="A496" s="3" t="s">
        <v>118</v>
      </c>
      <c r="B496" s="5">
        <v>45631</v>
      </c>
      <c r="C496" s="5">
        <v>45654</v>
      </c>
      <c r="D496" s="5">
        <f t="shared" si="144"/>
        <v>45631</v>
      </c>
      <c r="E496" s="5">
        <f t="shared" si="145"/>
        <v>45654</v>
      </c>
      <c r="F496" s="7">
        <f t="shared" si="146"/>
        <v>23</v>
      </c>
      <c r="G496" s="23" t="str">
        <f t="shared" si="147"/>
        <v>12-2024</v>
      </c>
      <c r="H496" s="3" t="s">
        <v>648</v>
      </c>
      <c r="I496" s="3" t="s">
        <v>653</v>
      </c>
      <c r="J496" s="3" t="s">
        <v>688</v>
      </c>
      <c r="K496" s="3" t="s">
        <v>701</v>
      </c>
      <c r="L496" s="3" t="s">
        <v>711</v>
      </c>
      <c r="M496" s="3" t="s">
        <v>721</v>
      </c>
      <c r="N496" s="3" t="s">
        <v>733</v>
      </c>
      <c r="O496" s="3" t="s">
        <v>837</v>
      </c>
      <c r="P496" s="19">
        <v>107.03</v>
      </c>
      <c r="Q496" s="19">
        <v>242.29</v>
      </c>
      <c r="R496" s="15">
        <v>0.18</v>
      </c>
      <c r="S496" s="7">
        <v>30</v>
      </c>
      <c r="T496" s="13">
        <f t="shared" si="135"/>
        <v>5960.3340000000007</v>
      </c>
      <c r="U496" s="13">
        <f t="shared" si="136"/>
        <v>3210.9</v>
      </c>
      <c r="V496" s="13">
        <f t="shared" si="148"/>
        <v>2749.4340000000007</v>
      </c>
      <c r="W496" s="15">
        <f t="shared" si="149"/>
        <v>0.46128857879440988</v>
      </c>
      <c r="X496" s="17" t="str">
        <f t="shared" si="150"/>
        <v>Q4-2024</v>
      </c>
      <c r="Y496" t="str">
        <f t="shared" si="151"/>
        <v>Americas → Canada → Vancouver</v>
      </c>
      <c r="Z496" t="str">
        <f t="shared" si="152"/>
        <v>Low</v>
      </c>
      <c r="AA496">
        <f t="shared" si="137"/>
        <v>2024</v>
      </c>
      <c r="AB496">
        <f t="shared" si="138"/>
        <v>12</v>
      </c>
      <c r="AC496" t="str">
        <f t="shared" si="139"/>
        <v>No</v>
      </c>
      <c r="AD496" t="str">
        <f t="shared" si="140"/>
        <v>No</v>
      </c>
      <c r="AE496" s="36">
        <f>IF(Dashboard!$P$47&gt;'Staging Data'!R496,'Staging Data'!R496,Dashboard!$P$47)</f>
        <v>0.1</v>
      </c>
      <c r="AF496">
        <f>(100%+Dashboard!$P$48)*'Staging Data'!P496</f>
        <v>112.3815</v>
      </c>
      <c r="AG496">
        <f>(100%+Dashboard!$P$49)*S496</f>
        <v>31.200000000000003</v>
      </c>
      <c r="AH496" s="13">
        <f t="shared" si="141"/>
        <v>6803.5032000000001</v>
      </c>
      <c r="AI496" s="13">
        <f t="shared" si="142"/>
        <v>3506.3028000000004</v>
      </c>
      <c r="AJ496" s="13">
        <f t="shared" si="143"/>
        <v>3297.2003999999997</v>
      </c>
    </row>
    <row r="497" spans="1:36" x14ac:dyDescent="0.45">
      <c r="A497" s="3" t="s">
        <v>509</v>
      </c>
      <c r="B497" s="5">
        <v>45508</v>
      </c>
      <c r="C497" s="5">
        <v>45521</v>
      </c>
      <c r="D497" s="5">
        <f t="shared" si="144"/>
        <v>45508</v>
      </c>
      <c r="E497" s="5">
        <f t="shared" si="145"/>
        <v>45521</v>
      </c>
      <c r="F497" s="7">
        <f t="shared" si="146"/>
        <v>13</v>
      </c>
      <c r="G497" s="23" t="str">
        <f t="shared" si="147"/>
        <v>8-2024</v>
      </c>
      <c r="H497" s="3" t="s">
        <v>648</v>
      </c>
      <c r="I497" s="3" t="s">
        <v>660</v>
      </c>
      <c r="J497" s="3" t="s">
        <v>697</v>
      </c>
      <c r="K497" s="3" t="s">
        <v>704</v>
      </c>
      <c r="L497" s="3" t="s">
        <v>707</v>
      </c>
      <c r="M497" s="3" t="s">
        <v>726</v>
      </c>
      <c r="N497" s="3" t="s">
        <v>732</v>
      </c>
      <c r="O497" s="3" t="s">
        <v>1228</v>
      </c>
      <c r="P497" s="19">
        <v>352.79</v>
      </c>
      <c r="Q497" s="19">
        <v>754.22</v>
      </c>
      <c r="R497" s="15">
        <v>0.113</v>
      </c>
      <c r="S497" s="7">
        <v>7</v>
      </c>
      <c r="T497" s="13">
        <f t="shared" si="135"/>
        <v>4682.9519799999998</v>
      </c>
      <c r="U497" s="13">
        <f t="shared" si="136"/>
        <v>2469.5300000000002</v>
      </c>
      <c r="V497" s="13">
        <f t="shared" si="148"/>
        <v>2213.4219799999996</v>
      </c>
      <c r="W497" s="15">
        <f t="shared" si="149"/>
        <v>0.47265528014233443</v>
      </c>
      <c r="X497" s="17" t="str">
        <f t="shared" si="150"/>
        <v>Q3-2024</v>
      </c>
      <c r="Y497" t="str">
        <f t="shared" si="151"/>
        <v>Americas → USA → Austin</v>
      </c>
      <c r="Z497" t="str">
        <f t="shared" si="152"/>
        <v>Low</v>
      </c>
      <c r="AA497">
        <f t="shared" si="137"/>
        <v>2024</v>
      </c>
      <c r="AB497">
        <f t="shared" si="138"/>
        <v>8</v>
      </c>
      <c r="AC497" t="str">
        <f t="shared" si="139"/>
        <v>No</v>
      </c>
      <c r="AD497" t="str">
        <f t="shared" si="140"/>
        <v>No</v>
      </c>
      <c r="AE497" s="36">
        <f>IF(Dashboard!$P$47&gt;'Staging Data'!R497,'Staging Data'!R497,Dashboard!$P$47)</f>
        <v>0.1</v>
      </c>
      <c r="AF497">
        <f>(100%+Dashboard!$P$48)*'Staging Data'!P497</f>
        <v>370.42950000000002</v>
      </c>
      <c r="AG497">
        <f>(100%+Dashboard!$P$49)*S497</f>
        <v>7.28</v>
      </c>
      <c r="AH497" s="13">
        <f t="shared" si="141"/>
        <v>4941.6494400000011</v>
      </c>
      <c r="AI497" s="13">
        <f t="shared" si="142"/>
        <v>2696.72676</v>
      </c>
      <c r="AJ497" s="13">
        <f t="shared" si="143"/>
        <v>2244.922680000001</v>
      </c>
    </row>
    <row r="498" spans="1:36" x14ac:dyDescent="0.45">
      <c r="A498" s="3" t="s">
        <v>70</v>
      </c>
      <c r="B498" s="5">
        <v>45753</v>
      </c>
      <c r="C498" s="5">
        <v>45777</v>
      </c>
      <c r="D498" s="5">
        <f t="shared" si="144"/>
        <v>45753</v>
      </c>
      <c r="E498" s="5">
        <f t="shared" si="145"/>
        <v>45777</v>
      </c>
      <c r="F498" s="7">
        <f t="shared" si="146"/>
        <v>24</v>
      </c>
      <c r="G498" s="23" t="str">
        <f t="shared" si="147"/>
        <v>4-2025</v>
      </c>
      <c r="H498" s="3" t="s">
        <v>648</v>
      </c>
      <c r="I498" s="3" t="s">
        <v>655</v>
      </c>
      <c r="J498" s="3" t="s">
        <v>672</v>
      </c>
      <c r="K498" s="3" t="s">
        <v>702</v>
      </c>
      <c r="L498" s="3" t="s">
        <v>708</v>
      </c>
      <c r="M498" s="3" t="s">
        <v>723</v>
      </c>
      <c r="N498" s="3" t="s">
        <v>732</v>
      </c>
      <c r="O498" s="3" t="s">
        <v>789</v>
      </c>
      <c r="P498" s="19">
        <v>855.78</v>
      </c>
      <c r="Q498" s="19">
        <v>977.38</v>
      </c>
      <c r="R498" s="15">
        <v>0.14699999999999999</v>
      </c>
      <c r="S498" s="7">
        <v>38</v>
      </c>
      <c r="T498" s="13">
        <f t="shared" si="135"/>
        <v>31680.795320000001</v>
      </c>
      <c r="U498" s="13">
        <f t="shared" si="136"/>
        <v>32519.64</v>
      </c>
      <c r="V498" s="13">
        <f t="shared" si="148"/>
        <v>-838.84467999999833</v>
      </c>
      <c r="W498" s="15">
        <f t="shared" si="149"/>
        <v>-2.6478018355506307E-2</v>
      </c>
      <c r="X498" s="17" t="str">
        <f t="shared" si="150"/>
        <v>Q2-2025</v>
      </c>
      <c r="Y498" t="str">
        <f t="shared" si="151"/>
        <v>Americas → Brazil → Brasília</v>
      </c>
      <c r="Z498" t="str">
        <f t="shared" si="152"/>
        <v>Low</v>
      </c>
      <c r="AA498">
        <f t="shared" si="137"/>
        <v>2025</v>
      </c>
      <c r="AB498">
        <f t="shared" si="138"/>
        <v>4</v>
      </c>
      <c r="AC498" t="str">
        <f t="shared" si="139"/>
        <v>No</v>
      </c>
      <c r="AD498" t="str">
        <f t="shared" si="140"/>
        <v>No</v>
      </c>
      <c r="AE498" s="36">
        <f>IF(Dashboard!$P$47&gt;'Staging Data'!R498,'Staging Data'!R498,Dashboard!$P$47)</f>
        <v>0.1</v>
      </c>
      <c r="AF498">
        <f>(100%+Dashboard!$P$48)*'Staging Data'!P498</f>
        <v>898.56899999999996</v>
      </c>
      <c r="AG498">
        <f>(100%+Dashboard!$P$49)*S498</f>
        <v>39.520000000000003</v>
      </c>
      <c r="AH498" s="13">
        <f t="shared" si="141"/>
        <v>34763.451840000002</v>
      </c>
      <c r="AI498" s="13">
        <f t="shared" si="142"/>
        <v>35511.446880000003</v>
      </c>
      <c r="AJ498" s="13">
        <f t="shared" si="143"/>
        <v>-747.99504000000161</v>
      </c>
    </row>
    <row r="499" spans="1:36" x14ac:dyDescent="0.45">
      <c r="A499" s="3" t="s">
        <v>511</v>
      </c>
      <c r="B499" s="5">
        <v>45544</v>
      </c>
      <c r="C499" s="5">
        <v>45548</v>
      </c>
      <c r="D499" s="5">
        <f t="shared" si="144"/>
        <v>45544</v>
      </c>
      <c r="E499" s="5">
        <f t="shared" si="145"/>
        <v>45548</v>
      </c>
      <c r="F499" s="7">
        <f t="shared" si="146"/>
        <v>4</v>
      </c>
      <c r="G499" s="23" t="str">
        <f t="shared" si="147"/>
        <v>9-2024</v>
      </c>
      <c r="H499" s="3" t="s">
        <v>649</v>
      </c>
      <c r="I499" s="3" t="s">
        <v>658</v>
      </c>
      <c r="J499" s="3" t="s">
        <v>683</v>
      </c>
      <c r="K499" s="3" t="s">
        <v>704</v>
      </c>
      <c r="L499" s="3" t="s">
        <v>709</v>
      </c>
      <c r="M499" s="3" t="s">
        <v>721</v>
      </c>
      <c r="N499" s="3" t="s">
        <v>729</v>
      </c>
      <c r="O499" s="3" t="s">
        <v>1230</v>
      </c>
      <c r="P499" s="19">
        <v>1133.08</v>
      </c>
      <c r="Q499" s="19">
        <v>976.17</v>
      </c>
      <c r="R499" s="15">
        <v>4.2000000000000003E-2</v>
      </c>
      <c r="S499" s="7">
        <v>27</v>
      </c>
      <c r="T499" s="13">
        <f t="shared" si="135"/>
        <v>25249.613219999999</v>
      </c>
      <c r="U499" s="13">
        <f t="shared" si="136"/>
        <v>30593.159999999996</v>
      </c>
      <c r="V499" s="13">
        <f t="shared" si="148"/>
        <v>-5343.5467799999969</v>
      </c>
      <c r="W499" s="15">
        <f t="shared" si="149"/>
        <v>-0.21162885678452373</v>
      </c>
      <c r="X499" s="17" t="str">
        <f t="shared" si="150"/>
        <v>Q3-2024</v>
      </c>
      <c r="Y499" t="str">
        <f t="shared" si="151"/>
        <v>Europe → United Kingdom → London</v>
      </c>
      <c r="Z499" t="str">
        <f t="shared" si="152"/>
        <v>Low</v>
      </c>
      <c r="AA499">
        <f t="shared" si="137"/>
        <v>2024</v>
      </c>
      <c r="AB499">
        <f t="shared" si="138"/>
        <v>9</v>
      </c>
      <c r="AC499" t="str">
        <f t="shared" si="139"/>
        <v>Yes</v>
      </c>
      <c r="AD499" t="str">
        <f t="shared" si="140"/>
        <v>No</v>
      </c>
      <c r="AE499" s="36">
        <f>IF(Dashboard!$P$47&gt;'Staging Data'!R499,'Staging Data'!R499,Dashboard!$P$47)</f>
        <v>4.2000000000000003E-2</v>
      </c>
      <c r="AF499">
        <f>(100%+Dashboard!$P$48)*'Staging Data'!P499</f>
        <v>1189.7339999999999</v>
      </c>
      <c r="AG499">
        <f>(100%+Dashboard!$P$49)*S499</f>
        <v>28.080000000000002</v>
      </c>
      <c r="AH499" s="13">
        <f t="shared" si="141"/>
        <v>26259.597748800003</v>
      </c>
      <c r="AI499" s="13">
        <f t="shared" si="142"/>
        <v>33407.73072</v>
      </c>
      <c r="AJ499" s="13">
        <f t="shared" si="143"/>
        <v>-7148.132971199997</v>
      </c>
    </row>
    <row r="500" spans="1:36" x14ac:dyDescent="0.45">
      <c r="A500" s="3" t="s">
        <v>86</v>
      </c>
      <c r="B500" s="5">
        <v>45756</v>
      </c>
      <c r="C500" s="5">
        <v>45783</v>
      </c>
      <c r="D500" s="5">
        <f t="shared" si="144"/>
        <v>45756</v>
      </c>
      <c r="E500" s="5">
        <f t="shared" si="145"/>
        <v>45783</v>
      </c>
      <c r="F500" s="7">
        <f t="shared" si="146"/>
        <v>27</v>
      </c>
      <c r="G500" s="23" t="str">
        <f t="shared" si="147"/>
        <v>4-2025</v>
      </c>
      <c r="H500" s="3" t="s">
        <v>648</v>
      </c>
      <c r="I500" s="3" t="s">
        <v>655</v>
      </c>
      <c r="J500" s="3" t="s">
        <v>672</v>
      </c>
      <c r="K500" s="3" t="s">
        <v>706</v>
      </c>
      <c r="L500" s="3" t="s">
        <v>709</v>
      </c>
      <c r="M500" s="3" t="s">
        <v>721</v>
      </c>
      <c r="N500" s="3" t="s">
        <v>731</v>
      </c>
      <c r="O500" s="3" t="s">
        <v>805</v>
      </c>
      <c r="P500" s="19">
        <v>264.19</v>
      </c>
      <c r="Q500" s="19">
        <v>620.92999999999995</v>
      </c>
      <c r="R500" s="15">
        <v>0.14199999999999999</v>
      </c>
      <c r="S500" s="7">
        <v>12</v>
      </c>
      <c r="T500" s="13">
        <f t="shared" si="135"/>
        <v>6393.0952799999995</v>
      </c>
      <c r="U500" s="13">
        <f t="shared" si="136"/>
        <v>3170.2799999999997</v>
      </c>
      <c r="V500" s="13">
        <f t="shared" si="148"/>
        <v>3222.8152799999998</v>
      </c>
      <c r="W500" s="15">
        <f t="shared" si="149"/>
        <v>0.50410875152794532</v>
      </c>
      <c r="X500" s="17" t="str">
        <f t="shared" si="150"/>
        <v>Q2-2025</v>
      </c>
      <c r="Y500" t="str">
        <f t="shared" si="151"/>
        <v>Americas → Brazil → Brasília</v>
      </c>
      <c r="Z500" t="str">
        <f t="shared" si="152"/>
        <v>Low</v>
      </c>
      <c r="AA500">
        <f t="shared" si="137"/>
        <v>2025</v>
      </c>
      <c r="AB500">
        <f t="shared" si="138"/>
        <v>4</v>
      </c>
      <c r="AC500" t="str">
        <f t="shared" si="139"/>
        <v>No</v>
      </c>
      <c r="AD500" t="str">
        <f t="shared" si="140"/>
        <v>No</v>
      </c>
      <c r="AE500" s="36">
        <f>IF(Dashboard!$P$47&gt;'Staging Data'!R500,'Staging Data'!R500,Dashboard!$P$47)</f>
        <v>0.1</v>
      </c>
      <c r="AF500">
        <f>(100%+Dashboard!$P$48)*'Staging Data'!P500</f>
        <v>277.39949999999999</v>
      </c>
      <c r="AG500">
        <f>(100%+Dashboard!$P$49)*S500</f>
        <v>12.48</v>
      </c>
      <c r="AH500" s="13">
        <f t="shared" si="141"/>
        <v>6974.2857599999998</v>
      </c>
      <c r="AI500" s="13">
        <f t="shared" si="142"/>
        <v>3461.9457600000001</v>
      </c>
      <c r="AJ500" s="13">
        <f t="shared" si="143"/>
        <v>3512.3399999999997</v>
      </c>
    </row>
    <row r="501" spans="1:36" x14ac:dyDescent="0.45">
      <c r="A501" s="3" t="s">
        <v>599</v>
      </c>
      <c r="B501" s="5">
        <v>45764</v>
      </c>
      <c r="C501" s="5">
        <v>45764</v>
      </c>
      <c r="D501" s="5">
        <f t="shared" si="144"/>
        <v>45764</v>
      </c>
      <c r="E501" s="5">
        <f t="shared" si="145"/>
        <v>45764</v>
      </c>
      <c r="F501" s="7">
        <f t="shared" si="146"/>
        <v>0</v>
      </c>
      <c r="G501" s="23" t="str">
        <f t="shared" si="147"/>
        <v>4-2025</v>
      </c>
      <c r="H501" s="3" t="s">
        <v>648</v>
      </c>
      <c r="I501" s="3" t="s">
        <v>655</v>
      </c>
      <c r="J501" s="3" t="s">
        <v>670</v>
      </c>
      <c r="K501" s="3" t="s">
        <v>701</v>
      </c>
      <c r="L501" s="3" t="s">
        <v>710</v>
      </c>
      <c r="M501" s="3" t="s">
        <v>716</v>
      </c>
      <c r="N501" s="3" t="s">
        <v>730</v>
      </c>
      <c r="O501" s="3" t="s">
        <v>1317</v>
      </c>
      <c r="P501" s="19">
        <v>719.41</v>
      </c>
      <c r="Q501" s="19">
        <v>1125.99</v>
      </c>
      <c r="R501" s="15">
        <v>4.1000000000000002E-2</v>
      </c>
      <c r="S501" s="7">
        <v>21</v>
      </c>
      <c r="T501" s="13">
        <f t="shared" si="135"/>
        <v>22676.312610000001</v>
      </c>
      <c r="U501" s="13">
        <f t="shared" si="136"/>
        <v>15107.609999999999</v>
      </c>
      <c r="V501" s="13">
        <f t="shared" si="148"/>
        <v>7568.7026100000021</v>
      </c>
      <c r="W501" s="15">
        <f t="shared" si="149"/>
        <v>0.33377131194876403</v>
      </c>
      <c r="X501" s="17" t="str">
        <f t="shared" si="150"/>
        <v>Q2-2025</v>
      </c>
      <c r="Y501" t="str">
        <f t="shared" si="151"/>
        <v>Americas → Brazil → São Paulo</v>
      </c>
      <c r="Z501" t="str">
        <f t="shared" si="152"/>
        <v>Low</v>
      </c>
      <c r="AA501">
        <f t="shared" si="137"/>
        <v>2025</v>
      </c>
      <c r="AB501">
        <f t="shared" si="138"/>
        <v>4</v>
      </c>
      <c r="AC501" t="str">
        <f t="shared" si="139"/>
        <v>Yes</v>
      </c>
      <c r="AD501" t="str">
        <f t="shared" si="140"/>
        <v>No</v>
      </c>
      <c r="AE501" s="36">
        <f>IF(Dashboard!$P$47&gt;'Staging Data'!R501,'Staging Data'!R501,Dashboard!$P$47)</f>
        <v>4.1000000000000002E-2</v>
      </c>
      <c r="AF501">
        <f>(100%+Dashboard!$P$48)*'Staging Data'!P501</f>
        <v>755.38049999999998</v>
      </c>
      <c r="AG501">
        <f>(100%+Dashboard!$P$49)*S501</f>
        <v>21.84</v>
      </c>
      <c r="AH501" s="13">
        <f t="shared" si="141"/>
        <v>23583.365114399996</v>
      </c>
      <c r="AI501" s="13">
        <f t="shared" si="142"/>
        <v>16497.510119999999</v>
      </c>
      <c r="AJ501" s="13">
        <f t="shared" si="143"/>
        <v>7085.8549943999969</v>
      </c>
    </row>
    <row r="502" spans="1:36" x14ac:dyDescent="0.45">
      <c r="A502" s="3" t="s">
        <v>514</v>
      </c>
      <c r="B502" s="5">
        <v>45048</v>
      </c>
      <c r="C502" s="5">
        <v>45062</v>
      </c>
      <c r="D502" s="5">
        <f t="shared" si="144"/>
        <v>45048</v>
      </c>
      <c r="E502" s="5">
        <f t="shared" si="145"/>
        <v>45062</v>
      </c>
      <c r="F502" s="7">
        <f t="shared" si="146"/>
        <v>14</v>
      </c>
      <c r="G502" s="23" t="str">
        <f t="shared" si="147"/>
        <v>5-2023</v>
      </c>
      <c r="H502" s="3" t="s">
        <v>647</v>
      </c>
      <c r="I502" s="3" t="s">
        <v>654</v>
      </c>
      <c r="J502" s="3" t="s">
        <v>668</v>
      </c>
      <c r="K502" s="3" t="s">
        <v>703</v>
      </c>
      <c r="L502" s="3" t="s">
        <v>707</v>
      </c>
      <c r="M502" s="3" t="s">
        <v>716</v>
      </c>
      <c r="N502" s="3" t="s">
        <v>732</v>
      </c>
      <c r="O502" s="3" t="s">
        <v>1233</v>
      </c>
      <c r="P502" s="19">
        <v>475.37</v>
      </c>
      <c r="Q502" s="19">
        <v>963.73</v>
      </c>
      <c r="R502" s="15">
        <v>4.1000000000000002E-2</v>
      </c>
      <c r="S502" s="7">
        <v>22</v>
      </c>
      <c r="T502" s="13">
        <f t="shared" si="135"/>
        <v>20332.775539999999</v>
      </c>
      <c r="U502" s="13">
        <f t="shared" si="136"/>
        <v>10458.14</v>
      </c>
      <c r="V502" s="13">
        <f t="shared" si="148"/>
        <v>9874.6355399999993</v>
      </c>
      <c r="W502" s="15">
        <f t="shared" si="149"/>
        <v>0.48565113604750881</v>
      </c>
      <c r="X502" s="17" t="str">
        <f t="shared" si="150"/>
        <v>Q2-2023</v>
      </c>
      <c r="Y502" t="str">
        <f t="shared" si="151"/>
        <v>Asia → India → Bengaluru</v>
      </c>
      <c r="Z502" t="str">
        <f t="shared" si="152"/>
        <v>Low</v>
      </c>
      <c r="AA502">
        <f t="shared" si="137"/>
        <v>2023</v>
      </c>
      <c r="AB502">
        <f t="shared" si="138"/>
        <v>5</v>
      </c>
      <c r="AC502" t="str">
        <f t="shared" si="139"/>
        <v>No</v>
      </c>
      <c r="AD502" t="str">
        <f t="shared" si="140"/>
        <v>No</v>
      </c>
      <c r="AE502" s="36">
        <f>IF(Dashboard!$P$47&gt;'Staging Data'!R502,'Staging Data'!R502,Dashboard!$P$47)</f>
        <v>4.1000000000000002E-2</v>
      </c>
      <c r="AF502">
        <f>(100%+Dashboard!$P$48)*'Staging Data'!P502</f>
        <v>499.13850000000002</v>
      </c>
      <c r="AG502">
        <f>(100%+Dashboard!$P$49)*S502</f>
        <v>22.880000000000003</v>
      </c>
      <c r="AH502" s="13">
        <f t="shared" si="141"/>
        <v>21146.086561600005</v>
      </c>
      <c r="AI502" s="13">
        <f t="shared" si="142"/>
        <v>11420.288880000002</v>
      </c>
      <c r="AJ502" s="13">
        <f t="shared" si="143"/>
        <v>9725.7976816000028</v>
      </c>
    </row>
    <row r="503" spans="1:36" x14ac:dyDescent="0.45">
      <c r="A503" s="3" t="s">
        <v>515</v>
      </c>
      <c r="B503" s="5">
        <v>45408</v>
      </c>
      <c r="C503" s="5">
        <v>45406</v>
      </c>
      <c r="D503" s="5">
        <f t="shared" si="144"/>
        <v>45406</v>
      </c>
      <c r="E503" s="5">
        <f t="shared" si="145"/>
        <v>45408</v>
      </c>
      <c r="F503" s="7">
        <f t="shared" si="146"/>
        <v>2</v>
      </c>
      <c r="G503" s="23" t="str">
        <f t="shared" si="147"/>
        <v>4-2024</v>
      </c>
      <c r="H503" s="3" t="s">
        <v>649</v>
      </c>
      <c r="I503" s="3" t="s">
        <v>658</v>
      </c>
      <c r="J503" s="3" t="s">
        <v>683</v>
      </c>
      <c r="K503" s="3" t="s">
        <v>703</v>
      </c>
      <c r="L503" s="3" t="s">
        <v>710</v>
      </c>
      <c r="M503" s="3" t="s">
        <v>725</v>
      </c>
      <c r="N503" s="3" t="s">
        <v>730</v>
      </c>
      <c r="O503" s="3" t="s">
        <v>1234</v>
      </c>
      <c r="P503" s="19">
        <v>1232.77</v>
      </c>
      <c r="Q503" s="19">
        <v>891.73</v>
      </c>
      <c r="R503" s="15">
        <v>0.16700000000000001</v>
      </c>
      <c r="S503" s="7">
        <v>10</v>
      </c>
      <c r="T503" s="13">
        <f t="shared" si="135"/>
        <v>7428.1108999999988</v>
      </c>
      <c r="U503" s="13">
        <f t="shared" si="136"/>
        <v>12327.7</v>
      </c>
      <c r="V503" s="13">
        <f t="shared" si="148"/>
        <v>-4899.589100000002</v>
      </c>
      <c r="W503" s="15">
        <f t="shared" si="149"/>
        <v>-0.65960096260813805</v>
      </c>
      <c r="X503" s="17" t="str">
        <f t="shared" si="150"/>
        <v>Q2-2024</v>
      </c>
      <c r="Y503" t="str">
        <f t="shared" si="151"/>
        <v>Europe → United Kingdom → London</v>
      </c>
      <c r="Z503" t="str">
        <f t="shared" si="152"/>
        <v>Low</v>
      </c>
      <c r="AA503">
        <f t="shared" si="137"/>
        <v>2024</v>
      </c>
      <c r="AB503">
        <f t="shared" si="138"/>
        <v>4</v>
      </c>
      <c r="AC503" t="str">
        <f t="shared" si="139"/>
        <v>Yes</v>
      </c>
      <c r="AD503" t="str">
        <f t="shared" si="140"/>
        <v>No</v>
      </c>
      <c r="AE503" s="36">
        <f>IF(Dashboard!$P$47&gt;'Staging Data'!R503,'Staging Data'!R503,Dashboard!$P$47)</f>
        <v>0.1</v>
      </c>
      <c r="AF503">
        <f>(100%+Dashboard!$P$48)*'Staging Data'!P503</f>
        <v>1294.4085</v>
      </c>
      <c r="AG503">
        <f>(100%+Dashboard!$P$49)*S503</f>
        <v>10.4</v>
      </c>
      <c r="AH503" s="13">
        <f t="shared" si="141"/>
        <v>8346.5928000000004</v>
      </c>
      <c r="AI503" s="13">
        <f t="shared" si="142"/>
        <v>13461.848400000001</v>
      </c>
      <c r="AJ503" s="13">
        <f t="shared" si="143"/>
        <v>-5115.2556000000004</v>
      </c>
    </row>
    <row r="504" spans="1:36" x14ac:dyDescent="0.45">
      <c r="A504" s="3" t="s">
        <v>516</v>
      </c>
      <c r="B504" s="5">
        <v>44980</v>
      </c>
      <c r="C504" s="5">
        <v>45003</v>
      </c>
      <c r="D504" s="5">
        <f t="shared" si="144"/>
        <v>44980</v>
      </c>
      <c r="E504" s="5">
        <f t="shared" si="145"/>
        <v>45003</v>
      </c>
      <c r="F504" s="7">
        <f t="shared" si="146"/>
        <v>23</v>
      </c>
      <c r="G504" s="23" t="str">
        <f t="shared" si="147"/>
        <v>2-2023</v>
      </c>
      <c r="H504" s="3" t="s">
        <v>647</v>
      </c>
      <c r="I504" s="3" t="s">
        <v>659</v>
      </c>
      <c r="J504" s="3" t="s">
        <v>699</v>
      </c>
      <c r="K504" s="3" t="s">
        <v>702</v>
      </c>
      <c r="L504" s="3" t="s">
        <v>710</v>
      </c>
      <c r="M504" s="3" t="s">
        <v>723</v>
      </c>
      <c r="N504" s="3" t="s">
        <v>728</v>
      </c>
      <c r="O504" s="3" t="s">
        <v>1235</v>
      </c>
      <c r="P504" s="19">
        <v>770.11</v>
      </c>
      <c r="Q504" s="19">
        <v>1667.82</v>
      </c>
      <c r="R504" s="15">
        <v>6.9000000000000006E-2</v>
      </c>
      <c r="S504" s="7">
        <v>7</v>
      </c>
      <c r="T504" s="13">
        <f t="shared" si="135"/>
        <v>10869.182940000001</v>
      </c>
      <c r="U504" s="13">
        <f t="shared" si="136"/>
        <v>5390.77</v>
      </c>
      <c r="V504" s="13">
        <f t="shared" si="148"/>
        <v>5478.4129400000002</v>
      </c>
      <c r="W504" s="15">
        <f t="shared" si="149"/>
        <v>0.50403171703355287</v>
      </c>
      <c r="X504" s="17" t="str">
        <f t="shared" si="150"/>
        <v>Q1-2023</v>
      </c>
      <c r="Y504" t="str">
        <f t="shared" si="151"/>
        <v>Asia → China → Beijing</v>
      </c>
      <c r="Z504" t="str">
        <f t="shared" si="152"/>
        <v>Medium</v>
      </c>
      <c r="AA504">
        <f t="shared" si="137"/>
        <v>2023</v>
      </c>
      <c r="AB504">
        <f t="shared" si="138"/>
        <v>2</v>
      </c>
      <c r="AC504" t="str">
        <f t="shared" si="139"/>
        <v>No</v>
      </c>
      <c r="AD504" t="str">
        <f t="shared" si="140"/>
        <v>No</v>
      </c>
      <c r="AE504" s="36">
        <f>IF(Dashboard!$P$47&gt;'Staging Data'!R504,'Staging Data'!R504,Dashboard!$P$47)</f>
        <v>6.9000000000000006E-2</v>
      </c>
      <c r="AF504">
        <f>(100%+Dashboard!$P$48)*'Staging Data'!P504</f>
        <v>808.6155</v>
      </c>
      <c r="AG504">
        <f>(100%+Dashboard!$P$49)*S504</f>
        <v>7.28</v>
      </c>
      <c r="AH504" s="13">
        <f t="shared" si="141"/>
        <v>11303.950257600001</v>
      </c>
      <c r="AI504" s="13">
        <f t="shared" si="142"/>
        <v>5886.72084</v>
      </c>
      <c r="AJ504" s="13">
        <f t="shared" si="143"/>
        <v>5417.2294176000014</v>
      </c>
    </row>
    <row r="505" spans="1:36" x14ac:dyDescent="0.45">
      <c r="A505" s="3" t="s">
        <v>517</v>
      </c>
      <c r="B505" s="5">
        <v>45740</v>
      </c>
      <c r="C505" s="5">
        <v>45741</v>
      </c>
      <c r="D505" s="5">
        <f t="shared" si="144"/>
        <v>45740</v>
      </c>
      <c r="E505" s="5">
        <f t="shared" si="145"/>
        <v>45741</v>
      </c>
      <c r="F505" s="7">
        <f t="shared" si="146"/>
        <v>1</v>
      </c>
      <c r="G505" s="23" t="str">
        <f t="shared" si="147"/>
        <v>3-2025</v>
      </c>
      <c r="H505" s="3" t="s">
        <v>647</v>
      </c>
      <c r="I505" s="3" t="s">
        <v>659</v>
      </c>
      <c r="J505" s="3" t="s">
        <v>699</v>
      </c>
      <c r="K505" s="3" t="s">
        <v>703</v>
      </c>
      <c r="L505" s="3" t="s">
        <v>708</v>
      </c>
      <c r="M505" s="3" t="s">
        <v>715</v>
      </c>
      <c r="N505" s="3" t="s">
        <v>729</v>
      </c>
      <c r="O505" s="3" t="s">
        <v>1236</v>
      </c>
      <c r="P505" s="19">
        <v>1133.03</v>
      </c>
      <c r="Q505" s="19">
        <v>1921.51</v>
      </c>
      <c r="R505" s="15">
        <v>0.10100000000000001</v>
      </c>
      <c r="S505" s="7">
        <v>5</v>
      </c>
      <c r="T505" s="13">
        <f t="shared" si="135"/>
        <v>8637.1874499999994</v>
      </c>
      <c r="U505" s="13">
        <f t="shared" si="136"/>
        <v>5665.15</v>
      </c>
      <c r="V505" s="13">
        <f t="shared" si="148"/>
        <v>2972.0374499999998</v>
      </c>
      <c r="W505" s="15">
        <f t="shared" si="149"/>
        <v>0.3440978289755654</v>
      </c>
      <c r="X505" s="17" t="str">
        <f t="shared" si="150"/>
        <v>Q1-2025</v>
      </c>
      <c r="Y505" t="str">
        <f t="shared" si="151"/>
        <v>Asia → China → Beijing</v>
      </c>
      <c r="Z505" t="str">
        <f t="shared" si="152"/>
        <v>High</v>
      </c>
      <c r="AA505">
        <f t="shared" si="137"/>
        <v>2025</v>
      </c>
      <c r="AB505">
        <f t="shared" si="138"/>
        <v>3</v>
      </c>
      <c r="AC505" t="str">
        <f t="shared" si="139"/>
        <v>Yes</v>
      </c>
      <c r="AD505" t="str">
        <f t="shared" si="140"/>
        <v>No</v>
      </c>
      <c r="AE505" s="36">
        <f>IF(Dashboard!$P$47&gt;'Staging Data'!R505,'Staging Data'!R505,Dashboard!$P$47)</f>
        <v>0.1</v>
      </c>
      <c r="AF505">
        <f>(100%+Dashboard!$P$48)*'Staging Data'!P505</f>
        <v>1189.6814999999999</v>
      </c>
      <c r="AG505">
        <f>(100%+Dashboard!$P$49)*S505</f>
        <v>5.2</v>
      </c>
      <c r="AH505" s="13">
        <f t="shared" si="141"/>
        <v>8992.6668000000009</v>
      </c>
      <c r="AI505" s="13">
        <f t="shared" si="142"/>
        <v>6186.3437999999996</v>
      </c>
      <c r="AJ505" s="13">
        <f t="shared" si="143"/>
        <v>2806.3230000000012</v>
      </c>
    </row>
    <row r="506" spans="1:36" x14ac:dyDescent="0.45">
      <c r="A506" s="3" t="s">
        <v>635</v>
      </c>
      <c r="B506" s="5">
        <v>45764</v>
      </c>
      <c r="C506" s="5">
        <v>45780</v>
      </c>
      <c r="D506" s="5">
        <f t="shared" si="144"/>
        <v>45764</v>
      </c>
      <c r="E506" s="5">
        <f t="shared" si="145"/>
        <v>45780</v>
      </c>
      <c r="F506" s="7">
        <f t="shared" si="146"/>
        <v>16</v>
      </c>
      <c r="G506" s="23" t="str">
        <f t="shared" si="147"/>
        <v>4-2025</v>
      </c>
      <c r="H506" s="3" t="s">
        <v>648</v>
      </c>
      <c r="I506" s="3" t="s">
        <v>655</v>
      </c>
      <c r="J506" s="3" t="s">
        <v>692</v>
      </c>
      <c r="K506" s="3" t="s">
        <v>704</v>
      </c>
      <c r="L506" s="3" t="s">
        <v>709</v>
      </c>
      <c r="M506" s="3" t="s">
        <v>713</v>
      </c>
      <c r="N506" s="3" t="s">
        <v>729</v>
      </c>
      <c r="O506" s="3" t="s">
        <v>1353</v>
      </c>
      <c r="P506" s="19">
        <v>168.68</v>
      </c>
      <c r="Q506" s="19">
        <v>413.34</v>
      </c>
      <c r="R506" s="15">
        <v>0.186</v>
      </c>
      <c r="S506" s="7">
        <v>7</v>
      </c>
      <c r="T506" s="13">
        <f t="shared" si="135"/>
        <v>2355.2113199999999</v>
      </c>
      <c r="U506" s="13">
        <f t="shared" si="136"/>
        <v>1180.76</v>
      </c>
      <c r="V506" s="13">
        <f t="shared" si="148"/>
        <v>1174.4513199999999</v>
      </c>
      <c r="W506" s="15">
        <f t="shared" si="149"/>
        <v>0.49866069767361682</v>
      </c>
      <c r="X506" s="17" t="str">
        <f t="shared" si="150"/>
        <v>Q2-2025</v>
      </c>
      <c r="Y506" t="str">
        <f t="shared" si="151"/>
        <v>Americas → Brazil → Rio de Janeiro</v>
      </c>
      <c r="Z506" t="str">
        <f t="shared" si="152"/>
        <v>Low</v>
      </c>
      <c r="AA506">
        <f t="shared" si="137"/>
        <v>2025</v>
      </c>
      <c r="AB506">
        <f t="shared" si="138"/>
        <v>4</v>
      </c>
      <c r="AC506" t="str">
        <f t="shared" si="139"/>
        <v>No</v>
      </c>
      <c r="AD506" t="str">
        <f t="shared" si="140"/>
        <v>No</v>
      </c>
      <c r="AE506" s="36">
        <f>IF(Dashboard!$P$47&gt;'Staging Data'!R506,'Staging Data'!R506,Dashboard!$P$47)</f>
        <v>0.1</v>
      </c>
      <c r="AF506">
        <f>(100%+Dashboard!$P$48)*'Staging Data'!P506</f>
        <v>177.114</v>
      </c>
      <c r="AG506">
        <f>(100%+Dashboard!$P$49)*S506</f>
        <v>7.28</v>
      </c>
      <c r="AH506" s="13">
        <f t="shared" si="141"/>
        <v>2708.2036799999996</v>
      </c>
      <c r="AI506" s="13">
        <f t="shared" si="142"/>
        <v>1289.3899200000001</v>
      </c>
      <c r="AJ506" s="13">
        <f t="shared" si="143"/>
        <v>1418.8137599999995</v>
      </c>
    </row>
    <row r="507" spans="1:36" x14ac:dyDescent="0.45">
      <c r="A507" s="3" t="s">
        <v>519</v>
      </c>
      <c r="B507" s="5">
        <v>45387</v>
      </c>
      <c r="C507" s="5">
        <v>45391</v>
      </c>
      <c r="D507" s="5">
        <f t="shared" si="144"/>
        <v>45387</v>
      </c>
      <c r="E507" s="5">
        <f t="shared" si="145"/>
        <v>45391</v>
      </c>
      <c r="F507" s="7">
        <f t="shared" si="146"/>
        <v>4</v>
      </c>
      <c r="G507" s="23" t="str">
        <f t="shared" si="147"/>
        <v>4-2024</v>
      </c>
      <c r="H507" s="3" t="s">
        <v>646</v>
      </c>
      <c r="I507" s="3" t="s">
        <v>651</v>
      </c>
      <c r="J507" s="3" t="s">
        <v>665</v>
      </c>
      <c r="K507" s="3" t="s">
        <v>703</v>
      </c>
      <c r="L507" s="3" t="s">
        <v>711</v>
      </c>
      <c r="M507" s="3" t="s">
        <v>723</v>
      </c>
      <c r="N507" s="3" t="s">
        <v>727</v>
      </c>
      <c r="O507" s="3" t="s">
        <v>1238</v>
      </c>
      <c r="P507" s="19">
        <v>395.07</v>
      </c>
      <c r="Q507" s="19">
        <v>970.27</v>
      </c>
      <c r="R507" s="15">
        <v>0.123</v>
      </c>
      <c r="S507" s="7">
        <v>38</v>
      </c>
      <c r="T507" s="13">
        <f t="shared" si="135"/>
        <v>32335.21802</v>
      </c>
      <c r="U507" s="13">
        <f t="shared" si="136"/>
        <v>15012.66</v>
      </c>
      <c r="V507" s="13">
        <f t="shared" si="148"/>
        <v>17322.55802</v>
      </c>
      <c r="W507" s="15">
        <f t="shared" si="149"/>
        <v>0.53571799049833657</v>
      </c>
      <c r="X507" s="17" t="str">
        <f t="shared" si="150"/>
        <v>Q2-2024</v>
      </c>
      <c r="Y507" t="str">
        <f t="shared" si="151"/>
        <v>Africa → Nigeria → Lagos</v>
      </c>
      <c r="Z507" t="str">
        <f t="shared" si="152"/>
        <v>Low</v>
      </c>
      <c r="AA507">
        <f t="shared" si="137"/>
        <v>2024</v>
      </c>
      <c r="AB507">
        <f t="shared" si="138"/>
        <v>4</v>
      </c>
      <c r="AC507" t="str">
        <f t="shared" si="139"/>
        <v>Yes</v>
      </c>
      <c r="AD507" t="str">
        <f t="shared" si="140"/>
        <v>No</v>
      </c>
      <c r="AE507" s="36">
        <f>IF(Dashboard!$P$47&gt;'Staging Data'!R507,'Staging Data'!R507,Dashboard!$P$47)</f>
        <v>0.1</v>
      </c>
      <c r="AF507">
        <f>(100%+Dashboard!$P$48)*'Staging Data'!P507</f>
        <v>414.82350000000002</v>
      </c>
      <c r="AG507">
        <f>(100%+Dashboard!$P$49)*S507</f>
        <v>39.520000000000003</v>
      </c>
      <c r="AH507" s="13">
        <f t="shared" si="141"/>
        <v>34510.563360000007</v>
      </c>
      <c r="AI507" s="13">
        <f t="shared" si="142"/>
        <v>16393.824720000001</v>
      </c>
      <c r="AJ507" s="13">
        <f t="shared" si="143"/>
        <v>18116.738640000007</v>
      </c>
    </row>
    <row r="508" spans="1:36" x14ac:dyDescent="0.45">
      <c r="A508" s="3" t="s">
        <v>520</v>
      </c>
      <c r="B508" s="5">
        <v>45774</v>
      </c>
      <c r="C508" s="5">
        <v>45794</v>
      </c>
      <c r="D508" s="5">
        <f t="shared" si="144"/>
        <v>45774</v>
      </c>
      <c r="E508" s="5">
        <f t="shared" si="145"/>
        <v>45794</v>
      </c>
      <c r="F508" s="7">
        <f t="shared" si="146"/>
        <v>20</v>
      </c>
      <c r="G508" s="23" t="str">
        <f t="shared" si="147"/>
        <v>4-2025</v>
      </c>
      <c r="H508" s="3" t="s">
        <v>648</v>
      </c>
      <c r="I508" s="3" t="s">
        <v>660</v>
      </c>
      <c r="J508" s="3" t="s">
        <v>697</v>
      </c>
      <c r="K508" s="3" t="s">
        <v>701</v>
      </c>
      <c r="L508" s="3" t="s">
        <v>711</v>
      </c>
      <c r="M508" s="3" t="s">
        <v>725</v>
      </c>
      <c r="N508" s="3" t="s">
        <v>730</v>
      </c>
      <c r="O508" s="3" t="s">
        <v>1239</v>
      </c>
      <c r="P508" s="19">
        <v>932.26</v>
      </c>
      <c r="Q508" s="19">
        <v>1624.67</v>
      </c>
      <c r="R508" s="15">
        <v>0.23499999999999999</v>
      </c>
      <c r="S508" s="7">
        <v>28</v>
      </c>
      <c r="T508" s="13">
        <f t="shared" si="135"/>
        <v>34800.431400000001</v>
      </c>
      <c r="U508" s="13">
        <f t="shared" si="136"/>
        <v>26103.279999999999</v>
      </c>
      <c r="V508" s="13">
        <f t="shared" si="148"/>
        <v>8697.1514000000025</v>
      </c>
      <c r="W508" s="15">
        <f t="shared" si="149"/>
        <v>0.24991504559337163</v>
      </c>
      <c r="X508" s="17" t="str">
        <f t="shared" si="150"/>
        <v>Q2-2025</v>
      </c>
      <c r="Y508" t="str">
        <f t="shared" si="151"/>
        <v>Americas → USA → Austin</v>
      </c>
      <c r="Z508" t="str">
        <f t="shared" si="152"/>
        <v>Medium</v>
      </c>
      <c r="AA508">
        <f t="shared" si="137"/>
        <v>2025</v>
      </c>
      <c r="AB508">
        <f t="shared" si="138"/>
        <v>4</v>
      </c>
      <c r="AC508" t="str">
        <f t="shared" si="139"/>
        <v>No</v>
      </c>
      <c r="AD508" t="str">
        <f t="shared" si="140"/>
        <v>Yes</v>
      </c>
      <c r="AE508" s="36">
        <f>IF(Dashboard!$P$47&gt;'Staging Data'!R508,'Staging Data'!R508,Dashboard!$P$47)</f>
        <v>0.1</v>
      </c>
      <c r="AF508">
        <f>(100%+Dashboard!$P$48)*'Staging Data'!P508</f>
        <v>978.87300000000005</v>
      </c>
      <c r="AG508">
        <f>(100%+Dashboard!$P$49)*S508</f>
        <v>29.12</v>
      </c>
      <c r="AH508" s="13">
        <f t="shared" si="141"/>
        <v>42579.351360000008</v>
      </c>
      <c r="AI508" s="13">
        <f t="shared" si="142"/>
        <v>28504.781760000002</v>
      </c>
      <c r="AJ508" s="13">
        <f t="shared" si="143"/>
        <v>14074.569600000006</v>
      </c>
    </row>
    <row r="509" spans="1:36" x14ac:dyDescent="0.45">
      <c r="A509" s="3" t="s">
        <v>521</v>
      </c>
      <c r="B509" s="5">
        <v>45589</v>
      </c>
      <c r="C509" s="5">
        <v>45593</v>
      </c>
      <c r="D509" s="5">
        <f t="shared" si="144"/>
        <v>45589</v>
      </c>
      <c r="E509" s="5">
        <f t="shared" si="145"/>
        <v>45593</v>
      </c>
      <c r="F509" s="7">
        <f t="shared" si="146"/>
        <v>4</v>
      </c>
      <c r="G509" s="23" t="str">
        <f t="shared" si="147"/>
        <v>10-2024</v>
      </c>
      <c r="H509" s="3" t="s">
        <v>647</v>
      </c>
      <c r="I509" s="3" t="s">
        <v>659</v>
      </c>
      <c r="J509" s="3" t="s">
        <v>685</v>
      </c>
      <c r="K509" s="3" t="s">
        <v>705</v>
      </c>
      <c r="L509" s="3" t="s">
        <v>710</v>
      </c>
      <c r="M509" s="3" t="s">
        <v>714</v>
      </c>
      <c r="N509" s="3" t="s">
        <v>729</v>
      </c>
      <c r="O509" s="3" t="s">
        <v>1240</v>
      </c>
      <c r="P509" s="19">
        <v>1331.77</v>
      </c>
      <c r="Q509" s="19">
        <v>2606.11</v>
      </c>
      <c r="R509" s="15">
        <v>0.02</v>
      </c>
      <c r="S509" s="7">
        <v>6</v>
      </c>
      <c r="T509" s="13">
        <f t="shared" si="135"/>
        <v>15323.926799999999</v>
      </c>
      <c r="U509" s="13">
        <f t="shared" si="136"/>
        <v>7990.62</v>
      </c>
      <c r="V509" s="13">
        <f t="shared" si="148"/>
        <v>7333.3067999999994</v>
      </c>
      <c r="W509" s="15">
        <f t="shared" si="149"/>
        <v>0.47855271665745619</v>
      </c>
      <c r="X509" s="17" t="str">
        <f t="shared" si="150"/>
        <v>Q4-2024</v>
      </c>
      <c r="Y509" t="str">
        <f t="shared" si="151"/>
        <v>Asia → China → Shanghai</v>
      </c>
      <c r="Z509" t="str">
        <f t="shared" si="152"/>
        <v>High</v>
      </c>
      <c r="AA509">
        <f t="shared" si="137"/>
        <v>2024</v>
      </c>
      <c r="AB509">
        <f t="shared" si="138"/>
        <v>10</v>
      </c>
      <c r="AC509" t="str">
        <f t="shared" si="139"/>
        <v>Yes</v>
      </c>
      <c r="AD509" t="str">
        <f t="shared" si="140"/>
        <v>No</v>
      </c>
      <c r="AE509" s="36">
        <f>IF(Dashboard!$P$47&gt;'Staging Data'!R509,'Staging Data'!R509,Dashboard!$P$47)</f>
        <v>0.02</v>
      </c>
      <c r="AF509">
        <f>(100%+Dashboard!$P$48)*'Staging Data'!P509</f>
        <v>1398.3585</v>
      </c>
      <c r="AG509">
        <f>(100%+Dashboard!$P$49)*S509</f>
        <v>6.24</v>
      </c>
      <c r="AH509" s="13">
        <f t="shared" si="141"/>
        <v>15936.883872</v>
      </c>
      <c r="AI509" s="13">
        <f t="shared" si="142"/>
        <v>8725.7570400000004</v>
      </c>
      <c r="AJ509" s="13">
        <f t="shared" si="143"/>
        <v>7211.1268319999999</v>
      </c>
    </row>
    <row r="510" spans="1:36" x14ac:dyDescent="0.45">
      <c r="A510" s="3" t="s">
        <v>522</v>
      </c>
      <c r="B510" s="5">
        <v>45029</v>
      </c>
      <c r="C510" s="5">
        <v>45036</v>
      </c>
      <c r="D510" s="5">
        <f t="shared" si="144"/>
        <v>45029</v>
      </c>
      <c r="E510" s="5">
        <f t="shared" si="145"/>
        <v>45036</v>
      </c>
      <c r="F510" s="7">
        <f t="shared" si="146"/>
        <v>7</v>
      </c>
      <c r="G510" s="23" t="str">
        <f t="shared" si="147"/>
        <v>4-2023</v>
      </c>
      <c r="H510" s="3" t="s">
        <v>649</v>
      </c>
      <c r="I510" s="3" t="s">
        <v>657</v>
      </c>
      <c r="J510" s="3" t="s">
        <v>679</v>
      </c>
      <c r="K510" s="3" t="s">
        <v>705</v>
      </c>
      <c r="L510" s="3" t="s">
        <v>708</v>
      </c>
      <c r="M510" s="3" t="s">
        <v>720</v>
      </c>
      <c r="N510" s="3" t="s">
        <v>731</v>
      </c>
      <c r="O510" s="3" t="s">
        <v>1241</v>
      </c>
      <c r="P510" s="19">
        <v>227.02</v>
      </c>
      <c r="Q510" s="19">
        <v>434.72</v>
      </c>
      <c r="R510" s="15">
        <v>9.8000000000000004E-2</v>
      </c>
      <c r="S510" s="7">
        <v>10</v>
      </c>
      <c r="T510" s="13">
        <f t="shared" si="135"/>
        <v>3921.1744000000008</v>
      </c>
      <c r="U510" s="13">
        <f t="shared" si="136"/>
        <v>2270.2000000000003</v>
      </c>
      <c r="V510" s="13">
        <f t="shared" si="148"/>
        <v>1650.9744000000005</v>
      </c>
      <c r="W510" s="15">
        <f t="shared" si="149"/>
        <v>0.42104079838938052</v>
      </c>
      <c r="X510" s="17" t="str">
        <f t="shared" si="150"/>
        <v>Q2-2023</v>
      </c>
      <c r="Y510" t="str">
        <f t="shared" si="151"/>
        <v>Europe → France → Lyon</v>
      </c>
      <c r="Z510" t="str">
        <f t="shared" si="152"/>
        <v>Low</v>
      </c>
      <c r="AA510">
        <f t="shared" si="137"/>
        <v>2023</v>
      </c>
      <c r="AB510">
        <f t="shared" si="138"/>
        <v>4</v>
      </c>
      <c r="AC510" t="str">
        <f t="shared" si="139"/>
        <v>Yes</v>
      </c>
      <c r="AD510" t="str">
        <f t="shared" si="140"/>
        <v>No</v>
      </c>
      <c r="AE510" s="36">
        <f>IF(Dashboard!$P$47&gt;'Staging Data'!R510,'Staging Data'!R510,Dashboard!$P$47)</f>
        <v>9.8000000000000004E-2</v>
      </c>
      <c r="AF510">
        <f>(100%+Dashboard!$P$48)*'Staging Data'!P510</f>
        <v>238.37100000000001</v>
      </c>
      <c r="AG510">
        <f>(100%+Dashboard!$P$49)*S510</f>
        <v>10.4</v>
      </c>
      <c r="AH510" s="13">
        <f t="shared" si="141"/>
        <v>4078.0213760000006</v>
      </c>
      <c r="AI510" s="13">
        <f t="shared" si="142"/>
        <v>2479.0584000000003</v>
      </c>
      <c r="AJ510" s="13">
        <f t="shared" si="143"/>
        <v>1598.9629760000003</v>
      </c>
    </row>
    <row r="511" spans="1:36" x14ac:dyDescent="0.45">
      <c r="A511" s="3" t="s">
        <v>523</v>
      </c>
      <c r="B511" s="5">
        <v>45608</v>
      </c>
      <c r="C511" s="5">
        <v>45617</v>
      </c>
      <c r="D511" s="5">
        <f t="shared" si="144"/>
        <v>45608</v>
      </c>
      <c r="E511" s="5">
        <f t="shared" si="145"/>
        <v>45617</v>
      </c>
      <c r="F511" s="7">
        <f t="shared" si="146"/>
        <v>9</v>
      </c>
      <c r="G511" s="23" t="str">
        <f t="shared" si="147"/>
        <v>11-2024</v>
      </c>
      <c r="H511" s="3" t="s">
        <v>647</v>
      </c>
      <c r="I511" s="3" t="s">
        <v>654</v>
      </c>
      <c r="J511" s="3" t="s">
        <v>691</v>
      </c>
      <c r="K511" s="3" t="s">
        <v>701</v>
      </c>
      <c r="L511" s="3" t="s">
        <v>711</v>
      </c>
      <c r="M511" s="3" t="s">
        <v>722</v>
      </c>
      <c r="N511" s="3" t="s">
        <v>731</v>
      </c>
      <c r="O511" s="3" t="s">
        <v>1242</v>
      </c>
      <c r="P511" s="19">
        <v>903.41</v>
      </c>
      <c r="Q511" s="19">
        <v>1860.41</v>
      </c>
      <c r="R511" s="15">
        <v>0.108</v>
      </c>
      <c r="S511" s="7">
        <v>5</v>
      </c>
      <c r="T511" s="13">
        <f t="shared" si="135"/>
        <v>8297.4286000000011</v>
      </c>
      <c r="U511" s="13">
        <f t="shared" si="136"/>
        <v>4517.05</v>
      </c>
      <c r="V511" s="13">
        <f t="shared" si="148"/>
        <v>3780.3786000000009</v>
      </c>
      <c r="W511" s="15">
        <f t="shared" si="149"/>
        <v>0.455608451996803</v>
      </c>
      <c r="X511" s="17" t="str">
        <f t="shared" si="150"/>
        <v>Q4-2024</v>
      </c>
      <c r="Y511" t="str">
        <f t="shared" si="151"/>
        <v>Asia → India → Mumbai</v>
      </c>
      <c r="Z511" t="str">
        <f t="shared" si="152"/>
        <v>Medium</v>
      </c>
      <c r="AA511">
        <f t="shared" si="137"/>
        <v>2024</v>
      </c>
      <c r="AB511">
        <f t="shared" si="138"/>
        <v>11</v>
      </c>
      <c r="AC511" t="str">
        <f t="shared" si="139"/>
        <v>No</v>
      </c>
      <c r="AD511" t="str">
        <f t="shared" si="140"/>
        <v>No</v>
      </c>
      <c r="AE511" s="36">
        <f>IF(Dashboard!$P$47&gt;'Staging Data'!R511,'Staging Data'!R511,Dashboard!$P$47)</f>
        <v>0.1</v>
      </c>
      <c r="AF511">
        <f>(100%+Dashboard!$P$48)*'Staging Data'!P511</f>
        <v>948.58050000000003</v>
      </c>
      <c r="AG511">
        <f>(100%+Dashboard!$P$49)*S511</f>
        <v>5.2</v>
      </c>
      <c r="AH511" s="13">
        <f t="shared" si="141"/>
        <v>8706.7188000000024</v>
      </c>
      <c r="AI511" s="13">
        <f t="shared" si="142"/>
        <v>4932.6186000000007</v>
      </c>
      <c r="AJ511" s="13">
        <f t="shared" si="143"/>
        <v>3774.1002000000017</v>
      </c>
    </row>
    <row r="512" spans="1:36" x14ac:dyDescent="0.45">
      <c r="A512" s="3" t="s">
        <v>524</v>
      </c>
      <c r="B512" s="5">
        <v>45056</v>
      </c>
      <c r="C512" s="5">
        <v>45060</v>
      </c>
      <c r="D512" s="5">
        <f t="shared" si="144"/>
        <v>45056</v>
      </c>
      <c r="E512" s="5">
        <f t="shared" si="145"/>
        <v>45060</v>
      </c>
      <c r="F512" s="7">
        <f t="shared" si="146"/>
        <v>4</v>
      </c>
      <c r="G512" s="23" t="str">
        <f t="shared" si="147"/>
        <v>5-2023</v>
      </c>
      <c r="H512" s="3" t="s">
        <v>647</v>
      </c>
      <c r="I512" s="3" t="s">
        <v>654</v>
      </c>
      <c r="J512" s="3" t="s">
        <v>680</v>
      </c>
      <c r="K512" s="3" t="s">
        <v>703</v>
      </c>
      <c r="L512" s="3" t="s">
        <v>710</v>
      </c>
      <c r="M512" s="3" t="s">
        <v>712</v>
      </c>
      <c r="N512" s="3" t="s">
        <v>732</v>
      </c>
      <c r="O512" s="3" t="s">
        <v>1243</v>
      </c>
      <c r="P512" s="19">
        <v>622.6</v>
      </c>
      <c r="Q512" s="19">
        <v>833.69</v>
      </c>
      <c r="R512" s="15">
        <v>0.20899999999999999</v>
      </c>
      <c r="S512" s="7">
        <v>14</v>
      </c>
      <c r="T512" s="13">
        <f t="shared" si="135"/>
        <v>9232.2830599999998</v>
      </c>
      <c r="U512" s="13">
        <f t="shared" si="136"/>
        <v>8716.4</v>
      </c>
      <c r="V512" s="13">
        <f t="shared" si="148"/>
        <v>515.88306000000011</v>
      </c>
      <c r="W512" s="15">
        <f t="shared" si="149"/>
        <v>5.5878167582959715E-2</v>
      </c>
      <c r="X512" s="17" t="str">
        <f t="shared" si="150"/>
        <v>Q2-2023</v>
      </c>
      <c r="Y512" t="str">
        <f t="shared" si="151"/>
        <v>Asia → India → Delhi</v>
      </c>
      <c r="Z512" t="str">
        <f t="shared" si="152"/>
        <v>Low</v>
      </c>
      <c r="AA512">
        <f t="shared" si="137"/>
        <v>2023</v>
      </c>
      <c r="AB512">
        <f t="shared" si="138"/>
        <v>5</v>
      </c>
      <c r="AC512" t="str">
        <f t="shared" si="139"/>
        <v>Yes</v>
      </c>
      <c r="AD512" t="str">
        <f t="shared" si="140"/>
        <v>Yes</v>
      </c>
      <c r="AE512" s="36">
        <f>IF(Dashboard!$P$47&gt;'Staging Data'!R512,'Staging Data'!R512,Dashboard!$P$47)</f>
        <v>0.1</v>
      </c>
      <c r="AF512">
        <f>(100%+Dashboard!$P$48)*'Staging Data'!P512</f>
        <v>653.73</v>
      </c>
      <c r="AG512">
        <f>(100%+Dashboard!$P$49)*S512</f>
        <v>14.56</v>
      </c>
      <c r="AH512" s="13">
        <f t="shared" si="141"/>
        <v>10924.673760000001</v>
      </c>
      <c r="AI512" s="13">
        <f t="shared" si="142"/>
        <v>9518.3088000000007</v>
      </c>
      <c r="AJ512" s="13">
        <f t="shared" si="143"/>
        <v>1406.3649600000008</v>
      </c>
    </row>
    <row r="513" spans="1:36" x14ac:dyDescent="0.45">
      <c r="A513" s="3" t="s">
        <v>525</v>
      </c>
      <c r="B513" s="5">
        <v>45353</v>
      </c>
      <c r="C513" s="5">
        <v>45374</v>
      </c>
      <c r="D513" s="5">
        <f t="shared" si="144"/>
        <v>45353</v>
      </c>
      <c r="E513" s="5">
        <f t="shared" si="145"/>
        <v>45374</v>
      </c>
      <c r="F513" s="7">
        <f t="shared" si="146"/>
        <v>21</v>
      </c>
      <c r="G513" s="23" t="str">
        <f t="shared" si="147"/>
        <v>3-2024</v>
      </c>
      <c r="H513" s="3" t="s">
        <v>648</v>
      </c>
      <c r="I513" s="3" t="s">
        <v>660</v>
      </c>
      <c r="J513" s="3" t="s">
        <v>677</v>
      </c>
      <c r="K513" s="3" t="s">
        <v>705</v>
      </c>
      <c r="L513" s="3" t="s">
        <v>708</v>
      </c>
      <c r="M513" s="3" t="s">
        <v>721</v>
      </c>
      <c r="N513" s="3" t="s">
        <v>727</v>
      </c>
      <c r="O513" s="3" t="s">
        <v>1244</v>
      </c>
      <c r="P513" s="19">
        <v>225.01</v>
      </c>
      <c r="Q513" s="19">
        <v>333.48</v>
      </c>
      <c r="R513" s="15">
        <v>0.11899999999999999</v>
      </c>
      <c r="S513" s="7">
        <v>12</v>
      </c>
      <c r="T513" s="13">
        <f t="shared" si="135"/>
        <v>3525.5505600000001</v>
      </c>
      <c r="U513" s="13">
        <f t="shared" si="136"/>
        <v>2700.12</v>
      </c>
      <c r="V513" s="13">
        <f t="shared" si="148"/>
        <v>825.43056000000024</v>
      </c>
      <c r="W513" s="15">
        <f t="shared" si="149"/>
        <v>0.23412813004729685</v>
      </c>
      <c r="X513" s="17" t="str">
        <f t="shared" si="150"/>
        <v>Q1-2024</v>
      </c>
      <c r="Y513" t="str">
        <f t="shared" si="151"/>
        <v>Americas → USA → Chicago</v>
      </c>
      <c r="Z513" t="str">
        <f t="shared" si="152"/>
        <v>Low</v>
      </c>
      <c r="AA513">
        <f t="shared" si="137"/>
        <v>2024</v>
      </c>
      <c r="AB513">
        <f t="shared" si="138"/>
        <v>3</v>
      </c>
      <c r="AC513" t="str">
        <f t="shared" si="139"/>
        <v>No</v>
      </c>
      <c r="AD513" t="str">
        <f t="shared" si="140"/>
        <v>No</v>
      </c>
      <c r="AE513" s="36">
        <f>IF(Dashboard!$P$47&gt;'Staging Data'!R513,'Staging Data'!R513,Dashboard!$P$47)</f>
        <v>0.1</v>
      </c>
      <c r="AF513">
        <f>(100%+Dashboard!$P$48)*'Staging Data'!P513</f>
        <v>236.26050000000001</v>
      </c>
      <c r="AG513">
        <f>(100%+Dashboard!$P$49)*S513</f>
        <v>12.48</v>
      </c>
      <c r="AH513" s="13">
        <f t="shared" si="141"/>
        <v>3745.6473600000008</v>
      </c>
      <c r="AI513" s="13">
        <f t="shared" si="142"/>
        <v>2948.5310400000003</v>
      </c>
      <c r="AJ513" s="13">
        <f t="shared" si="143"/>
        <v>797.11632000000054</v>
      </c>
    </row>
    <row r="514" spans="1:36" x14ac:dyDescent="0.45">
      <c r="A514" s="3" t="s">
        <v>526</v>
      </c>
      <c r="B514" s="5">
        <v>45575</v>
      </c>
      <c r="C514" s="5">
        <v>45576</v>
      </c>
      <c r="D514" s="5">
        <f t="shared" si="144"/>
        <v>45575</v>
      </c>
      <c r="E514" s="5">
        <f t="shared" si="145"/>
        <v>45576</v>
      </c>
      <c r="F514" s="7">
        <f t="shared" si="146"/>
        <v>1</v>
      </c>
      <c r="G514" s="23" t="str">
        <f t="shared" si="147"/>
        <v>10-2024</v>
      </c>
      <c r="H514" s="3" t="s">
        <v>649</v>
      </c>
      <c r="I514" s="3" t="s">
        <v>658</v>
      </c>
      <c r="J514" s="3" t="s">
        <v>693</v>
      </c>
      <c r="K514" s="3" t="s">
        <v>703</v>
      </c>
      <c r="L514" s="3" t="s">
        <v>710</v>
      </c>
      <c r="M514" s="3" t="s">
        <v>716</v>
      </c>
      <c r="N514" s="3" t="s">
        <v>727</v>
      </c>
      <c r="O514" s="3" t="s">
        <v>1245</v>
      </c>
      <c r="P514" s="19">
        <v>1389.46</v>
      </c>
      <c r="Q514" s="19">
        <v>1784.7</v>
      </c>
      <c r="R514" s="15">
        <v>0.14599999999999999</v>
      </c>
      <c r="S514" s="7">
        <v>33</v>
      </c>
      <c r="T514" s="13">
        <f t="shared" si="135"/>
        <v>50296.415399999998</v>
      </c>
      <c r="U514" s="13">
        <f t="shared" si="136"/>
        <v>45852.18</v>
      </c>
      <c r="V514" s="13">
        <f t="shared" si="148"/>
        <v>4444.2353999999978</v>
      </c>
      <c r="W514" s="15">
        <f t="shared" si="149"/>
        <v>8.8360877503011831E-2</v>
      </c>
      <c r="X514" s="17" t="str">
        <f t="shared" si="150"/>
        <v>Q4-2024</v>
      </c>
      <c r="Y514" t="str">
        <f t="shared" si="151"/>
        <v>Europe → United Kingdom → Manchester</v>
      </c>
      <c r="Z514" t="str">
        <f t="shared" si="152"/>
        <v>Medium</v>
      </c>
      <c r="AA514">
        <f t="shared" si="137"/>
        <v>2024</v>
      </c>
      <c r="AB514">
        <f t="shared" si="138"/>
        <v>10</v>
      </c>
      <c r="AC514" t="str">
        <f t="shared" si="139"/>
        <v>Yes</v>
      </c>
      <c r="AD514" t="str">
        <f t="shared" si="140"/>
        <v>No</v>
      </c>
      <c r="AE514" s="36">
        <f>IF(Dashboard!$P$47&gt;'Staging Data'!R514,'Staging Data'!R514,Dashboard!$P$47)</f>
        <v>0.1</v>
      </c>
      <c r="AF514">
        <f>(100%+Dashboard!$P$48)*'Staging Data'!P514</f>
        <v>1458.933</v>
      </c>
      <c r="AG514">
        <f>(100%+Dashboard!$P$49)*S514</f>
        <v>34.32</v>
      </c>
      <c r="AH514" s="13">
        <f t="shared" si="141"/>
        <v>55125.813600000001</v>
      </c>
      <c r="AI514" s="13">
        <f t="shared" si="142"/>
        <v>50070.580560000002</v>
      </c>
      <c r="AJ514" s="13">
        <f t="shared" si="143"/>
        <v>5055.2330399999992</v>
      </c>
    </row>
    <row r="515" spans="1:36" x14ac:dyDescent="0.45">
      <c r="A515" s="3" t="s">
        <v>527</v>
      </c>
      <c r="B515" s="5">
        <v>45078</v>
      </c>
      <c r="C515" s="5">
        <v>45085</v>
      </c>
      <c r="D515" s="5">
        <f t="shared" si="144"/>
        <v>45078</v>
      </c>
      <c r="E515" s="5">
        <f t="shared" si="145"/>
        <v>45085</v>
      </c>
      <c r="F515" s="7">
        <f t="shared" si="146"/>
        <v>7</v>
      </c>
      <c r="G515" s="23" t="str">
        <f t="shared" si="147"/>
        <v>6-2023</v>
      </c>
      <c r="H515" s="3" t="s">
        <v>649</v>
      </c>
      <c r="I515" s="3" t="s">
        <v>656</v>
      </c>
      <c r="J515" s="3" t="s">
        <v>698</v>
      </c>
      <c r="K515" s="3" t="s">
        <v>704</v>
      </c>
      <c r="L515" s="3" t="s">
        <v>708</v>
      </c>
      <c r="M515" s="3" t="s">
        <v>720</v>
      </c>
      <c r="N515" s="3" t="s">
        <v>730</v>
      </c>
      <c r="O515" s="3" t="s">
        <v>1246</v>
      </c>
      <c r="P515" s="19">
        <v>804.17</v>
      </c>
      <c r="Q515" s="19">
        <v>1072.29</v>
      </c>
      <c r="R515" s="15">
        <v>3.2000000000000001E-2</v>
      </c>
      <c r="S515" s="7">
        <v>5</v>
      </c>
      <c r="T515" s="13">
        <f t="shared" ref="T515:T578" si="153">(Q515*S515)*(1-R515)</f>
        <v>5189.8836000000001</v>
      </c>
      <c r="U515" s="13">
        <f t="shared" ref="U515:U578" si="154">P515*S515</f>
        <v>4020.85</v>
      </c>
      <c r="V515" s="13">
        <f t="shared" si="148"/>
        <v>1169.0336000000002</v>
      </c>
      <c r="W515" s="15">
        <f t="shared" si="149"/>
        <v>0.2252523736755869</v>
      </c>
      <c r="X515" s="17" t="str">
        <f t="shared" si="150"/>
        <v>Q2-2023</v>
      </c>
      <c r="Y515" t="str">
        <f t="shared" si="151"/>
        <v>Europe → Germany → Frankfurt</v>
      </c>
      <c r="Z515" t="str">
        <f t="shared" si="152"/>
        <v>Low</v>
      </c>
      <c r="AA515">
        <f t="shared" ref="AA515:AA578" si="155">YEAR(D515)</f>
        <v>2023</v>
      </c>
      <c r="AB515">
        <f t="shared" ref="AB515:AB578" si="156">MONTH(D515)</f>
        <v>6</v>
      </c>
      <c r="AC515" t="str">
        <f t="shared" ref="AC515:AC578" si="157">IF(F515&lt;=7,"Yes", "No")</f>
        <v>Yes</v>
      </c>
      <c r="AD515" t="str">
        <f t="shared" ref="AD515:AD578" si="158">IF(R515&gt;20%,"Yes","No")</f>
        <v>No</v>
      </c>
      <c r="AE515" s="36">
        <f>IF(Dashboard!$P$47&gt;'Staging Data'!R515,'Staging Data'!R515,Dashboard!$P$47)</f>
        <v>3.2000000000000001E-2</v>
      </c>
      <c r="AF515">
        <f>(100%+Dashboard!$P$48)*'Staging Data'!P515</f>
        <v>844.37850000000003</v>
      </c>
      <c r="AG515">
        <f>(100%+Dashboard!$P$49)*S515</f>
        <v>5.2</v>
      </c>
      <c r="AH515" s="13">
        <f t="shared" ref="AH515:AH578" si="159">(Q515*AG515)*(1-AE515)</f>
        <v>5397.4789440000004</v>
      </c>
      <c r="AI515" s="13">
        <f t="shared" ref="AI515:AI578" si="160">AF515*AG515</f>
        <v>4390.7682000000004</v>
      </c>
      <c r="AJ515" s="13">
        <f t="shared" ref="AJ515:AJ578" si="161">AH515-AI515</f>
        <v>1006.710744</v>
      </c>
    </row>
    <row r="516" spans="1:36" x14ac:dyDescent="0.45">
      <c r="A516" s="3" t="s">
        <v>528</v>
      </c>
      <c r="B516" s="5">
        <v>45661</v>
      </c>
      <c r="C516" s="5">
        <v>45662</v>
      </c>
      <c r="D516" s="5">
        <f t="shared" si="144"/>
        <v>45661</v>
      </c>
      <c r="E516" s="5">
        <f t="shared" si="145"/>
        <v>45662</v>
      </c>
      <c r="F516" s="7">
        <f t="shared" si="146"/>
        <v>1</v>
      </c>
      <c r="G516" s="23" t="str">
        <f t="shared" si="147"/>
        <v>1-2025</v>
      </c>
      <c r="H516" s="3" t="s">
        <v>647</v>
      </c>
      <c r="I516" s="3" t="s">
        <v>654</v>
      </c>
      <c r="J516" s="3" t="s">
        <v>680</v>
      </c>
      <c r="K516" s="3" t="s">
        <v>702</v>
      </c>
      <c r="L516" s="3" t="s">
        <v>707</v>
      </c>
      <c r="M516" s="3" t="s">
        <v>714</v>
      </c>
      <c r="N516" s="3" t="s">
        <v>727</v>
      </c>
      <c r="O516" s="3" t="s">
        <v>1247</v>
      </c>
      <c r="P516" s="19">
        <v>1428.33</v>
      </c>
      <c r="Q516" s="19">
        <v>3028.05</v>
      </c>
      <c r="R516" s="15">
        <v>0</v>
      </c>
      <c r="S516" s="7">
        <v>11</v>
      </c>
      <c r="T516" s="13">
        <f t="shared" si="153"/>
        <v>33308.550000000003</v>
      </c>
      <c r="U516" s="13">
        <f t="shared" si="154"/>
        <v>15711.63</v>
      </c>
      <c r="V516" s="13">
        <f t="shared" si="148"/>
        <v>17596.920000000006</v>
      </c>
      <c r="W516" s="15">
        <f t="shared" si="149"/>
        <v>0.52830039134096207</v>
      </c>
      <c r="X516" s="17" t="str">
        <f t="shared" si="150"/>
        <v>Q1-2025</v>
      </c>
      <c r="Y516" t="str">
        <f t="shared" si="151"/>
        <v>Asia → India → Delhi</v>
      </c>
      <c r="Z516" t="str">
        <f t="shared" si="152"/>
        <v>High</v>
      </c>
      <c r="AA516">
        <f t="shared" si="155"/>
        <v>2025</v>
      </c>
      <c r="AB516">
        <f t="shared" si="156"/>
        <v>1</v>
      </c>
      <c r="AC516" t="str">
        <f t="shared" si="157"/>
        <v>Yes</v>
      </c>
      <c r="AD516" t="str">
        <f t="shared" si="158"/>
        <v>No</v>
      </c>
      <c r="AE516" s="36">
        <f>IF(Dashboard!$P$47&gt;'Staging Data'!R516,'Staging Data'!R516,Dashboard!$P$47)</f>
        <v>0</v>
      </c>
      <c r="AF516">
        <f>(100%+Dashboard!$P$48)*'Staging Data'!P516</f>
        <v>1499.7465</v>
      </c>
      <c r="AG516">
        <f>(100%+Dashboard!$P$49)*S516</f>
        <v>11.440000000000001</v>
      </c>
      <c r="AH516" s="13">
        <f t="shared" si="159"/>
        <v>34640.892000000007</v>
      </c>
      <c r="AI516" s="13">
        <f t="shared" si="160"/>
        <v>17157.099960000003</v>
      </c>
      <c r="AJ516" s="13">
        <f t="shared" si="161"/>
        <v>17483.792040000004</v>
      </c>
    </row>
    <row r="517" spans="1:36" x14ac:dyDescent="0.45">
      <c r="A517" s="3" t="s">
        <v>529</v>
      </c>
      <c r="B517" s="5">
        <v>45874</v>
      </c>
      <c r="C517" s="5">
        <v>45897</v>
      </c>
      <c r="D517" s="5">
        <f t="shared" si="144"/>
        <v>45874</v>
      </c>
      <c r="E517" s="5">
        <f t="shared" si="145"/>
        <v>45897</v>
      </c>
      <c r="F517" s="7">
        <f t="shared" si="146"/>
        <v>23</v>
      </c>
      <c r="G517" s="23" t="str">
        <f t="shared" si="147"/>
        <v>8-2025</v>
      </c>
      <c r="H517" s="3" t="s">
        <v>647</v>
      </c>
      <c r="I517" s="3" t="s">
        <v>654</v>
      </c>
      <c r="J517" s="3" t="s">
        <v>691</v>
      </c>
      <c r="K517" s="3" t="s">
        <v>703</v>
      </c>
      <c r="L517" s="3" t="s">
        <v>710</v>
      </c>
      <c r="M517" s="3" t="s">
        <v>725</v>
      </c>
      <c r="N517" s="3" t="s">
        <v>731</v>
      </c>
      <c r="O517" s="3" t="s">
        <v>1248</v>
      </c>
      <c r="P517" s="19">
        <v>638.54</v>
      </c>
      <c r="Q517" s="19">
        <v>987.24</v>
      </c>
      <c r="R517" s="15">
        <v>0</v>
      </c>
      <c r="S517" s="7">
        <v>11</v>
      </c>
      <c r="T517" s="13">
        <f t="shared" si="153"/>
        <v>10859.64</v>
      </c>
      <c r="U517" s="13">
        <f t="shared" si="154"/>
        <v>7023.94</v>
      </c>
      <c r="V517" s="13">
        <f t="shared" si="148"/>
        <v>3835.7</v>
      </c>
      <c r="W517" s="15">
        <f t="shared" si="149"/>
        <v>0.35320692030306716</v>
      </c>
      <c r="X517" s="17" t="str">
        <f t="shared" si="150"/>
        <v>Q3-2025</v>
      </c>
      <c r="Y517" t="str">
        <f t="shared" si="151"/>
        <v>Asia → India → Mumbai</v>
      </c>
      <c r="Z517" t="str">
        <f t="shared" si="152"/>
        <v>Low</v>
      </c>
      <c r="AA517">
        <f t="shared" si="155"/>
        <v>2025</v>
      </c>
      <c r="AB517">
        <f t="shared" si="156"/>
        <v>8</v>
      </c>
      <c r="AC517" t="str">
        <f t="shared" si="157"/>
        <v>No</v>
      </c>
      <c r="AD517" t="str">
        <f t="shared" si="158"/>
        <v>No</v>
      </c>
      <c r="AE517" s="36">
        <f>IF(Dashboard!$P$47&gt;'Staging Data'!R517,'Staging Data'!R517,Dashboard!$P$47)</f>
        <v>0</v>
      </c>
      <c r="AF517">
        <f>(100%+Dashboard!$P$48)*'Staging Data'!P517</f>
        <v>670.46699999999998</v>
      </c>
      <c r="AG517">
        <f>(100%+Dashboard!$P$49)*S517</f>
        <v>11.440000000000001</v>
      </c>
      <c r="AH517" s="13">
        <f t="shared" si="159"/>
        <v>11294.025600000001</v>
      </c>
      <c r="AI517" s="13">
        <f t="shared" si="160"/>
        <v>7670.1424800000004</v>
      </c>
      <c r="AJ517" s="13">
        <f t="shared" si="161"/>
        <v>3623.8831200000004</v>
      </c>
    </row>
    <row r="518" spans="1:36" x14ac:dyDescent="0.45">
      <c r="A518" s="3" t="s">
        <v>530</v>
      </c>
      <c r="B518" s="5">
        <v>45199</v>
      </c>
      <c r="C518" s="5">
        <v>45229</v>
      </c>
      <c r="D518" s="5">
        <f t="shared" si="144"/>
        <v>45199</v>
      </c>
      <c r="E518" s="5">
        <f t="shared" si="145"/>
        <v>45229</v>
      </c>
      <c r="F518" s="7">
        <f t="shared" si="146"/>
        <v>30</v>
      </c>
      <c r="G518" s="23" t="str">
        <f t="shared" si="147"/>
        <v>9-2023</v>
      </c>
      <c r="H518" s="3" t="s">
        <v>647</v>
      </c>
      <c r="I518" s="3" t="s">
        <v>652</v>
      </c>
      <c r="J518" s="3" t="s">
        <v>689</v>
      </c>
      <c r="K518" s="3" t="s">
        <v>706</v>
      </c>
      <c r="L518" s="3" t="s">
        <v>708</v>
      </c>
      <c r="M518" s="3" t="s">
        <v>726</v>
      </c>
      <c r="N518" s="3" t="s">
        <v>728</v>
      </c>
      <c r="O518" s="3" t="s">
        <v>1249</v>
      </c>
      <c r="P518" s="19">
        <v>649.13</v>
      </c>
      <c r="Q518" s="19">
        <v>975.43</v>
      </c>
      <c r="R518" s="15">
        <v>0.157</v>
      </c>
      <c r="S518" s="7">
        <v>27</v>
      </c>
      <c r="T518" s="13">
        <f t="shared" si="153"/>
        <v>22201.762229999997</v>
      </c>
      <c r="U518" s="13">
        <f t="shared" si="154"/>
        <v>17526.509999999998</v>
      </c>
      <c r="V518" s="13">
        <f t="shared" si="148"/>
        <v>4675.2522299999982</v>
      </c>
      <c r="W518" s="15">
        <f t="shared" si="149"/>
        <v>0.21058023149543473</v>
      </c>
      <c r="X518" s="17" t="str">
        <f t="shared" si="150"/>
        <v>Q3-2023</v>
      </c>
      <c r="Y518" t="str">
        <f t="shared" si="151"/>
        <v>Asia → Japan → Tokyo</v>
      </c>
      <c r="Z518" t="str">
        <f t="shared" si="152"/>
        <v>Low</v>
      </c>
      <c r="AA518">
        <f t="shared" si="155"/>
        <v>2023</v>
      </c>
      <c r="AB518">
        <f t="shared" si="156"/>
        <v>9</v>
      </c>
      <c r="AC518" t="str">
        <f t="shared" si="157"/>
        <v>No</v>
      </c>
      <c r="AD518" t="str">
        <f t="shared" si="158"/>
        <v>No</v>
      </c>
      <c r="AE518" s="36">
        <f>IF(Dashboard!$P$47&gt;'Staging Data'!R518,'Staging Data'!R518,Dashboard!$P$47)</f>
        <v>0.1</v>
      </c>
      <c r="AF518">
        <f>(100%+Dashboard!$P$48)*'Staging Data'!P518</f>
        <v>681.5865</v>
      </c>
      <c r="AG518">
        <f>(100%+Dashboard!$P$49)*S518</f>
        <v>28.080000000000002</v>
      </c>
      <c r="AH518" s="13">
        <f t="shared" si="159"/>
        <v>24651.06696</v>
      </c>
      <c r="AI518" s="13">
        <f t="shared" si="160"/>
        <v>19138.948920000003</v>
      </c>
      <c r="AJ518" s="13">
        <f t="shared" si="161"/>
        <v>5512.1180399999976</v>
      </c>
    </row>
    <row r="519" spans="1:36" x14ac:dyDescent="0.45">
      <c r="A519" s="3" t="s">
        <v>347</v>
      </c>
      <c r="B519" s="5">
        <v>45245</v>
      </c>
      <c r="C519" s="5">
        <v>45266</v>
      </c>
      <c r="D519" s="5">
        <f t="shared" si="144"/>
        <v>45245</v>
      </c>
      <c r="E519" s="5">
        <f t="shared" si="145"/>
        <v>45266</v>
      </c>
      <c r="F519" s="7">
        <f t="shared" si="146"/>
        <v>21</v>
      </c>
      <c r="G519" s="23" t="str">
        <f t="shared" si="147"/>
        <v>11-2023</v>
      </c>
      <c r="H519" s="3" t="s">
        <v>649</v>
      </c>
      <c r="I519" s="3" t="s">
        <v>658</v>
      </c>
      <c r="J519" s="3" t="s">
        <v>693</v>
      </c>
      <c r="K519" s="3" t="s">
        <v>702</v>
      </c>
      <c r="L519" s="3" t="s">
        <v>711</v>
      </c>
      <c r="M519" s="3" t="s">
        <v>722</v>
      </c>
      <c r="N519" s="3" t="s">
        <v>733</v>
      </c>
      <c r="O519" s="3" t="s">
        <v>1067</v>
      </c>
      <c r="P519" s="19">
        <v>1184.99</v>
      </c>
      <c r="Q519" s="19">
        <v>1154.3399999999999</v>
      </c>
      <c r="R519" s="15">
        <v>2.8000000000000001E-2</v>
      </c>
      <c r="S519" s="7">
        <v>5</v>
      </c>
      <c r="T519" s="13">
        <f t="shared" si="153"/>
        <v>5610.0923999999995</v>
      </c>
      <c r="U519" s="13">
        <f t="shared" si="154"/>
        <v>5924.95</v>
      </c>
      <c r="V519" s="13">
        <f t="shared" si="148"/>
        <v>-314.85760000000028</v>
      </c>
      <c r="W519" s="15">
        <f t="shared" si="149"/>
        <v>-5.6123424990290764E-2</v>
      </c>
      <c r="X519" s="17" t="str">
        <f t="shared" si="150"/>
        <v>Q4-2023</v>
      </c>
      <c r="Y519" t="str">
        <f t="shared" si="151"/>
        <v>Europe → United Kingdom → Manchester</v>
      </c>
      <c r="Z519" t="str">
        <f t="shared" si="152"/>
        <v>Low</v>
      </c>
      <c r="AA519">
        <f t="shared" si="155"/>
        <v>2023</v>
      </c>
      <c r="AB519">
        <f t="shared" si="156"/>
        <v>11</v>
      </c>
      <c r="AC519" t="str">
        <f t="shared" si="157"/>
        <v>No</v>
      </c>
      <c r="AD519" t="str">
        <f t="shared" si="158"/>
        <v>No</v>
      </c>
      <c r="AE519" s="36">
        <f>IF(Dashboard!$P$47&gt;'Staging Data'!R519,'Staging Data'!R519,Dashboard!$P$47)</f>
        <v>2.8000000000000001E-2</v>
      </c>
      <c r="AF519">
        <f>(100%+Dashboard!$P$48)*'Staging Data'!P519</f>
        <v>1244.2395000000001</v>
      </c>
      <c r="AG519">
        <f>(100%+Dashboard!$P$49)*S519</f>
        <v>5.2</v>
      </c>
      <c r="AH519" s="13">
        <f t="shared" si="159"/>
        <v>5834.4960959999999</v>
      </c>
      <c r="AI519" s="13">
        <f t="shared" si="160"/>
        <v>6470.0454000000009</v>
      </c>
      <c r="AJ519" s="13">
        <f t="shared" si="161"/>
        <v>-635.54930400000103</v>
      </c>
    </row>
    <row r="520" spans="1:36" x14ac:dyDescent="0.45">
      <c r="A520" s="3" t="s">
        <v>532</v>
      </c>
      <c r="B520" s="5">
        <v>45413</v>
      </c>
      <c r="C520" s="5">
        <v>45438</v>
      </c>
      <c r="D520" s="5">
        <f t="shared" si="144"/>
        <v>45413</v>
      </c>
      <c r="E520" s="5">
        <f t="shared" si="145"/>
        <v>45438</v>
      </c>
      <c r="F520" s="7">
        <f t="shared" si="146"/>
        <v>25</v>
      </c>
      <c r="G520" s="23" t="str">
        <f t="shared" si="147"/>
        <v>5-2024</v>
      </c>
      <c r="H520" s="3" t="s">
        <v>649</v>
      </c>
      <c r="I520" s="3" t="s">
        <v>656</v>
      </c>
      <c r="J520" s="3" t="s">
        <v>671</v>
      </c>
      <c r="K520" s="3" t="s">
        <v>703</v>
      </c>
      <c r="L520" s="3" t="s">
        <v>707</v>
      </c>
      <c r="M520" s="3" t="s">
        <v>717</v>
      </c>
      <c r="N520" s="3" t="s">
        <v>729</v>
      </c>
      <c r="O520" s="3" t="s">
        <v>1251</v>
      </c>
      <c r="P520" s="19">
        <v>930.71</v>
      </c>
      <c r="Q520" s="19">
        <v>1625.42</v>
      </c>
      <c r="R520" s="15">
        <v>0.13800000000000001</v>
      </c>
      <c r="S520" s="7">
        <v>7</v>
      </c>
      <c r="T520" s="13">
        <f t="shared" si="153"/>
        <v>9807.7842799999999</v>
      </c>
      <c r="U520" s="13">
        <f t="shared" si="154"/>
        <v>6514.97</v>
      </c>
      <c r="V520" s="13">
        <f t="shared" si="148"/>
        <v>3292.8142799999996</v>
      </c>
      <c r="W520" s="15">
        <f t="shared" si="149"/>
        <v>0.33573477821231196</v>
      </c>
      <c r="X520" s="17" t="str">
        <f t="shared" si="150"/>
        <v>Q2-2024</v>
      </c>
      <c r="Y520" t="str">
        <f t="shared" si="151"/>
        <v>Europe → Germany → Berlin</v>
      </c>
      <c r="Z520" t="str">
        <f t="shared" si="152"/>
        <v>Medium</v>
      </c>
      <c r="AA520">
        <f t="shared" si="155"/>
        <v>2024</v>
      </c>
      <c r="AB520">
        <f t="shared" si="156"/>
        <v>5</v>
      </c>
      <c r="AC520" t="str">
        <f t="shared" si="157"/>
        <v>No</v>
      </c>
      <c r="AD520" t="str">
        <f t="shared" si="158"/>
        <v>No</v>
      </c>
      <c r="AE520" s="36">
        <f>IF(Dashboard!$P$47&gt;'Staging Data'!R520,'Staging Data'!R520,Dashboard!$P$47)</f>
        <v>0.1</v>
      </c>
      <c r="AF520">
        <f>(100%+Dashboard!$P$48)*'Staging Data'!P520</f>
        <v>977.24550000000011</v>
      </c>
      <c r="AG520">
        <f>(100%+Dashboard!$P$49)*S520</f>
        <v>7.28</v>
      </c>
      <c r="AH520" s="13">
        <f t="shared" si="159"/>
        <v>10649.751840000001</v>
      </c>
      <c r="AI520" s="13">
        <f t="shared" si="160"/>
        <v>7114.347240000001</v>
      </c>
      <c r="AJ520" s="13">
        <f t="shared" si="161"/>
        <v>3535.4045999999998</v>
      </c>
    </row>
    <row r="521" spans="1:36" x14ac:dyDescent="0.45">
      <c r="A521" s="3" t="s">
        <v>533</v>
      </c>
      <c r="B521" s="5">
        <v>45047</v>
      </c>
      <c r="C521" s="5">
        <v>45064</v>
      </c>
      <c r="D521" s="5">
        <f t="shared" si="144"/>
        <v>45047</v>
      </c>
      <c r="E521" s="5">
        <f t="shared" si="145"/>
        <v>45064</v>
      </c>
      <c r="F521" s="7">
        <f t="shared" si="146"/>
        <v>17</v>
      </c>
      <c r="G521" s="23" t="str">
        <f t="shared" si="147"/>
        <v>5-2023</v>
      </c>
      <c r="H521" s="3" t="s">
        <v>646</v>
      </c>
      <c r="I521" s="3" t="s">
        <v>651</v>
      </c>
      <c r="J521" s="3" t="s">
        <v>663</v>
      </c>
      <c r="K521" s="3" t="s">
        <v>701</v>
      </c>
      <c r="L521" s="3" t="s">
        <v>711</v>
      </c>
      <c r="M521" s="3" t="s">
        <v>721</v>
      </c>
      <c r="N521" s="3" t="s">
        <v>727</v>
      </c>
      <c r="O521" s="3" t="s">
        <v>1252</v>
      </c>
      <c r="P521" s="19">
        <v>327.97</v>
      </c>
      <c r="Q521" s="19">
        <v>299.94</v>
      </c>
      <c r="R521" s="15">
        <v>4.9000000000000002E-2</v>
      </c>
      <c r="S521" s="7">
        <v>3</v>
      </c>
      <c r="T521" s="13">
        <f t="shared" si="153"/>
        <v>855.72881999999993</v>
      </c>
      <c r="U521" s="13">
        <f t="shared" si="154"/>
        <v>983.91000000000008</v>
      </c>
      <c r="V521" s="13">
        <f t="shared" si="148"/>
        <v>-128.18118000000015</v>
      </c>
      <c r="W521" s="15">
        <f t="shared" si="149"/>
        <v>-0.14979182306843442</v>
      </c>
      <c r="X521" s="17" t="str">
        <f t="shared" si="150"/>
        <v>Q2-2023</v>
      </c>
      <c r="Y521" t="str">
        <f t="shared" si="151"/>
        <v>Africa → Nigeria → Port Harcourt</v>
      </c>
      <c r="Z521" t="str">
        <f t="shared" si="152"/>
        <v>Low</v>
      </c>
      <c r="AA521">
        <f t="shared" si="155"/>
        <v>2023</v>
      </c>
      <c r="AB521">
        <f t="shared" si="156"/>
        <v>5</v>
      </c>
      <c r="AC521" t="str">
        <f t="shared" si="157"/>
        <v>No</v>
      </c>
      <c r="AD521" t="str">
        <f t="shared" si="158"/>
        <v>No</v>
      </c>
      <c r="AE521" s="36">
        <f>IF(Dashboard!$P$47&gt;'Staging Data'!R521,'Staging Data'!R521,Dashboard!$P$47)</f>
        <v>4.9000000000000002E-2</v>
      </c>
      <c r="AF521">
        <f>(100%+Dashboard!$P$48)*'Staging Data'!P521</f>
        <v>344.36850000000004</v>
      </c>
      <c r="AG521">
        <f>(100%+Dashboard!$P$49)*S521</f>
        <v>3.12</v>
      </c>
      <c r="AH521" s="13">
        <f t="shared" si="159"/>
        <v>889.95797279999999</v>
      </c>
      <c r="AI521" s="13">
        <f t="shared" si="160"/>
        <v>1074.4297200000001</v>
      </c>
      <c r="AJ521" s="13">
        <f t="shared" si="161"/>
        <v>-184.4717472000001</v>
      </c>
    </row>
    <row r="522" spans="1:36" x14ac:dyDescent="0.45">
      <c r="A522" s="3" t="s">
        <v>534</v>
      </c>
      <c r="B522" s="5">
        <v>45482</v>
      </c>
      <c r="C522" s="5">
        <v>45512</v>
      </c>
      <c r="D522" s="5">
        <f t="shared" si="144"/>
        <v>45482</v>
      </c>
      <c r="E522" s="5">
        <f t="shared" si="145"/>
        <v>45512</v>
      </c>
      <c r="F522" s="7">
        <f t="shared" si="146"/>
        <v>30</v>
      </c>
      <c r="G522" s="23" t="str">
        <f t="shared" si="147"/>
        <v>7-2024</v>
      </c>
      <c r="H522" s="3" t="s">
        <v>649</v>
      </c>
      <c r="I522" s="3" t="s">
        <v>657</v>
      </c>
      <c r="J522" s="3" t="s">
        <v>673</v>
      </c>
      <c r="K522" s="3" t="s">
        <v>701</v>
      </c>
      <c r="L522" s="3" t="s">
        <v>711</v>
      </c>
      <c r="M522" s="3" t="s">
        <v>713</v>
      </c>
      <c r="N522" s="3" t="s">
        <v>727</v>
      </c>
      <c r="O522" s="3" t="s">
        <v>1253</v>
      </c>
      <c r="P522" s="19">
        <v>1062.3800000000001</v>
      </c>
      <c r="Q522" s="19">
        <v>1503.96</v>
      </c>
      <c r="R522" s="15">
        <v>0.18</v>
      </c>
      <c r="S522" s="7">
        <v>6</v>
      </c>
      <c r="T522" s="13">
        <f t="shared" si="153"/>
        <v>7399.4832000000006</v>
      </c>
      <c r="U522" s="13">
        <f t="shared" si="154"/>
        <v>6374.2800000000007</v>
      </c>
      <c r="V522" s="13">
        <f t="shared" si="148"/>
        <v>1025.2031999999999</v>
      </c>
      <c r="W522" s="15">
        <f t="shared" si="149"/>
        <v>0.13855064905073369</v>
      </c>
      <c r="X522" s="17" t="str">
        <f t="shared" si="150"/>
        <v>Q3-2024</v>
      </c>
      <c r="Y522" t="str">
        <f t="shared" si="151"/>
        <v>Europe → France → Marseille</v>
      </c>
      <c r="Z522" t="str">
        <f t="shared" si="152"/>
        <v>Medium</v>
      </c>
      <c r="AA522">
        <f t="shared" si="155"/>
        <v>2024</v>
      </c>
      <c r="AB522">
        <f t="shared" si="156"/>
        <v>7</v>
      </c>
      <c r="AC522" t="str">
        <f t="shared" si="157"/>
        <v>No</v>
      </c>
      <c r="AD522" t="str">
        <f t="shared" si="158"/>
        <v>No</v>
      </c>
      <c r="AE522" s="36">
        <f>IF(Dashboard!$P$47&gt;'Staging Data'!R522,'Staging Data'!R522,Dashboard!$P$47)</f>
        <v>0.1</v>
      </c>
      <c r="AF522">
        <f>(100%+Dashboard!$P$48)*'Staging Data'!P522</f>
        <v>1115.4990000000003</v>
      </c>
      <c r="AG522">
        <f>(100%+Dashboard!$P$49)*S522</f>
        <v>6.24</v>
      </c>
      <c r="AH522" s="13">
        <f t="shared" si="159"/>
        <v>8446.2393599999996</v>
      </c>
      <c r="AI522" s="13">
        <f t="shared" si="160"/>
        <v>6960.7137600000015</v>
      </c>
      <c r="AJ522" s="13">
        <f t="shared" si="161"/>
        <v>1485.5255999999981</v>
      </c>
    </row>
    <row r="523" spans="1:36" x14ac:dyDescent="0.45">
      <c r="A523" s="3" t="s">
        <v>535</v>
      </c>
      <c r="B523" s="5">
        <v>45056</v>
      </c>
      <c r="C523" s="5">
        <v>45073</v>
      </c>
      <c r="D523" s="5">
        <f t="shared" ref="D523:D586" si="162">IF(C523&gt;B523,B523,C523)</f>
        <v>45056</v>
      </c>
      <c r="E523" s="5">
        <f t="shared" ref="E523:E586" si="163">IF(C523&gt;B523,C523,B523)</f>
        <v>45073</v>
      </c>
      <c r="F523" s="7">
        <f t="shared" ref="F523:F586" si="164">DATEDIF(D523,E523,"D")</f>
        <v>17</v>
      </c>
      <c r="G523" s="23" t="str">
        <f t="shared" ref="G523:G586" si="165">CONCATENATE(MONTH(D523), "-",YEAR(D523))</f>
        <v>5-2023</v>
      </c>
      <c r="H523" s="3" t="s">
        <v>647</v>
      </c>
      <c r="I523" s="3" t="s">
        <v>654</v>
      </c>
      <c r="J523" s="3" t="s">
        <v>691</v>
      </c>
      <c r="K523" s="3" t="s">
        <v>704</v>
      </c>
      <c r="L523" s="3" t="s">
        <v>707</v>
      </c>
      <c r="M523" s="3" t="s">
        <v>724</v>
      </c>
      <c r="N523" s="3" t="s">
        <v>731</v>
      </c>
      <c r="O523" s="3" t="s">
        <v>1254</v>
      </c>
      <c r="P523" s="19">
        <v>1286.1600000000001</v>
      </c>
      <c r="Q523" s="19">
        <v>3101.11</v>
      </c>
      <c r="R523" s="15">
        <v>0.1</v>
      </c>
      <c r="S523" s="7">
        <v>23</v>
      </c>
      <c r="T523" s="13">
        <f t="shared" si="153"/>
        <v>64192.976999999999</v>
      </c>
      <c r="U523" s="13">
        <f t="shared" si="154"/>
        <v>29581.68</v>
      </c>
      <c r="V523" s="13">
        <f t="shared" ref="V523:V586" si="166">T523-U523</f>
        <v>34611.296999999999</v>
      </c>
      <c r="W523" s="15">
        <f t="shared" ref="W523:W586" si="167">IF(T523=0, 0,V523/T523)</f>
        <v>0.53917575749758417</v>
      </c>
      <c r="X523" s="17" t="str">
        <f t="shared" ref="X523:X586" si="168">CONCATENATE(IF(MONTH(D523)&lt;=3,"Q1", IF(MONTH(D523)&lt;=6, "Q2", IF(MONTH(D523)&lt;= 9, "Q3", "Q4"))), "-", YEAR(D523))</f>
        <v>Q2-2023</v>
      </c>
      <c r="Y523" t="str">
        <f t="shared" ref="Y523:Y586" si="169">CONCATENATE(H523," → ",I523," → ",J523)</f>
        <v>Asia → India → Mumbai</v>
      </c>
      <c r="Z523" t="str">
        <f t="shared" ref="Z523:Z586" si="170">IF(Q523&lt;=1193.97, "Low",IF(Q523&lt;1912.05,"Medium", "High"))</f>
        <v>High</v>
      </c>
      <c r="AA523">
        <f t="shared" si="155"/>
        <v>2023</v>
      </c>
      <c r="AB523">
        <f t="shared" si="156"/>
        <v>5</v>
      </c>
      <c r="AC523" t="str">
        <f t="shared" si="157"/>
        <v>No</v>
      </c>
      <c r="AD523" t="str">
        <f t="shared" si="158"/>
        <v>No</v>
      </c>
      <c r="AE523" s="36">
        <f>IF(Dashboard!$P$47&gt;'Staging Data'!R523,'Staging Data'!R523,Dashboard!$P$47)</f>
        <v>0.1</v>
      </c>
      <c r="AF523">
        <f>(100%+Dashboard!$P$48)*'Staging Data'!P523</f>
        <v>1350.4680000000001</v>
      </c>
      <c r="AG523">
        <f>(100%+Dashboard!$P$49)*S523</f>
        <v>23.92</v>
      </c>
      <c r="AH523" s="13">
        <f t="shared" si="159"/>
        <v>66760.696080000009</v>
      </c>
      <c r="AI523" s="13">
        <f t="shared" si="160"/>
        <v>32303.194560000004</v>
      </c>
      <c r="AJ523" s="13">
        <f t="shared" si="161"/>
        <v>34457.501520000005</v>
      </c>
    </row>
    <row r="524" spans="1:36" x14ac:dyDescent="0.45">
      <c r="A524" s="3" t="s">
        <v>241</v>
      </c>
      <c r="B524" s="5">
        <v>45203</v>
      </c>
      <c r="C524" s="5">
        <v>45228</v>
      </c>
      <c r="D524" s="5">
        <f t="shared" si="162"/>
        <v>45203</v>
      </c>
      <c r="E524" s="5">
        <f t="shared" si="163"/>
        <v>45228</v>
      </c>
      <c r="F524" s="7">
        <f t="shared" si="164"/>
        <v>25</v>
      </c>
      <c r="G524" s="23" t="str">
        <f t="shared" si="165"/>
        <v>10-2023</v>
      </c>
      <c r="H524" s="3" t="s">
        <v>648</v>
      </c>
      <c r="I524" s="3" t="s">
        <v>660</v>
      </c>
      <c r="J524" s="3" t="s">
        <v>686</v>
      </c>
      <c r="K524" s="3" t="s">
        <v>705</v>
      </c>
      <c r="L524" s="3" t="s">
        <v>710</v>
      </c>
      <c r="M524" s="3" t="s">
        <v>719</v>
      </c>
      <c r="N524" s="3" t="s">
        <v>733</v>
      </c>
      <c r="O524" s="3" t="s">
        <v>961</v>
      </c>
      <c r="P524" s="19">
        <v>1239.8399999999999</v>
      </c>
      <c r="Q524" s="19">
        <v>1482.75</v>
      </c>
      <c r="R524" s="15">
        <v>6.7000000000000004E-2</v>
      </c>
      <c r="S524" s="7">
        <v>4</v>
      </c>
      <c r="T524" s="13">
        <f t="shared" si="153"/>
        <v>5533.6230000000005</v>
      </c>
      <c r="U524" s="13">
        <f t="shared" si="154"/>
        <v>4959.3599999999997</v>
      </c>
      <c r="V524" s="13">
        <f t="shared" si="166"/>
        <v>574.26300000000083</v>
      </c>
      <c r="W524" s="15">
        <f t="shared" si="167"/>
        <v>0.10377703721413634</v>
      </c>
      <c r="X524" s="17" t="str">
        <f t="shared" si="168"/>
        <v>Q4-2023</v>
      </c>
      <c r="Y524" t="str">
        <f t="shared" si="169"/>
        <v>Americas → USA → San Francisco</v>
      </c>
      <c r="Z524" t="str">
        <f t="shared" si="170"/>
        <v>Medium</v>
      </c>
      <c r="AA524">
        <f t="shared" si="155"/>
        <v>2023</v>
      </c>
      <c r="AB524">
        <f t="shared" si="156"/>
        <v>10</v>
      </c>
      <c r="AC524" t="str">
        <f t="shared" si="157"/>
        <v>No</v>
      </c>
      <c r="AD524" t="str">
        <f t="shared" si="158"/>
        <v>No</v>
      </c>
      <c r="AE524" s="36">
        <f>IF(Dashboard!$P$47&gt;'Staging Data'!R524,'Staging Data'!R524,Dashboard!$P$47)</f>
        <v>6.7000000000000004E-2</v>
      </c>
      <c r="AF524">
        <f>(100%+Dashboard!$P$48)*'Staging Data'!P524</f>
        <v>1301.8319999999999</v>
      </c>
      <c r="AG524">
        <f>(100%+Dashboard!$P$49)*S524</f>
        <v>4.16</v>
      </c>
      <c r="AH524" s="13">
        <f t="shared" si="159"/>
        <v>5754.96792</v>
      </c>
      <c r="AI524" s="13">
        <f t="shared" si="160"/>
        <v>5415.6211199999998</v>
      </c>
      <c r="AJ524" s="13">
        <f t="shared" si="161"/>
        <v>339.34680000000026</v>
      </c>
    </row>
    <row r="525" spans="1:36" x14ac:dyDescent="0.45">
      <c r="A525" s="3" t="s">
        <v>537</v>
      </c>
      <c r="B525" s="5">
        <v>45406</v>
      </c>
      <c r="C525" s="5">
        <v>45422</v>
      </c>
      <c r="D525" s="5">
        <f t="shared" si="162"/>
        <v>45406</v>
      </c>
      <c r="E525" s="5">
        <f t="shared" si="163"/>
        <v>45422</v>
      </c>
      <c r="F525" s="7">
        <f t="shared" si="164"/>
        <v>16</v>
      </c>
      <c r="G525" s="23" t="str">
        <f t="shared" si="165"/>
        <v>4-2024</v>
      </c>
      <c r="H525" s="3" t="s">
        <v>646</v>
      </c>
      <c r="I525" s="3" t="s">
        <v>650</v>
      </c>
      <c r="J525" s="3" t="s">
        <v>662</v>
      </c>
      <c r="K525" s="3" t="s">
        <v>703</v>
      </c>
      <c r="L525" s="3" t="s">
        <v>708</v>
      </c>
      <c r="M525" s="3" t="s">
        <v>725</v>
      </c>
      <c r="N525" s="3" t="s">
        <v>732</v>
      </c>
      <c r="O525" s="3" t="s">
        <v>1256</v>
      </c>
      <c r="P525" s="19">
        <v>513.30999999999995</v>
      </c>
      <c r="Q525" s="19">
        <v>1186.26</v>
      </c>
      <c r="R525" s="15">
        <v>9.4E-2</v>
      </c>
      <c r="S525" s="7">
        <v>15</v>
      </c>
      <c r="T525" s="13">
        <f t="shared" si="153"/>
        <v>16121.273400000002</v>
      </c>
      <c r="U525" s="13">
        <f t="shared" si="154"/>
        <v>7699.65</v>
      </c>
      <c r="V525" s="13">
        <f t="shared" si="166"/>
        <v>8421.6234000000022</v>
      </c>
      <c r="W525" s="15">
        <f t="shared" si="167"/>
        <v>0.52239194702820446</v>
      </c>
      <c r="X525" s="17" t="str">
        <f t="shared" si="168"/>
        <v>Q2-2024</v>
      </c>
      <c r="Y525" t="str">
        <f t="shared" si="169"/>
        <v>Africa → Kenya → Kisumu</v>
      </c>
      <c r="Z525" t="str">
        <f t="shared" si="170"/>
        <v>Low</v>
      </c>
      <c r="AA525">
        <f t="shared" si="155"/>
        <v>2024</v>
      </c>
      <c r="AB525">
        <f t="shared" si="156"/>
        <v>4</v>
      </c>
      <c r="AC525" t="str">
        <f t="shared" si="157"/>
        <v>No</v>
      </c>
      <c r="AD525" t="str">
        <f t="shared" si="158"/>
        <v>No</v>
      </c>
      <c r="AE525" s="36">
        <f>IF(Dashboard!$P$47&gt;'Staging Data'!R525,'Staging Data'!R525,Dashboard!$P$47)</f>
        <v>9.4E-2</v>
      </c>
      <c r="AF525">
        <f>(100%+Dashboard!$P$48)*'Staging Data'!P525</f>
        <v>538.97550000000001</v>
      </c>
      <c r="AG525">
        <f>(100%+Dashboard!$P$49)*S525</f>
        <v>15.600000000000001</v>
      </c>
      <c r="AH525" s="13">
        <f t="shared" si="159"/>
        <v>16766.124336000004</v>
      </c>
      <c r="AI525" s="13">
        <f t="shared" si="160"/>
        <v>8408.0178000000014</v>
      </c>
      <c r="AJ525" s="13">
        <f t="shared" si="161"/>
        <v>8358.106536000003</v>
      </c>
    </row>
    <row r="526" spans="1:36" x14ac:dyDescent="0.45">
      <c r="A526" s="3" t="s">
        <v>538</v>
      </c>
      <c r="B526" s="5">
        <v>45304</v>
      </c>
      <c r="C526" s="5">
        <v>45306</v>
      </c>
      <c r="D526" s="5">
        <f t="shared" si="162"/>
        <v>45304</v>
      </c>
      <c r="E526" s="5">
        <f t="shared" si="163"/>
        <v>45306</v>
      </c>
      <c r="F526" s="7">
        <f t="shared" si="164"/>
        <v>2</v>
      </c>
      <c r="G526" s="23" t="str">
        <f t="shared" si="165"/>
        <v>1-2024</v>
      </c>
      <c r="H526" s="3" t="s">
        <v>648</v>
      </c>
      <c r="I526" s="3" t="s">
        <v>660</v>
      </c>
      <c r="J526" s="3" t="s">
        <v>686</v>
      </c>
      <c r="K526" s="3" t="s">
        <v>703</v>
      </c>
      <c r="L526" s="3" t="s">
        <v>711</v>
      </c>
      <c r="M526" s="3" t="s">
        <v>718</v>
      </c>
      <c r="N526" s="3" t="s">
        <v>727</v>
      </c>
      <c r="O526" s="3" t="s">
        <v>1257</v>
      </c>
      <c r="P526" s="19">
        <v>1061.3699999999999</v>
      </c>
      <c r="Q526" s="19">
        <v>1938.33</v>
      </c>
      <c r="R526" s="15">
        <v>0.17</v>
      </c>
      <c r="S526" s="7">
        <v>4</v>
      </c>
      <c r="T526" s="13">
        <f t="shared" si="153"/>
        <v>6435.2555999999995</v>
      </c>
      <c r="U526" s="13">
        <f t="shared" si="154"/>
        <v>4245.4799999999996</v>
      </c>
      <c r="V526" s="13">
        <f t="shared" si="166"/>
        <v>2189.7755999999999</v>
      </c>
      <c r="W526" s="15">
        <f t="shared" si="167"/>
        <v>0.34027795259600879</v>
      </c>
      <c r="X526" s="17" t="str">
        <f t="shared" si="168"/>
        <v>Q1-2024</v>
      </c>
      <c r="Y526" t="str">
        <f t="shared" si="169"/>
        <v>Americas → USA → San Francisco</v>
      </c>
      <c r="Z526" t="str">
        <f t="shared" si="170"/>
        <v>High</v>
      </c>
      <c r="AA526">
        <f t="shared" si="155"/>
        <v>2024</v>
      </c>
      <c r="AB526">
        <f t="shared" si="156"/>
        <v>1</v>
      </c>
      <c r="AC526" t="str">
        <f t="shared" si="157"/>
        <v>Yes</v>
      </c>
      <c r="AD526" t="str">
        <f t="shared" si="158"/>
        <v>No</v>
      </c>
      <c r="AE526" s="36">
        <f>IF(Dashboard!$P$47&gt;'Staging Data'!R526,'Staging Data'!R526,Dashboard!$P$47)</f>
        <v>0.1</v>
      </c>
      <c r="AF526">
        <f>(100%+Dashboard!$P$48)*'Staging Data'!P526</f>
        <v>1114.4385</v>
      </c>
      <c r="AG526">
        <f>(100%+Dashboard!$P$49)*S526</f>
        <v>4.16</v>
      </c>
      <c r="AH526" s="13">
        <f t="shared" si="159"/>
        <v>7257.1075200000005</v>
      </c>
      <c r="AI526" s="13">
        <f t="shared" si="160"/>
        <v>4636.0641599999999</v>
      </c>
      <c r="AJ526" s="13">
        <f t="shared" si="161"/>
        <v>2621.0433600000006</v>
      </c>
    </row>
    <row r="527" spans="1:36" x14ac:dyDescent="0.45">
      <c r="A527" s="3" t="s">
        <v>539</v>
      </c>
      <c r="B527" s="5">
        <v>45398</v>
      </c>
      <c r="C527" s="5">
        <v>45409</v>
      </c>
      <c r="D527" s="5">
        <f t="shared" si="162"/>
        <v>45398</v>
      </c>
      <c r="E527" s="5">
        <f t="shared" si="163"/>
        <v>45409</v>
      </c>
      <c r="F527" s="7">
        <f t="shared" si="164"/>
        <v>11</v>
      </c>
      <c r="G527" s="23" t="str">
        <f t="shared" si="165"/>
        <v>4-2024</v>
      </c>
      <c r="H527" s="3" t="s">
        <v>646</v>
      </c>
      <c r="I527" s="3" t="s">
        <v>650</v>
      </c>
      <c r="J527" s="3" t="s">
        <v>678</v>
      </c>
      <c r="K527" s="3" t="s">
        <v>706</v>
      </c>
      <c r="L527" s="3" t="s">
        <v>708</v>
      </c>
      <c r="M527" s="3" t="s">
        <v>726</v>
      </c>
      <c r="N527" s="3" t="s">
        <v>728</v>
      </c>
      <c r="O527" s="3" t="s">
        <v>1258</v>
      </c>
      <c r="P527" s="19">
        <v>401.3</v>
      </c>
      <c r="Q527" s="19">
        <v>826.47</v>
      </c>
      <c r="R527" s="15">
        <v>0.22500000000000001</v>
      </c>
      <c r="S527" s="7">
        <v>13</v>
      </c>
      <c r="T527" s="13">
        <f t="shared" si="153"/>
        <v>8326.6852500000005</v>
      </c>
      <c r="U527" s="13">
        <f t="shared" si="154"/>
        <v>5216.9000000000005</v>
      </c>
      <c r="V527" s="13">
        <f t="shared" si="166"/>
        <v>3109.7852499999999</v>
      </c>
      <c r="W527" s="15">
        <f t="shared" si="167"/>
        <v>0.37347217489696755</v>
      </c>
      <c r="X527" s="17" t="str">
        <f t="shared" si="168"/>
        <v>Q2-2024</v>
      </c>
      <c r="Y527" t="str">
        <f t="shared" si="169"/>
        <v>Africa → Kenya → Nakuru</v>
      </c>
      <c r="Z527" t="str">
        <f t="shared" si="170"/>
        <v>Low</v>
      </c>
      <c r="AA527">
        <f t="shared" si="155"/>
        <v>2024</v>
      </c>
      <c r="AB527">
        <f t="shared" si="156"/>
        <v>4</v>
      </c>
      <c r="AC527" t="str">
        <f t="shared" si="157"/>
        <v>No</v>
      </c>
      <c r="AD527" t="str">
        <f t="shared" si="158"/>
        <v>Yes</v>
      </c>
      <c r="AE527" s="36">
        <f>IF(Dashboard!$P$47&gt;'Staging Data'!R527,'Staging Data'!R527,Dashboard!$P$47)</f>
        <v>0.1</v>
      </c>
      <c r="AF527">
        <f>(100%+Dashboard!$P$48)*'Staging Data'!P527</f>
        <v>421.36500000000001</v>
      </c>
      <c r="AG527">
        <f>(100%+Dashboard!$P$49)*S527</f>
        <v>13.52</v>
      </c>
      <c r="AH527" s="13">
        <f t="shared" si="159"/>
        <v>10056.48696</v>
      </c>
      <c r="AI527" s="13">
        <f t="shared" si="160"/>
        <v>5696.8548000000001</v>
      </c>
      <c r="AJ527" s="13">
        <f t="shared" si="161"/>
        <v>4359.6321600000001</v>
      </c>
    </row>
    <row r="528" spans="1:36" x14ac:dyDescent="0.45">
      <c r="A528" s="3" t="s">
        <v>540</v>
      </c>
      <c r="B528" s="5">
        <v>45695</v>
      </c>
      <c r="C528" s="5">
        <v>45704</v>
      </c>
      <c r="D528" s="5">
        <f t="shared" si="162"/>
        <v>45695</v>
      </c>
      <c r="E528" s="5">
        <f t="shared" si="163"/>
        <v>45704</v>
      </c>
      <c r="F528" s="7">
        <f t="shared" si="164"/>
        <v>9</v>
      </c>
      <c r="G528" s="23" t="str">
        <f t="shared" si="165"/>
        <v>2-2025</v>
      </c>
      <c r="H528" s="3" t="s">
        <v>646</v>
      </c>
      <c r="I528" s="3" t="s">
        <v>651</v>
      </c>
      <c r="J528" s="3" t="s">
        <v>665</v>
      </c>
      <c r="K528" s="3" t="s">
        <v>705</v>
      </c>
      <c r="L528" s="3" t="s">
        <v>710</v>
      </c>
      <c r="M528" s="3" t="s">
        <v>712</v>
      </c>
      <c r="N528" s="3" t="s">
        <v>728</v>
      </c>
      <c r="O528" s="3" t="s">
        <v>1259</v>
      </c>
      <c r="P528" s="19">
        <v>90.68</v>
      </c>
      <c r="Q528" s="19">
        <v>118.17</v>
      </c>
      <c r="R528" s="15">
        <v>0.13500000000000001</v>
      </c>
      <c r="S528" s="7">
        <v>21</v>
      </c>
      <c r="T528" s="13">
        <f t="shared" si="153"/>
        <v>2146.5580500000001</v>
      </c>
      <c r="U528" s="13">
        <f t="shared" si="154"/>
        <v>1904.2800000000002</v>
      </c>
      <c r="V528" s="13">
        <f t="shared" si="166"/>
        <v>242.27804999999989</v>
      </c>
      <c r="W528" s="15">
        <f t="shared" si="167"/>
        <v>0.11286815653552899</v>
      </c>
      <c r="X528" s="17" t="str">
        <f t="shared" si="168"/>
        <v>Q1-2025</v>
      </c>
      <c r="Y528" t="str">
        <f t="shared" si="169"/>
        <v>Africa → Nigeria → Lagos</v>
      </c>
      <c r="Z528" t="str">
        <f t="shared" si="170"/>
        <v>Low</v>
      </c>
      <c r="AA528">
        <f t="shared" si="155"/>
        <v>2025</v>
      </c>
      <c r="AB528">
        <f t="shared" si="156"/>
        <v>2</v>
      </c>
      <c r="AC528" t="str">
        <f t="shared" si="157"/>
        <v>No</v>
      </c>
      <c r="AD528" t="str">
        <f t="shared" si="158"/>
        <v>No</v>
      </c>
      <c r="AE528" s="36">
        <f>IF(Dashboard!$P$47&gt;'Staging Data'!R528,'Staging Data'!R528,Dashboard!$P$47)</f>
        <v>0.1</v>
      </c>
      <c r="AF528">
        <f>(100%+Dashboard!$P$48)*'Staging Data'!P528</f>
        <v>95.214000000000013</v>
      </c>
      <c r="AG528">
        <f>(100%+Dashboard!$P$49)*S528</f>
        <v>21.84</v>
      </c>
      <c r="AH528" s="13">
        <f t="shared" si="159"/>
        <v>2322.7495200000003</v>
      </c>
      <c r="AI528" s="13">
        <f t="shared" si="160"/>
        <v>2079.4737600000003</v>
      </c>
      <c r="AJ528" s="13">
        <f t="shared" si="161"/>
        <v>243.27575999999999</v>
      </c>
    </row>
    <row r="529" spans="1:36" x14ac:dyDescent="0.45">
      <c r="A529" s="3" t="s">
        <v>541</v>
      </c>
      <c r="B529" s="5">
        <v>44938</v>
      </c>
      <c r="C529" s="5">
        <v>44952</v>
      </c>
      <c r="D529" s="5">
        <f t="shared" si="162"/>
        <v>44938</v>
      </c>
      <c r="E529" s="5">
        <f t="shared" si="163"/>
        <v>44952</v>
      </c>
      <c r="F529" s="7">
        <f t="shared" si="164"/>
        <v>14</v>
      </c>
      <c r="G529" s="23" t="str">
        <f t="shared" si="165"/>
        <v>1-2023</v>
      </c>
      <c r="H529" s="3" t="s">
        <v>647</v>
      </c>
      <c r="I529" s="3" t="s">
        <v>659</v>
      </c>
      <c r="J529" s="3" t="s">
        <v>676</v>
      </c>
      <c r="K529" s="3" t="s">
        <v>703</v>
      </c>
      <c r="L529" s="3" t="s">
        <v>707</v>
      </c>
      <c r="M529" s="3" t="s">
        <v>724</v>
      </c>
      <c r="N529" s="3" t="s">
        <v>728</v>
      </c>
      <c r="O529" s="3" t="s">
        <v>1260</v>
      </c>
      <c r="P529" s="19">
        <v>1083.0899999999999</v>
      </c>
      <c r="Q529" s="19">
        <v>1425.87</v>
      </c>
      <c r="R529" s="15">
        <v>0</v>
      </c>
      <c r="S529" s="7">
        <v>8</v>
      </c>
      <c r="T529" s="13">
        <f t="shared" si="153"/>
        <v>11406.96</v>
      </c>
      <c r="U529" s="13">
        <f t="shared" si="154"/>
        <v>8664.7199999999993</v>
      </c>
      <c r="V529" s="13">
        <f t="shared" si="166"/>
        <v>2742.24</v>
      </c>
      <c r="W529" s="15">
        <f t="shared" si="167"/>
        <v>0.24040059752992909</v>
      </c>
      <c r="X529" s="17" t="str">
        <f t="shared" si="168"/>
        <v>Q1-2023</v>
      </c>
      <c r="Y529" t="str">
        <f t="shared" si="169"/>
        <v>Asia → China → Shenzhen</v>
      </c>
      <c r="Z529" t="str">
        <f t="shared" si="170"/>
        <v>Medium</v>
      </c>
      <c r="AA529">
        <f t="shared" si="155"/>
        <v>2023</v>
      </c>
      <c r="AB529">
        <f t="shared" si="156"/>
        <v>1</v>
      </c>
      <c r="AC529" t="str">
        <f t="shared" si="157"/>
        <v>No</v>
      </c>
      <c r="AD529" t="str">
        <f t="shared" si="158"/>
        <v>No</v>
      </c>
      <c r="AE529" s="36">
        <f>IF(Dashboard!$P$47&gt;'Staging Data'!R529,'Staging Data'!R529,Dashboard!$P$47)</f>
        <v>0</v>
      </c>
      <c r="AF529">
        <f>(100%+Dashboard!$P$48)*'Staging Data'!P529</f>
        <v>1137.2445</v>
      </c>
      <c r="AG529">
        <f>(100%+Dashboard!$P$49)*S529</f>
        <v>8.32</v>
      </c>
      <c r="AH529" s="13">
        <f t="shared" si="159"/>
        <v>11863.2384</v>
      </c>
      <c r="AI529" s="13">
        <f t="shared" si="160"/>
        <v>9461.874240000001</v>
      </c>
      <c r="AJ529" s="13">
        <f t="shared" si="161"/>
        <v>2401.3641599999992</v>
      </c>
    </row>
    <row r="530" spans="1:36" x14ac:dyDescent="0.45">
      <c r="A530" s="3" t="s">
        <v>542</v>
      </c>
      <c r="B530" s="5">
        <v>45448</v>
      </c>
      <c r="C530" s="5">
        <v>45466</v>
      </c>
      <c r="D530" s="5">
        <f t="shared" si="162"/>
        <v>45448</v>
      </c>
      <c r="E530" s="5">
        <f t="shared" si="163"/>
        <v>45466</v>
      </c>
      <c r="F530" s="7">
        <f t="shared" si="164"/>
        <v>18</v>
      </c>
      <c r="G530" s="23" t="str">
        <f t="shared" si="165"/>
        <v>6-2024</v>
      </c>
      <c r="H530" s="3" t="s">
        <v>646</v>
      </c>
      <c r="I530" s="3" t="s">
        <v>650</v>
      </c>
      <c r="J530" s="3" t="s">
        <v>664</v>
      </c>
      <c r="K530" s="3" t="s">
        <v>704</v>
      </c>
      <c r="L530" s="3" t="s">
        <v>710</v>
      </c>
      <c r="M530" s="3" t="s">
        <v>726</v>
      </c>
      <c r="N530" s="3" t="s">
        <v>731</v>
      </c>
      <c r="O530" s="3" t="s">
        <v>1261</v>
      </c>
      <c r="P530" s="19">
        <v>1208.74</v>
      </c>
      <c r="Q530" s="19">
        <v>1594.78</v>
      </c>
      <c r="R530" s="15">
        <v>5.8999999999999997E-2</v>
      </c>
      <c r="S530" s="7">
        <v>39</v>
      </c>
      <c r="T530" s="13">
        <f t="shared" si="153"/>
        <v>58526.83122</v>
      </c>
      <c r="U530" s="13">
        <f t="shared" si="154"/>
        <v>47140.86</v>
      </c>
      <c r="V530" s="13">
        <f t="shared" si="166"/>
        <v>11385.971219999999</v>
      </c>
      <c r="W530" s="15">
        <f t="shared" si="167"/>
        <v>0.1945427589817838</v>
      </c>
      <c r="X530" s="17" t="str">
        <f t="shared" si="168"/>
        <v>Q2-2024</v>
      </c>
      <c r="Y530" t="str">
        <f t="shared" si="169"/>
        <v>Africa → Kenya → Nairobi</v>
      </c>
      <c r="Z530" t="str">
        <f t="shared" si="170"/>
        <v>Medium</v>
      </c>
      <c r="AA530">
        <f t="shared" si="155"/>
        <v>2024</v>
      </c>
      <c r="AB530">
        <f t="shared" si="156"/>
        <v>6</v>
      </c>
      <c r="AC530" t="str">
        <f t="shared" si="157"/>
        <v>No</v>
      </c>
      <c r="AD530" t="str">
        <f t="shared" si="158"/>
        <v>No</v>
      </c>
      <c r="AE530" s="36">
        <f>IF(Dashboard!$P$47&gt;'Staging Data'!R530,'Staging Data'!R530,Dashboard!$P$47)</f>
        <v>5.8999999999999997E-2</v>
      </c>
      <c r="AF530">
        <f>(100%+Dashboard!$P$48)*'Staging Data'!P530</f>
        <v>1269.1770000000001</v>
      </c>
      <c r="AG530">
        <f>(100%+Dashboard!$P$49)*S530</f>
        <v>40.56</v>
      </c>
      <c r="AH530" s="13">
        <f t="shared" si="159"/>
        <v>60867.904468800007</v>
      </c>
      <c r="AI530" s="13">
        <f t="shared" si="160"/>
        <v>51477.819120000007</v>
      </c>
      <c r="AJ530" s="13">
        <f t="shared" si="161"/>
        <v>9390.0853487999993</v>
      </c>
    </row>
    <row r="531" spans="1:36" x14ac:dyDescent="0.45">
      <c r="A531" s="3" t="s">
        <v>543</v>
      </c>
      <c r="B531" s="5">
        <v>45162</v>
      </c>
      <c r="C531" s="5">
        <v>45189</v>
      </c>
      <c r="D531" s="5">
        <f t="shared" si="162"/>
        <v>45162</v>
      </c>
      <c r="E531" s="5">
        <f t="shared" si="163"/>
        <v>45189</v>
      </c>
      <c r="F531" s="7">
        <f t="shared" si="164"/>
        <v>27</v>
      </c>
      <c r="G531" s="23" t="str">
        <f t="shared" si="165"/>
        <v>8-2023</v>
      </c>
      <c r="H531" s="3" t="s">
        <v>646</v>
      </c>
      <c r="I531" s="3" t="s">
        <v>661</v>
      </c>
      <c r="J531" s="3" t="s">
        <v>687</v>
      </c>
      <c r="K531" s="3" t="s">
        <v>705</v>
      </c>
      <c r="L531" s="3" t="s">
        <v>709</v>
      </c>
      <c r="M531" s="3" t="s">
        <v>724</v>
      </c>
      <c r="N531" s="3" t="s">
        <v>728</v>
      </c>
      <c r="O531" s="3" t="s">
        <v>1262</v>
      </c>
      <c r="P531" s="19">
        <v>1399.64</v>
      </c>
      <c r="Q531" s="19">
        <v>3342.11</v>
      </c>
      <c r="R531" s="15">
        <v>0</v>
      </c>
      <c r="S531" s="7">
        <v>10</v>
      </c>
      <c r="T531" s="13">
        <f t="shared" si="153"/>
        <v>33421.1</v>
      </c>
      <c r="U531" s="13">
        <f t="shared" si="154"/>
        <v>13996.400000000001</v>
      </c>
      <c r="V531" s="13">
        <f t="shared" si="166"/>
        <v>19424.699999999997</v>
      </c>
      <c r="W531" s="15">
        <f t="shared" si="167"/>
        <v>0.58121067229983447</v>
      </c>
      <c r="X531" s="17" t="str">
        <f t="shared" si="168"/>
        <v>Q3-2023</v>
      </c>
      <c r="Y531" t="str">
        <f t="shared" si="169"/>
        <v>Africa → South Africa → Durban</v>
      </c>
      <c r="Z531" t="str">
        <f t="shared" si="170"/>
        <v>High</v>
      </c>
      <c r="AA531">
        <f t="shared" si="155"/>
        <v>2023</v>
      </c>
      <c r="AB531">
        <f t="shared" si="156"/>
        <v>8</v>
      </c>
      <c r="AC531" t="str">
        <f t="shared" si="157"/>
        <v>No</v>
      </c>
      <c r="AD531" t="str">
        <f t="shared" si="158"/>
        <v>No</v>
      </c>
      <c r="AE531" s="36">
        <f>IF(Dashboard!$P$47&gt;'Staging Data'!R531,'Staging Data'!R531,Dashboard!$P$47)</f>
        <v>0</v>
      </c>
      <c r="AF531">
        <f>(100%+Dashboard!$P$48)*'Staging Data'!P531</f>
        <v>1469.6220000000001</v>
      </c>
      <c r="AG531">
        <f>(100%+Dashboard!$P$49)*S531</f>
        <v>10.4</v>
      </c>
      <c r="AH531" s="13">
        <f t="shared" si="159"/>
        <v>34757.944000000003</v>
      </c>
      <c r="AI531" s="13">
        <f t="shared" si="160"/>
        <v>15284.068800000001</v>
      </c>
      <c r="AJ531" s="13">
        <f t="shared" si="161"/>
        <v>19473.875200000002</v>
      </c>
    </row>
    <row r="532" spans="1:36" x14ac:dyDescent="0.45">
      <c r="A532" s="3" t="s">
        <v>544</v>
      </c>
      <c r="B532" s="5">
        <v>45316</v>
      </c>
      <c r="C532" s="5">
        <v>45330</v>
      </c>
      <c r="D532" s="5">
        <f t="shared" si="162"/>
        <v>45316</v>
      </c>
      <c r="E532" s="5">
        <f t="shared" si="163"/>
        <v>45330</v>
      </c>
      <c r="F532" s="7">
        <f t="shared" si="164"/>
        <v>14</v>
      </c>
      <c r="G532" s="23" t="str">
        <f t="shared" si="165"/>
        <v>1-2024</v>
      </c>
      <c r="H532" s="3" t="s">
        <v>647</v>
      </c>
      <c r="I532" s="3" t="s">
        <v>652</v>
      </c>
      <c r="J532" s="3" t="s">
        <v>666</v>
      </c>
      <c r="K532" s="3" t="s">
        <v>704</v>
      </c>
      <c r="L532" s="3" t="s">
        <v>709</v>
      </c>
      <c r="M532" s="3" t="s">
        <v>714</v>
      </c>
      <c r="N532" s="3" t="s">
        <v>729</v>
      </c>
      <c r="O532" s="3" t="s">
        <v>1263</v>
      </c>
      <c r="P532" s="19">
        <v>937.16</v>
      </c>
      <c r="Q532" s="19">
        <v>1069.77</v>
      </c>
      <c r="R532" s="15">
        <v>3.7999999999999999E-2</v>
      </c>
      <c r="S532" s="7">
        <v>9</v>
      </c>
      <c r="T532" s="13">
        <f t="shared" si="153"/>
        <v>9262.0686600000008</v>
      </c>
      <c r="U532" s="13">
        <f t="shared" si="154"/>
        <v>8434.44</v>
      </c>
      <c r="V532" s="13">
        <f t="shared" si="166"/>
        <v>827.62866000000031</v>
      </c>
      <c r="W532" s="15">
        <f t="shared" si="167"/>
        <v>8.9356783066645962E-2</v>
      </c>
      <c r="X532" s="17" t="str">
        <f t="shared" si="168"/>
        <v>Q1-2024</v>
      </c>
      <c r="Y532" t="str">
        <f t="shared" si="169"/>
        <v>Asia → Japan → Osaka</v>
      </c>
      <c r="Z532" t="str">
        <f t="shared" si="170"/>
        <v>Low</v>
      </c>
      <c r="AA532">
        <f t="shared" si="155"/>
        <v>2024</v>
      </c>
      <c r="AB532">
        <f t="shared" si="156"/>
        <v>1</v>
      </c>
      <c r="AC532" t="str">
        <f t="shared" si="157"/>
        <v>No</v>
      </c>
      <c r="AD532" t="str">
        <f t="shared" si="158"/>
        <v>No</v>
      </c>
      <c r="AE532" s="36">
        <f>IF(Dashboard!$P$47&gt;'Staging Data'!R532,'Staging Data'!R532,Dashboard!$P$47)</f>
        <v>3.7999999999999999E-2</v>
      </c>
      <c r="AF532">
        <f>(100%+Dashboard!$P$48)*'Staging Data'!P532</f>
        <v>984.01800000000003</v>
      </c>
      <c r="AG532">
        <f>(100%+Dashboard!$P$49)*S532</f>
        <v>9.36</v>
      </c>
      <c r="AH532" s="13">
        <f t="shared" si="159"/>
        <v>9632.5514063999981</v>
      </c>
      <c r="AI532" s="13">
        <f t="shared" si="160"/>
        <v>9210.4084800000001</v>
      </c>
      <c r="AJ532" s="13">
        <f t="shared" si="161"/>
        <v>422.14292639999803</v>
      </c>
    </row>
    <row r="533" spans="1:36" x14ac:dyDescent="0.45">
      <c r="A533" s="3" t="s">
        <v>545</v>
      </c>
      <c r="B533" s="5">
        <v>45727</v>
      </c>
      <c r="C533" s="5">
        <v>45742</v>
      </c>
      <c r="D533" s="5">
        <f t="shared" si="162"/>
        <v>45727</v>
      </c>
      <c r="E533" s="5">
        <f t="shared" si="163"/>
        <v>45742</v>
      </c>
      <c r="F533" s="7">
        <f t="shared" si="164"/>
        <v>15</v>
      </c>
      <c r="G533" s="23" t="str">
        <f t="shared" si="165"/>
        <v>3-2025</v>
      </c>
      <c r="H533" s="3" t="s">
        <v>649</v>
      </c>
      <c r="I533" s="3" t="s">
        <v>656</v>
      </c>
      <c r="J533" s="3" t="s">
        <v>671</v>
      </c>
      <c r="K533" s="3" t="s">
        <v>705</v>
      </c>
      <c r="L533" s="3" t="s">
        <v>708</v>
      </c>
      <c r="M533" s="3" t="s">
        <v>714</v>
      </c>
      <c r="N533" s="3" t="s">
        <v>730</v>
      </c>
      <c r="O533" s="3" t="s">
        <v>1264</v>
      </c>
      <c r="P533" s="19">
        <v>116.97</v>
      </c>
      <c r="Q533" s="19">
        <v>140.82</v>
      </c>
      <c r="R533" s="15">
        <v>0.122</v>
      </c>
      <c r="S533" s="7">
        <v>5</v>
      </c>
      <c r="T533" s="13">
        <f t="shared" si="153"/>
        <v>618.19979999999987</v>
      </c>
      <c r="U533" s="13">
        <f t="shared" si="154"/>
        <v>584.85</v>
      </c>
      <c r="V533" s="13">
        <f t="shared" si="166"/>
        <v>33.349799999999846</v>
      </c>
      <c r="W533" s="15">
        <f t="shared" si="167"/>
        <v>5.3946636669891926E-2</v>
      </c>
      <c r="X533" s="17" t="str">
        <f t="shared" si="168"/>
        <v>Q1-2025</v>
      </c>
      <c r="Y533" t="str">
        <f t="shared" si="169"/>
        <v>Europe → Germany → Berlin</v>
      </c>
      <c r="Z533" t="str">
        <f t="shared" si="170"/>
        <v>Low</v>
      </c>
      <c r="AA533">
        <f t="shared" si="155"/>
        <v>2025</v>
      </c>
      <c r="AB533">
        <f t="shared" si="156"/>
        <v>3</v>
      </c>
      <c r="AC533" t="str">
        <f t="shared" si="157"/>
        <v>No</v>
      </c>
      <c r="AD533" t="str">
        <f t="shared" si="158"/>
        <v>No</v>
      </c>
      <c r="AE533" s="36">
        <f>IF(Dashboard!$P$47&gt;'Staging Data'!R533,'Staging Data'!R533,Dashboard!$P$47)</f>
        <v>0.1</v>
      </c>
      <c r="AF533">
        <f>(100%+Dashboard!$P$48)*'Staging Data'!P533</f>
        <v>122.8185</v>
      </c>
      <c r="AG533">
        <f>(100%+Dashboard!$P$49)*S533</f>
        <v>5.2</v>
      </c>
      <c r="AH533" s="13">
        <f t="shared" si="159"/>
        <v>659.0376</v>
      </c>
      <c r="AI533" s="13">
        <f t="shared" si="160"/>
        <v>638.65620000000001</v>
      </c>
      <c r="AJ533" s="13">
        <f t="shared" si="161"/>
        <v>20.381399999999985</v>
      </c>
    </row>
    <row r="534" spans="1:36" x14ac:dyDescent="0.45">
      <c r="A534" s="3" t="s">
        <v>546</v>
      </c>
      <c r="B534" s="5">
        <v>45769</v>
      </c>
      <c r="C534" s="5">
        <v>45789</v>
      </c>
      <c r="D534" s="5">
        <f t="shared" si="162"/>
        <v>45769</v>
      </c>
      <c r="E534" s="5">
        <f t="shared" si="163"/>
        <v>45789</v>
      </c>
      <c r="F534" s="7">
        <f t="shared" si="164"/>
        <v>20</v>
      </c>
      <c r="G534" s="23" t="str">
        <f t="shared" si="165"/>
        <v>4-2025</v>
      </c>
      <c r="H534" s="3" t="s">
        <v>649</v>
      </c>
      <c r="I534" s="3" t="s">
        <v>657</v>
      </c>
      <c r="J534" s="3" t="s">
        <v>679</v>
      </c>
      <c r="K534" s="3" t="s">
        <v>706</v>
      </c>
      <c r="L534" s="3" t="s">
        <v>709</v>
      </c>
      <c r="M534" s="3" t="s">
        <v>723</v>
      </c>
      <c r="N534" s="3" t="s">
        <v>732</v>
      </c>
      <c r="O534" s="3" t="s">
        <v>1265</v>
      </c>
      <c r="P534" s="19">
        <v>59.51</v>
      </c>
      <c r="Q534" s="19">
        <v>67.040000000000006</v>
      </c>
      <c r="R534" s="15">
        <v>0.114</v>
      </c>
      <c r="S534" s="7">
        <v>9</v>
      </c>
      <c r="T534" s="13">
        <f t="shared" si="153"/>
        <v>534.57695999999999</v>
      </c>
      <c r="U534" s="13">
        <f t="shared" si="154"/>
        <v>535.59</v>
      </c>
      <c r="V534" s="13">
        <f t="shared" si="166"/>
        <v>-1.0130400000000463</v>
      </c>
      <c r="W534" s="15">
        <f t="shared" si="167"/>
        <v>-1.8950311663264469E-3</v>
      </c>
      <c r="X534" s="17" t="str">
        <f t="shared" si="168"/>
        <v>Q2-2025</v>
      </c>
      <c r="Y534" t="str">
        <f t="shared" si="169"/>
        <v>Europe → France → Lyon</v>
      </c>
      <c r="Z534" t="str">
        <f t="shared" si="170"/>
        <v>Low</v>
      </c>
      <c r="AA534">
        <f t="shared" si="155"/>
        <v>2025</v>
      </c>
      <c r="AB534">
        <f t="shared" si="156"/>
        <v>4</v>
      </c>
      <c r="AC534" t="str">
        <f t="shared" si="157"/>
        <v>No</v>
      </c>
      <c r="AD534" t="str">
        <f t="shared" si="158"/>
        <v>No</v>
      </c>
      <c r="AE534" s="36">
        <f>IF(Dashboard!$P$47&gt;'Staging Data'!R534,'Staging Data'!R534,Dashboard!$P$47)</f>
        <v>0.1</v>
      </c>
      <c r="AF534">
        <f>(100%+Dashboard!$P$48)*'Staging Data'!P534</f>
        <v>62.485500000000002</v>
      </c>
      <c r="AG534">
        <f>(100%+Dashboard!$P$49)*S534</f>
        <v>9.36</v>
      </c>
      <c r="AH534" s="13">
        <f t="shared" si="159"/>
        <v>564.74496000000011</v>
      </c>
      <c r="AI534" s="13">
        <f t="shared" si="160"/>
        <v>584.86428000000001</v>
      </c>
      <c r="AJ534" s="13">
        <f t="shared" si="161"/>
        <v>-20.119319999999902</v>
      </c>
    </row>
    <row r="535" spans="1:36" x14ac:dyDescent="0.45">
      <c r="A535" s="3" t="s">
        <v>547</v>
      </c>
      <c r="B535" s="5">
        <v>45155</v>
      </c>
      <c r="C535" s="5">
        <v>45172</v>
      </c>
      <c r="D535" s="5">
        <f t="shared" si="162"/>
        <v>45155</v>
      </c>
      <c r="E535" s="5">
        <f t="shared" si="163"/>
        <v>45172</v>
      </c>
      <c r="F535" s="7">
        <f t="shared" si="164"/>
        <v>17</v>
      </c>
      <c r="G535" s="23" t="str">
        <f t="shared" si="165"/>
        <v>8-2023</v>
      </c>
      <c r="H535" s="3" t="s">
        <v>646</v>
      </c>
      <c r="I535" s="3" t="s">
        <v>661</v>
      </c>
      <c r="J535" s="3" t="s">
        <v>687</v>
      </c>
      <c r="K535" s="3" t="s">
        <v>706</v>
      </c>
      <c r="L535" s="3" t="s">
        <v>707</v>
      </c>
      <c r="M535" s="3" t="s">
        <v>720</v>
      </c>
      <c r="N535" s="3" t="s">
        <v>730</v>
      </c>
      <c r="O535" s="3" t="s">
        <v>1266</v>
      </c>
      <c r="P535" s="19">
        <v>676.37</v>
      </c>
      <c r="Q535" s="19">
        <v>1276.67</v>
      </c>
      <c r="R535" s="15">
        <v>6.6000000000000003E-2</v>
      </c>
      <c r="S535" s="7">
        <v>10</v>
      </c>
      <c r="T535" s="13">
        <f t="shared" si="153"/>
        <v>11924.0978</v>
      </c>
      <c r="U535" s="13">
        <f t="shared" si="154"/>
        <v>6763.7</v>
      </c>
      <c r="V535" s="13">
        <f t="shared" si="166"/>
        <v>5160.3977999999997</v>
      </c>
      <c r="W535" s="15">
        <f t="shared" si="167"/>
        <v>0.4327705027712872</v>
      </c>
      <c r="X535" s="17" t="str">
        <f t="shared" si="168"/>
        <v>Q3-2023</v>
      </c>
      <c r="Y535" t="str">
        <f t="shared" si="169"/>
        <v>Africa → South Africa → Durban</v>
      </c>
      <c r="Z535" t="str">
        <f t="shared" si="170"/>
        <v>Medium</v>
      </c>
      <c r="AA535">
        <f t="shared" si="155"/>
        <v>2023</v>
      </c>
      <c r="AB535">
        <f t="shared" si="156"/>
        <v>8</v>
      </c>
      <c r="AC535" t="str">
        <f t="shared" si="157"/>
        <v>No</v>
      </c>
      <c r="AD535" t="str">
        <f t="shared" si="158"/>
        <v>No</v>
      </c>
      <c r="AE535" s="36">
        <f>IF(Dashboard!$P$47&gt;'Staging Data'!R535,'Staging Data'!R535,Dashboard!$P$47)</f>
        <v>6.6000000000000003E-2</v>
      </c>
      <c r="AF535">
        <f>(100%+Dashboard!$P$48)*'Staging Data'!P535</f>
        <v>710.18850000000009</v>
      </c>
      <c r="AG535">
        <f>(100%+Dashboard!$P$49)*S535</f>
        <v>10.4</v>
      </c>
      <c r="AH535" s="13">
        <f t="shared" si="159"/>
        <v>12401.061711999999</v>
      </c>
      <c r="AI535" s="13">
        <f t="shared" si="160"/>
        <v>7385.9604000000008</v>
      </c>
      <c r="AJ535" s="13">
        <f t="shared" si="161"/>
        <v>5015.101311999998</v>
      </c>
    </row>
    <row r="536" spans="1:36" x14ac:dyDescent="0.45">
      <c r="A536" s="3" t="s">
        <v>548</v>
      </c>
      <c r="B536" s="5">
        <v>45832</v>
      </c>
      <c r="C536" s="5">
        <v>45852</v>
      </c>
      <c r="D536" s="5">
        <f t="shared" si="162"/>
        <v>45832</v>
      </c>
      <c r="E536" s="5">
        <f t="shared" si="163"/>
        <v>45852</v>
      </c>
      <c r="F536" s="7">
        <f t="shared" si="164"/>
        <v>20</v>
      </c>
      <c r="G536" s="23" t="str">
        <f t="shared" si="165"/>
        <v>6-2025</v>
      </c>
      <c r="H536" s="3" t="s">
        <v>646</v>
      </c>
      <c r="I536" s="3" t="s">
        <v>661</v>
      </c>
      <c r="J536" s="3" t="s">
        <v>682</v>
      </c>
      <c r="K536" s="3" t="s">
        <v>706</v>
      </c>
      <c r="L536" s="3" t="s">
        <v>709</v>
      </c>
      <c r="M536" s="3" t="s">
        <v>713</v>
      </c>
      <c r="N536" s="3" t="s">
        <v>731</v>
      </c>
      <c r="O536" s="3" t="s">
        <v>1267</v>
      </c>
      <c r="P536" s="19">
        <v>1151.06</v>
      </c>
      <c r="Q536" s="19">
        <v>2821.36</v>
      </c>
      <c r="R536" s="15">
        <v>0.248</v>
      </c>
      <c r="S536" s="7">
        <v>20</v>
      </c>
      <c r="T536" s="13">
        <f t="shared" si="153"/>
        <v>42433.254400000005</v>
      </c>
      <c r="U536" s="13">
        <f t="shared" si="154"/>
        <v>23021.199999999997</v>
      </c>
      <c r="V536" s="13">
        <f t="shared" si="166"/>
        <v>19412.054400000008</v>
      </c>
      <c r="W536" s="15">
        <f t="shared" si="167"/>
        <v>0.45747267501594235</v>
      </c>
      <c r="X536" s="17" t="str">
        <f t="shared" si="168"/>
        <v>Q2-2025</v>
      </c>
      <c r="Y536" t="str">
        <f t="shared" si="169"/>
        <v>Africa → South Africa → Johannesburg</v>
      </c>
      <c r="Z536" t="str">
        <f t="shared" si="170"/>
        <v>High</v>
      </c>
      <c r="AA536">
        <f t="shared" si="155"/>
        <v>2025</v>
      </c>
      <c r="AB536">
        <f t="shared" si="156"/>
        <v>6</v>
      </c>
      <c r="AC536" t="str">
        <f t="shared" si="157"/>
        <v>No</v>
      </c>
      <c r="AD536" t="str">
        <f t="shared" si="158"/>
        <v>Yes</v>
      </c>
      <c r="AE536" s="36">
        <f>IF(Dashboard!$P$47&gt;'Staging Data'!R536,'Staging Data'!R536,Dashboard!$P$47)</f>
        <v>0.1</v>
      </c>
      <c r="AF536">
        <f>(100%+Dashboard!$P$48)*'Staging Data'!P536</f>
        <v>1208.6130000000001</v>
      </c>
      <c r="AG536">
        <f>(100%+Dashboard!$P$49)*S536</f>
        <v>20.8</v>
      </c>
      <c r="AH536" s="13">
        <f t="shared" si="159"/>
        <v>52815.859200000006</v>
      </c>
      <c r="AI536" s="13">
        <f t="shared" si="160"/>
        <v>25139.150400000002</v>
      </c>
      <c r="AJ536" s="13">
        <f t="shared" si="161"/>
        <v>27676.708800000004</v>
      </c>
    </row>
    <row r="537" spans="1:36" x14ac:dyDescent="0.45">
      <c r="A537" s="3" t="s">
        <v>245</v>
      </c>
      <c r="B537" s="5">
        <v>45771</v>
      </c>
      <c r="C537" s="5">
        <v>45783</v>
      </c>
      <c r="D537" s="5">
        <f t="shared" si="162"/>
        <v>45771</v>
      </c>
      <c r="E537" s="5">
        <f t="shared" si="163"/>
        <v>45783</v>
      </c>
      <c r="F537" s="7">
        <f t="shared" si="164"/>
        <v>12</v>
      </c>
      <c r="G537" s="23" t="str">
        <f t="shared" si="165"/>
        <v>4-2025</v>
      </c>
      <c r="H537" s="3" t="s">
        <v>648</v>
      </c>
      <c r="I537" s="3" t="s">
        <v>655</v>
      </c>
      <c r="J537" s="3" t="s">
        <v>672</v>
      </c>
      <c r="K537" s="3" t="s">
        <v>704</v>
      </c>
      <c r="L537" s="3" t="s">
        <v>708</v>
      </c>
      <c r="M537" s="3" t="s">
        <v>712</v>
      </c>
      <c r="N537" s="3" t="s">
        <v>730</v>
      </c>
      <c r="O537" s="3" t="s">
        <v>965</v>
      </c>
      <c r="P537" s="19">
        <v>394.13</v>
      </c>
      <c r="Q537" s="19">
        <v>932.29</v>
      </c>
      <c r="R537" s="15">
        <v>0.109</v>
      </c>
      <c r="S537" s="7">
        <v>7</v>
      </c>
      <c r="T537" s="13">
        <f t="shared" si="153"/>
        <v>5814.6927299999998</v>
      </c>
      <c r="U537" s="13">
        <f t="shared" si="154"/>
        <v>2758.91</v>
      </c>
      <c r="V537" s="13">
        <f t="shared" si="166"/>
        <v>3055.7827299999999</v>
      </c>
      <c r="W537" s="15">
        <f t="shared" si="167"/>
        <v>0.5255278089303268</v>
      </c>
      <c r="X537" s="17" t="str">
        <f t="shared" si="168"/>
        <v>Q2-2025</v>
      </c>
      <c r="Y537" t="str">
        <f t="shared" si="169"/>
        <v>Americas → Brazil → Brasília</v>
      </c>
      <c r="Z537" t="str">
        <f t="shared" si="170"/>
        <v>Low</v>
      </c>
      <c r="AA537">
        <f t="shared" si="155"/>
        <v>2025</v>
      </c>
      <c r="AB537">
        <f t="shared" si="156"/>
        <v>4</v>
      </c>
      <c r="AC537" t="str">
        <f t="shared" si="157"/>
        <v>No</v>
      </c>
      <c r="AD537" t="str">
        <f t="shared" si="158"/>
        <v>No</v>
      </c>
      <c r="AE537" s="36">
        <f>IF(Dashboard!$P$47&gt;'Staging Data'!R537,'Staging Data'!R537,Dashboard!$P$47)</f>
        <v>0.1</v>
      </c>
      <c r="AF537">
        <f>(100%+Dashboard!$P$48)*'Staging Data'!P537</f>
        <v>413.8365</v>
      </c>
      <c r="AG537">
        <f>(100%+Dashboard!$P$49)*S537</f>
        <v>7.28</v>
      </c>
      <c r="AH537" s="13">
        <f t="shared" si="159"/>
        <v>6108.3640800000003</v>
      </c>
      <c r="AI537" s="13">
        <f t="shared" si="160"/>
        <v>3012.7297200000003</v>
      </c>
      <c r="AJ537" s="13">
        <f t="shared" si="161"/>
        <v>3095.63436</v>
      </c>
    </row>
    <row r="538" spans="1:36" x14ac:dyDescent="0.45">
      <c r="A538" s="3" t="s">
        <v>550</v>
      </c>
      <c r="B538" s="5">
        <v>45108</v>
      </c>
      <c r="C538" s="5">
        <v>45118</v>
      </c>
      <c r="D538" s="5">
        <f t="shared" si="162"/>
        <v>45108</v>
      </c>
      <c r="E538" s="5">
        <f t="shared" si="163"/>
        <v>45118</v>
      </c>
      <c r="F538" s="7">
        <f t="shared" si="164"/>
        <v>10</v>
      </c>
      <c r="G538" s="23" t="str">
        <f t="shared" si="165"/>
        <v>7-2023</v>
      </c>
      <c r="H538" s="3" t="s">
        <v>649</v>
      </c>
      <c r="I538" s="3" t="s">
        <v>657</v>
      </c>
      <c r="J538" s="3" t="s">
        <v>690</v>
      </c>
      <c r="K538" s="3" t="s">
        <v>701</v>
      </c>
      <c r="L538" s="3" t="s">
        <v>711</v>
      </c>
      <c r="M538" s="3" t="s">
        <v>721</v>
      </c>
      <c r="N538" s="3" t="s">
        <v>729</v>
      </c>
      <c r="O538" s="3" t="s">
        <v>1269</v>
      </c>
      <c r="P538" s="19">
        <v>479.5</v>
      </c>
      <c r="Q538" s="19">
        <v>656.66</v>
      </c>
      <c r="R538" s="15">
        <v>0.14899999999999999</v>
      </c>
      <c r="S538" s="7">
        <v>14</v>
      </c>
      <c r="T538" s="13">
        <f t="shared" si="153"/>
        <v>7823.4472399999995</v>
      </c>
      <c r="U538" s="13">
        <f t="shared" si="154"/>
        <v>6713</v>
      </c>
      <c r="V538" s="13">
        <f t="shared" si="166"/>
        <v>1110.4472399999995</v>
      </c>
      <c r="W538" s="15">
        <f t="shared" si="167"/>
        <v>0.14193835606412289</v>
      </c>
      <c r="X538" s="17" t="str">
        <f t="shared" si="168"/>
        <v>Q3-2023</v>
      </c>
      <c r="Y538" t="str">
        <f t="shared" si="169"/>
        <v>Europe → France → Paris</v>
      </c>
      <c r="Z538" t="str">
        <f t="shared" si="170"/>
        <v>Low</v>
      </c>
      <c r="AA538">
        <f t="shared" si="155"/>
        <v>2023</v>
      </c>
      <c r="AB538">
        <f t="shared" si="156"/>
        <v>7</v>
      </c>
      <c r="AC538" t="str">
        <f t="shared" si="157"/>
        <v>No</v>
      </c>
      <c r="AD538" t="str">
        <f t="shared" si="158"/>
        <v>No</v>
      </c>
      <c r="AE538" s="36">
        <f>IF(Dashboard!$P$47&gt;'Staging Data'!R538,'Staging Data'!R538,Dashboard!$P$47)</f>
        <v>0.1</v>
      </c>
      <c r="AF538">
        <f>(100%+Dashboard!$P$48)*'Staging Data'!P538</f>
        <v>503.47500000000002</v>
      </c>
      <c r="AG538">
        <f>(100%+Dashboard!$P$49)*S538</f>
        <v>14.56</v>
      </c>
      <c r="AH538" s="13">
        <f t="shared" si="159"/>
        <v>8604.8726400000014</v>
      </c>
      <c r="AI538" s="13">
        <f t="shared" si="160"/>
        <v>7330.5960000000005</v>
      </c>
      <c r="AJ538" s="13">
        <f t="shared" si="161"/>
        <v>1274.276640000001</v>
      </c>
    </row>
    <row r="539" spans="1:36" x14ac:dyDescent="0.45">
      <c r="A539" s="3" t="s">
        <v>551</v>
      </c>
      <c r="B539" s="5">
        <v>45520</v>
      </c>
      <c r="C539" s="5">
        <v>45530</v>
      </c>
      <c r="D539" s="5">
        <f t="shared" si="162"/>
        <v>45520</v>
      </c>
      <c r="E539" s="5">
        <f t="shared" si="163"/>
        <v>45530</v>
      </c>
      <c r="F539" s="7">
        <f t="shared" si="164"/>
        <v>10</v>
      </c>
      <c r="G539" s="23" t="str">
        <f t="shared" si="165"/>
        <v>8-2024</v>
      </c>
      <c r="H539" s="3" t="s">
        <v>648</v>
      </c>
      <c r="I539" s="3" t="s">
        <v>660</v>
      </c>
      <c r="J539" s="3" t="s">
        <v>677</v>
      </c>
      <c r="K539" s="3" t="s">
        <v>701</v>
      </c>
      <c r="L539" s="3" t="s">
        <v>710</v>
      </c>
      <c r="M539" s="3" t="s">
        <v>716</v>
      </c>
      <c r="N539" s="3" t="s">
        <v>731</v>
      </c>
      <c r="O539" s="3" t="s">
        <v>1121</v>
      </c>
      <c r="P539" s="19">
        <v>1291.7</v>
      </c>
      <c r="Q539" s="19">
        <v>2657.84</v>
      </c>
      <c r="R539" s="15">
        <v>8.6999999999999994E-2</v>
      </c>
      <c r="S539" s="7">
        <v>21</v>
      </c>
      <c r="T539" s="13">
        <f t="shared" si="153"/>
        <v>50958.766320000002</v>
      </c>
      <c r="U539" s="13">
        <f t="shared" si="154"/>
        <v>27125.7</v>
      </c>
      <c r="V539" s="13">
        <f t="shared" si="166"/>
        <v>23833.066320000002</v>
      </c>
      <c r="W539" s="15">
        <f t="shared" si="167"/>
        <v>0.46769315745083367</v>
      </c>
      <c r="X539" s="17" t="str">
        <f t="shared" si="168"/>
        <v>Q3-2024</v>
      </c>
      <c r="Y539" t="str">
        <f t="shared" si="169"/>
        <v>Americas → USA → Chicago</v>
      </c>
      <c r="Z539" t="str">
        <f t="shared" si="170"/>
        <v>High</v>
      </c>
      <c r="AA539">
        <f t="shared" si="155"/>
        <v>2024</v>
      </c>
      <c r="AB539">
        <f t="shared" si="156"/>
        <v>8</v>
      </c>
      <c r="AC539" t="str">
        <f t="shared" si="157"/>
        <v>No</v>
      </c>
      <c r="AD539" t="str">
        <f t="shared" si="158"/>
        <v>No</v>
      </c>
      <c r="AE539" s="36">
        <f>IF(Dashboard!$P$47&gt;'Staging Data'!R539,'Staging Data'!R539,Dashboard!$P$47)</f>
        <v>8.6999999999999994E-2</v>
      </c>
      <c r="AF539">
        <f>(100%+Dashboard!$P$48)*'Staging Data'!P539</f>
        <v>1356.2850000000001</v>
      </c>
      <c r="AG539">
        <f>(100%+Dashboard!$P$49)*S539</f>
        <v>21.84</v>
      </c>
      <c r="AH539" s="13">
        <f t="shared" si="159"/>
        <v>52997.11697280001</v>
      </c>
      <c r="AI539" s="13">
        <f t="shared" si="160"/>
        <v>29621.2644</v>
      </c>
      <c r="AJ539" s="13">
        <f t="shared" si="161"/>
        <v>23375.85257280001</v>
      </c>
    </row>
    <row r="540" spans="1:36" x14ac:dyDescent="0.45">
      <c r="A540" s="3" t="s">
        <v>72</v>
      </c>
      <c r="B540" s="5">
        <v>45643</v>
      </c>
      <c r="C540" s="5">
        <v>45644</v>
      </c>
      <c r="D540" s="5">
        <f t="shared" si="162"/>
        <v>45643</v>
      </c>
      <c r="E540" s="5">
        <f t="shared" si="163"/>
        <v>45644</v>
      </c>
      <c r="F540" s="7">
        <f t="shared" si="164"/>
        <v>1</v>
      </c>
      <c r="G540" s="23" t="str">
        <f t="shared" si="165"/>
        <v>12-2024</v>
      </c>
      <c r="H540" s="3" t="s">
        <v>649</v>
      </c>
      <c r="I540" s="3" t="s">
        <v>656</v>
      </c>
      <c r="J540" s="3" t="s">
        <v>684</v>
      </c>
      <c r="K540" s="3" t="s">
        <v>702</v>
      </c>
      <c r="L540" s="3" t="s">
        <v>707</v>
      </c>
      <c r="M540" s="3" t="s">
        <v>716</v>
      </c>
      <c r="N540" s="3" t="s">
        <v>733</v>
      </c>
      <c r="O540" s="3" t="s">
        <v>791</v>
      </c>
      <c r="P540" s="19">
        <v>346.82</v>
      </c>
      <c r="Q540" s="19">
        <v>701.95</v>
      </c>
      <c r="R540" s="15">
        <v>0.14699999999999999</v>
      </c>
      <c r="S540" s="7">
        <v>8</v>
      </c>
      <c r="T540" s="13">
        <f t="shared" si="153"/>
        <v>4790.1068000000005</v>
      </c>
      <c r="U540" s="13">
        <f t="shared" si="154"/>
        <v>2774.56</v>
      </c>
      <c r="V540" s="13">
        <f t="shared" si="166"/>
        <v>2015.5468000000005</v>
      </c>
      <c r="W540" s="15">
        <f t="shared" si="167"/>
        <v>0.42077283120284509</v>
      </c>
      <c r="X540" s="17" t="str">
        <f t="shared" si="168"/>
        <v>Q4-2024</v>
      </c>
      <c r="Y540" t="str">
        <f t="shared" si="169"/>
        <v>Europe → Germany → Munich</v>
      </c>
      <c r="Z540" t="str">
        <f t="shared" si="170"/>
        <v>Low</v>
      </c>
      <c r="AA540">
        <f t="shared" si="155"/>
        <v>2024</v>
      </c>
      <c r="AB540">
        <f t="shared" si="156"/>
        <v>12</v>
      </c>
      <c r="AC540" t="str">
        <f t="shared" si="157"/>
        <v>Yes</v>
      </c>
      <c r="AD540" t="str">
        <f t="shared" si="158"/>
        <v>No</v>
      </c>
      <c r="AE540" s="36">
        <f>IF(Dashboard!$P$47&gt;'Staging Data'!R540,'Staging Data'!R540,Dashboard!$P$47)</f>
        <v>0.1</v>
      </c>
      <c r="AF540">
        <f>(100%+Dashboard!$P$48)*'Staging Data'!P540</f>
        <v>364.161</v>
      </c>
      <c r="AG540">
        <f>(100%+Dashboard!$P$49)*S540</f>
        <v>8.32</v>
      </c>
      <c r="AH540" s="13">
        <f t="shared" si="159"/>
        <v>5256.2016000000003</v>
      </c>
      <c r="AI540" s="13">
        <f t="shared" si="160"/>
        <v>3029.81952</v>
      </c>
      <c r="AJ540" s="13">
        <f t="shared" si="161"/>
        <v>2226.3820800000003</v>
      </c>
    </row>
    <row r="541" spans="1:36" x14ac:dyDescent="0.45">
      <c r="A541" s="3" t="s">
        <v>553</v>
      </c>
      <c r="B541" s="5">
        <v>45288</v>
      </c>
      <c r="C541" s="5">
        <v>45292</v>
      </c>
      <c r="D541" s="5">
        <f t="shared" si="162"/>
        <v>45288</v>
      </c>
      <c r="E541" s="5">
        <f t="shared" si="163"/>
        <v>45292</v>
      </c>
      <c r="F541" s="7">
        <f t="shared" si="164"/>
        <v>4</v>
      </c>
      <c r="G541" s="23" t="str">
        <f t="shared" si="165"/>
        <v>12-2023</v>
      </c>
      <c r="H541" s="3" t="s">
        <v>646</v>
      </c>
      <c r="I541" s="3" t="s">
        <v>661</v>
      </c>
      <c r="J541" s="3" t="s">
        <v>695</v>
      </c>
      <c r="K541" s="3" t="s">
        <v>702</v>
      </c>
      <c r="L541" s="3" t="s">
        <v>710</v>
      </c>
      <c r="M541" s="3" t="s">
        <v>720</v>
      </c>
      <c r="N541" s="3" t="s">
        <v>728</v>
      </c>
      <c r="O541" s="3" t="s">
        <v>1271</v>
      </c>
      <c r="P541" s="19">
        <v>1141.8</v>
      </c>
      <c r="Q541" s="19">
        <v>2318.7399999999998</v>
      </c>
      <c r="R541" s="15">
        <v>0.107</v>
      </c>
      <c r="S541" s="7">
        <v>32</v>
      </c>
      <c r="T541" s="13">
        <f t="shared" si="153"/>
        <v>66260.314239999992</v>
      </c>
      <c r="U541" s="13">
        <f t="shared" si="154"/>
        <v>36537.599999999999</v>
      </c>
      <c r="V541" s="13">
        <f t="shared" si="166"/>
        <v>29722.714239999994</v>
      </c>
      <c r="W541" s="15">
        <f t="shared" si="167"/>
        <v>0.44857490612468304</v>
      </c>
      <c r="X541" s="17" t="str">
        <f t="shared" si="168"/>
        <v>Q4-2023</v>
      </c>
      <c r="Y541" t="str">
        <f t="shared" si="169"/>
        <v>Africa → South Africa → Cape Town</v>
      </c>
      <c r="Z541" t="str">
        <f t="shared" si="170"/>
        <v>High</v>
      </c>
      <c r="AA541">
        <f t="shared" si="155"/>
        <v>2023</v>
      </c>
      <c r="AB541">
        <f t="shared" si="156"/>
        <v>12</v>
      </c>
      <c r="AC541" t="str">
        <f t="shared" si="157"/>
        <v>Yes</v>
      </c>
      <c r="AD541" t="str">
        <f t="shared" si="158"/>
        <v>No</v>
      </c>
      <c r="AE541" s="36">
        <f>IF(Dashboard!$P$47&gt;'Staging Data'!R541,'Staging Data'!R541,Dashboard!$P$47)</f>
        <v>0.1</v>
      </c>
      <c r="AF541">
        <f>(100%+Dashboard!$P$48)*'Staging Data'!P541</f>
        <v>1198.8900000000001</v>
      </c>
      <c r="AG541">
        <f>(100%+Dashboard!$P$49)*S541</f>
        <v>33.28</v>
      </c>
      <c r="AH541" s="13">
        <f t="shared" si="159"/>
        <v>69450.900479999997</v>
      </c>
      <c r="AI541" s="13">
        <f t="shared" si="160"/>
        <v>39899.059200000003</v>
      </c>
      <c r="AJ541" s="13">
        <f t="shared" si="161"/>
        <v>29551.841279999993</v>
      </c>
    </row>
    <row r="542" spans="1:36" x14ac:dyDescent="0.45">
      <c r="A542" s="3" t="s">
        <v>554</v>
      </c>
      <c r="B542" s="5">
        <v>44952</v>
      </c>
      <c r="C542" s="5">
        <v>44972</v>
      </c>
      <c r="D542" s="5">
        <f t="shared" si="162"/>
        <v>44952</v>
      </c>
      <c r="E542" s="5">
        <f t="shared" si="163"/>
        <v>44972</v>
      </c>
      <c r="F542" s="7">
        <f t="shared" si="164"/>
        <v>20</v>
      </c>
      <c r="G542" s="23" t="str">
        <f t="shared" si="165"/>
        <v>1-2023</v>
      </c>
      <c r="H542" s="3" t="s">
        <v>649</v>
      </c>
      <c r="I542" s="3" t="s">
        <v>656</v>
      </c>
      <c r="J542" s="3" t="s">
        <v>671</v>
      </c>
      <c r="K542" s="3" t="s">
        <v>705</v>
      </c>
      <c r="L542" s="3" t="s">
        <v>708</v>
      </c>
      <c r="M542" s="3" t="s">
        <v>719</v>
      </c>
      <c r="N542" s="3" t="s">
        <v>729</v>
      </c>
      <c r="O542" s="3" t="s">
        <v>1272</v>
      </c>
      <c r="P542" s="19">
        <v>492.62</v>
      </c>
      <c r="Q542" s="19">
        <v>366.7</v>
      </c>
      <c r="R542" s="15">
        <v>8.8999999999999996E-2</v>
      </c>
      <c r="S542" s="7">
        <v>10</v>
      </c>
      <c r="T542" s="13">
        <f t="shared" si="153"/>
        <v>3340.6370000000002</v>
      </c>
      <c r="U542" s="13">
        <f t="shared" si="154"/>
        <v>4926.2</v>
      </c>
      <c r="V542" s="13">
        <f t="shared" si="166"/>
        <v>-1585.5629999999996</v>
      </c>
      <c r="W542" s="15">
        <f t="shared" si="167"/>
        <v>-0.47462894052840809</v>
      </c>
      <c r="X542" s="17" t="str">
        <f t="shared" si="168"/>
        <v>Q1-2023</v>
      </c>
      <c r="Y542" t="str">
        <f t="shared" si="169"/>
        <v>Europe → Germany → Berlin</v>
      </c>
      <c r="Z542" t="str">
        <f t="shared" si="170"/>
        <v>Low</v>
      </c>
      <c r="AA542">
        <f t="shared" si="155"/>
        <v>2023</v>
      </c>
      <c r="AB542">
        <f t="shared" si="156"/>
        <v>1</v>
      </c>
      <c r="AC542" t="str">
        <f t="shared" si="157"/>
        <v>No</v>
      </c>
      <c r="AD542" t="str">
        <f t="shared" si="158"/>
        <v>No</v>
      </c>
      <c r="AE542" s="36">
        <f>IF(Dashboard!$P$47&gt;'Staging Data'!R542,'Staging Data'!R542,Dashboard!$P$47)</f>
        <v>8.8999999999999996E-2</v>
      </c>
      <c r="AF542">
        <f>(100%+Dashboard!$P$48)*'Staging Data'!P542</f>
        <v>517.25099999999998</v>
      </c>
      <c r="AG542">
        <f>(100%+Dashboard!$P$49)*S542</f>
        <v>10.4</v>
      </c>
      <c r="AH542" s="13">
        <f t="shared" si="159"/>
        <v>3474.2624799999999</v>
      </c>
      <c r="AI542" s="13">
        <f t="shared" si="160"/>
        <v>5379.4103999999998</v>
      </c>
      <c r="AJ542" s="13">
        <f t="shared" si="161"/>
        <v>-1905.1479199999999</v>
      </c>
    </row>
    <row r="543" spans="1:36" x14ac:dyDescent="0.45">
      <c r="A543" s="3" t="s">
        <v>555</v>
      </c>
      <c r="B543" s="5">
        <v>45115</v>
      </c>
      <c r="C543" s="5">
        <v>45116</v>
      </c>
      <c r="D543" s="5">
        <f t="shared" si="162"/>
        <v>45115</v>
      </c>
      <c r="E543" s="5">
        <f t="shared" si="163"/>
        <v>45116</v>
      </c>
      <c r="F543" s="7">
        <f t="shared" si="164"/>
        <v>1</v>
      </c>
      <c r="G543" s="23" t="str">
        <f t="shared" si="165"/>
        <v>7-2023</v>
      </c>
      <c r="H543" s="3" t="s">
        <v>646</v>
      </c>
      <c r="I543" s="3" t="s">
        <v>650</v>
      </c>
      <c r="J543" s="3" t="s">
        <v>664</v>
      </c>
      <c r="K543" s="3" t="s">
        <v>704</v>
      </c>
      <c r="L543" s="3" t="s">
        <v>708</v>
      </c>
      <c r="M543" s="3" t="s">
        <v>726</v>
      </c>
      <c r="N543" s="3" t="s">
        <v>731</v>
      </c>
      <c r="O543" s="3" t="s">
        <v>1273</v>
      </c>
      <c r="P543" s="19">
        <v>1258.72</v>
      </c>
      <c r="Q543" s="19">
        <v>2797.41</v>
      </c>
      <c r="R543" s="15">
        <v>0</v>
      </c>
      <c r="S543" s="7">
        <v>7</v>
      </c>
      <c r="T543" s="13">
        <f t="shared" si="153"/>
        <v>19581.87</v>
      </c>
      <c r="U543" s="13">
        <f t="shared" si="154"/>
        <v>8811.0400000000009</v>
      </c>
      <c r="V543" s="13">
        <f t="shared" si="166"/>
        <v>10770.829999999998</v>
      </c>
      <c r="W543" s="15">
        <f t="shared" si="167"/>
        <v>0.55004093071805704</v>
      </c>
      <c r="X543" s="17" t="str">
        <f t="shared" si="168"/>
        <v>Q3-2023</v>
      </c>
      <c r="Y543" t="str">
        <f t="shared" si="169"/>
        <v>Africa → Kenya → Nairobi</v>
      </c>
      <c r="Z543" t="str">
        <f t="shared" si="170"/>
        <v>High</v>
      </c>
      <c r="AA543">
        <f t="shared" si="155"/>
        <v>2023</v>
      </c>
      <c r="AB543">
        <f t="shared" si="156"/>
        <v>7</v>
      </c>
      <c r="AC543" t="str">
        <f t="shared" si="157"/>
        <v>Yes</v>
      </c>
      <c r="AD543" t="str">
        <f t="shared" si="158"/>
        <v>No</v>
      </c>
      <c r="AE543" s="36">
        <f>IF(Dashboard!$P$47&gt;'Staging Data'!R543,'Staging Data'!R543,Dashboard!$P$47)</f>
        <v>0</v>
      </c>
      <c r="AF543">
        <f>(100%+Dashboard!$P$48)*'Staging Data'!P543</f>
        <v>1321.6560000000002</v>
      </c>
      <c r="AG543">
        <f>(100%+Dashboard!$P$49)*S543</f>
        <v>7.28</v>
      </c>
      <c r="AH543" s="13">
        <f t="shared" si="159"/>
        <v>20365.144799999998</v>
      </c>
      <c r="AI543" s="13">
        <f t="shared" si="160"/>
        <v>9621.6556800000017</v>
      </c>
      <c r="AJ543" s="13">
        <f t="shared" si="161"/>
        <v>10743.489119999997</v>
      </c>
    </row>
    <row r="544" spans="1:36" x14ac:dyDescent="0.45">
      <c r="A544" s="3" t="s">
        <v>556</v>
      </c>
      <c r="B544" s="5">
        <v>45450</v>
      </c>
      <c r="C544" s="5">
        <v>45452</v>
      </c>
      <c r="D544" s="5">
        <f t="shared" si="162"/>
        <v>45450</v>
      </c>
      <c r="E544" s="5">
        <f t="shared" si="163"/>
        <v>45452</v>
      </c>
      <c r="F544" s="7">
        <f t="shared" si="164"/>
        <v>2</v>
      </c>
      <c r="G544" s="23" t="str">
        <f t="shared" si="165"/>
        <v>6-2024</v>
      </c>
      <c r="H544" s="3" t="s">
        <v>647</v>
      </c>
      <c r="I544" s="3" t="s">
        <v>659</v>
      </c>
      <c r="J544" s="3" t="s">
        <v>685</v>
      </c>
      <c r="K544" s="3" t="s">
        <v>701</v>
      </c>
      <c r="L544" s="3" t="s">
        <v>707</v>
      </c>
      <c r="M544" s="3" t="s">
        <v>719</v>
      </c>
      <c r="N544" s="3" t="s">
        <v>732</v>
      </c>
      <c r="O544" s="3" t="s">
        <v>1274</v>
      </c>
      <c r="P544" s="19">
        <v>1370.28</v>
      </c>
      <c r="Q544" s="19">
        <v>2209.66</v>
      </c>
      <c r="R544" s="15">
        <v>0.13300000000000001</v>
      </c>
      <c r="S544" s="7">
        <v>16</v>
      </c>
      <c r="T544" s="13">
        <f t="shared" si="153"/>
        <v>30652.403519999996</v>
      </c>
      <c r="U544" s="13">
        <f t="shared" si="154"/>
        <v>21924.48</v>
      </c>
      <c r="V544" s="13">
        <f t="shared" si="166"/>
        <v>8727.9235199999966</v>
      </c>
      <c r="W544" s="15">
        <f t="shared" si="167"/>
        <v>0.28473863442079589</v>
      </c>
      <c r="X544" s="17" t="str">
        <f t="shared" si="168"/>
        <v>Q2-2024</v>
      </c>
      <c r="Y544" t="str">
        <f t="shared" si="169"/>
        <v>Asia → China → Shanghai</v>
      </c>
      <c r="Z544" t="str">
        <f t="shared" si="170"/>
        <v>High</v>
      </c>
      <c r="AA544">
        <f t="shared" si="155"/>
        <v>2024</v>
      </c>
      <c r="AB544">
        <f t="shared" si="156"/>
        <v>6</v>
      </c>
      <c r="AC544" t="str">
        <f t="shared" si="157"/>
        <v>Yes</v>
      </c>
      <c r="AD544" t="str">
        <f t="shared" si="158"/>
        <v>No</v>
      </c>
      <c r="AE544" s="36">
        <f>IF(Dashboard!$P$47&gt;'Staging Data'!R544,'Staging Data'!R544,Dashboard!$P$47)</f>
        <v>0.1</v>
      </c>
      <c r="AF544">
        <f>(100%+Dashboard!$P$48)*'Staging Data'!P544</f>
        <v>1438.7940000000001</v>
      </c>
      <c r="AG544">
        <f>(100%+Dashboard!$P$49)*S544</f>
        <v>16.64</v>
      </c>
      <c r="AH544" s="13">
        <f t="shared" si="159"/>
        <v>33091.868159999998</v>
      </c>
      <c r="AI544" s="13">
        <f t="shared" si="160"/>
        <v>23941.532160000002</v>
      </c>
      <c r="AJ544" s="13">
        <f t="shared" si="161"/>
        <v>9150.3359999999957</v>
      </c>
    </row>
    <row r="545" spans="1:36" x14ac:dyDescent="0.45">
      <c r="A545" s="3" t="s">
        <v>557</v>
      </c>
      <c r="B545" s="5">
        <v>44968</v>
      </c>
      <c r="C545" s="5">
        <v>44969</v>
      </c>
      <c r="D545" s="5">
        <f t="shared" si="162"/>
        <v>44968</v>
      </c>
      <c r="E545" s="5">
        <f t="shared" si="163"/>
        <v>44969</v>
      </c>
      <c r="F545" s="7">
        <f t="shared" si="164"/>
        <v>1</v>
      </c>
      <c r="G545" s="23" t="str">
        <f t="shared" si="165"/>
        <v>2-2023</v>
      </c>
      <c r="H545" s="3" t="s">
        <v>646</v>
      </c>
      <c r="I545" s="3" t="s">
        <v>651</v>
      </c>
      <c r="J545" s="3" t="s">
        <v>663</v>
      </c>
      <c r="K545" s="3" t="s">
        <v>703</v>
      </c>
      <c r="L545" s="3" t="s">
        <v>711</v>
      </c>
      <c r="M545" s="3" t="s">
        <v>726</v>
      </c>
      <c r="N545" s="3" t="s">
        <v>733</v>
      </c>
      <c r="O545" s="3" t="s">
        <v>1275</v>
      </c>
      <c r="P545" s="19">
        <v>944.61</v>
      </c>
      <c r="Q545" s="19">
        <v>839.04</v>
      </c>
      <c r="R545" s="15">
        <v>5.8999999999999997E-2</v>
      </c>
      <c r="S545" s="7">
        <v>6</v>
      </c>
      <c r="T545" s="13">
        <f t="shared" si="153"/>
        <v>4737.2198399999997</v>
      </c>
      <c r="U545" s="13">
        <f t="shared" si="154"/>
        <v>5667.66</v>
      </c>
      <c r="V545" s="13">
        <f t="shared" si="166"/>
        <v>-930.44016000000011</v>
      </c>
      <c r="W545" s="15">
        <f t="shared" si="167"/>
        <v>-0.19641059343363726</v>
      </c>
      <c r="X545" s="17" t="str">
        <f t="shared" si="168"/>
        <v>Q1-2023</v>
      </c>
      <c r="Y545" t="str">
        <f t="shared" si="169"/>
        <v>Africa → Nigeria → Port Harcourt</v>
      </c>
      <c r="Z545" t="str">
        <f t="shared" si="170"/>
        <v>Low</v>
      </c>
      <c r="AA545">
        <f t="shared" si="155"/>
        <v>2023</v>
      </c>
      <c r="AB545">
        <f t="shared" si="156"/>
        <v>2</v>
      </c>
      <c r="AC545" t="str">
        <f t="shared" si="157"/>
        <v>Yes</v>
      </c>
      <c r="AD545" t="str">
        <f t="shared" si="158"/>
        <v>No</v>
      </c>
      <c r="AE545" s="36">
        <f>IF(Dashboard!$P$47&gt;'Staging Data'!R545,'Staging Data'!R545,Dashboard!$P$47)</f>
        <v>5.8999999999999997E-2</v>
      </c>
      <c r="AF545">
        <f>(100%+Dashboard!$P$48)*'Staging Data'!P545</f>
        <v>991.84050000000002</v>
      </c>
      <c r="AG545">
        <f>(100%+Dashboard!$P$49)*S545</f>
        <v>6.24</v>
      </c>
      <c r="AH545" s="13">
        <f t="shared" si="159"/>
        <v>4926.7086336000002</v>
      </c>
      <c r="AI545" s="13">
        <f t="shared" si="160"/>
        <v>6189.0847200000007</v>
      </c>
      <c r="AJ545" s="13">
        <f t="shared" si="161"/>
        <v>-1262.3760864000005</v>
      </c>
    </row>
    <row r="546" spans="1:36" x14ac:dyDescent="0.45">
      <c r="A546" s="3" t="s">
        <v>558</v>
      </c>
      <c r="B546" s="5">
        <v>45108</v>
      </c>
      <c r="C546" s="5">
        <v>45115</v>
      </c>
      <c r="D546" s="5">
        <f t="shared" si="162"/>
        <v>45108</v>
      </c>
      <c r="E546" s="5">
        <f t="shared" si="163"/>
        <v>45115</v>
      </c>
      <c r="F546" s="7">
        <f t="shared" si="164"/>
        <v>7</v>
      </c>
      <c r="G546" s="23" t="str">
        <f t="shared" si="165"/>
        <v>7-2023</v>
      </c>
      <c r="H546" s="3" t="s">
        <v>649</v>
      </c>
      <c r="I546" s="3" t="s">
        <v>656</v>
      </c>
      <c r="J546" s="3" t="s">
        <v>698</v>
      </c>
      <c r="K546" s="3" t="s">
        <v>705</v>
      </c>
      <c r="L546" s="3" t="s">
        <v>710</v>
      </c>
      <c r="M546" s="3" t="s">
        <v>725</v>
      </c>
      <c r="N546" s="3" t="s">
        <v>731</v>
      </c>
      <c r="O546" s="3" t="s">
        <v>1276</v>
      </c>
      <c r="P546" s="19">
        <v>460.21</v>
      </c>
      <c r="Q546" s="19">
        <v>1139.1500000000001</v>
      </c>
      <c r="R546" s="15">
        <v>0.115</v>
      </c>
      <c r="S546" s="7">
        <v>14</v>
      </c>
      <c r="T546" s="13">
        <f t="shared" si="153"/>
        <v>14114.068500000001</v>
      </c>
      <c r="U546" s="13">
        <f t="shared" si="154"/>
        <v>6442.94</v>
      </c>
      <c r="V546" s="13">
        <f t="shared" si="166"/>
        <v>7671.1285000000016</v>
      </c>
      <c r="W546" s="15">
        <f t="shared" si="167"/>
        <v>0.54350937151821255</v>
      </c>
      <c r="X546" s="17" t="str">
        <f t="shared" si="168"/>
        <v>Q3-2023</v>
      </c>
      <c r="Y546" t="str">
        <f t="shared" si="169"/>
        <v>Europe → Germany → Frankfurt</v>
      </c>
      <c r="Z546" t="str">
        <f t="shared" si="170"/>
        <v>Low</v>
      </c>
      <c r="AA546">
        <f t="shared" si="155"/>
        <v>2023</v>
      </c>
      <c r="AB546">
        <f t="shared" si="156"/>
        <v>7</v>
      </c>
      <c r="AC546" t="str">
        <f t="shared" si="157"/>
        <v>Yes</v>
      </c>
      <c r="AD546" t="str">
        <f t="shared" si="158"/>
        <v>No</v>
      </c>
      <c r="AE546" s="36">
        <f>IF(Dashboard!$P$47&gt;'Staging Data'!R546,'Staging Data'!R546,Dashboard!$P$47)</f>
        <v>0.1</v>
      </c>
      <c r="AF546">
        <f>(100%+Dashboard!$P$48)*'Staging Data'!P546</f>
        <v>483.22050000000002</v>
      </c>
      <c r="AG546">
        <f>(100%+Dashboard!$P$49)*S546</f>
        <v>14.56</v>
      </c>
      <c r="AH546" s="13">
        <f t="shared" si="159"/>
        <v>14927.421600000001</v>
      </c>
      <c r="AI546" s="13">
        <f t="shared" si="160"/>
        <v>7035.6904800000002</v>
      </c>
      <c r="AJ546" s="13">
        <f t="shared" si="161"/>
        <v>7891.7311200000013</v>
      </c>
    </row>
    <row r="547" spans="1:36" x14ac:dyDescent="0.45">
      <c r="A547" s="3" t="s">
        <v>559</v>
      </c>
      <c r="B547" s="5">
        <v>45889</v>
      </c>
      <c r="C547" s="5">
        <v>45895</v>
      </c>
      <c r="D547" s="5">
        <f t="shared" si="162"/>
        <v>45889</v>
      </c>
      <c r="E547" s="5">
        <f t="shared" si="163"/>
        <v>45895</v>
      </c>
      <c r="F547" s="7">
        <f t="shared" si="164"/>
        <v>6</v>
      </c>
      <c r="G547" s="23" t="str">
        <f t="shared" si="165"/>
        <v>8-2025</v>
      </c>
      <c r="H547" s="3" t="s">
        <v>648</v>
      </c>
      <c r="I547" s="3" t="s">
        <v>660</v>
      </c>
      <c r="J547" s="3" t="s">
        <v>700</v>
      </c>
      <c r="K547" s="3" t="s">
        <v>701</v>
      </c>
      <c r="L547" s="3" t="s">
        <v>707</v>
      </c>
      <c r="M547" s="3" t="s">
        <v>724</v>
      </c>
      <c r="N547" s="3" t="s">
        <v>729</v>
      </c>
      <c r="O547" s="3" t="s">
        <v>1277</v>
      </c>
      <c r="P547" s="19">
        <v>1304.95</v>
      </c>
      <c r="Q547" s="19">
        <v>1712.03</v>
      </c>
      <c r="R547" s="15">
        <v>0.21199999999999999</v>
      </c>
      <c r="S547" s="7">
        <v>8</v>
      </c>
      <c r="T547" s="13">
        <f t="shared" si="153"/>
        <v>10792.637119999999</v>
      </c>
      <c r="U547" s="13">
        <f t="shared" si="154"/>
        <v>10439.6</v>
      </c>
      <c r="V547" s="13">
        <f t="shared" si="166"/>
        <v>353.03711999999905</v>
      </c>
      <c r="W547" s="15">
        <f t="shared" si="167"/>
        <v>3.2710922833287949E-2</v>
      </c>
      <c r="X547" s="17" t="str">
        <f t="shared" si="168"/>
        <v>Q3-2025</v>
      </c>
      <c r="Y547" t="str">
        <f t="shared" si="169"/>
        <v>Americas → USA → New York</v>
      </c>
      <c r="Z547" t="str">
        <f t="shared" si="170"/>
        <v>Medium</v>
      </c>
      <c r="AA547">
        <f t="shared" si="155"/>
        <v>2025</v>
      </c>
      <c r="AB547">
        <f t="shared" si="156"/>
        <v>8</v>
      </c>
      <c r="AC547" t="str">
        <f t="shared" si="157"/>
        <v>Yes</v>
      </c>
      <c r="AD547" t="str">
        <f t="shared" si="158"/>
        <v>Yes</v>
      </c>
      <c r="AE547" s="36">
        <f>IF(Dashboard!$P$47&gt;'Staging Data'!R547,'Staging Data'!R547,Dashboard!$P$47)</f>
        <v>0.1</v>
      </c>
      <c r="AF547">
        <f>(100%+Dashboard!$P$48)*'Staging Data'!P547</f>
        <v>1370.1975000000002</v>
      </c>
      <c r="AG547">
        <f>(100%+Dashboard!$P$49)*S547</f>
        <v>8.32</v>
      </c>
      <c r="AH547" s="13">
        <f t="shared" si="159"/>
        <v>12819.68064</v>
      </c>
      <c r="AI547" s="13">
        <f t="shared" si="160"/>
        <v>11400.043200000002</v>
      </c>
      <c r="AJ547" s="13">
        <f t="shared" si="161"/>
        <v>1419.6374399999986</v>
      </c>
    </row>
    <row r="548" spans="1:36" x14ac:dyDescent="0.45">
      <c r="A548" s="3" t="s">
        <v>560</v>
      </c>
      <c r="B548" s="5">
        <v>45355</v>
      </c>
      <c r="C548" s="5">
        <v>45367</v>
      </c>
      <c r="D548" s="5">
        <f t="shared" si="162"/>
        <v>45355</v>
      </c>
      <c r="E548" s="5">
        <f t="shared" si="163"/>
        <v>45367</v>
      </c>
      <c r="F548" s="7">
        <f t="shared" si="164"/>
        <v>12</v>
      </c>
      <c r="G548" s="23" t="str">
        <f t="shared" si="165"/>
        <v>3-2024</v>
      </c>
      <c r="H548" s="3" t="s">
        <v>646</v>
      </c>
      <c r="I548" s="3" t="s">
        <v>661</v>
      </c>
      <c r="J548" s="3" t="s">
        <v>682</v>
      </c>
      <c r="K548" s="3" t="s">
        <v>706</v>
      </c>
      <c r="L548" s="3" t="s">
        <v>710</v>
      </c>
      <c r="M548" s="3" t="s">
        <v>724</v>
      </c>
      <c r="N548" s="3" t="s">
        <v>732</v>
      </c>
      <c r="O548" s="3" t="s">
        <v>1278</v>
      </c>
      <c r="P548" s="19">
        <v>441.08</v>
      </c>
      <c r="Q548" s="19">
        <v>1054.29</v>
      </c>
      <c r="R548" s="15">
        <v>0.23699999999999999</v>
      </c>
      <c r="S548" s="7">
        <v>6</v>
      </c>
      <c r="T548" s="13">
        <f t="shared" si="153"/>
        <v>4826.5396199999996</v>
      </c>
      <c r="U548" s="13">
        <f t="shared" si="154"/>
        <v>2646.48</v>
      </c>
      <c r="V548" s="13">
        <f t="shared" si="166"/>
        <v>2180.0596199999995</v>
      </c>
      <c r="W548" s="15">
        <f t="shared" si="167"/>
        <v>0.45168169985932899</v>
      </c>
      <c r="X548" s="17" t="str">
        <f t="shared" si="168"/>
        <v>Q1-2024</v>
      </c>
      <c r="Y548" t="str">
        <f t="shared" si="169"/>
        <v>Africa → South Africa → Johannesburg</v>
      </c>
      <c r="Z548" t="str">
        <f t="shared" si="170"/>
        <v>Low</v>
      </c>
      <c r="AA548">
        <f t="shared" si="155"/>
        <v>2024</v>
      </c>
      <c r="AB548">
        <f t="shared" si="156"/>
        <v>3</v>
      </c>
      <c r="AC548" t="str">
        <f t="shared" si="157"/>
        <v>No</v>
      </c>
      <c r="AD548" t="str">
        <f t="shared" si="158"/>
        <v>Yes</v>
      </c>
      <c r="AE548" s="36">
        <f>IF(Dashboard!$P$47&gt;'Staging Data'!R548,'Staging Data'!R548,Dashboard!$P$47)</f>
        <v>0.1</v>
      </c>
      <c r="AF548">
        <f>(100%+Dashboard!$P$48)*'Staging Data'!P548</f>
        <v>463.13400000000001</v>
      </c>
      <c r="AG548">
        <f>(100%+Dashboard!$P$49)*S548</f>
        <v>6.24</v>
      </c>
      <c r="AH548" s="13">
        <f t="shared" si="159"/>
        <v>5920.89264</v>
      </c>
      <c r="AI548" s="13">
        <f t="shared" si="160"/>
        <v>2889.9561600000002</v>
      </c>
      <c r="AJ548" s="13">
        <f t="shared" si="161"/>
        <v>3030.9364799999998</v>
      </c>
    </row>
    <row r="549" spans="1:36" x14ac:dyDescent="0.45">
      <c r="A549" s="3" t="s">
        <v>585</v>
      </c>
      <c r="B549" s="5">
        <v>45078</v>
      </c>
      <c r="C549" s="5">
        <v>45078</v>
      </c>
      <c r="D549" s="5">
        <f t="shared" si="162"/>
        <v>45078</v>
      </c>
      <c r="E549" s="5">
        <f t="shared" si="163"/>
        <v>45078</v>
      </c>
      <c r="F549" s="7">
        <f t="shared" si="164"/>
        <v>0</v>
      </c>
      <c r="G549" s="23" t="str">
        <f t="shared" si="165"/>
        <v>6-2023</v>
      </c>
      <c r="H549" s="3" t="s">
        <v>647</v>
      </c>
      <c r="I549" s="3" t="s">
        <v>654</v>
      </c>
      <c r="J549" s="3" t="s">
        <v>668</v>
      </c>
      <c r="K549" s="3" t="s">
        <v>701</v>
      </c>
      <c r="L549" s="3" t="s">
        <v>707</v>
      </c>
      <c r="M549" s="3" t="s">
        <v>718</v>
      </c>
      <c r="N549" s="3" t="s">
        <v>733</v>
      </c>
      <c r="O549" s="3" t="s">
        <v>1303</v>
      </c>
      <c r="P549" s="19">
        <v>669.37</v>
      </c>
      <c r="Q549" s="19">
        <v>997.2</v>
      </c>
      <c r="R549" s="15">
        <v>8.2000000000000003E-2</v>
      </c>
      <c r="S549" s="7">
        <v>5</v>
      </c>
      <c r="T549" s="13">
        <f t="shared" si="153"/>
        <v>4577.1480000000001</v>
      </c>
      <c r="U549" s="13">
        <f t="shared" si="154"/>
        <v>3346.85</v>
      </c>
      <c r="V549" s="13">
        <f t="shared" si="166"/>
        <v>1230.2980000000002</v>
      </c>
      <c r="W549" s="15">
        <f t="shared" si="167"/>
        <v>0.26879139586484863</v>
      </c>
      <c r="X549" s="17" t="str">
        <f t="shared" si="168"/>
        <v>Q2-2023</v>
      </c>
      <c r="Y549" t="str">
        <f t="shared" si="169"/>
        <v>Asia → India → Bengaluru</v>
      </c>
      <c r="Z549" t="str">
        <f t="shared" si="170"/>
        <v>Low</v>
      </c>
      <c r="AA549">
        <f t="shared" si="155"/>
        <v>2023</v>
      </c>
      <c r="AB549">
        <f t="shared" si="156"/>
        <v>6</v>
      </c>
      <c r="AC549" t="str">
        <f t="shared" si="157"/>
        <v>Yes</v>
      </c>
      <c r="AD549" t="str">
        <f t="shared" si="158"/>
        <v>No</v>
      </c>
      <c r="AE549" s="36">
        <f>IF(Dashboard!$P$47&gt;'Staging Data'!R549,'Staging Data'!R549,Dashboard!$P$47)</f>
        <v>8.2000000000000003E-2</v>
      </c>
      <c r="AF549">
        <f>(100%+Dashboard!$P$48)*'Staging Data'!P549</f>
        <v>702.83850000000007</v>
      </c>
      <c r="AG549">
        <f>(100%+Dashboard!$P$49)*S549</f>
        <v>5.2</v>
      </c>
      <c r="AH549" s="13">
        <f t="shared" si="159"/>
        <v>4760.2339200000006</v>
      </c>
      <c r="AI549" s="13">
        <f t="shared" si="160"/>
        <v>3654.7602000000006</v>
      </c>
      <c r="AJ549" s="13">
        <f t="shared" si="161"/>
        <v>1105.47372</v>
      </c>
    </row>
    <row r="550" spans="1:36" x14ac:dyDescent="0.45">
      <c r="A550" s="3" t="s">
        <v>562</v>
      </c>
      <c r="B550" s="5">
        <v>44985</v>
      </c>
      <c r="C550" s="5">
        <v>44991</v>
      </c>
      <c r="D550" s="5">
        <f t="shared" si="162"/>
        <v>44985</v>
      </c>
      <c r="E550" s="5">
        <f t="shared" si="163"/>
        <v>44991</v>
      </c>
      <c r="F550" s="7">
        <f t="shared" si="164"/>
        <v>6</v>
      </c>
      <c r="G550" s="23" t="str">
        <f t="shared" si="165"/>
        <v>2-2023</v>
      </c>
      <c r="H550" s="3" t="s">
        <v>649</v>
      </c>
      <c r="I550" s="3" t="s">
        <v>656</v>
      </c>
      <c r="J550" s="3" t="s">
        <v>698</v>
      </c>
      <c r="K550" s="3" t="s">
        <v>705</v>
      </c>
      <c r="L550" s="3" t="s">
        <v>709</v>
      </c>
      <c r="M550" s="3" t="s">
        <v>726</v>
      </c>
      <c r="N550" s="3" t="s">
        <v>728</v>
      </c>
      <c r="O550" s="3" t="s">
        <v>1280</v>
      </c>
      <c r="P550" s="19">
        <v>880.02</v>
      </c>
      <c r="Q550" s="19">
        <v>1251.21</v>
      </c>
      <c r="R550" s="15">
        <v>0.123</v>
      </c>
      <c r="S550" s="7">
        <v>29</v>
      </c>
      <c r="T550" s="13">
        <f t="shared" si="153"/>
        <v>31822.023930000003</v>
      </c>
      <c r="U550" s="13">
        <f t="shared" si="154"/>
        <v>25520.579999999998</v>
      </c>
      <c r="V550" s="13">
        <f t="shared" si="166"/>
        <v>6301.4439300000049</v>
      </c>
      <c r="W550" s="15">
        <f t="shared" si="167"/>
        <v>0.19802146915172672</v>
      </c>
      <c r="X550" s="17" t="str">
        <f t="shared" si="168"/>
        <v>Q1-2023</v>
      </c>
      <c r="Y550" t="str">
        <f t="shared" si="169"/>
        <v>Europe → Germany → Frankfurt</v>
      </c>
      <c r="Z550" t="str">
        <f t="shared" si="170"/>
        <v>Medium</v>
      </c>
      <c r="AA550">
        <f t="shared" si="155"/>
        <v>2023</v>
      </c>
      <c r="AB550">
        <f t="shared" si="156"/>
        <v>2</v>
      </c>
      <c r="AC550" t="str">
        <f t="shared" si="157"/>
        <v>Yes</v>
      </c>
      <c r="AD550" t="str">
        <f t="shared" si="158"/>
        <v>No</v>
      </c>
      <c r="AE550" s="36">
        <f>IF(Dashboard!$P$47&gt;'Staging Data'!R550,'Staging Data'!R550,Dashboard!$P$47)</f>
        <v>0.1</v>
      </c>
      <c r="AF550">
        <f>(100%+Dashboard!$P$48)*'Staging Data'!P550</f>
        <v>924.02100000000007</v>
      </c>
      <c r="AG550">
        <f>(100%+Dashboard!$P$49)*S550</f>
        <v>30.16</v>
      </c>
      <c r="AH550" s="13">
        <f t="shared" si="159"/>
        <v>33962.844240000006</v>
      </c>
      <c r="AI550" s="13">
        <f t="shared" si="160"/>
        <v>27868.473360000004</v>
      </c>
      <c r="AJ550" s="13">
        <f t="shared" si="161"/>
        <v>6094.3708800000022</v>
      </c>
    </row>
    <row r="551" spans="1:36" x14ac:dyDescent="0.45">
      <c r="A551" s="3" t="s">
        <v>342</v>
      </c>
      <c r="B551" s="5">
        <v>45796</v>
      </c>
      <c r="C551" s="5">
        <v>45794</v>
      </c>
      <c r="D551" s="5">
        <f t="shared" si="162"/>
        <v>45794</v>
      </c>
      <c r="E551" s="5">
        <f t="shared" si="163"/>
        <v>45796</v>
      </c>
      <c r="F551" s="7">
        <f t="shared" si="164"/>
        <v>2</v>
      </c>
      <c r="G551" s="23" t="str">
        <f t="shared" si="165"/>
        <v>5-2025</v>
      </c>
      <c r="H551" s="3" t="s">
        <v>648</v>
      </c>
      <c r="I551" s="3" t="s">
        <v>655</v>
      </c>
      <c r="J551" s="3" t="s">
        <v>670</v>
      </c>
      <c r="K551" s="3" t="s">
        <v>705</v>
      </c>
      <c r="L551" s="3" t="s">
        <v>710</v>
      </c>
      <c r="M551" s="3" t="s">
        <v>716</v>
      </c>
      <c r="N551" s="3" t="s">
        <v>732</v>
      </c>
      <c r="O551" s="3" t="s">
        <v>1062</v>
      </c>
      <c r="P551" s="19">
        <v>383.77</v>
      </c>
      <c r="Q551" s="19">
        <v>952.56</v>
      </c>
      <c r="R551" s="15">
        <v>0.1186</v>
      </c>
      <c r="S551" s="7">
        <v>10</v>
      </c>
      <c r="T551" s="13">
        <f t="shared" si="153"/>
        <v>8395.8638399999982</v>
      </c>
      <c r="U551" s="13">
        <f t="shared" si="154"/>
        <v>3837.7</v>
      </c>
      <c r="V551" s="13">
        <f t="shared" si="166"/>
        <v>4558.1638399999983</v>
      </c>
      <c r="W551" s="15">
        <f t="shared" si="167"/>
        <v>0.54290587923588807</v>
      </c>
      <c r="X551" s="17" t="str">
        <f t="shared" si="168"/>
        <v>Q2-2025</v>
      </c>
      <c r="Y551" t="str">
        <f t="shared" si="169"/>
        <v>Americas → Brazil → São Paulo</v>
      </c>
      <c r="Z551" t="str">
        <f t="shared" si="170"/>
        <v>Low</v>
      </c>
      <c r="AA551">
        <f t="shared" si="155"/>
        <v>2025</v>
      </c>
      <c r="AB551">
        <f t="shared" si="156"/>
        <v>5</v>
      </c>
      <c r="AC551" t="str">
        <f t="shared" si="157"/>
        <v>Yes</v>
      </c>
      <c r="AD551" t="str">
        <f t="shared" si="158"/>
        <v>No</v>
      </c>
      <c r="AE551" s="36">
        <f>IF(Dashboard!$P$47&gt;'Staging Data'!R551,'Staging Data'!R551,Dashboard!$P$47)</f>
        <v>0.1</v>
      </c>
      <c r="AF551">
        <f>(100%+Dashboard!$P$48)*'Staging Data'!P551</f>
        <v>402.95850000000002</v>
      </c>
      <c r="AG551">
        <f>(100%+Dashboard!$P$49)*S551</f>
        <v>10.4</v>
      </c>
      <c r="AH551" s="13">
        <f t="shared" si="159"/>
        <v>8915.9616000000005</v>
      </c>
      <c r="AI551" s="13">
        <f t="shared" si="160"/>
        <v>4190.7683999999999</v>
      </c>
      <c r="AJ551" s="13">
        <f t="shared" si="161"/>
        <v>4725.1932000000006</v>
      </c>
    </row>
    <row r="552" spans="1:36" x14ac:dyDescent="0.45">
      <c r="A552" s="3" t="s">
        <v>564</v>
      </c>
      <c r="B552" s="5">
        <v>45633</v>
      </c>
      <c r="C552" s="5">
        <v>45652</v>
      </c>
      <c r="D552" s="5">
        <f t="shared" si="162"/>
        <v>45633</v>
      </c>
      <c r="E552" s="5">
        <f t="shared" si="163"/>
        <v>45652</v>
      </c>
      <c r="F552" s="7">
        <f t="shared" si="164"/>
        <v>19</v>
      </c>
      <c r="G552" s="23" t="str">
        <f t="shared" si="165"/>
        <v>12-2024</v>
      </c>
      <c r="H552" s="3" t="s">
        <v>649</v>
      </c>
      <c r="I552" s="3" t="s">
        <v>658</v>
      </c>
      <c r="J552" s="3" t="s">
        <v>683</v>
      </c>
      <c r="K552" s="3" t="s">
        <v>706</v>
      </c>
      <c r="L552" s="3" t="s">
        <v>708</v>
      </c>
      <c r="M552" s="3" t="s">
        <v>726</v>
      </c>
      <c r="N552" s="3" t="s">
        <v>729</v>
      </c>
      <c r="O552" s="3" t="s">
        <v>1282</v>
      </c>
      <c r="P552" s="19">
        <v>1035.24</v>
      </c>
      <c r="Q552" s="19">
        <v>2383.41</v>
      </c>
      <c r="R552" s="15">
        <v>0.17</v>
      </c>
      <c r="S552" s="7">
        <v>15</v>
      </c>
      <c r="T552" s="13">
        <f t="shared" si="153"/>
        <v>29673.454499999993</v>
      </c>
      <c r="U552" s="13">
        <f t="shared" si="154"/>
        <v>15528.6</v>
      </c>
      <c r="V552" s="13">
        <f t="shared" si="166"/>
        <v>14144.854499999992</v>
      </c>
      <c r="W552" s="15">
        <f t="shared" si="167"/>
        <v>0.47668378145860962</v>
      </c>
      <c r="X552" s="17" t="str">
        <f t="shared" si="168"/>
        <v>Q4-2024</v>
      </c>
      <c r="Y552" t="str">
        <f t="shared" si="169"/>
        <v>Europe → United Kingdom → London</v>
      </c>
      <c r="Z552" t="str">
        <f t="shared" si="170"/>
        <v>High</v>
      </c>
      <c r="AA552">
        <f t="shared" si="155"/>
        <v>2024</v>
      </c>
      <c r="AB552">
        <f t="shared" si="156"/>
        <v>12</v>
      </c>
      <c r="AC552" t="str">
        <f t="shared" si="157"/>
        <v>No</v>
      </c>
      <c r="AD552" t="str">
        <f t="shared" si="158"/>
        <v>No</v>
      </c>
      <c r="AE552" s="36">
        <f>IF(Dashboard!$P$47&gt;'Staging Data'!R552,'Staging Data'!R552,Dashboard!$P$47)</f>
        <v>0.1</v>
      </c>
      <c r="AF552">
        <f>(100%+Dashboard!$P$48)*'Staging Data'!P552</f>
        <v>1087.002</v>
      </c>
      <c r="AG552">
        <f>(100%+Dashboard!$P$49)*S552</f>
        <v>15.600000000000001</v>
      </c>
      <c r="AH552" s="13">
        <f t="shared" si="159"/>
        <v>33463.076400000005</v>
      </c>
      <c r="AI552" s="13">
        <f t="shared" si="160"/>
        <v>16957.231200000002</v>
      </c>
      <c r="AJ552" s="13">
        <f t="shared" si="161"/>
        <v>16505.845200000003</v>
      </c>
    </row>
    <row r="553" spans="1:36" x14ac:dyDescent="0.45">
      <c r="A553" s="3" t="s">
        <v>24</v>
      </c>
      <c r="B553" s="5">
        <v>45798</v>
      </c>
      <c r="C553" s="5">
        <v>45817</v>
      </c>
      <c r="D553" s="5">
        <f t="shared" si="162"/>
        <v>45798</v>
      </c>
      <c r="E553" s="5">
        <f t="shared" si="163"/>
        <v>45817</v>
      </c>
      <c r="F553" s="7">
        <f t="shared" si="164"/>
        <v>19</v>
      </c>
      <c r="G553" s="23" t="str">
        <f t="shared" si="165"/>
        <v>5-2025</v>
      </c>
      <c r="H553" s="3" t="s">
        <v>648</v>
      </c>
      <c r="I553" s="3" t="s">
        <v>655</v>
      </c>
      <c r="J553" s="3" t="s">
        <v>670</v>
      </c>
      <c r="K553" s="3" t="s">
        <v>703</v>
      </c>
      <c r="L553" s="3" t="s">
        <v>708</v>
      </c>
      <c r="M553" s="3" t="s">
        <v>720</v>
      </c>
      <c r="N553" s="3" t="s">
        <v>727</v>
      </c>
      <c r="O553" s="3" t="s">
        <v>743</v>
      </c>
      <c r="P553" s="19">
        <v>1331.38</v>
      </c>
      <c r="Q553" s="19">
        <v>2309.56</v>
      </c>
      <c r="R553" s="15">
        <v>0.14899999999999999</v>
      </c>
      <c r="S553" s="7">
        <v>31</v>
      </c>
      <c r="T553" s="13">
        <f t="shared" si="153"/>
        <v>60928.502359999999</v>
      </c>
      <c r="U553" s="13">
        <f t="shared" si="154"/>
        <v>41272.780000000006</v>
      </c>
      <c r="V553" s="13">
        <f t="shared" si="166"/>
        <v>19655.722359999992</v>
      </c>
      <c r="W553" s="15">
        <f t="shared" si="167"/>
        <v>0.32260307735553528</v>
      </c>
      <c r="X553" s="17" t="str">
        <f t="shared" si="168"/>
        <v>Q2-2025</v>
      </c>
      <c r="Y553" t="str">
        <f t="shared" si="169"/>
        <v>Americas → Brazil → São Paulo</v>
      </c>
      <c r="Z553" t="str">
        <f t="shared" si="170"/>
        <v>High</v>
      </c>
      <c r="AA553">
        <f t="shared" si="155"/>
        <v>2025</v>
      </c>
      <c r="AB553">
        <f t="shared" si="156"/>
        <v>5</v>
      </c>
      <c r="AC553" t="str">
        <f t="shared" si="157"/>
        <v>No</v>
      </c>
      <c r="AD553" t="str">
        <f t="shared" si="158"/>
        <v>No</v>
      </c>
      <c r="AE553" s="36">
        <f>IF(Dashboard!$P$47&gt;'Staging Data'!R553,'Staging Data'!R553,Dashboard!$P$47)</f>
        <v>0.1</v>
      </c>
      <c r="AF553">
        <f>(100%+Dashboard!$P$48)*'Staging Data'!P553</f>
        <v>1397.9490000000001</v>
      </c>
      <c r="AG553">
        <f>(100%+Dashboard!$P$49)*S553</f>
        <v>32.24</v>
      </c>
      <c r="AH553" s="13">
        <f t="shared" si="159"/>
        <v>67014.19296</v>
      </c>
      <c r="AI553" s="13">
        <f t="shared" si="160"/>
        <v>45069.875760000003</v>
      </c>
      <c r="AJ553" s="13">
        <f t="shared" si="161"/>
        <v>21944.317199999998</v>
      </c>
    </row>
    <row r="554" spans="1:36" x14ac:dyDescent="0.45">
      <c r="A554" s="3" t="s">
        <v>566</v>
      </c>
      <c r="B554" s="5">
        <v>44988</v>
      </c>
      <c r="C554" s="5">
        <v>45005</v>
      </c>
      <c r="D554" s="5">
        <f t="shared" si="162"/>
        <v>44988</v>
      </c>
      <c r="E554" s="5">
        <f t="shared" si="163"/>
        <v>45005</v>
      </c>
      <c r="F554" s="7">
        <f t="shared" si="164"/>
        <v>17</v>
      </c>
      <c r="G554" s="23" t="str">
        <f t="shared" si="165"/>
        <v>3-2023</v>
      </c>
      <c r="H554" s="3" t="s">
        <v>647</v>
      </c>
      <c r="I554" s="3" t="s">
        <v>652</v>
      </c>
      <c r="J554" s="3" t="s">
        <v>694</v>
      </c>
      <c r="K554" s="3" t="s">
        <v>705</v>
      </c>
      <c r="L554" s="3" t="s">
        <v>708</v>
      </c>
      <c r="M554" s="3" t="s">
        <v>726</v>
      </c>
      <c r="N554" s="3" t="s">
        <v>729</v>
      </c>
      <c r="O554" s="3" t="s">
        <v>1284</v>
      </c>
      <c r="P554" s="19">
        <v>1171.17</v>
      </c>
      <c r="Q554" s="19">
        <v>2030.64</v>
      </c>
      <c r="R554" s="15">
        <v>0.157</v>
      </c>
      <c r="S554" s="7">
        <v>11</v>
      </c>
      <c r="T554" s="13">
        <f t="shared" si="153"/>
        <v>18830.12472</v>
      </c>
      <c r="U554" s="13">
        <f t="shared" si="154"/>
        <v>12882.87</v>
      </c>
      <c r="V554" s="13">
        <f t="shared" si="166"/>
        <v>5947.254719999999</v>
      </c>
      <c r="W554" s="15">
        <f t="shared" si="167"/>
        <v>0.31583724528830415</v>
      </c>
      <c r="X554" s="17" t="str">
        <f t="shared" si="168"/>
        <v>Q1-2023</v>
      </c>
      <c r="Y554" t="str">
        <f t="shared" si="169"/>
        <v>Asia → Japan → Nagoya</v>
      </c>
      <c r="Z554" t="str">
        <f t="shared" si="170"/>
        <v>High</v>
      </c>
      <c r="AA554">
        <f t="shared" si="155"/>
        <v>2023</v>
      </c>
      <c r="AB554">
        <f t="shared" si="156"/>
        <v>3</v>
      </c>
      <c r="AC554" t="str">
        <f t="shared" si="157"/>
        <v>No</v>
      </c>
      <c r="AD554" t="str">
        <f t="shared" si="158"/>
        <v>No</v>
      </c>
      <c r="AE554" s="36">
        <f>IF(Dashboard!$P$47&gt;'Staging Data'!R554,'Staging Data'!R554,Dashboard!$P$47)</f>
        <v>0.1</v>
      </c>
      <c r="AF554">
        <f>(100%+Dashboard!$P$48)*'Staging Data'!P554</f>
        <v>1229.7285000000002</v>
      </c>
      <c r="AG554">
        <f>(100%+Dashboard!$P$49)*S554</f>
        <v>11.440000000000001</v>
      </c>
      <c r="AH554" s="13">
        <f t="shared" si="159"/>
        <v>20907.469440000004</v>
      </c>
      <c r="AI554" s="13">
        <f t="shared" si="160"/>
        <v>14068.094040000004</v>
      </c>
      <c r="AJ554" s="13">
        <f t="shared" si="161"/>
        <v>6839.3754000000008</v>
      </c>
    </row>
    <row r="555" spans="1:36" x14ac:dyDescent="0.45">
      <c r="A555" s="3" t="s">
        <v>74</v>
      </c>
      <c r="B555" s="5">
        <v>45779</v>
      </c>
      <c r="C555" s="5">
        <v>45790</v>
      </c>
      <c r="D555" s="5">
        <f t="shared" si="162"/>
        <v>45779</v>
      </c>
      <c r="E555" s="5">
        <f t="shared" si="163"/>
        <v>45790</v>
      </c>
      <c r="F555" s="7">
        <f t="shared" si="164"/>
        <v>11</v>
      </c>
      <c r="G555" s="23" t="str">
        <f t="shared" si="165"/>
        <v>5-2025</v>
      </c>
      <c r="H555" s="3" t="s">
        <v>646</v>
      </c>
      <c r="I555" s="3" t="s">
        <v>650</v>
      </c>
      <c r="J555" s="3" t="s">
        <v>678</v>
      </c>
      <c r="K555" s="3" t="s">
        <v>705</v>
      </c>
      <c r="L555" s="3" t="s">
        <v>708</v>
      </c>
      <c r="M555" s="3" t="s">
        <v>720</v>
      </c>
      <c r="N555" s="3" t="s">
        <v>733</v>
      </c>
      <c r="O555" s="3" t="s">
        <v>793</v>
      </c>
      <c r="P555" s="19">
        <v>1057.5999999999999</v>
      </c>
      <c r="Q555" s="19">
        <v>1437.06</v>
      </c>
      <c r="R555" s="15">
        <v>0.20499999999999999</v>
      </c>
      <c r="S555" s="7">
        <v>4</v>
      </c>
      <c r="T555" s="13">
        <f t="shared" si="153"/>
        <v>4569.8508000000002</v>
      </c>
      <c r="U555" s="13">
        <f t="shared" si="154"/>
        <v>4230.3999999999996</v>
      </c>
      <c r="V555" s="13">
        <f t="shared" si="166"/>
        <v>339.45080000000053</v>
      </c>
      <c r="W555" s="15">
        <f t="shared" si="167"/>
        <v>7.4280499485891424E-2</v>
      </c>
      <c r="X555" s="17" t="str">
        <f t="shared" si="168"/>
        <v>Q2-2025</v>
      </c>
      <c r="Y555" t="str">
        <f t="shared" si="169"/>
        <v>Africa → Kenya → Nakuru</v>
      </c>
      <c r="Z555" t="str">
        <f t="shared" si="170"/>
        <v>Medium</v>
      </c>
      <c r="AA555">
        <f t="shared" si="155"/>
        <v>2025</v>
      </c>
      <c r="AB555">
        <f t="shared" si="156"/>
        <v>5</v>
      </c>
      <c r="AC555" t="str">
        <f t="shared" si="157"/>
        <v>No</v>
      </c>
      <c r="AD555" t="str">
        <f t="shared" si="158"/>
        <v>Yes</v>
      </c>
      <c r="AE555" s="36">
        <f>IF(Dashboard!$P$47&gt;'Staging Data'!R555,'Staging Data'!R555,Dashboard!$P$47)</f>
        <v>0.1</v>
      </c>
      <c r="AF555">
        <f>(100%+Dashboard!$P$48)*'Staging Data'!P555</f>
        <v>1110.48</v>
      </c>
      <c r="AG555">
        <f>(100%+Dashboard!$P$49)*S555</f>
        <v>4.16</v>
      </c>
      <c r="AH555" s="13">
        <f t="shared" si="159"/>
        <v>5380.3526400000001</v>
      </c>
      <c r="AI555" s="13">
        <f t="shared" si="160"/>
        <v>4619.5968000000003</v>
      </c>
      <c r="AJ555" s="13">
        <f t="shared" si="161"/>
        <v>760.75583999999981</v>
      </c>
    </row>
    <row r="556" spans="1:36" x14ac:dyDescent="0.45">
      <c r="A556" s="3" t="s">
        <v>146</v>
      </c>
      <c r="B556" s="5">
        <v>45719</v>
      </c>
      <c r="C556" s="5">
        <v>45740</v>
      </c>
      <c r="D556" s="5">
        <f t="shared" si="162"/>
        <v>45719</v>
      </c>
      <c r="E556" s="5">
        <f t="shared" si="163"/>
        <v>45740</v>
      </c>
      <c r="F556" s="7">
        <f t="shared" si="164"/>
        <v>21</v>
      </c>
      <c r="G556" s="23" t="str">
        <f t="shared" si="165"/>
        <v>3-2025</v>
      </c>
      <c r="H556" s="3" t="s">
        <v>646</v>
      </c>
      <c r="I556" s="3" t="s">
        <v>651</v>
      </c>
      <c r="J556" s="3" t="s">
        <v>669</v>
      </c>
      <c r="K556" s="3" t="s">
        <v>706</v>
      </c>
      <c r="L556" s="3" t="s">
        <v>711</v>
      </c>
      <c r="M556" s="3" t="s">
        <v>722</v>
      </c>
      <c r="N556" s="3" t="s">
        <v>733</v>
      </c>
      <c r="O556" s="3" t="s">
        <v>865</v>
      </c>
      <c r="P556" s="19">
        <v>555.95000000000005</v>
      </c>
      <c r="Q556" s="19">
        <v>468.09</v>
      </c>
      <c r="R556" s="15">
        <v>0.14199999999999999</v>
      </c>
      <c r="S556" s="7">
        <v>11</v>
      </c>
      <c r="T556" s="13">
        <f t="shared" si="153"/>
        <v>4417.8334199999999</v>
      </c>
      <c r="U556" s="13">
        <f t="shared" si="154"/>
        <v>6115.4500000000007</v>
      </c>
      <c r="V556" s="13">
        <f t="shared" si="166"/>
        <v>-1697.6165800000008</v>
      </c>
      <c r="W556" s="15">
        <f t="shared" si="167"/>
        <v>-0.38426450674095375</v>
      </c>
      <c r="X556" s="17" t="str">
        <f t="shared" si="168"/>
        <v>Q1-2025</v>
      </c>
      <c r="Y556" t="str">
        <f t="shared" si="169"/>
        <v>Africa → Nigeria → Abuja</v>
      </c>
      <c r="Z556" t="str">
        <f t="shared" si="170"/>
        <v>Low</v>
      </c>
      <c r="AA556">
        <f t="shared" si="155"/>
        <v>2025</v>
      </c>
      <c r="AB556">
        <f t="shared" si="156"/>
        <v>3</v>
      </c>
      <c r="AC556" t="str">
        <f t="shared" si="157"/>
        <v>No</v>
      </c>
      <c r="AD556" t="str">
        <f t="shared" si="158"/>
        <v>No</v>
      </c>
      <c r="AE556" s="36">
        <f>IF(Dashboard!$P$47&gt;'Staging Data'!R556,'Staging Data'!R556,Dashboard!$P$47)</f>
        <v>0.1</v>
      </c>
      <c r="AF556">
        <f>(100%+Dashboard!$P$48)*'Staging Data'!P556</f>
        <v>583.74750000000006</v>
      </c>
      <c r="AG556">
        <f>(100%+Dashboard!$P$49)*S556</f>
        <v>11.440000000000001</v>
      </c>
      <c r="AH556" s="13">
        <f t="shared" si="159"/>
        <v>4819.4546399999999</v>
      </c>
      <c r="AI556" s="13">
        <f t="shared" si="160"/>
        <v>6678.0714000000016</v>
      </c>
      <c r="AJ556" s="13">
        <f t="shared" si="161"/>
        <v>-1858.6167600000017</v>
      </c>
    </row>
    <row r="557" spans="1:36" x14ac:dyDescent="0.45">
      <c r="A557" s="3" t="s">
        <v>569</v>
      </c>
      <c r="B557" s="5">
        <v>45535</v>
      </c>
      <c r="C557" s="5">
        <v>45561</v>
      </c>
      <c r="D557" s="5">
        <f t="shared" si="162"/>
        <v>45535</v>
      </c>
      <c r="E557" s="5">
        <f t="shared" si="163"/>
        <v>45561</v>
      </c>
      <c r="F557" s="7">
        <f t="shared" si="164"/>
        <v>26</v>
      </c>
      <c r="G557" s="23" t="str">
        <f t="shared" si="165"/>
        <v>8-2024</v>
      </c>
      <c r="H557" s="3" t="s">
        <v>647</v>
      </c>
      <c r="I557" s="3" t="s">
        <v>652</v>
      </c>
      <c r="J557" s="3" t="s">
        <v>689</v>
      </c>
      <c r="K557" s="3" t="s">
        <v>702</v>
      </c>
      <c r="L557" s="3" t="s">
        <v>708</v>
      </c>
      <c r="M557" s="3" t="s">
        <v>714</v>
      </c>
      <c r="N557" s="3" t="s">
        <v>730</v>
      </c>
      <c r="O557" s="3" t="s">
        <v>1287</v>
      </c>
      <c r="P557" s="19">
        <v>1189.03</v>
      </c>
      <c r="Q557" s="19">
        <v>2949.62</v>
      </c>
      <c r="R557" s="15">
        <v>0.125</v>
      </c>
      <c r="S557" s="7">
        <v>13</v>
      </c>
      <c r="T557" s="13">
        <f t="shared" si="153"/>
        <v>33551.927499999998</v>
      </c>
      <c r="U557" s="13">
        <f t="shared" si="154"/>
        <v>15457.39</v>
      </c>
      <c r="V557" s="13">
        <f t="shared" si="166"/>
        <v>18094.537499999999</v>
      </c>
      <c r="W557" s="15">
        <f t="shared" si="167"/>
        <v>0.53929949330034765</v>
      </c>
      <c r="X557" s="17" t="str">
        <f t="shared" si="168"/>
        <v>Q3-2024</v>
      </c>
      <c r="Y557" t="str">
        <f t="shared" si="169"/>
        <v>Asia → Japan → Tokyo</v>
      </c>
      <c r="Z557" t="str">
        <f t="shared" si="170"/>
        <v>High</v>
      </c>
      <c r="AA557">
        <f t="shared" si="155"/>
        <v>2024</v>
      </c>
      <c r="AB557">
        <f t="shared" si="156"/>
        <v>8</v>
      </c>
      <c r="AC557" t="str">
        <f t="shared" si="157"/>
        <v>No</v>
      </c>
      <c r="AD557" t="str">
        <f t="shared" si="158"/>
        <v>No</v>
      </c>
      <c r="AE557" s="36">
        <f>IF(Dashboard!$P$47&gt;'Staging Data'!R557,'Staging Data'!R557,Dashboard!$P$47)</f>
        <v>0.1</v>
      </c>
      <c r="AF557">
        <f>(100%+Dashboard!$P$48)*'Staging Data'!P557</f>
        <v>1248.4815000000001</v>
      </c>
      <c r="AG557">
        <f>(100%+Dashboard!$P$49)*S557</f>
        <v>13.52</v>
      </c>
      <c r="AH557" s="13">
        <f t="shared" si="159"/>
        <v>35890.976159999998</v>
      </c>
      <c r="AI557" s="13">
        <f t="shared" si="160"/>
        <v>16879.469880000001</v>
      </c>
      <c r="AJ557" s="13">
        <f t="shared" si="161"/>
        <v>19011.506279999998</v>
      </c>
    </row>
    <row r="558" spans="1:36" x14ac:dyDescent="0.45">
      <c r="A558" s="3" t="s">
        <v>372</v>
      </c>
      <c r="B558" s="5">
        <v>45621</v>
      </c>
      <c r="C558" s="5">
        <v>45633</v>
      </c>
      <c r="D558" s="5">
        <f t="shared" si="162"/>
        <v>45621</v>
      </c>
      <c r="E558" s="5">
        <f t="shared" si="163"/>
        <v>45633</v>
      </c>
      <c r="F558" s="7">
        <f t="shared" si="164"/>
        <v>12</v>
      </c>
      <c r="G558" s="23" t="str">
        <f t="shared" si="165"/>
        <v>11-2024</v>
      </c>
      <c r="H558" s="3" t="s">
        <v>647</v>
      </c>
      <c r="I558" s="3" t="s">
        <v>659</v>
      </c>
      <c r="J558" s="3" t="s">
        <v>685</v>
      </c>
      <c r="K558" s="3" t="s">
        <v>701</v>
      </c>
      <c r="L558" s="3" t="s">
        <v>710</v>
      </c>
      <c r="M558" s="3" t="s">
        <v>720</v>
      </c>
      <c r="N558" s="3" t="s">
        <v>733</v>
      </c>
      <c r="O558" s="3" t="s">
        <v>1092</v>
      </c>
      <c r="P558" s="19">
        <v>769.9</v>
      </c>
      <c r="Q558" s="19">
        <v>814.36</v>
      </c>
      <c r="R558" s="15">
        <v>0</v>
      </c>
      <c r="S558" s="7">
        <v>5</v>
      </c>
      <c r="T558" s="13">
        <f t="shared" si="153"/>
        <v>4071.8</v>
      </c>
      <c r="U558" s="13">
        <f t="shared" si="154"/>
        <v>3849.5</v>
      </c>
      <c r="V558" s="13">
        <f t="shared" si="166"/>
        <v>222.30000000000018</v>
      </c>
      <c r="W558" s="15">
        <f t="shared" si="167"/>
        <v>5.4595019401738831E-2</v>
      </c>
      <c r="X558" s="17" t="str">
        <f t="shared" si="168"/>
        <v>Q4-2024</v>
      </c>
      <c r="Y558" t="str">
        <f t="shared" si="169"/>
        <v>Asia → China → Shanghai</v>
      </c>
      <c r="Z558" t="str">
        <f t="shared" si="170"/>
        <v>Low</v>
      </c>
      <c r="AA558">
        <f t="shared" si="155"/>
        <v>2024</v>
      </c>
      <c r="AB558">
        <f t="shared" si="156"/>
        <v>11</v>
      </c>
      <c r="AC558" t="str">
        <f t="shared" si="157"/>
        <v>No</v>
      </c>
      <c r="AD558" t="str">
        <f t="shared" si="158"/>
        <v>No</v>
      </c>
      <c r="AE558" s="36">
        <f>IF(Dashboard!$P$47&gt;'Staging Data'!R558,'Staging Data'!R558,Dashboard!$P$47)</f>
        <v>0</v>
      </c>
      <c r="AF558">
        <f>(100%+Dashboard!$P$48)*'Staging Data'!P558</f>
        <v>808.39499999999998</v>
      </c>
      <c r="AG558">
        <f>(100%+Dashboard!$P$49)*S558</f>
        <v>5.2</v>
      </c>
      <c r="AH558" s="13">
        <f t="shared" si="159"/>
        <v>4234.6720000000005</v>
      </c>
      <c r="AI558" s="13">
        <f t="shared" si="160"/>
        <v>4203.6540000000005</v>
      </c>
      <c r="AJ558" s="13">
        <f t="shared" si="161"/>
        <v>31.018000000000029</v>
      </c>
    </row>
    <row r="559" spans="1:36" x14ac:dyDescent="0.45">
      <c r="A559" s="3" t="s">
        <v>571</v>
      </c>
      <c r="B559" s="5">
        <v>45791</v>
      </c>
      <c r="C559" s="5">
        <v>45789</v>
      </c>
      <c r="D559" s="5">
        <f t="shared" si="162"/>
        <v>45789</v>
      </c>
      <c r="E559" s="5">
        <f t="shared" si="163"/>
        <v>45791</v>
      </c>
      <c r="F559" s="7">
        <f t="shared" si="164"/>
        <v>2</v>
      </c>
      <c r="G559" s="23" t="str">
        <f t="shared" si="165"/>
        <v>5-2025</v>
      </c>
      <c r="H559" s="3" t="s">
        <v>648</v>
      </c>
      <c r="I559" s="3" t="s">
        <v>653</v>
      </c>
      <c r="J559" s="3" t="s">
        <v>688</v>
      </c>
      <c r="K559" s="3" t="s">
        <v>703</v>
      </c>
      <c r="L559" s="3" t="s">
        <v>710</v>
      </c>
      <c r="M559" s="3" t="s">
        <v>721</v>
      </c>
      <c r="N559" s="3" t="s">
        <v>728</v>
      </c>
      <c r="O559" s="3" t="s">
        <v>1289</v>
      </c>
      <c r="P559" s="19">
        <v>883.5</v>
      </c>
      <c r="Q559" s="19">
        <v>1978.91</v>
      </c>
      <c r="R559" s="15">
        <v>5.3999999999999999E-2</v>
      </c>
      <c r="S559" s="7">
        <v>27</v>
      </c>
      <c r="T559" s="13">
        <f t="shared" si="153"/>
        <v>50545.319219999998</v>
      </c>
      <c r="U559" s="13">
        <f t="shared" si="154"/>
        <v>23854.5</v>
      </c>
      <c r="V559" s="13">
        <f t="shared" si="166"/>
        <v>26690.819219999998</v>
      </c>
      <c r="W559" s="15">
        <f t="shared" si="167"/>
        <v>0.52805718970390547</v>
      </c>
      <c r="X559" s="17" t="str">
        <f t="shared" si="168"/>
        <v>Q2-2025</v>
      </c>
      <c r="Y559" t="str">
        <f t="shared" si="169"/>
        <v>Americas → Canada → Vancouver</v>
      </c>
      <c r="Z559" t="str">
        <f t="shared" si="170"/>
        <v>High</v>
      </c>
      <c r="AA559">
        <f t="shared" si="155"/>
        <v>2025</v>
      </c>
      <c r="AB559">
        <f t="shared" si="156"/>
        <v>5</v>
      </c>
      <c r="AC559" t="str">
        <f t="shared" si="157"/>
        <v>Yes</v>
      </c>
      <c r="AD559" t="str">
        <f t="shared" si="158"/>
        <v>No</v>
      </c>
      <c r="AE559" s="36">
        <f>IF(Dashboard!$P$47&gt;'Staging Data'!R559,'Staging Data'!R559,Dashboard!$P$47)</f>
        <v>5.3999999999999999E-2</v>
      </c>
      <c r="AF559">
        <f>(100%+Dashboard!$P$48)*'Staging Data'!P559</f>
        <v>927.67500000000007</v>
      </c>
      <c r="AG559">
        <f>(100%+Dashboard!$P$49)*S559</f>
        <v>28.080000000000002</v>
      </c>
      <c r="AH559" s="13">
        <f t="shared" si="159"/>
        <v>52567.1319888</v>
      </c>
      <c r="AI559" s="13">
        <f t="shared" si="160"/>
        <v>26049.114000000005</v>
      </c>
      <c r="AJ559" s="13">
        <f t="shared" si="161"/>
        <v>26518.017988799995</v>
      </c>
    </row>
    <row r="560" spans="1:36" x14ac:dyDescent="0.45">
      <c r="A560" s="3" t="s">
        <v>572</v>
      </c>
      <c r="B560" s="5">
        <v>45362</v>
      </c>
      <c r="C560" s="5">
        <v>45380</v>
      </c>
      <c r="D560" s="5">
        <f t="shared" si="162"/>
        <v>45362</v>
      </c>
      <c r="E560" s="5">
        <f t="shared" si="163"/>
        <v>45380</v>
      </c>
      <c r="F560" s="7">
        <f t="shared" si="164"/>
        <v>18</v>
      </c>
      <c r="G560" s="23" t="str">
        <f t="shared" si="165"/>
        <v>3-2024</v>
      </c>
      <c r="H560" s="3" t="s">
        <v>648</v>
      </c>
      <c r="I560" s="3" t="s">
        <v>660</v>
      </c>
      <c r="J560" s="3" t="s">
        <v>700</v>
      </c>
      <c r="K560" s="3" t="s">
        <v>701</v>
      </c>
      <c r="L560" s="3" t="s">
        <v>707</v>
      </c>
      <c r="M560" s="3" t="s">
        <v>724</v>
      </c>
      <c r="N560" s="3" t="s">
        <v>732</v>
      </c>
      <c r="O560" s="3" t="s">
        <v>1290</v>
      </c>
      <c r="P560" s="19">
        <v>710.98</v>
      </c>
      <c r="Q560" s="19">
        <v>1481.45</v>
      </c>
      <c r="R560" s="15">
        <v>0.21099999999999999</v>
      </c>
      <c r="S560" s="7">
        <v>9</v>
      </c>
      <c r="T560" s="13">
        <f t="shared" si="153"/>
        <v>10519.776450000001</v>
      </c>
      <c r="U560" s="13">
        <f t="shared" si="154"/>
        <v>6398.82</v>
      </c>
      <c r="V560" s="13">
        <f t="shared" si="166"/>
        <v>4120.9564500000015</v>
      </c>
      <c r="W560" s="15">
        <f t="shared" si="167"/>
        <v>0.39173422264120461</v>
      </c>
      <c r="X560" s="17" t="str">
        <f t="shared" si="168"/>
        <v>Q1-2024</v>
      </c>
      <c r="Y560" t="str">
        <f t="shared" si="169"/>
        <v>Americas → USA → New York</v>
      </c>
      <c r="Z560" t="str">
        <f t="shared" si="170"/>
        <v>Medium</v>
      </c>
      <c r="AA560">
        <f t="shared" si="155"/>
        <v>2024</v>
      </c>
      <c r="AB560">
        <f t="shared" si="156"/>
        <v>3</v>
      </c>
      <c r="AC560" t="str">
        <f t="shared" si="157"/>
        <v>No</v>
      </c>
      <c r="AD560" t="str">
        <f t="shared" si="158"/>
        <v>Yes</v>
      </c>
      <c r="AE560" s="36">
        <f>IF(Dashboard!$P$47&gt;'Staging Data'!R560,'Staging Data'!R560,Dashboard!$P$47)</f>
        <v>0.1</v>
      </c>
      <c r="AF560">
        <f>(100%+Dashboard!$P$48)*'Staging Data'!P560</f>
        <v>746.529</v>
      </c>
      <c r="AG560">
        <f>(100%+Dashboard!$P$49)*S560</f>
        <v>9.36</v>
      </c>
      <c r="AH560" s="13">
        <f t="shared" si="159"/>
        <v>12479.7348</v>
      </c>
      <c r="AI560" s="13">
        <f t="shared" si="160"/>
        <v>6987.5114399999993</v>
      </c>
      <c r="AJ560" s="13">
        <f t="shared" si="161"/>
        <v>5492.2233600000009</v>
      </c>
    </row>
    <row r="561" spans="1:36" x14ac:dyDescent="0.45">
      <c r="A561" s="3" t="s">
        <v>352</v>
      </c>
      <c r="B561" s="5">
        <v>45132</v>
      </c>
      <c r="C561" s="5">
        <v>45148</v>
      </c>
      <c r="D561" s="5">
        <f t="shared" si="162"/>
        <v>45132</v>
      </c>
      <c r="E561" s="5">
        <f t="shared" si="163"/>
        <v>45148</v>
      </c>
      <c r="F561" s="7">
        <f t="shared" si="164"/>
        <v>16</v>
      </c>
      <c r="G561" s="23" t="str">
        <f t="shared" si="165"/>
        <v>7-2023</v>
      </c>
      <c r="H561" s="3" t="s">
        <v>646</v>
      </c>
      <c r="I561" s="3" t="s">
        <v>651</v>
      </c>
      <c r="J561" s="3" t="s">
        <v>663</v>
      </c>
      <c r="K561" s="3" t="s">
        <v>701</v>
      </c>
      <c r="L561" s="3" t="s">
        <v>710</v>
      </c>
      <c r="M561" s="3" t="s">
        <v>714</v>
      </c>
      <c r="N561" s="3" t="s">
        <v>733</v>
      </c>
      <c r="O561" s="3" t="s">
        <v>1072</v>
      </c>
      <c r="P561" s="19">
        <v>506.83</v>
      </c>
      <c r="Q561" s="19">
        <v>441.74</v>
      </c>
      <c r="R561" s="15">
        <v>0.24</v>
      </c>
      <c r="S561" s="7">
        <v>9</v>
      </c>
      <c r="T561" s="13">
        <f t="shared" si="153"/>
        <v>3021.5016000000001</v>
      </c>
      <c r="U561" s="13">
        <f t="shared" si="154"/>
        <v>4561.47</v>
      </c>
      <c r="V561" s="13">
        <f t="shared" si="166"/>
        <v>-1539.9684000000002</v>
      </c>
      <c r="W561" s="15">
        <f t="shared" si="167"/>
        <v>-0.50966989393618067</v>
      </c>
      <c r="X561" s="17" t="str">
        <f t="shared" si="168"/>
        <v>Q3-2023</v>
      </c>
      <c r="Y561" t="str">
        <f t="shared" si="169"/>
        <v>Africa → Nigeria → Port Harcourt</v>
      </c>
      <c r="Z561" t="str">
        <f t="shared" si="170"/>
        <v>Low</v>
      </c>
      <c r="AA561">
        <f t="shared" si="155"/>
        <v>2023</v>
      </c>
      <c r="AB561">
        <f t="shared" si="156"/>
        <v>7</v>
      </c>
      <c r="AC561" t="str">
        <f t="shared" si="157"/>
        <v>No</v>
      </c>
      <c r="AD561" t="str">
        <f t="shared" si="158"/>
        <v>Yes</v>
      </c>
      <c r="AE561" s="36">
        <f>IF(Dashboard!$P$47&gt;'Staging Data'!R561,'Staging Data'!R561,Dashboard!$P$47)</f>
        <v>0.1</v>
      </c>
      <c r="AF561">
        <f>(100%+Dashboard!$P$48)*'Staging Data'!P561</f>
        <v>532.17150000000004</v>
      </c>
      <c r="AG561">
        <f>(100%+Dashboard!$P$49)*S561</f>
        <v>9.36</v>
      </c>
      <c r="AH561" s="13">
        <f t="shared" si="159"/>
        <v>3721.2177599999995</v>
      </c>
      <c r="AI561" s="13">
        <f t="shared" si="160"/>
        <v>4981.1252400000003</v>
      </c>
      <c r="AJ561" s="13">
        <f t="shared" si="161"/>
        <v>-1259.9074800000008</v>
      </c>
    </row>
    <row r="562" spans="1:36" x14ac:dyDescent="0.45">
      <c r="A562" s="3" t="s">
        <v>574</v>
      </c>
      <c r="B562" s="5">
        <v>45299</v>
      </c>
      <c r="C562" s="5">
        <v>45303</v>
      </c>
      <c r="D562" s="5">
        <f t="shared" si="162"/>
        <v>45299</v>
      </c>
      <c r="E562" s="5">
        <f t="shared" si="163"/>
        <v>45303</v>
      </c>
      <c r="F562" s="7">
        <f t="shared" si="164"/>
        <v>4</v>
      </c>
      <c r="G562" s="23" t="str">
        <f t="shared" si="165"/>
        <v>1-2024</v>
      </c>
      <c r="H562" s="3" t="s">
        <v>647</v>
      </c>
      <c r="I562" s="3" t="s">
        <v>654</v>
      </c>
      <c r="J562" s="3" t="s">
        <v>668</v>
      </c>
      <c r="K562" s="3" t="s">
        <v>701</v>
      </c>
      <c r="L562" s="3" t="s">
        <v>711</v>
      </c>
      <c r="M562" s="3" t="s">
        <v>718</v>
      </c>
      <c r="N562" s="3" t="s">
        <v>728</v>
      </c>
      <c r="O562" s="3" t="s">
        <v>1292</v>
      </c>
      <c r="P562" s="19">
        <v>802.32</v>
      </c>
      <c r="Q562" s="19">
        <v>602.34</v>
      </c>
      <c r="R562" s="15">
        <v>0.12</v>
      </c>
      <c r="S562" s="7">
        <v>25</v>
      </c>
      <c r="T562" s="13">
        <f t="shared" si="153"/>
        <v>13251.48</v>
      </c>
      <c r="U562" s="13">
        <f t="shared" si="154"/>
        <v>20058</v>
      </c>
      <c r="V562" s="13">
        <f t="shared" si="166"/>
        <v>-6806.52</v>
      </c>
      <c r="W562" s="15">
        <f t="shared" si="167"/>
        <v>-0.51364224977134632</v>
      </c>
      <c r="X562" s="17" t="str">
        <f t="shared" si="168"/>
        <v>Q1-2024</v>
      </c>
      <c r="Y562" t="str">
        <f t="shared" si="169"/>
        <v>Asia → India → Bengaluru</v>
      </c>
      <c r="Z562" t="str">
        <f t="shared" si="170"/>
        <v>Low</v>
      </c>
      <c r="AA562">
        <f t="shared" si="155"/>
        <v>2024</v>
      </c>
      <c r="AB562">
        <f t="shared" si="156"/>
        <v>1</v>
      </c>
      <c r="AC562" t="str">
        <f t="shared" si="157"/>
        <v>Yes</v>
      </c>
      <c r="AD562" t="str">
        <f t="shared" si="158"/>
        <v>No</v>
      </c>
      <c r="AE562" s="36">
        <f>IF(Dashboard!$P$47&gt;'Staging Data'!R562,'Staging Data'!R562,Dashboard!$P$47)</f>
        <v>0.1</v>
      </c>
      <c r="AF562">
        <f>(100%+Dashboard!$P$48)*'Staging Data'!P562</f>
        <v>842.43600000000004</v>
      </c>
      <c r="AG562">
        <f>(100%+Dashboard!$P$49)*S562</f>
        <v>26</v>
      </c>
      <c r="AH562" s="13">
        <f t="shared" si="159"/>
        <v>14094.756000000001</v>
      </c>
      <c r="AI562" s="13">
        <f t="shared" si="160"/>
        <v>21903.335999999999</v>
      </c>
      <c r="AJ562" s="13">
        <f t="shared" si="161"/>
        <v>-7808.5799999999981</v>
      </c>
    </row>
    <row r="563" spans="1:36" x14ac:dyDescent="0.45">
      <c r="A563" s="3" t="s">
        <v>575</v>
      </c>
      <c r="B563" s="5">
        <v>45590</v>
      </c>
      <c r="C563" s="5">
        <v>45601</v>
      </c>
      <c r="D563" s="5">
        <f t="shared" si="162"/>
        <v>45590</v>
      </c>
      <c r="E563" s="5">
        <f t="shared" si="163"/>
        <v>45601</v>
      </c>
      <c r="F563" s="7">
        <f t="shared" si="164"/>
        <v>11</v>
      </c>
      <c r="G563" s="23" t="str">
        <f t="shared" si="165"/>
        <v>10-2024</v>
      </c>
      <c r="H563" s="3" t="s">
        <v>648</v>
      </c>
      <c r="I563" s="3" t="s">
        <v>660</v>
      </c>
      <c r="J563" s="3" t="s">
        <v>700</v>
      </c>
      <c r="K563" s="3" t="s">
        <v>701</v>
      </c>
      <c r="L563" s="3" t="s">
        <v>710</v>
      </c>
      <c r="M563" s="3" t="s">
        <v>725</v>
      </c>
      <c r="N563" s="3" t="s">
        <v>727</v>
      </c>
      <c r="O563" s="3" t="s">
        <v>1293</v>
      </c>
      <c r="P563" s="19">
        <v>446.66</v>
      </c>
      <c r="Q563" s="19">
        <v>527.64</v>
      </c>
      <c r="R563" s="15">
        <v>0.14499999999999999</v>
      </c>
      <c r="S563" s="7">
        <v>15</v>
      </c>
      <c r="T563" s="13">
        <f t="shared" si="153"/>
        <v>6766.9829999999993</v>
      </c>
      <c r="U563" s="13">
        <f t="shared" si="154"/>
        <v>6699.9000000000005</v>
      </c>
      <c r="V563" s="13">
        <f t="shared" si="166"/>
        <v>67.082999999998719</v>
      </c>
      <c r="W563" s="15">
        <f t="shared" si="167"/>
        <v>9.9132804087137105E-3</v>
      </c>
      <c r="X563" s="17" t="str">
        <f t="shared" si="168"/>
        <v>Q4-2024</v>
      </c>
      <c r="Y563" t="str">
        <f t="shared" si="169"/>
        <v>Americas → USA → New York</v>
      </c>
      <c r="Z563" t="str">
        <f t="shared" si="170"/>
        <v>Low</v>
      </c>
      <c r="AA563">
        <f t="shared" si="155"/>
        <v>2024</v>
      </c>
      <c r="AB563">
        <f t="shared" si="156"/>
        <v>10</v>
      </c>
      <c r="AC563" t="str">
        <f t="shared" si="157"/>
        <v>No</v>
      </c>
      <c r="AD563" t="str">
        <f t="shared" si="158"/>
        <v>No</v>
      </c>
      <c r="AE563" s="36">
        <f>IF(Dashboard!$P$47&gt;'Staging Data'!R563,'Staging Data'!R563,Dashboard!$P$47)</f>
        <v>0.1</v>
      </c>
      <c r="AF563">
        <f>(100%+Dashboard!$P$48)*'Staging Data'!P563</f>
        <v>468.99300000000005</v>
      </c>
      <c r="AG563">
        <f>(100%+Dashboard!$P$49)*S563</f>
        <v>15.600000000000001</v>
      </c>
      <c r="AH563" s="13">
        <f t="shared" si="159"/>
        <v>7408.0656000000008</v>
      </c>
      <c r="AI563" s="13">
        <f t="shared" si="160"/>
        <v>7316.2908000000016</v>
      </c>
      <c r="AJ563" s="13">
        <f t="shared" si="161"/>
        <v>91.774799999999232</v>
      </c>
    </row>
    <row r="564" spans="1:36" x14ac:dyDescent="0.45">
      <c r="A564" s="3" t="s">
        <v>576</v>
      </c>
      <c r="B564" s="5">
        <v>45626</v>
      </c>
      <c r="C564" s="5">
        <v>45645</v>
      </c>
      <c r="D564" s="5">
        <f t="shared" si="162"/>
        <v>45626</v>
      </c>
      <c r="E564" s="5">
        <f t="shared" si="163"/>
        <v>45645</v>
      </c>
      <c r="F564" s="7">
        <f t="shared" si="164"/>
        <v>19</v>
      </c>
      <c r="G564" s="23" t="str">
        <f t="shared" si="165"/>
        <v>11-2024</v>
      </c>
      <c r="H564" s="3" t="s">
        <v>646</v>
      </c>
      <c r="I564" s="3" t="s">
        <v>650</v>
      </c>
      <c r="J564" s="3" t="s">
        <v>662</v>
      </c>
      <c r="K564" s="3" t="s">
        <v>701</v>
      </c>
      <c r="L564" s="3" t="s">
        <v>708</v>
      </c>
      <c r="M564" s="3" t="s">
        <v>716</v>
      </c>
      <c r="N564" s="3" t="s">
        <v>730</v>
      </c>
      <c r="O564" s="3" t="s">
        <v>1294</v>
      </c>
      <c r="P564" s="19">
        <v>1195.98</v>
      </c>
      <c r="Q564" s="19">
        <v>1841.9</v>
      </c>
      <c r="R564" s="15">
        <v>5.5E-2</v>
      </c>
      <c r="S564" s="7">
        <v>19</v>
      </c>
      <c r="T564" s="13">
        <f t="shared" si="153"/>
        <v>33071.3145</v>
      </c>
      <c r="U564" s="13">
        <f t="shared" si="154"/>
        <v>22723.62</v>
      </c>
      <c r="V564" s="13">
        <f t="shared" si="166"/>
        <v>10347.694500000001</v>
      </c>
      <c r="W564" s="15">
        <f t="shared" si="167"/>
        <v>0.31289032977506842</v>
      </c>
      <c r="X564" s="17" t="str">
        <f t="shared" si="168"/>
        <v>Q4-2024</v>
      </c>
      <c r="Y564" t="str">
        <f t="shared" si="169"/>
        <v>Africa → Kenya → Kisumu</v>
      </c>
      <c r="Z564" t="str">
        <f t="shared" si="170"/>
        <v>Medium</v>
      </c>
      <c r="AA564">
        <f t="shared" si="155"/>
        <v>2024</v>
      </c>
      <c r="AB564">
        <f t="shared" si="156"/>
        <v>11</v>
      </c>
      <c r="AC564" t="str">
        <f t="shared" si="157"/>
        <v>No</v>
      </c>
      <c r="AD564" t="str">
        <f t="shared" si="158"/>
        <v>No</v>
      </c>
      <c r="AE564" s="36">
        <f>IF(Dashboard!$P$47&gt;'Staging Data'!R564,'Staging Data'!R564,Dashboard!$P$47)</f>
        <v>5.5E-2</v>
      </c>
      <c r="AF564">
        <f>(100%+Dashboard!$P$48)*'Staging Data'!P564</f>
        <v>1255.779</v>
      </c>
      <c r="AG564">
        <f>(100%+Dashboard!$P$49)*S564</f>
        <v>19.760000000000002</v>
      </c>
      <c r="AH564" s="13">
        <f t="shared" si="159"/>
        <v>34394.167079999999</v>
      </c>
      <c r="AI564" s="13">
        <f t="shared" si="160"/>
        <v>24814.193040000002</v>
      </c>
      <c r="AJ564" s="13">
        <f t="shared" si="161"/>
        <v>9579.9740399999973</v>
      </c>
    </row>
    <row r="565" spans="1:36" x14ac:dyDescent="0.45">
      <c r="A565" s="3" t="s">
        <v>577</v>
      </c>
      <c r="B565" s="5">
        <v>45029</v>
      </c>
      <c r="C565" s="5">
        <v>45048</v>
      </c>
      <c r="D565" s="5">
        <f t="shared" si="162"/>
        <v>45029</v>
      </c>
      <c r="E565" s="5">
        <f t="shared" si="163"/>
        <v>45048</v>
      </c>
      <c r="F565" s="7">
        <f t="shared" si="164"/>
        <v>19</v>
      </c>
      <c r="G565" s="23" t="str">
        <f t="shared" si="165"/>
        <v>4-2023</v>
      </c>
      <c r="H565" s="3" t="s">
        <v>648</v>
      </c>
      <c r="I565" s="3" t="s">
        <v>653</v>
      </c>
      <c r="J565" s="3" t="s">
        <v>681</v>
      </c>
      <c r="K565" s="3" t="s">
        <v>704</v>
      </c>
      <c r="L565" s="3" t="s">
        <v>710</v>
      </c>
      <c r="M565" s="3" t="s">
        <v>718</v>
      </c>
      <c r="N565" s="3" t="s">
        <v>732</v>
      </c>
      <c r="O565" s="3" t="s">
        <v>1295</v>
      </c>
      <c r="P565" s="19">
        <v>671.05</v>
      </c>
      <c r="Q565" s="19">
        <v>1645.48</v>
      </c>
      <c r="R565" s="15">
        <v>0.13700000000000001</v>
      </c>
      <c r="S565" s="7">
        <v>6</v>
      </c>
      <c r="T565" s="13">
        <f t="shared" si="153"/>
        <v>8520.2954399999999</v>
      </c>
      <c r="U565" s="13">
        <f t="shared" si="154"/>
        <v>4026.2999999999997</v>
      </c>
      <c r="V565" s="13">
        <f t="shared" si="166"/>
        <v>4493.9954400000006</v>
      </c>
      <c r="W565" s="15">
        <f t="shared" si="167"/>
        <v>0.52744596377517172</v>
      </c>
      <c r="X565" s="17" t="str">
        <f t="shared" si="168"/>
        <v>Q2-2023</v>
      </c>
      <c r="Y565" t="str">
        <f t="shared" si="169"/>
        <v>Americas → Canada → Montreal</v>
      </c>
      <c r="Z565" t="str">
        <f t="shared" si="170"/>
        <v>Medium</v>
      </c>
      <c r="AA565">
        <f t="shared" si="155"/>
        <v>2023</v>
      </c>
      <c r="AB565">
        <f t="shared" si="156"/>
        <v>4</v>
      </c>
      <c r="AC565" t="str">
        <f t="shared" si="157"/>
        <v>No</v>
      </c>
      <c r="AD565" t="str">
        <f t="shared" si="158"/>
        <v>No</v>
      </c>
      <c r="AE565" s="36">
        <f>IF(Dashboard!$P$47&gt;'Staging Data'!R565,'Staging Data'!R565,Dashboard!$P$47)</f>
        <v>0.1</v>
      </c>
      <c r="AF565">
        <f>(100%+Dashboard!$P$48)*'Staging Data'!P565</f>
        <v>704.60249999999996</v>
      </c>
      <c r="AG565">
        <f>(100%+Dashboard!$P$49)*S565</f>
        <v>6.24</v>
      </c>
      <c r="AH565" s="13">
        <f t="shared" si="159"/>
        <v>9241.0156800000004</v>
      </c>
      <c r="AI565" s="13">
        <f t="shared" si="160"/>
        <v>4396.7196000000004</v>
      </c>
      <c r="AJ565" s="13">
        <f t="shared" si="161"/>
        <v>4844.2960800000001</v>
      </c>
    </row>
    <row r="566" spans="1:36" x14ac:dyDescent="0.45">
      <c r="A566" s="3" t="s">
        <v>578</v>
      </c>
      <c r="B566" s="5">
        <v>45692</v>
      </c>
      <c r="C566" s="5">
        <v>45696</v>
      </c>
      <c r="D566" s="5">
        <f t="shared" si="162"/>
        <v>45692</v>
      </c>
      <c r="E566" s="5">
        <f t="shared" si="163"/>
        <v>45696</v>
      </c>
      <c r="F566" s="7">
        <f t="shared" si="164"/>
        <v>4</v>
      </c>
      <c r="G566" s="23" t="str">
        <f t="shared" si="165"/>
        <v>2-2025</v>
      </c>
      <c r="H566" s="3" t="s">
        <v>649</v>
      </c>
      <c r="I566" s="3" t="s">
        <v>658</v>
      </c>
      <c r="J566" s="3" t="s">
        <v>693</v>
      </c>
      <c r="K566" s="3" t="s">
        <v>706</v>
      </c>
      <c r="L566" s="3" t="s">
        <v>709</v>
      </c>
      <c r="M566" s="3" t="s">
        <v>716</v>
      </c>
      <c r="N566" s="3" t="s">
        <v>729</v>
      </c>
      <c r="O566" s="3" t="s">
        <v>1296</v>
      </c>
      <c r="P566" s="19">
        <v>586.21</v>
      </c>
      <c r="Q566" s="19">
        <v>727.22</v>
      </c>
      <c r="R566" s="15">
        <v>6.8000000000000005E-2</v>
      </c>
      <c r="S566" s="7">
        <v>15</v>
      </c>
      <c r="T566" s="13">
        <f t="shared" si="153"/>
        <v>10166.535600000001</v>
      </c>
      <c r="U566" s="13">
        <f t="shared" si="154"/>
        <v>8793.1500000000015</v>
      </c>
      <c r="V566" s="13">
        <f t="shared" si="166"/>
        <v>1373.3855999999996</v>
      </c>
      <c r="W566" s="15">
        <f t="shared" si="167"/>
        <v>0.13508884973559721</v>
      </c>
      <c r="X566" s="17" t="str">
        <f t="shared" si="168"/>
        <v>Q1-2025</v>
      </c>
      <c r="Y566" t="str">
        <f t="shared" si="169"/>
        <v>Europe → United Kingdom → Manchester</v>
      </c>
      <c r="Z566" t="str">
        <f t="shared" si="170"/>
        <v>Low</v>
      </c>
      <c r="AA566">
        <f t="shared" si="155"/>
        <v>2025</v>
      </c>
      <c r="AB566">
        <f t="shared" si="156"/>
        <v>2</v>
      </c>
      <c r="AC566" t="str">
        <f t="shared" si="157"/>
        <v>Yes</v>
      </c>
      <c r="AD566" t="str">
        <f t="shared" si="158"/>
        <v>No</v>
      </c>
      <c r="AE566" s="36">
        <f>IF(Dashboard!$P$47&gt;'Staging Data'!R566,'Staging Data'!R566,Dashboard!$P$47)</f>
        <v>6.8000000000000005E-2</v>
      </c>
      <c r="AF566">
        <f>(100%+Dashboard!$P$48)*'Staging Data'!P566</f>
        <v>615.52050000000008</v>
      </c>
      <c r="AG566">
        <f>(100%+Dashboard!$P$49)*S566</f>
        <v>15.600000000000001</v>
      </c>
      <c r="AH566" s="13">
        <f t="shared" si="159"/>
        <v>10573.197024000001</v>
      </c>
      <c r="AI566" s="13">
        <f t="shared" si="160"/>
        <v>9602.1198000000022</v>
      </c>
      <c r="AJ566" s="13">
        <f t="shared" si="161"/>
        <v>971.07722399999875</v>
      </c>
    </row>
    <row r="567" spans="1:36" x14ac:dyDescent="0.45">
      <c r="A567" s="3" t="s">
        <v>579</v>
      </c>
      <c r="B567" s="5">
        <v>45315</v>
      </c>
      <c r="C567" s="5">
        <v>45326</v>
      </c>
      <c r="D567" s="5">
        <f t="shared" si="162"/>
        <v>45315</v>
      </c>
      <c r="E567" s="5">
        <f t="shared" si="163"/>
        <v>45326</v>
      </c>
      <c r="F567" s="7">
        <f t="shared" si="164"/>
        <v>11</v>
      </c>
      <c r="G567" s="23" t="str">
        <f t="shared" si="165"/>
        <v>1-2024</v>
      </c>
      <c r="H567" s="3" t="s">
        <v>649</v>
      </c>
      <c r="I567" s="3" t="s">
        <v>658</v>
      </c>
      <c r="J567" s="3" t="s">
        <v>693</v>
      </c>
      <c r="K567" s="3" t="s">
        <v>704</v>
      </c>
      <c r="L567" s="3" t="s">
        <v>707</v>
      </c>
      <c r="M567" s="3" t="s">
        <v>717</v>
      </c>
      <c r="N567" s="3" t="s">
        <v>731</v>
      </c>
      <c r="O567" s="3" t="s">
        <v>1297</v>
      </c>
      <c r="P567" s="19">
        <v>525.34</v>
      </c>
      <c r="Q567" s="19">
        <v>1233.79</v>
      </c>
      <c r="R567" s="15">
        <v>0.14299999999999999</v>
      </c>
      <c r="S567" s="7">
        <v>4</v>
      </c>
      <c r="T567" s="13">
        <f t="shared" si="153"/>
        <v>4229.4321199999995</v>
      </c>
      <c r="U567" s="13">
        <f t="shared" si="154"/>
        <v>2101.36</v>
      </c>
      <c r="V567" s="13">
        <f t="shared" si="166"/>
        <v>2128.0721199999994</v>
      </c>
      <c r="W567" s="15">
        <f t="shared" si="167"/>
        <v>0.50315788494082736</v>
      </c>
      <c r="X567" s="17" t="str">
        <f t="shared" si="168"/>
        <v>Q1-2024</v>
      </c>
      <c r="Y567" t="str">
        <f t="shared" si="169"/>
        <v>Europe → United Kingdom → Manchester</v>
      </c>
      <c r="Z567" t="str">
        <f t="shared" si="170"/>
        <v>Medium</v>
      </c>
      <c r="AA567">
        <f t="shared" si="155"/>
        <v>2024</v>
      </c>
      <c r="AB567">
        <f t="shared" si="156"/>
        <v>1</v>
      </c>
      <c r="AC567" t="str">
        <f t="shared" si="157"/>
        <v>No</v>
      </c>
      <c r="AD567" t="str">
        <f t="shared" si="158"/>
        <v>No</v>
      </c>
      <c r="AE567" s="36">
        <f>IF(Dashboard!$P$47&gt;'Staging Data'!R567,'Staging Data'!R567,Dashboard!$P$47)</f>
        <v>0.1</v>
      </c>
      <c r="AF567">
        <f>(100%+Dashboard!$P$48)*'Staging Data'!P567</f>
        <v>551.60700000000008</v>
      </c>
      <c r="AG567">
        <f>(100%+Dashboard!$P$49)*S567</f>
        <v>4.16</v>
      </c>
      <c r="AH567" s="13">
        <f t="shared" si="159"/>
        <v>4619.3097600000001</v>
      </c>
      <c r="AI567" s="13">
        <f t="shared" si="160"/>
        <v>2294.6851200000006</v>
      </c>
      <c r="AJ567" s="13">
        <f t="shared" si="161"/>
        <v>2324.6246399999995</v>
      </c>
    </row>
    <row r="568" spans="1:36" x14ac:dyDescent="0.45">
      <c r="A568" s="3" t="s">
        <v>580</v>
      </c>
      <c r="B568" s="5">
        <v>45330</v>
      </c>
      <c r="C568" s="5">
        <v>45331</v>
      </c>
      <c r="D568" s="5">
        <f t="shared" si="162"/>
        <v>45330</v>
      </c>
      <c r="E568" s="5">
        <f t="shared" si="163"/>
        <v>45331</v>
      </c>
      <c r="F568" s="7">
        <f t="shared" si="164"/>
        <v>1</v>
      </c>
      <c r="G568" s="23" t="str">
        <f t="shared" si="165"/>
        <v>2-2024</v>
      </c>
      <c r="H568" s="3" t="s">
        <v>646</v>
      </c>
      <c r="I568" s="3" t="s">
        <v>650</v>
      </c>
      <c r="J568" s="3" t="s">
        <v>675</v>
      </c>
      <c r="K568" s="3" t="s">
        <v>701</v>
      </c>
      <c r="L568" s="3" t="s">
        <v>711</v>
      </c>
      <c r="M568" s="3" t="s">
        <v>721</v>
      </c>
      <c r="N568" s="3" t="s">
        <v>727</v>
      </c>
      <c r="O568" s="3" t="s">
        <v>1298</v>
      </c>
      <c r="P568" s="19">
        <v>1233.52</v>
      </c>
      <c r="Q568" s="19">
        <v>1543.76</v>
      </c>
      <c r="R568" s="15">
        <v>0.126</v>
      </c>
      <c r="S568" s="7">
        <v>13</v>
      </c>
      <c r="T568" s="13">
        <f t="shared" si="153"/>
        <v>17540.201120000002</v>
      </c>
      <c r="U568" s="13">
        <f t="shared" si="154"/>
        <v>16035.76</v>
      </c>
      <c r="V568" s="13">
        <f t="shared" si="166"/>
        <v>1504.4411200000013</v>
      </c>
      <c r="W568" s="15">
        <f t="shared" si="167"/>
        <v>8.5771030201277493E-2</v>
      </c>
      <c r="X568" s="17" t="str">
        <f t="shared" si="168"/>
        <v>Q1-2024</v>
      </c>
      <c r="Y568" t="str">
        <f t="shared" si="169"/>
        <v>Africa → Kenya → Mombasa</v>
      </c>
      <c r="Z568" t="str">
        <f t="shared" si="170"/>
        <v>Medium</v>
      </c>
      <c r="AA568">
        <f t="shared" si="155"/>
        <v>2024</v>
      </c>
      <c r="AB568">
        <f t="shared" si="156"/>
        <v>2</v>
      </c>
      <c r="AC568" t="str">
        <f t="shared" si="157"/>
        <v>Yes</v>
      </c>
      <c r="AD568" t="str">
        <f t="shared" si="158"/>
        <v>No</v>
      </c>
      <c r="AE568" s="36">
        <f>IF(Dashboard!$P$47&gt;'Staging Data'!R568,'Staging Data'!R568,Dashboard!$P$47)</f>
        <v>0.1</v>
      </c>
      <c r="AF568">
        <f>(100%+Dashboard!$P$48)*'Staging Data'!P568</f>
        <v>1295.1960000000001</v>
      </c>
      <c r="AG568">
        <f>(100%+Dashboard!$P$49)*S568</f>
        <v>13.52</v>
      </c>
      <c r="AH568" s="13">
        <f t="shared" si="159"/>
        <v>18784.471680000002</v>
      </c>
      <c r="AI568" s="13">
        <f t="shared" si="160"/>
        <v>17511.049920000001</v>
      </c>
      <c r="AJ568" s="13">
        <f t="shared" si="161"/>
        <v>1273.4217600000011</v>
      </c>
    </row>
    <row r="569" spans="1:36" x14ac:dyDescent="0.45">
      <c r="A569" s="3" t="s">
        <v>581</v>
      </c>
      <c r="B569" s="5">
        <v>45834</v>
      </c>
      <c r="C569" s="5">
        <v>45849</v>
      </c>
      <c r="D569" s="5">
        <f t="shared" si="162"/>
        <v>45834</v>
      </c>
      <c r="E569" s="5">
        <f t="shared" si="163"/>
        <v>45849</v>
      </c>
      <c r="F569" s="7">
        <f t="shared" si="164"/>
        <v>15</v>
      </c>
      <c r="G569" s="23" t="str">
        <f t="shared" si="165"/>
        <v>6-2025</v>
      </c>
      <c r="H569" s="3" t="s">
        <v>646</v>
      </c>
      <c r="I569" s="3" t="s">
        <v>651</v>
      </c>
      <c r="J569" s="3" t="s">
        <v>663</v>
      </c>
      <c r="K569" s="3" t="s">
        <v>705</v>
      </c>
      <c r="L569" s="3" t="s">
        <v>708</v>
      </c>
      <c r="M569" s="3" t="s">
        <v>720</v>
      </c>
      <c r="N569" s="3" t="s">
        <v>731</v>
      </c>
      <c r="O569" s="3" t="s">
        <v>1299</v>
      </c>
      <c r="P569" s="19">
        <v>1170.1500000000001</v>
      </c>
      <c r="Q569" s="19">
        <v>2115.19</v>
      </c>
      <c r="R569" s="15">
        <v>9.1999999999999998E-2</v>
      </c>
      <c r="S569" s="7">
        <v>23</v>
      </c>
      <c r="T569" s="13">
        <f t="shared" si="153"/>
        <v>44173.627960000005</v>
      </c>
      <c r="U569" s="13">
        <f t="shared" si="154"/>
        <v>26913.45</v>
      </c>
      <c r="V569" s="13">
        <f t="shared" si="166"/>
        <v>17260.177960000005</v>
      </c>
      <c r="W569" s="15">
        <f t="shared" si="167"/>
        <v>0.39073489674946776</v>
      </c>
      <c r="X569" s="17" t="str">
        <f t="shared" si="168"/>
        <v>Q2-2025</v>
      </c>
      <c r="Y569" t="str">
        <f t="shared" si="169"/>
        <v>Africa → Nigeria → Port Harcourt</v>
      </c>
      <c r="Z569" t="str">
        <f t="shared" si="170"/>
        <v>High</v>
      </c>
      <c r="AA569">
        <f t="shared" si="155"/>
        <v>2025</v>
      </c>
      <c r="AB569">
        <f t="shared" si="156"/>
        <v>6</v>
      </c>
      <c r="AC569" t="str">
        <f t="shared" si="157"/>
        <v>No</v>
      </c>
      <c r="AD569" t="str">
        <f t="shared" si="158"/>
        <v>No</v>
      </c>
      <c r="AE569" s="36">
        <f>IF(Dashboard!$P$47&gt;'Staging Data'!R569,'Staging Data'!R569,Dashboard!$P$47)</f>
        <v>9.1999999999999998E-2</v>
      </c>
      <c r="AF569">
        <f>(100%+Dashboard!$P$48)*'Staging Data'!P569</f>
        <v>1228.6575000000003</v>
      </c>
      <c r="AG569">
        <f>(100%+Dashboard!$P$49)*S569</f>
        <v>23.92</v>
      </c>
      <c r="AH569" s="13">
        <f t="shared" si="159"/>
        <v>45940.573078400004</v>
      </c>
      <c r="AI569" s="13">
        <f t="shared" si="160"/>
        <v>29389.487400000009</v>
      </c>
      <c r="AJ569" s="13">
        <f t="shared" si="161"/>
        <v>16551.085678399995</v>
      </c>
    </row>
    <row r="570" spans="1:36" x14ac:dyDescent="0.45">
      <c r="A570" s="3" t="s">
        <v>582</v>
      </c>
      <c r="B570" s="5">
        <v>45600</v>
      </c>
      <c r="C570" s="5">
        <v>45603</v>
      </c>
      <c r="D570" s="5">
        <f t="shared" si="162"/>
        <v>45600</v>
      </c>
      <c r="E570" s="5">
        <f t="shared" si="163"/>
        <v>45603</v>
      </c>
      <c r="F570" s="7">
        <f t="shared" si="164"/>
        <v>3</v>
      </c>
      <c r="G570" s="23" t="str">
        <f t="shared" si="165"/>
        <v>11-2024</v>
      </c>
      <c r="H570" s="3" t="s">
        <v>649</v>
      </c>
      <c r="I570" s="3" t="s">
        <v>657</v>
      </c>
      <c r="J570" s="3" t="s">
        <v>679</v>
      </c>
      <c r="K570" s="3" t="s">
        <v>701</v>
      </c>
      <c r="L570" s="3" t="s">
        <v>708</v>
      </c>
      <c r="M570" s="3" t="s">
        <v>719</v>
      </c>
      <c r="N570" s="3" t="s">
        <v>732</v>
      </c>
      <c r="O570" s="3" t="s">
        <v>1300</v>
      </c>
      <c r="P570" s="19">
        <v>740.68</v>
      </c>
      <c r="Q570" s="19">
        <v>1837.19</v>
      </c>
      <c r="R570" s="15">
        <v>0.19700000000000001</v>
      </c>
      <c r="S570" s="7">
        <v>17</v>
      </c>
      <c r="T570" s="13">
        <f t="shared" si="153"/>
        <v>25079.480689999997</v>
      </c>
      <c r="U570" s="13">
        <f t="shared" si="154"/>
        <v>12591.56</v>
      </c>
      <c r="V570" s="13">
        <f t="shared" si="166"/>
        <v>12487.920689999997</v>
      </c>
      <c r="W570" s="15">
        <f t="shared" si="167"/>
        <v>0.4979337827748298</v>
      </c>
      <c r="X570" s="17" t="str">
        <f t="shared" si="168"/>
        <v>Q4-2024</v>
      </c>
      <c r="Y570" t="str">
        <f t="shared" si="169"/>
        <v>Europe → France → Lyon</v>
      </c>
      <c r="Z570" t="str">
        <f t="shared" si="170"/>
        <v>Medium</v>
      </c>
      <c r="AA570">
        <f t="shared" si="155"/>
        <v>2024</v>
      </c>
      <c r="AB570">
        <f t="shared" si="156"/>
        <v>11</v>
      </c>
      <c r="AC570" t="str">
        <f t="shared" si="157"/>
        <v>Yes</v>
      </c>
      <c r="AD570" t="str">
        <f t="shared" si="158"/>
        <v>No</v>
      </c>
      <c r="AE570" s="36">
        <f>IF(Dashboard!$P$47&gt;'Staging Data'!R570,'Staging Data'!R570,Dashboard!$P$47)</f>
        <v>0.1</v>
      </c>
      <c r="AF570">
        <f>(100%+Dashboard!$P$48)*'Staging Data'!P570</f>
        <v>777.71399999999994</v>
      </c>
      <c r="AG570">
        <f>(100%+Dashboard!$P$49)*S570</f>
        <v>17.68</v>
      </c>
      <c r="AH570" s="13">
        <f t="shared" si="159"/>
        <v>29233.367279999999</v>
      </c>
      <c r="AI570" s="13">
        <f t="shared" si="160"/>
        <v>13749.983519999998</v>
      </c>
      <c r="AJ570" s="13">
        <f t="shared" si="161"/>
        <v>15483.383760000001</v>
      </c>
    </row>
    <row r="571" spans="1:36" x14ac:dyDescent="0.45">
      <c r="A571" s="3" t="s">
        <v>583</v>
      </c>
      <c r="B571" s="5">
        <v>45342</v>
      </c>
      <c r="C571" s="5">
        <v>45342</v>
      </c>
      <c r="D571" s="5">
        <f t="shared" si="162"/>
        <v>45342</v>
      </c>
      <c r="E571" s="5">
        <f t="shared" si="163"/>
        <v>45342</v>
      </c>
      <c r="F571" s="7">
        <f t="shared" si="164"/>
        <v>0</v>
      </c>
      <c r="G571" s="23" t="str">
        <f t="shared" si="165"/>
        <v>2-2024</v>
      </c>
      <c r="H571" s="3" t="s">
        <v>648</v>
      </c>
      <c r="I571" s="3" t="s">
        <v>660</v>
      </c>
      <c r="J571" s="3" t="s">
        <v>700</v>
      </c>
      <c r="K571" s="3" t="s">
        <v>706</v>
      </c>
      <c r="L571" s="3" t="s">
        <v>708</v>
      </c>
      <c r="M571" s="3" t="s">
        <v>712</v>
      </c>
      <c r="N571" s="3" t="s">
        <v>729</v>
      </c>
      <c r="O571" s="3" t="s">
        <v>1301</v>
      </c>
      <c r="P571" s="19">
        <v>1407.05</v>
      </c>
      <c r="Q571" s="19">
        <v>2858.93</v>
      </c>
      <c r="R571" s="15">
        <v>0</v>
      </c>
      <c r="S571" s="7">
        <v>12</v>
      </c>
      <c r="T571" s="13">
        <f t="shared" si="153"/>
        <v>34307.159999999996</v>
      </c>
      <c r="U571" s="13">
        <f t="shared" si="154"/>
        <v>16884.599999999999</v>
      </c>
      <c r="V571" s="13">
        <f t="shared" si="166"/>
        <v>17422.559999999998</v>
      </c>
      <c r="W571" s="15">
        <f t="shared" si="167"/>
        <v>0.50784034586366222</v>
      </c>
      <c r="X571" s="17" t="str">
        <f t="shared" si="168"/>
        <v>Q1-2024</v>
      </c>
      <c r="Y571" t="str">
        <f t="shared" si="169"/>
        <v>Americas → USA → New York</v>
      </c>
      <c r="Z571" t="str">
        <f t="shared" si="170"/>
        <v>High</v>
      </c>
      <c r="AA571">
        <f t="shared" si="155"/>
        <v>2024</v>
      </c>
      <c r="AB571">
        <f t="shared" si="156"/>
        <v>2</v>
      </c>
      <c r="AC571" t="str">
        <f t="shared" si="157"/>
        <v>Yes</v>
      </c>
      <c r="AD571" t="str">
        <f t="shared" si="158"/>
        <v>No</v>
      </c>
      <c r="AE571" s="36">
        <f>IF(Dashboard!$P$47&gt;'Staging Data'!R571,'Staging Data'!R571,Dashboard!$P$47)</f>
        <v>0</v>
      </c>
      <c r="AF571">
        <f>(100%+Dashboard!$P$48)*'Staging Data'!P571</f>
        <v>1477.4024999999999</v>
      </c>
      <c r="AG571">
        <f>(100%+Dashboard!$P$49)*S571</f>
        <v>12.48</v>
      </c>
      <c r="AH571" s="13">
        <f t="shared" si="159"/>
        <v>35679.446400000001</v>
      </c>
      <c r="AI571" s="13">
        <f t="shared" si="160"/>
        <v>18437.983199999999</v>
      </c>
      <c r="AJ571" s="13">
        <f t="shared" si="161"/>
        <v>17241.463200000002</v>
      </c>
    </row>
    <row r="572" spans="1:36" x14ac:dyDescent="0.45">
      <c r="A572" s="3" t="s">
        <v>584</v>
      </c>
      <c r="B572" s="5">
        <v>45760</v>
      </c>
      <c r="C572" s="5">
        <v>45761</v>
      </c>
      <c r="D572" s="5">
        <f t="shared" si="162"/>
        <v>45760</v>
      </c>
      <c r="E572" s="5">
        <f t="shared" si="163"/>
        <v>45761</v>
      </c>
      <c r="F572" s="7">
        <f t="shared" si="164"/>
        <v>1</v>
      </c>
      <c r="G572" s="23" t="str">
        <f t="shared" si="165"/>
        <v>4-2025</v>
      </c>
      <c r="H572" s="3" t="s">
        <v>647</v>
      </c>
      <c r="I572" s="3" t="s">
        <v>652</v>
      </c>
      <c r="J572" s="3" t="s">
        <v>666</v>
      </c>
      <c r="K572" s="3" t="s">
        <v>706</v>
      </c>
      <c r="L572" s="3" t="s">
        <v>708</v>
      </c>
      <c r="M572" s="3" t="s">
        <v>715</v>
      </c>
      <c r="N572" s="3" t="s">
        <v>727</v>
      </c>
      <c r="O572" s="3" t="s">
        <v>1302</v>
      </c>
      <c r="P572" s="19">
        <v>138.9</v>
      </c>
      <c r="Q572" s="19">
        <v>289.92</v>
      </c>
      <c r="R572" s="15">
        <v>2.9000000000000001E-2</v>
      </c>
      <c r="S572" s="7">
        <v>12</v>
      </c>
      <c r="T572" s="13">
        <f t="shared" si="153"/>
        <v>3378.1478400000001</v>
      </c>
      <c r="U572" s="13">
        <f t="shared" si="154"/>
        <v>1666.8000000000002</v>
      </c>
      <c r="V572" s="13">
        <f t="shared" si="166"/>
        <v>1711.3478399999999</v>
      </c>
      <c r="W572" s="15">
        <f t="shared" si="167"/>
        <v>0.50659353025828491</v>
      </c>
      <c r="X572" s="17" t="str">
        <f t="shared" si="168"/>
        <v>Q2-2025</v>
      </c>
      <c r="Y572" t="str">
        <f t="shared" si="169"/>
        <v>Asia → Japan → Osaka</v>
      </c>
      <c r="Z572" t="str">
        <f t="shared" si="170"/>
        <v>Low</v>
      </c>
      <c r="AA572">
        <f t="shared" si="155"/>
        <v>2025</v>
      </c>
      <c r="AB572">
        <f t="shared" si="156"/>
        <v>4</v>
      </c>
      <c r="AC572" t="str">
        <f t="shared" si="157"/>
        <v>Yes</v>
      </c>
      <c r="AD572" t="str">
        <f t="shared" si="158"/>
        <v>No</v>
      </c>
      <c r="AE572" s="36">
        <f>IF(Dashboard!$P$47&gt;'Staging Data'!R572,'Staging Data'!R572,Dashboard!$P$47)</f>
        <v>2.9000000000000001E-2</v>
      </c>
      <c r="AF572">
        <f>(100%+Dashboard!$P$48)*'Staging Data'!P572</f>
        <v>145.845</v>
      </c>
      <c r="AG572">
        <f>(100%+Dashboard!$P$49)*S572</f>
        <v>12.48</v>
      </c>
      <c r="AH572" s="13">
        <f t="shared" si="159"/>
        <v>3513.2737536000004</v>
      </c>
      <c r="AI572" s="13">
        <f t="shared" si="160"/>
        <v>1820.1456000000001</v>
      </c>
      <c r="AJ572" s="13">
        <f t="shared" si="161"/>
        <v>1693.1281536000004</v>
      </c>
    </row>
    <row r="573" spans="1:36" x14ac:dyDescent="0.45">
      <c r="A573" s="3" t="s">
        <v>480</v>
      </c>
      <c r="B573" s="5">
        <v>45466</v>
      </c>
      <c r="C573" s="5">
        <v>45471</v>
      </c>
      <c r="D573" s="5">
        <f t="shared" si="162"/>
        <v>45466</v>
      </c>
      <c r="E573" s="5">
        <f t="shared" si="163"/>
        <v>45471</v>
      </c>
      <c r="F573" s="7">
        <f t="shared" si="164"/>
        <v>5</v>
      </c>
      <c r="G573" s="23" t="str">
        <f t="shared" si="165"/>
        <v>6-2024</v>
      </c>
      <c r="H573" s="3" t="s">
        <v>646</v>
      </c>
      <c r="I573" s="3" t="s">
        <v>651</v>
      </c>
      <c r="J573" s="3" t="s">
        <v>663</v>
      </c>
      <c r="K573" s="3" t="s">
        <v>703</v>
      </c>
      <c r="L573" s="3" t="s">
        <v>711</v>
      </c>
      <c r="M573" s="3" t="s">
        <v>724</v>
      </c>
      <c r="N573" s="3" t="s">
        <v>733</v>
      </c>
      <c r="O573" s="3" t="s">
        <v>1199</v>
      </c>
      <c r="P573" s="19">
        <v>242.31</v>
      </c>
      <c r="Q573" s="19">
        <v>587.95000000000005</v>
      </c>
      <c r="R573" s="15">
        <v>0.22900000000000001</v>
      </c>
      <c r="S573" s="7">
        <v>6</v>
      </c>
      <c r="T573" s="13">
        <f t="shared" si="153"/>
        <v>2719.8567000000003</v>
      </c>
      <c r="U573" s="13">
        <f t="shared" si="154"/>
        <v>1453.8600000000001</v>
      </c>
      <c r="V573" s="13">
        <f t="shared" si="166"/>
        <v>1265.9967000000001</v>
      </c>
      <c r="W573" s="15">
        <f t="shared" si="167"/>
        <v>0.46546448568411714</v>
      </c>
      <c r="X573" s="17" t="str">
        <f t="shared" si="168"/>
        <v>Q2-2024</v>
      </c>
      <c r="Y573" t="str">
        <f t="shared" si="169"/>
        <v>Africa → Nigeria → Port Harcourt</v>
      </c>
      <c r="Z573" t="str">
        <f t="shared" si="170"/>
        <v>Low</v>
      </c>
      <c r="AA573">
        <f t="shared" si="155"/>
        <v>2024</v>
      </c>
      <c r="AB573">
        <f t="shared" si="156"/>
        <v>6</v>
      </c>
      <c r="AC573" t="str">
        <f t="shared" si="157"/>
        <v>Yes</v>
      </c>
      <c r="AD573" t="str">
        <f t="shared" si="158"/>
        <v>Yes</v>
      </c>
      <c r="AE573" s="36">
        <f>IF(Dashboard!$P$47&gt;'Staging Data'!R573,'Staging Data'!R573,Dashboard!$P$47)</f>
        <v>0.1</v>
      </c>
      <c r="AF573">
        <f>(100%+Dashboard!$P$48)*'Staging Data'!P573</f>
        <v>254.4255</v>
      </c>
      <c r="AG573">
        <f>(100%+Dashboard!$P$49)*S573</f>
        <v>6.24</v>
      </c>
      <c r="AH573" s="13">
        <f t="shared" si="159"/>
        <v>3301.9272000000005</v>
      </c>
      <c r="AI573" s="13">
        <f t="shared" si="160"/>
        <v>1587.6151200000002</v>
      </c>
      <c r="AJ573" s="13">
        <f t="shared" si="161"/>
        <v>1714.3120800000004</v>
      </c>
    </row>
    <row r="574" spans="1:36" x14ac:dyDescent="0.45">
      <c r="A574" s="3" t="s">
        <v>586</v>
      </c>
      <c r="B574" s="5">
        <v>45740</v>
      </c>
      <c r="C574" s="5">
        <v>45751</v>
      </c>
      <c r="D574" s="5">
        <f t="shared" si="162"/>
        <v>45740</v>
      </c>
      <c r="E574" s="5">
        <f t="shared" si="163"/>
        <v>45751</v>
      </c>
      <c r="F574" s="7">
        <f t="shared" si="164"/>
        <v>11</v>
      </c>
      <c r="G574" s="23" t="str">
        <f t="shared" si="165"/>
        <v>3-2025</v>
      </c>
      <c r="H574" s="3" t="s">
        <v>647</v>
      </c>
      <c r="I574" s="3" t="s">
        <v>654</v>
      </c>
      <c r="J574" s="3" t="s">
        <v>691</v>
      </c>
      <c r="K574" s="3" t="s">
        <v>702</v>
      </c>
      <c r="L574" s="3" t="s">
        <v>709</v>
      </c>
      <c r="M574" s="3" t="s">
        <v>713</v>
      </c>
      <c r="N574" s="3" t="s">
        <v>730</v>
      </c>
      <c r="O574" s="3" t="s">
        <v>1304</v>
      </c>
      <c r="P574" s="19">
        <v>23.83</v>
      </c>
      <c r="Q574" s="19">
        <v>47.29</v>
      </c>
      <c r="R574" s="15">
        <v>6.4000000000000001E-2</v>
      </c>
      <c r="S574" s="7">
        <v>19</v>
      </c>
      <c r="T574" s="13">
        <f t="shared" si="153"/>
        <v>841.00536</v>
      </c>
      <c r="U574" s="13">
        <f t="shared" si="154"/>
        <v>452.77</v>
      </c>
      <c r="V574" s="13">
        <f t="shared" si="166"/>
        <v>388.23536000000001</v>
      </c>
      <c r="W574" s="15">
        <f t="shared" si="167"/>
        <v>0.46163244429262618</v>
      </c>
      <c r="X574" s="17" t="str">
        <f t="shared" si="168"/>
        <v>Q1-2025</v>
      </c>
      <c r="Y574" t="str">
        <f t="shared" si="169"/>
        <v>Asia → India → Mumbai</v>
      </c>
      <c r="Z574" t="str">
        <f t="shared" si="170"/>
        <v>Low</v>
      </c>
      <c r="AA574">
        <f t="shared" si="155"/>
        <v>2025</v>
      </c>
      <c r="AB574">
        <f t="shared" si="156"/>
        <v>3</v>
      </c>
      <c r="AC574" t="str">
        <f t="shared" si="157"/>
        <v>No</v>
      </c>
      <c r="AD574" t="str">
        <f t="shared" si="158"/>
        <v>No</v>
      </c>
      <c r="AE574" s="36">
        <f>IF(Dashboard!$P$47&gt;'Staging Data'!R574,'Staging Data'!R574,Dashboard!$P$47)</f>
        <v>6.4000000000000001E-2</v>
      </c>
      <c r="AF574">
        <f>(100%+Dashboard!$P$48)*'Staging Data'!P574</f>
        <v>25.0215</v>
      </c>
      <c r="AG574">
        <f>(100%+Dashboard!$P$49)*S574</f>
        <v>19.760000000000002</v>
      </c>
      <c r="AH574" s="13">
        <f t="shared" si="159"/>
        <v>874.64557439999999</v>
      </c>
      <c r="AI574" s="13">
        <f t="shared" si="160"/>
        <v>494.42484000000002</v>
      </c>
      <c r="AJ574" s="13">
        <f t="shared" si="161"/>
        <v>380.22073439999997</v>
      </c>
    </row>
    <row r="575" spans="1:36" x14ac:dyDescent="0.45">
      <c r="A575" s="3" t="s">
        <v>587</v>
      </c>
      <c r="B575" s="5">
        <v>45293</v>
      </c>
      <c r="C575" s="5">
        <v>45293</v>
      </c>
      <c r="D575" s="5">
        <f t="shared" si="162"/>
        <v>45293</v>
      </c>
      <c r="E575" s="5">
        <f t="shared" si="163"/>
        <v>45293</v>
      </c>
      <c r="F575" s="7">
        <f t="shared" si="164"/>
        <v>0</v>
      </c>
      <c r="G575" s="23" t="str">
        <f t="shared" si="165"/>
        <v>1-2024</v>
      </c>
      <c r="H575" s="3" t="s">
        <v>648</v>
      </c>
      <c r="I575" s="3" t="s">
        <v>653</v>
      </c>
      <c r="J575" s="3" t="s">
        <v>688</v>
      </c>
      <c r="K575" s="3" t="s">
        <v>702</v>
      </c>
      <c r="L575" s="3" t="s">
        <v>711</v>
      </c>
      <c r="M575" s="3" t="s">
        <v>720</v>
      </c>
      <c r="N575" s="3" t="s">
        <v>731</v>
      </c>
      <c r="O575" s="3" t="s">
        <v>1305</v>
      </c>
      <c r="P575" s="19">
        <v>444.41</v>
      </c>
      <c r="Q575" s="19">
        <v>754.24</v>
      </c>
      <c r="R575" s="15">
        <v>0.20699999999999999</v>
      </c>
      <c r="S575" s="7">
        <v>32</v>
      </c>
      <c r="T575" s="13">
        <f t="shared" si="153"/>
        <v>19139.594240000002</v>
      </c>
      <c r="U575" s="13">
        <f t="shared" si="154"/>
        <v>14221.12</v>
      </c>
      <c r="V575" s="13">
        <f t="shared" si="166"/>
        <v>4918.4742400000014</v>
      </c>
      <c r="W575" s="15">
        <f t="shared" si="167"/>
        <v>0.25697902360546598</v>
      </c>
      <c r="X575" s="17" t="str">
        <f t="shared" si="168"/>
        <v>Q1-2024</v>
      </c>
      <c r="Y575" t="str">
        <f t="shared" si="169"/>
        <v>Americas → Canada → Vancouver</v>
      </c>
      <c r="Z575" t="str">
        <f t="shared" si="170"/>
        <v>Low</v>
      </c>
      <c r="AA575">
        <f t="shared" si="155"/>
        <v>2024</v>
      </c>
      <c r="AB575">
        <f t="shared" si="156"/>
        <v>1</v>
      </c>
      <c r="AC575" t="str">
        <f t="shared" si="157"/>
        <v>Yes</v>
      </c>
      <c r="AD575" t="str">
        <f t="shared" si="158"/>
        <v>Yes</v>
      </c>
      <c r="AE575" s="36">
        <f>IF(Dashboard!$P$47&gt;'Staging Data'!R575,'Staging Data'!R575,Dashboard!$P$47)</f>
        <v>0.1</v>
      </c>
      <c r="AF575">
        <f>(100%+Dashboard!$P$48)*'Staging Data'!P575</f>
        <v>466.63050000000004</v>
      </c>
      <c r="AG575">
        <f>(100%+Dashboard!$P$49)*S575</f>
        <v>33.28</v>
      </c>
      <c r="AH575" s="13">
        <f t="shared" si="159"/>
        <v>22590.996480000002</v>
      </c>
      <c r="AI575" s="13">
        <f t="shared" si="160"/>
        <v>15529.463040000002</v>
      </c>
      <c r="AJ575" s="13">
        <f t="shared" si="161"/>
        <v>7061.5334399999992</v>
      </c>
    </row>
    <row r="576" spans="1:36" x14ac:dyDescent="0.45">
      <c r="A576" s="3" t="s">
        <v>588</v>
      </c>
      <c r="B576" s="5">
        <v>45279</v>
      </c>
      <c r="C576" s="5">
        <v>45292</v>
      </c>
      <c r="D576" s="5">
        <f t="shared" si="162"/>
        <v>45279</v>
      </c>
      <c r="E576" s="5">
        <f t="shared" si="163"/>
        <v>45292</v>
      </c>
      <c r="F576" s="7">
        <f t="shared" si="164"/>
        <v>13</v>
      </c>
      <c r="G576" s="23" t="str">
        <f t="shared" si="165"/>
        <v>12-2023</v>
      </c>
      <c r="H576" s="3" t="s">
        <v>648</v>
      </c>
      <c r="I576" s="3" t="s">
        <v>653</v>
      </c>
      <c r="J576" s="3" t="s">
        <v>667</v>
      </c>
      <c r="K576" s="3" t="s">
        <v>706</v>
      </c>
      <c r="L576" s="3" t="s">
        <v>707</v>
      </c>
      <c r="M576" s="3" t="s">
        <v>723</v>
      </c>
      <c r="N576" s="3" t="s">
        <v>732</v>
      </c>
      <c r="O576" s="3" t="s">
        <v>1306</v>
      </c>
      <c r="P576" s="19">
        <v>856.1</v>
      </c>
      <c r="Q576" s="19">
        <v>901.48</v>
      </c>
      <c r="R576" s="15">
        <v>5.6000000000000001E-2</v>
      </c>
      <c r="S576" s="7">
        <v>17</v>
      </c>
      <c r="T576" s="13">
        <f t="shared" si="153"/>
        <v>14466.95104</v>
      </c>
      <c r="U576" s="13">
        <f t="shared" si="154"/>
        <v>14553.7</v>
      </c>
      <c r="V576" s="13">
        <f t="shared" si="166"/>
        <v>-86.748960000000807</v>
      </c>
      <c r="W576" s="15">
        <f t="shared" si="167"/>
        <v>-5.9963540182134192E-3</v>
      </c>
      <c r="X576" s="17" t="str">
        <f t="shared" si="168"/>
        <v>Q4-2023</v>
      </c>
      <c r="Y576" t="str">
        <f t="shared" si="169"/>
        <v>Americas → Canada → Toronto</v>
      </c>
      <c r="Z576" t="str">
        <f t="shared" si="170"/>
        <v>Low</v>
      </c>
      <c r="AA576">
        <f t="shared" si="155"/>
        <v>2023</v>
      </c>
      <c r="AB576">
        <f t="shared" si="156"/>
        <v>12</v>
      </c>
      <c r="AC576" t="str">
        <f t="shared" si="157"/>
        <v>No</v>
      </c>
      <c r="AD576" t="str">
        <f t="shared" si="158"/>
        <v>No</v>
      </c>
      <c r="AE576" s="36">
        <f>IF(Dashboard!$P$47&gt;'Staging Data'!R576,'Staging Data'!R576,Dashboard!$P$47)</f>
        <v>5.6000000000000001E-2</v>
      </c>
      <c r="AF576">
        <f>(100%+Dashboard!$P$48)*'Staging Data'!P576</f>
        <v>898.90500000000009</v>
      </c>
      <c r="AG576">
        <f>(100%+Dashboard!$P$49)*S576</f>
        <v>17.68</v>
      </c>
      <c r="AH576" s="13">
        <f t="shared" si="159"/>
        <v>15045.6290816</v>
      </c>
      <c r="AI576" s="13">
        <f t="shared" si="160"/>
        <v>15892.640400000002</v>
      </c>
      <c r="AJ576" s="13">
        <f t="shared" si="161"/>
        <v>-847.01131840000198</v>
      </c>
    </row>
    <row r="577" spans="1:36" x14ac:dyDescent="0.45">
      <c r="A577" s="3" t="s">
        <v>589</v>
      </c>
      <c r="B577" s="5">
        <v>45042</v>
      </c>
      <c r="C577" s="5">
        <v>45042</v>
      </c>
      <c r="D577" s="5">
        <f t="shared" si="162"/>
        <v>45042</v>
      </c>
      <c r="E577" s="5">
        <f t="shared" si="163"/>
        <v>45042</v>
      </c>
      <c r="F577" s="7">
        <f t="shared" si="164"/>
        <v>0</v>
      </c>
      <c r="G577" s="23" t="str">
        <f t="shared" si="165"/>
        <v>4-2023</v>
      </c>
      <c r="H577" s="3" t="s">
        <v>649</v>
      </c>
      <c r="I577" s="3" t="s">
        <v>657</v>
      </c>
      <c r="J577" s="3" t="s">
        <v>673</v>
      </c>
      <c r="K577" s="3" t="s">
        <v>704</v>
      </c>
      <c r="L577" s="3" t="s">
        <v>711</v>
      </c>
      <c r="M577" s="3" t="s">
        <v>724</v>
      </c>
      <c r="N577" s="3" t="s">
        <v>727</v>
      </c>
      <c r="O577" s="3" t="s">
        <v>1307</v>
      </c>
      <c r="P577" s="19">
        <v>81.489999999999995</v>
      </c>
      <c r="Q577" s="19">
        <v>113.08</v>
      </c>
      <c r="R577" s="15">
        <v>0.121</v>
      </c>
      <c r="S577" s="7">
        <v>5</v>
      </c>
      <c r="T577" s="13">
        <f t="shared" si="153"/>
        <v>496.98660000000001</v>
      </c>
      <c r="U577" s="13">
        <f t="shared" si="154"/>
        <v>407.45</v>
      </c>
      <c r="V577" s="13">
        <f t="shared" si="166"/>
        <v>89.536600000000021</v>
      </c>
      <c r="W577" s="15">
        <f t="shared" si="167"/>
        <v>0.18015898215364362</v>
      </c>
      <c r="X577" s="17" t="str">
        <f t="shared" si="168"/>
        <v>Q2-2023</v>
      </c>
      <c r="Y577" t="str">
        <f t="shared" si="169"/>
        <v>Europe → France → Marseille</v>
      </c>
      <c r="Z577" t="str">
        <f t="shared" si="170"/>
        <v>Low</v>
      </c>
      <c r="AA577">
        <f t="shared" si="155"/>
        <v>2023</v>
      </c>
      <c r="AB577">
        <f t="shared" si="156"/>
        <v>4</v>
      </c>
      <c r="AC577" t="str">
        <f t="shared" si="157"/>
        <v>Yes</v>
      </c>
      <c r="AD577" t="str">
        <f t="shared" si="158"/>
        <v>No</v>
      </c>
      <c r="AE577" s="36">
        <f>IF(Dashboard!$P$47&gt;'Staging Data'!R577,'Staging Data'!R577,Dashboard!$P$47)</f>
        <v>0.1</v>
      </c>
      <c r="AF577">
        <f>(100%+Dashboard!$P$48)*'Staging Data'!P577</f>
        <v>85.564499999999995</v>
      </c>
      <c r="AG577">
        <f>(100%+Dashboard!$P$49)*S577</f>
        <v>5.2</v>
      </c>
      <c r="AH577" s="13">
        <f t="shared" si="159"/>
        <v>529.21439999999996</v>
      </c>
      <c r="AI577" s="13">
        <f t="shared" si="160"/>
        <v>444.93540000000002</v>
      </c>
      <c r="AJ577" s="13">
        <f t="shared" si="161"/>
        <v>84.27899999999994</v>
      </c>
    </row>
    <row r="578" spans="1:36" x14ac:dyDescent="0.45">
      <c r="A578" s="3" t="s">
        <v>590</v>
      </c>
      <c r="B578" s="5">
        <v>45872</v>
      </c>
      <c r="C578" s="5">
        <v>45885</v>
      </c>
      <c r="D578" s="5">
        <f t="shared" si="162"/>
        <v>45872</v>
      </c>
      <c r="E578" s="5">
        <f t="shared" si="163"/>
        <v>45885</v>
      </c>
      <c r="F578" s="7">
        <f t="shared" si="164"/>
        <v>13</v>
      </c>
      <c r="G578" s="23" t="str">
        <f t="shared" si="165"/>
        <v>8-2025</v>
      </c>
      <c r="H578" s="3" t="s">
        <v>648</v>
      </c>
      <c r="I578" s="3" t="s">
        <v>653</v>
      </c>
      <c r="J578" s="3" t="s">
        <v>681</v>
      </c>
      <c r="K578" s="3" t="s">
        <v>706</v>
      </c>
      <c r="L578" s="3" t="s">
        <v>710</v>
      </c>
      <c r="M578" s="3" t="s">
        <v>719</v>
      </c>
      <c r="N578" s="3" t="s">
        <v>729</v>
      </c>
      <c r="O578" s="3" t="s">
        <v>1308</v>
      </c>
      <c r="P578" s="19">
        <v>698.66</v>
      </c>
      <c r="Q578" s="19">
        <v>868.62</v>
      </c>
      <c r="R578" s="15">
        <v>7.1999999999999995E-2</v>
      </c>
      <c r="S578" s="7">
        <v>15</v>
      </c>
      <c r="T578" s="13">
        <f t="shared" si="153"/>
        <v>12091.190399999999</v>
      </c>
      <c r="U578" s="13">
        <f t="shared" si="154"/>
        <v>10479.9</v>
      </c>
      <c r="V578" s="13">
        <f t="shared" si="166"/>
        <v>1611.2903999999999</v>
      </c>
      <c r="W578" s="15">
        <f t="shared" si="167"/>
        <v>0.13326151906432637</v>
      </c>
      <c r="X578" s="17" t="str">
        <f t="shared" si="168"/>
        <v>Q3-2025</v>
      </c>
      <c r="Y578" t="str">
        <f t="shared" si="169"/>
        <v>Americas → Canada → Montreal</v>
      </c>
      <c r="Z578" t="str">
        <f t="shared" si="170"/>
        <v>Low</v>
      </c>
      <c r="AA578">
        <f t="shared" si="155"/>
        <v>2025</v>
      </c>
      <c r="AB578">
        <f t="shared" si="156"/>
        <v>8</v>
      </c>
      <c r="AC578" t="str">
        <f t="shared" si="157"/>
        <v>No</v>
      </c>
      <c r="AD578" t="str">
        <f t="shared" si="158"/>
        <v>No</v>
      </c>
      <c r="AE578" s="36">
        <f>IF(Dashboard!$P$47&gt;'Staging Data'!R578,'Staging Data'!R578,Dashboard!$P$47)</f>
        <v>7.1999999999999995E-2</v>
      </c>
      <c r="AF578">
        <f>(100%+Dashboard!$P$48)*'Staging Data'!P578</f>
        <v>733.59299999999996</v>
      </c>
      <c r="AG578">
        <f>(100%+Dashboard!$P$49)*S578</f>
        <v>15.600000000000001</v>
      </c>
      <c r="AH578" s="13">
        <f t="shared" si="159"/>
        <v>12574.838016000002</v>
      </c>
      <c r="AI578" s="13">
        <f t="shared" si="160"/>
        <v>11444.050800000001</v>
      </c>
      <c r="AJ578" s="13">
        <f t="shared" si="161"/>
        <v>1130.7872160000006</v>
      </c>
    </row>
    <row r="579" spans="1:36" x14ac:dyDescent="0.45">
      <c r="A579" s="3" t="s">
        <v>591</v>
      </c>
      <c r="B579" s="5">
        <v>45140</v>
      </c>
      <c r="C579" s="5">
        <v>45157</v>
      </c>
      <c r="D579" s="5">
        <f t="shared" si="162"/>
        <v>45140</v>
      </c>
      <c r="E579" s="5">
        <f t="shared" si="163"/>
        <v>45157</v>
      </c>
      <c r="F579" s="7">
        <f t="shared" si="164"/>
        <v>17</v>
      </c>
      <c r="G579" s="23" t="str">
        <f t="shared" si="165"/>
        <v>8-2023</v>
      </c>
      <c r="H579" s="3" t="s">
        <v>648</v>
      </c>
      <c r="I579" s="3" t="s">
        <v>653</v>
      </c>
      <c r="J579" s="3" t="s">
        <v>688</v>
      </c>
      <c r="K579" s="3" t="s">
        <v>701</v>
      </c>
      <c r="L579" s="3" t="s">
        <v>708</v>
      </c>
      <c r="M579" s="3" t="s">
        <v>721</v>
      </c>
      <c r="N579" s="3" t="s">
        <v>729</v>
      </c>
      <c r="O579" s="3" t="s">
        <v>1309</v>
      </c>
      <c r="P579" s="19">
        <v>175.38</v>
      </c>
      <c r="Q579" s="19">
        <v>347.9</v>
      </c>
      <c r="R579" s="15">
        <v>7.1999999999999995E-2</v>
      </c>
      <c r="S579" s="7">
        <v>43</v>
      </c>
      <c r="T579" s="13">
        <f t="shared" ref="T579:T633" si="171">(Q579*S579)*(1-R579)</f>
        <v>13882.6016</v>
      </c>
      <c r="U579" s="13">
        <f t="shared" ref="U579:U633" si="172">P579*S579</f>
        <v>7541.34</v>
      </c>
      <c r="V579" s="13">
        <f t="shared" si="166"/>
        <v>6341.2615999999998</v>
      </c>
      <c r="W579" s="15">
        <f t="shared" si="167"/>
        <v>0.45677761148169804</v>
      </c>
      <c r="X579" s="17" t="str">
        <f t="shared" si="168"/>
        <v>Q3-2023</v>
      </c>
      <c r="Y579" t="str">
        <f t="shared" si="169"/>
        <v>Americas → Canada → Vancouver</v>
      </c>
      <c r="Z579" t="str">
        <f t="shared" si="170"/>
        <v>Low</v>
      </c>
      <c r="AA579">
        <f t="shared" ref="AA579:AA633" si="173">YEAR(D579)</f>
        <v>2023</v>
      </c>
      <c r="AB579">
        <f t="shared" ref="AB579:AB633" si="174">MONTH(D579)</f>
        <v>8</v>
      </c>
      <c r="AC579" t="str">
        <f t="shared" ref="AC579:AC633" si="175">IF(F579&lt;=7,"Yes", "No")</f>
        <v>No</v>
      </c>
      <c r="AD579" t="str">
        <f t="shared" ref="AD579:AD633" si="176">IF(R579&gt;20%,"Yes","No")</f>
        <v>No</v>
      </c>
      <c r="AE579" s="36">
        <f>IF(Dashboard!$P$47&gt;'Staging Data'!R579,'Staging Data'!R579,Dashboard!$P$47)</f>
        <v>7.1999999999999995E-2</v>
      </c>
      <c r="AF579">
        <f>(100%+Dashboard!$P$48)*'Staging Data'!P579</f>
        <v>184.149</v>
      </c>
      <c r="AG579">
        <f>(100%+Dashboard!$P$49)*S579</f>
        <v>44.72</v>
      </c>
      <c r="AH579" s="13">
        <f t="shared" ref="AH579:AH633" si="177">(Q579*AG579)*(1-AE579)</f>
        <v>14437.905663999998</v>
      </c>
      <c r="AI579" s="13">
        <f t="shared" ref="AI579:AI633" si="178">AF579*AG579</f>
        <v>8235.1432800000002</v>
      </c>
      <c r="AJ579" s="13">
        <f t="shared" ref="AJ579:AJ633" si="179">AH579-AI579</f>
        <v>6202.7623839999978</v>
      </c>
    </row>
    <row r="580" spans="1:36" x14ac:dyDescent="0.45">
      <c r="A580" s="3" t="s">
        <v>128</v>
      </c>
      <c r="B580" s="5">
        <v>45674</v>
      </c>
      <c r="C580" s="5">
        <v>45681</v>
      </c>
      <c r="D580" s="5">
        <f t="shared" si="162"/>
        <v>45674</v>
      </c>
      <c r="E580" s="5">
        <f t="shared" si="163"/>
        <v>45681</v>
      </c>
      <c r="F580" s="7">
        <f t="shared" si="164"/>
        <v>7</v>
      </c>
      <c r="G580" s="23" t="str">
        <f t="shared" si="165"/>
        <v>1-2025</v>
      </c>
      <c r="H580" s="3" t="s">
        <v>648</v>
      </c>
      <c r="I580" s="3" t="s">
        <v>660</v>
      </c>
      <c r="J580" s="3" t="s">
        <v>697</v>
      </c>
      <c r="K580" s="3" t="s">
        <v>706</v>
      </c>
      <c r="L580" s="3" t="s">
        <v>708</v>
      </c>
      <c r="M580" s="3" t="s">
        <v>715</v>
      </c>
      <c r="N580" s="3" t="s">
        <v>733</v>
      </c>
      <c r="O580" s="3" t="s">
        <v>847</v>
      </c>
      <c r="P580" s="19">
        <v>142.09</v>
      </c>
      <c r="Q580" s="19">
        <v>218.5</v>
      </c>
      <c r="R580" s="15">
        <v>0.11899999999999999</v>
      </c>
      <c r="S580" s="7">
        <v>11</v>
      </c>
      <c r="T580" s="13">
        <f t="shared" si="171"/>
        <v>2117.4834999999998</v>
      </c>
      <c r="U580" s="13">
        <f t="shared" si="172"/>
        <v>1562.99</v>
      </c>
      <c r="V580" s="13">
        <f t="shared" si="166"/>
        <v>554.49349999999981</v>
      </c>
      <c r="W580" s="15">
        <f t="shared" si="167"/>
        <v>0.26186437816398561</v>
      </c>
      <c r="X580" s="17" t="str">
        <f t="shared" si="168"/>
        <v>Q1-2025</v>
      </c>
      <c r="Y580" t="str">
        <f t="shared" si="169"/>
        <v>Americas → USA → Austin</v>
      </c>
      <c r="Z580" t="str">
        <f t="shared" si="170"/>
        <v>Low</v>
      </c>
      <c r="AA580">
        <f t="shared" si="173"/>
        <v>2025</v>
      </c>
      <c r="AB580">
        <f t="shared" si="174"/>
        <v>1</v>
      </c>
      <c r="AC580" t="str">
        <f t="shared" si="175"/>
        <v>Yes</v>
      </c>
      <c r="AD580" t="str">
        <f t="shared" si="176"/>
        <v>No</v>
      </c>
      <c r="AE580" s="36">
        <f>IF(Dashboard!$P$47&gt;'Staging Data'!R580,'Staging Data'!R580,Dashboard!$P$47)</f>
        <v>0.1</v>
      </c>
      <c r="AF580">
        <f>(100%+Dashboard!$P$48)*'Staging Data'!P580</f>
        <v>149.19450000000001</v>
      </c>
      <c r="AG580">
        <f>(100%+Dashboard!$P$49)*S580</f>
        <v>11.440000000000001</v>
      </c>
      <c r="AH580" s="13">
        <f t="shared" si="177"/>
        <v>2249.6760000000004</v>
      </c>
      <c r="AI580" s="13">
        <f t="shared" si="178"/>
        <v>1706.7850800000003</v>
      </c>
      <c r="AJ580" s="13">
        <f t="shared" si="179"/>
        <v>542.89092000000005</v>
      </c>
    </row>
    <row r="581" spans="1:36" x14ac:dyDescent="0.45">
      <c r="A581" s="3" t="s">
        <v>593</v>
      </c>
      <c r="B581" s="5">
        <v>45607</v>
      </c>
      <c r="C581" s="5">
        <v>45620</v>
      </c>
      <c r="D581" s="5">
        <f t="shared" si="162"/>
        <v>45607</v>
      </c>
      <c r="E581" s="5">
        <f t="shared" si="163"/>
        <v>45620</v>
      </c>
      <c r="F581" s="7">
        <f t="shared" si="164"/>
        <v>13</v>
      </c>
      <c r="G581" s="23" t="str">
        <f t="shared" si="165"/>
        <v>11-2024</v>
      </c>
      <c r="H581" s="3" t="s">
        <v>649</v>
      </c>
      <c r="I581" s="3" t="s">
        <v>658</v>
      </c>
      <c r="J581" s="3" t="s">
        <v>683</v>
      </c>
      <c r="K581" s="3" t="s">
        <v>701</v>
      </c>
      <c r="L581" s="3" t="s">
        <v>707</v>
      </c>
      <c r="M581" s="3" t="s">
        <v>718</v>
      </c>
      <c r="N581" s="3" t="s">
        <v>729</v>
      </c>
      <c r="O581" s="3" t="s">
        <v>1311</v>
      </c>
      <c r="P581" s="19">
        <v>164.53</v>
      </c>
      <c r="Q581" s="19">
        <v>327.72</v>
      </c>
      <c r="R581" s="15">
        <v>6.7000000000000004E-2</v>
      </c>
      <c r="S581" s="7">
        <v>14</v>
      </c>
      <c r="T581" s="13">
        <f t="shared" si="171"/>
        <v>4280.6786400000001</v>
      </c>
      <c r="U581" s="13">
        <f t="shared" si="172"/>
        <v>2303.42</v>
      </c>
      <c r="V581" s="13">
        <f t="shared" si="166"/>
        <v>1977.25864</v>
      </c>
      <c r="W581" s="15">
        <f t="shared" si="167"/>
        <v>0.46190307805960412</v>
      </c>
      <c r="X581" s="17" t="str">
        <f t="shared" si="168"/>
        <v>Q4-2024</v>
      </c>
      <c r="Y581" t="str">
        <f t="shared" si="169"/>
        <v>Europe → United Kingdom → London</v>
      </c>
      <c r="Z581" t="str">
        <f t="shared" si="170"/>
        <v>Low</v>
      </c>
      <c r="AA581">
        <f t="shared" si="173"/>
        <v>2024</v>
      </c>
      <c r="AB581">
        <f t="shared" si="174"/>
        <v>11</v>
      </c>
      <c r="AC581" t="str">
        <f t="shared" si="175"/>
        <v>No</v>
      </c>
      <c r="AD581" t="str">
        <f t="shared" si="176"/>
        <v>No</v>
      </c>
      <c r="AE581" s="36">
        <f>IF(Dashboard!$P$47&gt;'Staging Data'!R581,'Staging Data'!R581,Dashboard!$P$47)</f>
        <v>6.7000000000000004E-2</v>
      </c>
      <c r="AF581">
        <f>(100%+Dashboard!$P$48)*'Staging Data'!P581</f>
        <v>172.75650000000002</v>
      </c>
      <c r="AG581">
        <f>(100%+Dashboard!$P$49)*S581</f>
        <v>14.56</v>
      </c>
      <c r="AH581" s="13">
        <f t="shared" si="177"/>
        <v>4451.9057856000009</v>
      </c>
      <c r="AI581" s="13">
        <f t="shared" si="178"/>
        <v>2515.3346400000005</v>
      </c>
      <c r="AJ581" s="13">
        <f t="shared" si="179"/>
        <v>1936.5711456000004</v>
      </c>
    </row>
    <row r="582" spans="1:36" x14ac:dyDescent="0.45">
      <c r="A582" s="3" t="s">
        <v>594</v>
      </c>
      <c r="B582" s="5">
        <v>45849</v>
      </c>
      <c r="C582" s="5">
        <v>45872</v>
      </c>
      <c r="D582" s="5">
        <f t="shared" si="162"/>
        <v>45849</v>
      </c>
      <c r="E582" s="5">
        <f t="shared" si="163"/>
        <v>45872</v>
      </c>
      <c r="F582" s="7">
        <f t="shared" si="164"/>
        <v>23</v>
      </c>
      <c r="G582" s="23" t="str">
        <f t="shared" si="165"/>
        <v>7-2025</v>
      </c>
      <c r="H582" s="3" t="s">
        <v>646</v>
      </c>
      <c r="I582" s="3" t="s">
        <v>650</v>
      </c>
      <c r="J582" s="3" t="s">
        <v>678</v>
      </c>
      <c r="K582" s="3" t="s">
        <v>705</v>
      </c>
      <c r="L582" s="3" t="s">
        <v>707</v>
      </c>
      <c r="M582" s="3" t="s">
        <v>712</v>
      </c>
      <c r="N582" s="3" t="s">
        <v>730</v>
      </c>
      <c r="O582" s="3" t="s">
        <v>1312</v>
      </c>
      <c r="P582" s="19">
        <v>389.93</v>
      </c>
      <c r="Q582" s="19">
        <v>486.13</v>
      </c>
      <c r="R582" s="15">
        <v>0.13200000000000001</v>
      </c>
      <c r="S582" s="7">
        <v>17</v>
      </c>
      <c r="T582" s="13">
        <f t="shared" si="171"/>
        <v>7173.3342799999991</v>
      </c>
      <c r="U582" s="13">
        <f t="shared" si="172"/>
        <v>6628.81</v>
      </c>
      <c r="V582" s="13">
        <f t="shared" si="166"/>
        <v>544.52427999999873</v>
      </c>
      <c r="W582" s="15">
        <f t="shared" si="167"/>
        <v>7.5909508569562828E-2</v>
      </c>
      <c r="X582" s="17" t="str">
        <f t="shared" si="168"/>
        <v>Q3-2025</v>
      </c>
      <c r="Y582" t="str">
        <f t="shared" si="169"/>
        <v>Africa → Kenya → Nakuru</v>
      </c>
      <c r="Z582" t="str">
        <f t="shared" si="170"/>
        <v>Low</v>
      </c>
      <c r="AA582">
        <f t="shared" si="173"/>
        <v>2025</v>
      </c>
      <c r="AB582">
        <f t="shared" si="174"/>
        <v>7</v>
      </c>
      <c r="AC582" t="str">
        <f t="shared" si="175"/>
        <v>No</v>
      </c>
      <c r="AD582" t="str">
        <f t="shared" si="176"/>
        <v>No</v>
      </c>
      <c r="AE582" s="36">
        <f>IF(Dashboard!$P$47&gt;'Staging Data'!R582,'Staging Data'!R582,Dashboard!$P$47)</f>
        <v>0.1</v>
      </c>
      <c r="AF582">
        <f>(100%+Dashboard!$P$48)*'Staging Data'!P582</f>
        <v>409.42650000000003</v>
      </c>
      <c r="AG582">
        <f>(100%+Dashboard!$P$49)*S582</f>
        <v>17.68</v>
      </c>
      <c r="AH582" s="13">
        <f t="shared" si="177"/>
        <v>7735.3005599999997</v>
      </c>
      <c r="AI582" s="13">
        <f t="shared" si="178"/>
        <v>7238.6605200000004</v>
      </c>
      <c r="AJ582" s="13">
        <f t="shared" si="179"/>
        <v>496.64003999999932</v>
      </c>
    </row>
    <row r="583" spans="1:36" x14ac:dyDescent="0.45">
      <c r="A583" s="3" t="s">
        <v>504</v>
      </c>
      <c r="B583" s="5">
        <v>45403</v>
      </c>
      <c r="C583" s="5">
        <v>45431</v>
      </c>
      <c r="D583" s="5">
        <f t="shared" si="162"/>
        <v>45403</v>
      </c>
      <c r="E583" s="5">
        <f t="shared" si="163"/>
        <v>45431</v>
      </c>
      <c r="F583" s="7">
        <f t="shared" si="164"/>
        <v>28</v>
      </c>
      <c r="G583" s="23" t="str">
        <f t="shared" si="165"/>
        <v>4-2024</v>
      </c>
      <c r="H583" s="3" t="s">
        <v>646</v>
      </c>
      <c r="I583" s="3" t="s">
        <v>651</v>
      </c>
      <c r="J583" s="3" t="s">
        <v>665</v>
      </c>
      <c r="K583" s="3" t="s">
        <v>701</v>
      </c>
      <c r="L583" s="3" t="s">
        <v>710</v>
      </c>
      <c r="M583" s="3" t="s">
        <v>720</v>
      </c>
      <c r="N583" s="3" t="s">
        <v>733</v>
      </c>
      <c r="O583" s="3" t="s">
        <v>1223</v>
      </c>
      <c r="P583" s="19">
        <v>187.22</v>
      </c>
      <c r="Q583" s="19">
        <v>309.47000000000003</v>
      </c>
      <c r="R583" s="15">
        <v>0</v>
      </c>
      <c r="S583" s="7">
        <v>5</v>
      </c>
      <c r="T583" s="13">
        <f t="shared" si="171"/>
        <v>1547.3500000000001</v>
      </c>
      <c r="U583" s="13">
        <f t="shared" si="172"/>
        <v>936.1</v>
      </c>
      <c r="V583" s="13">
        <f t="shared" si="166"/>
        <v>611.25000000000011</v>
      </c>
      <c r="W583" s="15">
        <f t="shared" si="167"/>
        <v>0.39503021294471197</v>
      </c>
      <c r="X583" s="17" t="str">
        <f t="shared" si="168"/>
        <v>Q2-2024</v>
      </c>
      <c r="Y583" t="str">
        <f t="shared" si="169"/>
        <v>Africa → Nigeria → Lagos</v>
      </c>
      <c r="Z583" t="str">
        <f t="shared" si="170"/>
        <v>Low</v>
      </c>
      <c r="AA583">
        <f t="shared" si="173"/>
        <v>2024</v>
      </c>
      <c r="AB583">
        <f t="shared" si="174"/>
        <v>4</v>
      </c>
      <c r="AC583" t="str">
        <f t="shared" si="175"/>
        <v>No</v>
      </c>
      <c r="AD583" t="str">
        <f t="shared" si="176"/>
        <v>No</v>
      </c>
      <c r="AE583" s="36">
        <f>IF(Dashboard!$P$47&gt;'Staging Data'!R583,'Staging Data'!R583,Dashboard!$P$47)</f>
        <v>0</v>
      </c>
      <c r="AF583">
        <f>(100%+Dashboard!$P$48)*'Staging Data'!P583</f>
        <v>196.58100000000002</v>
      </c>
      <c r="AG583">
        <f>(100%+Dashboard!$P$49)*S583</f>
        <v>5.2</v>
      </c>
      <c r="AH583" s="13">
        <f t="shared" si="177"/>
        <v>1609.2440000000001</v>
      </c>
      <c r="AI583" s="13">
        <f t="shared" si="178"/>
        <v>1022.2212000000002</v>
      </c>
      <c r="AJ583" s="13">
        <f t="shared" si="179"/>
        <v>587.02279999999996</v>
      </c>
    </row>
    <row r="584" spans="1:36" x14ac:dyDescent="0.45">
      <c r="A584" s="3" t="s">
        <v>565</v>
      </c>
      <c r="B584" s="5">
        <v>45875</v>
      </c>
      <c r="C584" s="5">
        <v>45892</v>
      </c>
      <c r="D584" s="5">
        <f t="shared" si="162"/>
        <v>45875</v>
      </c>
      <c r="E584" s="5">
        <f t="shared" si="163"/>
        <v>45892</v>
      </c>
      <c r="F584" s="7">
        <f t="shared" si="164"/>
        <v>17</v>
      </c>
      <c r="G584" s="23" t="str">
        <f t="shared" si="165"/>
        <v>8-2025</v>
      </c>
      <c r="H584" s="3" t="s">
        <v>648</v>
      </c>
      <c r="I584" s="3" t="s">
        <v>655</v>
      </c>
      <c r="J584" s="3" t="s">
        <v>672</v>
      </c>
      <c r="K584" s="3" t="s">
        <v>704</v>
      </c>
      <c r="L584" s="3" t="s">
        <v>710</v>
      </c>
      <c r="M584" s="3" t="s">
        <v>720</v>
      </c>
      <c r="N584" s="3" t="s">
        <v>732</v>
      </c>
      <c r="O584" s="3" t="s">
        <v>1283</v>
      </c>
      <c r="P584" s="19">
        <v>86.64</v>
      </c>
      <c r="Q584" s="19">
        <v>213.06</v>
      </c>
      <c r="R584" s="15">
        <v>0.21199999999999999</v>
      </c>
      <c r="S584" s="7">
        <v>11</v>
      </c>
      <c r="T584" s="13">
        <f t="shared" si="171"/>
        <v>1846.8040799999999</v>
      </c>
      <c r="U584" s="13">
        <f t="shared" si="172"/>
        <v>953.04</v>
      </c>
      <c r="V584" s="13">
        <f t="shared" si="166"/>
        <v>893.76407999999992</v>
      </c>
      <c r="W584" s="15">
        <f t="shared" si="167"/>
        <v>0.48395175735154322</v>
      </c>
      <c r="X584" s="17" t="str">
        <f t="shared" si="168"/>
        <v>Q3-2025</v>
      </c>
      <c r="Y584" t="str">
        <f t="shared" si="169"/>
        <v>Americas → Brazil → Brasília</v>
      </c>
      <c r="Z584" t="str">
        <f t="shared" si="170"/>
        <v>Low</v>
      </c>
      <c r="AA584">
        <f t="shared" si="173"/>
        <v>2025</v>
      </c>
      <c r="AB584">
        <f t="shared" si="174"/>
        <v>8</v>
      </c>
      <c r="AC584" t="str">
        <f t="shared" si="175"/>
        <v>No</v>
      </c>
      <c r="AD584" t="str">
        <f t="shared" si="176"/>
        <v>Yes</v>
      </c>
      <c r="AE584" s="36">
        <f>IF(Dashboard!$P$47&gt;'Staging Data'!R584,'Staging Data'!R584,Dashboard!$P$47)</f>
        <v>0.1</v>
      </c>
      <c r="AF584">
        <f>(100%+Dashboard!$P$48)*'Staging Data'!P584</f>
        <v>90.972000000000008</v>
      </c>
      <c r="AG584">
        <f>(100%+Dashboard!$P$49)*S584</f>
        <v>11.440000000000001</v>
      </c>
      <c r="AH584" s="13">
        <f t="shared" si="177"/>
        <v>2193.6657600000003</v>
      </c>
      <c r="AI584" s="13">
        <f t="shared" si="178"/>
        <v>1040.7196800000002</v>
      </c>
      <c r="AJ584" s="13">
        <f t="shared" si="179"/>
        <v>1152.9460800000002</v>
      </c>
    </row>
    <row r="585" spans="1:36" x14ac:dyDescent="0.45">
      <c r="A585" s="3" t="s">
        <v>597</v>
      </c>
      <c r="B585" s="5">
        <v>45541</v>
      </c>
      <c r="C585" s="5">
        <v>45539</v>
      </c>
      <c r="D585" s="5">
        <f t="shared" si="162"/>
        <v>45539</v>
      </c>
      <c r="E585" s="5">
        <f t="shared" si="163"/>
        <v>45541</v>
      </c>
      <c r="F585" s="7">
        <f t="shared" si="164"/>
        <v>2</v>
      </c>
      <c r="G585" s="23" t="str">
        <f t="shared" si="165"/>
        <v>9-2024</v>
      </c>
      <c r="H585" s="3" t="s">
        <v>647</v>
      </c>
      <c r="I585" s="3" t="s">
        <v>652</v>
      </c>
      <c r="J585" s="3" t="s">
        <v>666</v>
      </c>
      <c r="K585" s="3" t="s">
        <v>701</v>
      </c>
      <c r="L585" s="3" t="s">
        <v>711</v>
      </c>
      <c r="M585" s="3" t="s">
        <v>720</v>
      </c>
      <c r="N585" s="3" t="s">
        <v>731</v>
      </c>
      <c r="O585" s="3" t="s">
        <v>1315</v>
      </c>
      <c r="P585" s="19">
        <v>1368.17</v>
      </c>
      <c r="Q585" s="19">
        <v>2307.75</v>
      </c>
      <c r="R585" s="15">
        <v>0.16300000000000001</v>
      </c>
      <c r="S585" s="7">
        <v>21</v>
      </c>
      <c r="T585" s="13">
        <f t="shared" si="171"/>
        <v>40563.321749999996</v>
      </c>
      <c r="U585" s="13">
        <f t="shared" si="172"/>
        <v>28731.57</v>
      </c>
      <c r="V585" s="13">
        <f t="shared" si="166"/>
        <v>11831.751749999996</v>
      </c>
      <c r="W585" s="15">
        <f t="shared" si="167"/>
        <v>0.29168596750831921</v>
      </c>
      <c r="X585" s="17" t="str">
        <f t="shared" si="168"/>
        <v>Q3-2024</v>
      </c>
      <c r="Y585" t="str">
        <f t="shared" si="169"/>
        <v>Asia → Japan → Osaka</v>
      </c>
      <c r="Z585" t="str">
        <f t="shared" si="170"/>
        <v>High</v>
      </c>
      <c r="AA585">
        <f t="shared" si="173"/>
        <v>2024</v>
      </c>
      <c r="AB585">
        <f t="shared" si="174"/>
        <v>9</v>
      </c>
      <c r="AC585" t="str">
        <f t="shared" si="175"/>
        <v>Yes</v>
      </c>
      <c r="AD585" t="str">
        <f t="shared" si="176"/>
        <v>No</v>
      </c>
      <c r="AE585" s="36">
        <f>IF(Dashboard!$P$47&gt;'Staging Data'!R585,'Staging Data'!R585,Dashboard!$P$47)</f>
        <v>0.1</v>
      </c>
      <c r="AF585">
        <f>(100%+Dashboard!$P$48)*'Staging Data'!P585</f>
        <v>1436.5785000000001</v>
      </c>
      <c r="AG585">
        <f>(100%+Dashboard!$P$49)*S585</f>
        <v>21.84</v>
      </c>
      <c r="AH585" s="13">
        <f t="shared" si="177"/>
        <v>45361.134000000005</v>
      </c>
      <c r="AI585" s="13">
        <f t="shared" si="178"/>
        <v>31374.874440000003</v>
      </c>
      <c r="AJ585" s="13">
        <f t="shared" si="179"/>
        <v>13986.259560000002</v>
      </c>
    </row>
    <row r="586" spans="1:36" x14ac:dyDescent="0.45">
      <c r="A586" s="3" t="s">
        <v>598</v>
      </c>
      <c r="B586" s="5">
        <v>45507</v>
      </c>
      <c r="C586" s="5">
        <v>45513</v>
      </c>
      <c r="D586" s="5">
        <f t="shared" si="162"/>
        <v>45507</v>
      </c>
      <c r="E586" s="5">
        <f t="shared" si="163"/>
        <v>45513</v>
      </c>
      <c r="F586" s="7">
        <f t="shared" si="164"/>
        <v>6</v>
      </c>
      <c r="G586" s="23" t="str">
        <f t="shared" si="165"/>
        <v>8-2024</v>
      </c>
      <c r="H586" s="3" t="s">
        <v>646</v>
      </c>
      <c r="I586" s="3" t="s">
        <v>650</v>
      </c>
      <c r="J586" s="3" t="s">
        <v>675</v>
      </c>
      <c r="K586" s="3" t="s">
        <v>704</v>
      </c>
      <c r="L586" s="3" t="s">
        <v>709</v>
      </c>
      <c r="M586" s="3" t="s">
        <v>722</v>
      </c>
      <c r="N586" s="3" t="s">
        <v>731</v>
      </c>
      <c r="O586" s="3" t="s">
        <v>1316</v>
      </c>
      <c r="P586" s="19">
        <v>643.21</v>
      </c>
      <c r="Q586" s="19">
        <v>1112.81</v>
      </c>
      <c r="R586" s="15">
        <v>0.14099999999999999</v>
      </c>
      <c r="S586" s="7">
        <v>4</v>
      </c>
      <c r="T586" s="13">
        <f t="shared" si="171"/>
        <v>3823.6151599999998</v>
      </c>
      <c r="U586" s="13">
        <f t="shared" si="172"/>
        <v>2572.84</v>
      </c>
      <c r="V586" s="13">
        <f t="shared" si="166"/>
        <v>1250.7751599999997</v>
      </c>
      <c r="W586" s="15">
        <f t="shared" si="167"/>
        <v>0.32711847496702562</v>
      </c>
      <c r="X586" s="17" t="str">
        <f t="shared" si="168"/>
        <v>Q3-2024</v>
      </c>
      <c r="Y586" t="str">
        <f t="shared" si="169"/>
        <v>Africa → Kenya → Mombasa</v>
      </c>
      <c r="Z586" t="str">
        <f t="shared" si="170"/>
        <v>Low</v>
      </c>
      <c r="AA586">
        <f t="shared" si="173"/>
        <v>2024</v>
      </c>
      <c r="AB586">
        <f t="shared" si="174"/>
        <v>8</v>
      </c>
      <c r="AC586" t="str">
        <f t="shared" si="175"/>
        <v>Yes</v>
      </c>
      <c r="AD586" t="str">
        <f t="shared" si="176"/>
        <v>No</v>
      </c>
      <c r="AE586" s="36">
        <f>IF(Dashboard!$P$47&gt;'Staging Data'!R586,'Staging Data'!R586,Dashboard!$P$47)</f>
        <v>0.1</v>
      </c>
      <c r="AF586">
        <f>(100%+Dashboard!$P$48)*'Staging Data'!P586</f>
        <v>675.37050000000011</v>
      </c>
      <c r="AG586">
        <f>(100%+Dashboard!$P$49)*S586</f>
        <v>4.16</v>
      </c>
      <c r="AH586" s="13">
        <f t="shared" si="177"/>
        <v>4166.3606399999999</v>
      </c>
      <c r="AI586" s="13">
        <f t="shared" si="178"/>
        <v>2809.5412800000004</v>
      </c>
      <c r="AJ586" s="13">
        <f t="shared" si="179"/>
        <v>1356.8193599999995</v>
      </c>
    </row>
    <row r="587" spans="1:36" x14ac:dyDescent="0.45">
      <c r="A587" s="3" t="s">
        <v>370</v>
      </c>
      <c r="B587" s="5">
        <v>45883</v>
      </c>
      <c r="C587" s="5">
        <v>45911</v>
      </c>
      <c r="D587" s="5">
        <f t="shared" ref="D587:D633" si="180">IF(C587&gt;B587,B587,C587)</f>
        <v>45883</v>
      </c>
      <c r="E587" s="5">
        <f t="shared" ref="E587:E633" si="181">IF(C587&gt;B587,C587,B587)</f>
        <v>45911</v>
      </c>
      <c r="F587" s="7">
        <f t="shared" ref="F587:F633" si="182">DATEDIF(D587,E587,"D")</f>
        <v>28</v>
      </c>
      <c r="G587" s="23" t="str">
        <f t="shared" ref="G587:G633" si="183">CONCATENATE(MONTH(D587), "-",YEAR(D587))</f>
        <v>8-2025</v>
      </c>
      <c r="H587" s="3" t="s">
        <v>648</v>
      </c>
      <c r="I587" s="3" t="s">
        <v>655</v>
      </c>
      <c r="J587" s="3" t="s">
        <v>670</v>
      </c>
      <c r="K587" s="3" t="s">
        <v>703</v>
      </c>
      <c r="L587" s="3" t="s">
        <v>711</v>
      </c>
      <c r="M587" s="3" t="s">
        <v>721</v>
      </c>
      <c r="N587" s="3" t="s">
        <v>728</v>
      </c>
      <c r="O587" s="3" t="s">
        <v>1090</v>
      </c>
      <c r="P587" s="19">
        <v>1203.02</v>
      </c>
      <c r="Q587" s="19">
        <v>2439.33</v>
      </c>
      <c r="R587" s="15">
        <v>0</v>
      </c>
      <c r="S587" s="7">
        <v>18</v>
      </c>
      <c r="T587" s="13">
        <f t="shared" si="171"/>
        <v>43907.94</v>
      </c>
      <c r="U587" s="13">
        <f t="shared" si="172"/>
        <v>21654.36</v>
      </c>
      <c r="V587" s="13">
        <f t="shared" ref="V587:V633" si="184">T587-U587</f>
        <v>22253.58</v>
      </c>
      <c r="W587" s="15">
        <f t="shared" ref="W587:W633" si="185">IF(T587=0, 0,V587/T587)</f>
        <v>0.50682359500354612</v>
      </c>
      <c r="X587" s="17" t="str">
        <f t="shared" ref="X587:X633" si="186">CONCATENATE(IF(MONTH(D587)&lt;=3,"Q1", IF(MONTH(D587)&lt;=6, "Q2", IF(MONTH(D587)&lt;= 9, "Q3", "Q4"))), "-", YEAR(D587))</f>
        <v>Q3-2025</v>
      </c>
      <c r="Y587" t="str">
        <f t="shared" ref="Y587:Y633" si="187">CONCATENATE(H587," → ",I587," → ",J587)</f>
        <v>Americas → Brazil → São Paulo</v>
      </c>
      <c r="Z587" t="str">
        <f t="shared" ref="Z587:Z633" si="188">IF(Q587&lt;=1193.97, "Low",IF(Q587&lt;1912.05,"Medium", "High"))</f>
        <v>High</v>
      </c>
      <c r="AA587">
        <f t="shared" si="173"/>
        <v>2025</v>
      </c>
      <c r="AB587">
        <f t="shared" si="174"/>
        <v>8</v>
      </c>
      <c r="AC587" t="str">
        <f t="shared" si="175"/>
        <v>No</v>
      </c>
      <c r="AD587" t="str">
        <f t="shared" si="176"/>
        <v>No</v>
      </c>
      <c r="AE587" s="36">
        <f>IF(Dashboard!$P$47&gt;'Staging Data'!R587,'Staging Data'!R587,Dashboard!$P$47)</f>
        <v>0</v>
      </c>
      <c r="AF587">
        <f>(100%+Dashboard!$P$48)*'Staging Data'!P587</f>
        <v>1263.171</v>
      </c>
      <c r="AG587">
        <f>(100%+Dashboard!$P$49)*S587</f>
        <v>18.72</v>
      </c>
      <c r="AH587" s="13">
        <f t="shared" si="177"/>
        <v>45664.257599999997</v>
      </c>
      <c r="AI587" s="13">
        <f t="shared" si="178"/>
        <v>23646.561119999998</v>
      </c>
      <c r="AJ587" s="13">
        <f t="shared" si="179"/>
        <v>22017.696479999999</v>
      </c>
    </row>
    <row r="588" spans="1:36" x14ac:dyDescent="0.45">
      <c r="A588" s="3" t="s">
        <v>600</v>
      </c>
      <c r="B588" s="5">
        <v>45049</v>
      </c>
      <c r="C588" s="5">
        <v>45062</v>
      </c>
      <c r="D588" s="5">
        <f t="shared" si="180"/>
        <v>45049</v>
      </c>
      <c r="E588" s="5">
        <f t="shared" si="181"/>
        <v>45062</v>
      </c>
      <c r="F588" s="7">
        <f t="shared" si="182"/>
        <v>13</v>
      </c>
      <c r="G588" s="23" t="str">
        <f t="shared" si="183"/>
        <v>5-2023</v>
      </c>
      <c r="H588" s="3" t="s">
        <v>648</v>
      </c>
      <c r="I588" s="3" t="s">
        <v>660</v>
      </c>
      <c r="J588" s="3" t="s">
        <v>700</v>
      </c>
      <c r="K588" s="3" t="s">
        <v>701</v>
      </c>
      <c r="L588" s="3" t="s">
        <v>709</v>
      </c>
      <c r="M588" s="3" t="s">
        <v>716</v>
      </c>
      <c r="N588" s="3" t="s">
        <v>730</v>
      </c>
      <c r="O588" s="3" t="s">
        <v>1318</v>
      </c>
      <c r="P588" s="19">
        <v>64.5</v>
      </c>
      <c r="Q588" s="19">
        <v>123.62</v>
      </c>
      <c r="R588" s="15">
        <v>0</v>
      </c>
      <c r="S588" s="7">
        <v>3</v>
      </c>
      <c r="T588" s="13">
        <f t="shared" si="171"/>
        <v>370.86</v>
      </c>
      <c r="U588" s="13">
        <f t="shared" si="172"/>
        <v>193.5</v>
      </c>
      <c r="V588" s="13">
        <f t="shared" si="184"/>
        <v>177.36</v>
      </c>
      <c r="W588" s="15">
        <f t="shared" si="185"/>
        <v>0.47823976702798904</v>
      </c>
      <c r="X588" s="17" t="str">
        <f t="shared" si="186"/>
        <v>Q2-2023</v>
      </c>
      <c r="Y588" t="str">
        <f t="shared" si="187"/>
        <v>Americas → USA → New York</v>
      </c>
      <c r="Z588" t="str">
        <f t="shared" si="188"/>
        <v>Low</v>
      </c>
      <c r="AA588">
        <f t="shared" si="173"/>
        <v>2023</v>
      </c>
      <c r="AB588">
        <f t="shared" si="174"/>
        <v>5</v>
      </c>
      <c r="AC588" t="str">
        <f t="shared" si="175"/>
        <v>No</v>
      </c>
      <c r="AD588" t="str">
        <f t="shared" si="176"/>
        <v>No</v>
      </c>
      <c r="AE588" s="36">
        <f>IF(Dashboard!$P$47&gt;'Staging Data'!R588,'Staging Data'!R588,Dashboard!$P$47)</f>
        <v>0</v>
      </c>
      <c r="AF588">
        <f>(100%+Dashboard!$P$48)*'Staging Data'!P588</f>
        <v>67.725000000000009</v>
      </c>
      <c r="AG588">
        <f>(100%+Dashboard!$P$49)*S588</f>
        <v>3.12</v>
      </c>
      <c r="AH588" s="13">
        <f t="shared" si="177"/>
        <v>385.69440000000003</v>
      </c>
      <c r="AI588" s="13">
        <f t="shared" si="178"/>
        <v>211.30200000000002</v>
      </c>
      <c r="AJ588" s="13">
        <f t="shared" si="179"/>
        <v>174.39240000000001</v>
      </c>
    </row>
    <row r="589" spans="1:36" x14ac:dyDescent="0.45">
      <c r="A589" s="3" t="s">
        <v>601</v>
      </c>
      <c r="B589" s="5">
        <v>45364</v>
      </c>
      <c r="C589" s="5">
        <v>45388</v>
      </c>
      <c r="D589" s="5">
        <f t="shared" si="180"/>
        <v>45364</v>
      </c>
      <c r="E589" s="5">
        <f t="shared" si="181"/>
        <v>45388</v>
      </c>
      <c r="F589" s="7">
        <f t="shared" si="182"/>
        <v>24</v>
      </c>
      <c r="G589" s="23" t="str">
        <f t="shared" si="183"/>
        <v>3-2024</v>
      </c>
      <c r="H589" s="3" t="s">
        <v>646</v>
      </c>
      <c r="I589" s="3" t="s">
        <v>651</v>
      </c>
      <c r="J589" s="3" t="s">
        <v>669</v>
      </c>
      <c r="K589" s="3" t="s">
        <v>704</v>
      </c>
      <c r="L589" s="3" t="s">
        <v>710</v>
      </c>
      <c r="M589" s="3" t="s">
        <v>716</v>
      </c>
      <c r="N589" s="3" t="s">
        <v>727</v>
      </c>
      <c r="O589" s="3" t="s">
        <v>1319</v>
      </c>
      <c r="P589" s="19">
        <v>1232.78</v>
      </c>
      <c r="Q589" s="19">
        <v>1731.75</v>
      </c>
      <c r="R589" s="15">
        <v>9.2999999999999999E-2</v>
      </c>
      <c r="S589" s="7">
        <v>16</v>
      </c>
      <c r="T589" s="13">
        <f t="shared" si="171"/>
        <v>25131.155999999999</v>
      </c>
      <c r="U589" s="13">
        <f t="shared" si="172"/>
        <v>19724.48</v>
      </c>
      <c r="V589" s="13">
        <f t="shared" si="184"/>
        <v>5406.6759999999995</v>
      </c>
      <c r="W589" s="15">
        <f t="shared" si="185"/>
        <v>0.21513837246484005</v>
      </c>
      <c r="X589" s="17" t="str">
        <f t="shared" si="186"/>
        <v>Q1-2024</v>
      </c>
      <c r="Y589" t="str">
        <f t="shared" si="187"/>
        <v>Africa → Nigeria → Abuja</v>
      </c>
      <c r="Z589" t="str">
        <f t="shared" si="188"/>
        <v>Medium</v>
      </c>
      <c r="AA589">
        <f t="shared" si="173"/>
        <v>2024</v>
      </c>
      <c r="AB589">
        <f t="shared" si="174"/>
        <v>3</v>
      </c>
      <c r="AC589" t="str">
        <f t="shared" si="175"/>
        <v>No</v>
      </c>
      <c r="AD589" t="str">
        <f t="shared" si="176"/>
        <v>No</v>
      </c>
      <c r="AE589" s="36">
        <f>IF(Dashboard!$P$47&gt;'Staging Data'!R589,'Staging Data'!R589,Dashboard!$P$47)</f>
        <v>9.2999999999999999E-2</v>
      </c>
      <c r="AF589">
        <f>(100%+Dashboard!$P$48)*'Staging Data'!P589</f>
        <v>1294.4190000000001</v>
      </c>
      <c r="AG589">
        <f>(100%+Dashboard!$P$49)*S589</f>
        <v>16.64</v>
      </c>
      <c r="AH589" s="13">
        <f t="shared" si="177"/>
        <v>26136.402239999999</v>
      </c>
      <c r="AI589" s="13">
        <f t="shared" si="178"/>
        <v>21539.132160000001</v>
      </c>
      <c r="AJ589" s="13">
        <f t="shared" si="179"/>
        <v>4597.2700799999984</v>
      </c>
    </row>
    <row r="590" spans="1:36" x14ac:dyDescent="0.45">
      <c r="A590" s="3" t="s">
        <v>602</v>
      </c>
      <c r="B590" s="5">
        <v>45459</v>
      </c>
      <c r="C590" s="5">
        <v>45464</v>
      </c>
      <c r="D590" s="5">
        <f t="shared" si="180"/>
        <v>45459</v>
      </c>
      <c r="E590" s="5">
        <f t="shared" si="181"/>
        <v>45464</v>
      </c>
      <c r="F590" s="7">
        <f t="shared" si="182"/>
        <v>5</v>
      </c>
      <c r="G590" s="23" t="str">
        <f t="shared" si="183"/>
        <v>6-2024</v>
      </c>
      <c r="H590" s="3" t="s">
        <v>647</v>
      </c>
      <c r="I590" s="3" t="s">
        <v>652</v>
      </c>
      <c r="J590" s="3" t="s">
        <v>689</v>
      </c>
      <c r="K590" s="3" t="s">
        <v>705</v>
      </c>
      <c r="L590" s="3" t="s">
        <v>710</v>
      </c>
      <c r="M590" s="3" t="s">
        <v>721</v>
      </c>
      <c r="N590" s="3" t="s">
        <v>730</v>
      </c>
      <c r="O590" s="3" t="s">
        <v>1320</v>
      </c>
      <c r="P590" s="19">
        <v>1367.13</v>
      </c>
      <c r="Q590" s="19">
        <v>3062.01</v>
      </c>
      <c r="R590" s="15">
        <v>0.10299999999999999</v>
      </c>
      <c r="S590" s="7">
        <v>25</v>
      </c>
      <c r="T590" s="13">
        <f t="shared" si="171"/>
        <v>68665.574250000005</v>
      </c>
      <c r="U590" s="13">
        <f t="shared" si="172"/>
        <v>34178.25</v>
      </c>
      <c r="V590" s="13">
        <f t="shared" si="184"/>
        <v>34487.324250000005</v>
      </c>
      <c r="W590" s="15">
        <f t="shared" si="185"/>
        <v>0.50225057645971705</v>
      </c>
      <c r="X590" s="17" t="str">
        <f t="shared" si="186"/>
        <v>Q2-2024</v>
      </c>
      <c r="Y590" t="str">
        <f t="shared" si="187"/>
        <v>Asia → Japan → Tokyo</v>
      </c>
      <c r="Z590" t="str">
        <f t="shared" si="188"/>
        <v>High</v>
      </c>
      <c r="AA590">
        <f t="shared" si="173"/>
        <v>2024</v>
      </c>
      <c r="AB590">
        <f t="shared" si="174"/>
        <v>6</v>
      </c>
      <c r="AC590" t="str">
        <f t="shared" si="175"/>
        <v>Yes</v>
      </c>
      <c r="AD590" t="str">
        <f t="shared" si="176"/>
        <v>No</v>
      </c>
      <c r="AE590" s="36">
        <f>IF(Dashboard!$P$47&gt;'Staging Data'!R590,'Staging Data'!R590,Dashboard!$P$47)</f>
        <v>0.1</v>
      </c>
      <c r="AF590">
        <f>(100%+Dashboard!$P$48)*'Staging Data'!P590</f>
        <v>1435.4865000000002</v>
      </c>
      <c r="AG590">
        <f>(100%+Dashboard!$P$49)*S590</f>
        <v>26</v>
      </c>
      <c r="AH590" s="13">
        <f t="shared" si="177"/>
        <v>71651.034000000014</v>
      </c>
      <c r="AI590" s="13">
        <f t="shared" si="178"/>
        <v>37322.649000000005</v>
      </c>
      <c r="AJ590" s="13">
        <f t="shared" si="179"/>
        <v>34328.385000000009</v>
      </c>
    </row>
    <row r="591" spans="1:36" x14ac:dyDescent="0.45">
      <c r="A591" s="3" t="s">
        <v>154</v>
      </c>
      <c r="B591" s="5">
        <v>45336</v>
      </c>
      <c r="C591" s="5">
        <v>45336</v>
      </c>
      <c r="D591" s="5">
        <f t="shared" si="180"/>
        <v>45336</v>
      </c>
      <c r="E591" s="5">
        <f t="shared" si="181"/>
        <v>45336</v>
      </c>
      <c r="F591" s="7">
        <f t="shared" si="182"/>
        <v>0</v>
      </c>
      <c r="G591" s="23" t="str">
        <f t="shared" si="183"/>
        <v>2-2024</v>
      </c>
      <c r="H591" s="3" t="s">
        <v>647</v>
      </c>
      <c r="I591" s="3" t="s">
        <v>659</v>
      </c>
      <c r="J591" s="3" t="s">
        <v>699</v>
      </c>
      <c r="K591" s="3" t="s">
        <v>701</v>
      </c>
      <c r="L591" s="3" t="s">
        <v>710</v>
      </c>
      <c r="M591" s="3" t="s">
        <v>716</v>
      </c>
      <c r="N591" s="3" t="s">
        <v>733</v>
      </c>
      <c r="O591" s="3" t="s">
        <v>873</v>
      </c>
      <c r="P591" s="19">
        <v>65.930000000000007</v>
      </c>
      <c r="Q591" s="19">
        <v>84.9</v>
      </c>
      <c r="R591" s="15">
        <v>0.25900000000000001</v>
      </c>
      <c r="S591" s="7">
        <v>23</v>
      </c>
      <c r="T591" s="13">
        <f t="shared" si="171"/>
        <v>1446.9507000000001</v>
      </c>
      <c r="U591" s="13">
        <f t="shared" si="172"/>
        <v>1516.39</v>
      </c>
      <c r="V591" s="13">
        <f t="shared" si="184"/>
        <v>-69.439300000000003</v>
      </c>
      <c r="W591" s="15">
        <f t="shared" si="185"/>
        <v>-4.7990093926489688E-2</v>
      </c>
      <c r="X591" s="17" t="str">
        <f t="shared" si="186"/>
        <v>Q1-2024</v>
      </c>
      <c r="Y591" t="str">
        <f t="shared" si="187"/>
        <v>Asia → China → Beijing</v>
      </c>
      <c r="Z591" t="str">
        <f t="shared" si="188"/>
        <v>Low</v>
      </c>
      <c r="AA591">
        <f t="shared" si="173"/>
        <v>2024</v>
      </c>
      <c r="AB591">
        <f t="shared" si="174"/>
        <v>2</v>
      </c>
      <c r="AC591" t="str">
        <f t="shared" si="175"/>
        <v>Yes</v>
      </c>
      <c r="AD591" t="str">
        <f t="shared" si="176"/>
        <v>Yes</v>
      </c>
      <c r="AE591" s="36">
        <f>IF(Dashboard!$P$47&gt;'Staging Data'!R591,'Staging Data'!R591,Dashboard!$P$47)</f>
        <v>0.1</v>
      </c>
      <c r="AF591">
        <f>(100%+Dashboard!$P$48)*'Staging Data'!P591</f>
        <v>69.226500000000016</v>
      </c>
      <c r="AG591">
        <f>(100%+Dashboard!$P$49)*S591</f>
        <v>23.92</v>
      </c>
      <c r="AH591" s="13">
        <f t="shared" si="177"/>
        <v>1827.7272000000003</v>
      </c>
      <c r="AI591" s="13">
        <f t="shared" si="178"/>
        <v>1655.8978800000004</v>
      </c>
      <c r="AJ591" s="13">
        <f t="shared" si="179"/>
        <v>171.82931999999983</v>
      </c>
    </row>
    <row r="592" spans="1:36" x14ac:dyDescent="0.45">
      <c r="A592" s="3" t="s">
        <v>634</v>
      </c>
      <c r="B592" s="5">
        <v>45177</v>
      </c>
      <c r="C592" s="5">
        <v>45183</v>
      </c>
      <c r="D592" s="5">
        <f t="shared" si="180"/>
        <v>45177</v>
      </c>
      <c r="E592" s="5">
        <f t="shared" si="181"/>
        <v>45183</v>
      </c>
      <c r="F592" s="7">
        <f t="shared" si="182"/>
        <v>6</v>
      </c>
      <c r="G592" s="23" t="str">
        <f t="shared" si="183"/>
        <v>9-2023</v>
      </c>
      <c r="H592" s="3" t="s">
        <v>646</v>
      </c>
      <c r="I592" s="3" t="s">
        <v>650</v>
      </c>
      <c r="J592" s="3" t="s">
        <v>678</v>
      </c>
      <c r="K592" s="3" t="s">
        <v>702</v>
      </c>
      <c r="L592" s="3" t="s">
        <v>711</v>
      </c>
      <c r="M592" s="3" t="s">
        <v>714</v>
      </c>
      <c r="N592" s="3" t="s">
        <v>733</v>
      </c>
      <c r="O592" s="3" t="s">
        <v>1352</v>
      </c>
      <c r="P592" s="19">
        <v>251.03</v>
      </c>
      <c r="Q592" s="19">
        <v>411.48</v>
      </c>
      <c r="R592" s="15">
        <v>0.16500000000000001</v>
      </c>
      <c r="S592" s="7">
        <v>3</v>
      </c>
      <c r="T592" s="13">
        <f t="shared" si="171"/>
        <v>1030.7574</v>
      </c>
      <c r="U592" s="13">
        <f t="shared" si="172"/>
        <v>753.09</v>
      </c>
      <c r="V592" s="13">
        <f t="shared" si="184"/>
        <v>277.66739999999993</v>
      </c>
      <c r="W592" s="15">
        <f t="shared" si="185"/>
        <v>0.26938191275658069</v>
      </c>
      <c r="X592" s="17" t="str">
        <f t="shared" si="186"/>
        <v>Q3-2023</v>
      </c>
      <c r="Y592" t="str">
        <f t="shared" si="187"/>
        <v>Africa → Kenya → Nakuru</v>
      </c>
      <c r="Z592" t="str">
        <f t="shared" si="188"/>
        <v>Low</v>
      </c>
      <c r="AA592">
        <f t="shared" si="173"/>
        <v>2023</v>
      </c>
      <c r="AB592">
        <f t="shared" si="174"/>
        <v>9</v>
      </c>
      <c r="AC592" t="str">
        <f t="shared" si="175"/>
        <v>Yes</v>
      </c>
      <c r="AD592" t="str">
        <f t="shared" si="176"/>
        <v>No</v>
      </c>
      <c r="AE592" s="36">
        <f>IF(Dashboard!$P$47&gt;'Staging Data'!R592,'Staging Data'!R592,Dashboard!$P$47)</f>
        <v>0.1</v>
      </c>
      <c r="AF592">
        <f>(100%+Dashboard!$P$48)*'Staging Data'!P592</f>
        <v>263.58150000000001</v>
      </c>
      <c r="AG592">
        <f>(100%+Dashboard!$P$49)*S592</f>
        <v>3.12</v>
      </c>
      <c r="AH592" s="13">
        <f t="shared" si="177"/>
        <v>1155.4358400000001</v>
      </c>
      <c r="AI592" s="13">
        <f t="shared" si="178"/>
        <v>822.37428</v>
      </c>
      <c r="AJ592" s="13">
        <f t="shared" si="179"/>
        <v>333.0615600000001</v>
      </c>
    </row>
    <row r="593" spans="1:36" x14ac:dyDescent="0.45">
      <c r="A593" s="3" t="s">
        <v>605</v>
      </c>
      <c r="B593" s="5">
        <v>45899</v>
      </c>
      <c r="C593" s="5">
        <v>45922</v>
      </c>
      <c r="D593" s="5">
        <f t="shared" si="180"/>
        <v>45899</v>
      </c>
      <c r="E593" s="5">
        <f t="shared" si="181"/>
        <v>45922</v>
      </c>
      <c r="F593" s="7">
        <f t="shared" si="182"/>
        <v>23</v>
      </c>
      <c r="G593" s="23" t="str">
        <f t="shared" si="183"/>
        <v>8-2025</v>
      </c>
      <c r="H593" s="3" t="s">
        <v>649</v>
      </c>
      <c r="I593" s="3" t="s">
        <v>657</v>
      </c>
      <c r="J593" s="3" t="s">
        <v>673</v>
      </c>
      <c r="K593" s="3" t="s">
        <v>701</v>
      </c>
      <c r="L593" s="3" t="s">
        <v>711</v>
      </c>
      <c r="M593" s="3" t="s">
        <v>718</v>
      </c>
      <c r="N593" s="3" t="s">
        <v>727</v>
      </c>
      <c r="O593" s="3" t="s">
        <v>1323</v>
      </c>
      <c r="P593" s="19">
        <v>663.9</v>
      </c>
      <c r="Q593" s="19">
        <v>947.77</v>
      </c>
      <c r="R593" s="15">
        <v>0.17399999999999999</v>
      </c>
      <c r="S593" s="7">
        <v>15</v>
      </c>
      <c r="T593" s="13">
        <f t="shared" si="171"/>
        <v>11742.8703</v>
      </c>
      <c r="U593" s="13">
        <f t="shared" si="172"/>
        <v>9958.5</v>
      </c>
      <c r="V593" s="13">
        <f t="shared" si="184"/>
        <v>1784.3703000000005</v>
      </c>
      <c r="W593" s="15">
        <f t="shared" si="185"/>
        <v>0.1519535049280073</v>
      </c>
      <c r="X593" s="17" t="str">
        <f t="shared" si="186"/>
        <v>Q3-2025</v>
      </c>
      <c r="Y593" t="str">
        <f t="shared" si="187"/>
        <v>Europe → France → Marseille</v>
      </c>
      <c r="Z593" t="str">
        <f t="shared" si="188"/>
        <v>Low</v>
      </c>
      <c r="AA593">
        <f t="shared" si="173"/>
        <v>2025</v>
      </c>
      <c r="AB593">
        <f t="shared" si="174"/>
        <v>8</v>
      </c>
      <c r="AC593" t="str">
        <f t="shared" si="175"/>
        <v>No</v>
      </c>
      <c r="AD593" t="str">
        <f t="shared" si="176"/>
        <v>No</v>
      </c>
      <c r="AE593" s="36">
        <f>IF(Dashboard!$P$47&gt;'Staging Data'!R593,'Staging Data'!R593,Dashboard!$P$47)</f>
        <v>0.1</v>
      </c>
      <c r="AF593">
        <f>(100%+Dashboard!$P$48)*'Staging Data'!P593</f>
        <v>697.09500000000003</v>
      </c>
      <c r="AG593">
        <f>(100%+Dashboard!$P$49)*S593</f>
        <v>15.600000000000001</v>
      </c>
      <c r="AH593" s="13">
        <f t="shared" si="177"/>
        <v>13306.690800000002</v>
      </c>
      <c r="AI593" s="13">
        <f t="shared" si="178"/>
        <v>10874.682000000001</v>
      </c>
      <c r="AJ593" s="13">
        <f t="shared" si="179"/>
        <v>2432.0088000000014</v>
      </c>
    </row>
    <row r="594" spans="1:36" x14ac:dyDescent="0.45">
      <c r="A594" s="3" t="s">
        <v>606</v>
      </c>
      <c r="B594" s="5">
        <v>44984</v>
      </c>
      <c r="C594" s="5">
        <v>44983</v>
      </c>
      <c r="D594" s="5">
        <f t="shared" si="180"/>
        <v>44983</v>
      </c>
      <c r="E594" s="5">
        <f t="shared" si="181"/>
        <v>44984</v>
      </c>
      <c r="F594" s="7">
        <f t="shared" si="182"/>
        <v>1</v>
      </c>
      <c r="G594" s="23" t="str">
        <f t="shared" si="183"/>
        <v>2-2023</v>
      </c>
      <c r="H594" s="3" t="s">
        <v>648</v>
      </c>
      <c r="I594" s="3" t="s">
        <v>660</v>
      </c>
      <c r="J594" s="3" t="s">
        <v>686</v>
      </c>
      <c r="K594" s="3" t="s">
        <v>703</v>
      </c>
      <c r="L594" s="3" t="s">
        <v>708</v>
      </c>
      <c r="M594" s="3" t="s">
        <v>716</v>
      </c>
      <c r="N594" s="3" t="s">
        <v>729</v>
      </c>
      <c r="O594" s="3" t="s">
        <v>1324</v>
      </c>
      <c r="P594" s="19">
        <v>1015.91</v>
      </c>
      <c r="Q594" s="19">
        <v>2331.48</v>
      </c>
      <c r="R594" s="15">
        <v>0.14599999999999999</v>
      </c>
      <c r="S594" s="7">
        <v>26</v>
      </c>
      <c r="T594" s="13">
        <f t="shared" si="171"/>
        <v>51768.181920000003</v>
      </c>
      <c r="U594" s="13">
        <f t="shared" si="172"/>
        <v>26413.66</v>
      </c>
      <c r="V594" s="13">
        <f t="shared" si="184"/>
        <v>25354.521920000003</v>
      </c>
      <c r="W594" s="15">
        <f t="shared" si="185"/>
        <v>0.48977037592669626</v>
      </c>
      <c r="X594" s="17" t="str">
        <f t="shared" si="186"/>
        <v>Q1-2023</v>
      </c>
      <c r="Y594" t="str">
        <f t="shared" si="187"/>
        <v>Americas → USA → San Francisco</v>
      </c>
      <c r="Z594" t="str">
        <f t="shared" si="188"/>
        <v>High</v>
      </c>
      <c r="AA594">
        <f t="shared" si="173"/>
        <v>2023</v>
      </c>
      <c r="AB594">
        <f t="shared" si="174"/>
        <v>2</v>
      </c>
      <c r="AC594" t="str">
        <f t="shared" si="175"/>
        <v>Yes</v>
      </c>
      <c r="AD594" t="str">
        <f t="shared" si="176"/>
        <v>No</v>
      </c>
      <c r="AE594" s="36">
        <f>IF(Dashboard!$P$47&gt;'Staging Data'!R594,'Staging Data'!R594,Dashboard!$P$47)</f>
        <v>0.1</v>
      </c>
      <c r="AF594">
        <f>(100%+Dashboard!$P$48)*'Staging Data'!P594</f>
        <v>1066.7055</v>
      </c>
      <c r="AG594">
        <f>(100%+Dashboard!$P$49)*S594</f>
        <v>27.04</v>
      </c>
      <c r="AH594" s="13">
        <f t="shared" si="177"/>
        <v>56738.897279999997</v>
      </c>
      <c r="AI594" s="13">
        <f t="shared" si="178"/>
        <v>28843.71672</v>
      </c>
      <c r="AJ594" s="13">
        <f t="shared" si="179"/>
        <v>27895.180559999997</v>
      </c>
    </row>
    <row r="595" spans="1:36" x14ac:dyDescent="0.45">
      <c r="A595" s="3" t="s">
        <v>607</v>
      </c>
      <c r="B595" s="5">
        <v>45504</v>
      </c>
      <c r="C595" s="5">
        <v>45519</v>
      </c>
      <c r="D595" s="5">
        <f t="shared" si="180"/>
        <v>45504</v>
      </c>
      <c r="E595" s="5">
        <f t="shared" si="181"/>
        <v>45519</v>
      </c>
      <c r="F595" s="7">
        <f t="shared" si="182"/>
        <v>15</v>
      </c>
      <c r="G595" s="23" t="str">
        <f t="shared" si="183"/>
        <v>7-2024</v>
      </c>
      <c r="H595" s="3" t="s">
        <v>647</v>
      </c>
      <c r="I595" s="3" t="s">
        <v>652</v>
      </c>
      <c r="J595" s="3" t="s">
        <v>689</v>
      </c>
      <c r="K595" s="3" t="s">
        <v>701</v>
      </c>
      <c r="L595" s="3" t="s">
        <v>709</v>
      </c>
      <c r="M595" s="3" t="s">
        <v>721</v>
      </c>
      <c r="N595" s="3" t="s">
        <v>732</v>
      </c>
      <c r="O595" s="3" t="s">
        <v>1325</v>
      </c>
      <c r="P595" s="19">
        <v>1252.52</v>
      </c>
      <c r="Q595" s="19">
        <v>1417.24</v>
      </c>
      <c r="R595" s="15">
        <v>0.192</v>
      </c>
      <c r="S595" s="7">
        <v>5</v>
      </c>
      <c r="T595" s="13">
        <f t="shared" si="171"/>
        <v>5725.6496000000006</v>
      </c>
      <c r="U595" s="13">
        <f t="shared" si="172"/>
        <v>6262.6</v>
      </c>
      <c r="V595" s="13">
        <f t="shared" si="184"/>
        <v>-536.95039999999972</v>
      </c>
      <c r="W595" s="15">
        <f t="shared" si="185"/>
        <v>-9.3779821943696953E-2</v>
      </c>
      <c r="X595" s="17" t="str">
        <f t="shared" si="186"/>
        <v>Q3-2024</v>
      </c>
      <c r="Y595" t="str">
        <f t="shared" si="187"/>
        <v>Asia → Japan → Tokyo</v>
      </c>
      <c r="Z595" t="str">
        <f t="shared" si="188"/>
        <v>Medium</v>
      </c>
      <c r="AA595">
        <f t="shared" si="173"/>
        <v>2024</v>
      </c>
      <c r="AB595">
        <f t="shared" si="174"/>
        <v>7</v>
      </c>
      <c r="AC595" t="str">
        <f t="shared" si="175"/>
        <v>No</v>
      </c>
      <c r="AD595" t="str">
        <f t="shared" si="176"/>
        <v>No</v>
      </c>
      <c r="AE595" s="36">
        <f>IF(Dashboard!$P$47&gt;'Staging Data'!R595,'Staging Data'!R595,Dashboard!$P$47)</f>
        <v>0.1</v>
      </c>
      <c r="AF595">
        <f>(100%+Dashboard!$P$48)*'Staging Data'!P595</f>
        <v>1315.146</v>
      </c>
      <c r="AG595">
        <f>(100%+Dashboard!$P$49)*S595</f>
        <v>5.2</v>
      </c>
      <c r="AH595" s="13">
        <f t="shared" si="177"/>
        <v>6632.6832000000004</v>
      </c>
      <c r="AI595" s="13">
        <f t="shared" si="178"/>
        <v>6838.7592000000004</v>
      </c>
      <c r="AJ595" s="13">
        <f t="shared" si="179"/>
        <v>-206.07600000000002</v>
      </c>
    </row>
    <row r="596" spans="1:36" x14ac:dyDescent="0.45">
      <c r="A596" s="3" t="s">
        <v>531</v>
      </c>
      <c r="B596" s="5">
        <v>45794</v>
      </c>
      <c r="C596" s="5">
        <v>45807</v>
      </c>
      <c r="D596" s="5">
        <f t="shared" si="180"/>
        <v>45794</v>
      </c>
      <c r="E596" s="5">
        <f t="shared" si="181"/>
        <v>45807</v>
      </c>
      <c r="F596" s="7">
        <f t="shared" si="182"/>
        <v>13</v>
      </c>
      <c r="G596" s="23" t="str">
        <f t="shared" si="183"/>
        <v>5-2025</v>
      </c>
      <c r="H596" s="3" t="s">
        <v>646</v>
      </c>
      <c r="I596" s="3" t="s">
        <v>651</v>
      </c>
      <c r="J596" s="3" t="s">
        <v>665</v>
      </c>
      <c r="K596" s="3" t="s">
        <v>704</v>
      </c>
      <c r="L596" s="3" t="s">
        <v>710</v>
      </c>
      <c r="M596" s="3" t="s">
        <v>721</v>
      </c>
      <c r="N596" s="3" t="s">
        <v>733</v>
      </c>
      <c r="O596" s="3" t="s">
        <v>1250</v>
      </c>
      <c r="P596" s="19">
        <v>66.400000000000006</v>
      </c>
      <c r="Q596" s="19">
        <v>141.43</v>
      </c>
      <c r="R596" s="15">
        <v>0.107</v>
      </c>
      <c r="S596" s="7">
        <v>8</v>
      </c>
      <c r="T596" s="13">
        <f t="shared" si="171"/>
        <v>1010.3759200000001</v>
      </c>
      <c r="U596" s="13">
        <f t="shared" si="172"/>
        <v>531.20000000000005</v>
      </c>
      <c r="V596" s="13">
        <f t="shared" si="184"/>
        <v>479.17592000000002</v>
      </c>
      <c r="W596" s="15">
        <f t="shared" si="185"/>
        <v>0.47425508715607551</v>
      </c>
      <c r="X596" s="17" t="str">
        <f t="shared" si="186"/>
        <v>Q2-2025</v>
      </c>
      <c r="Y596" t="str">
        <f t="shared" si="187"/>
        <v>Africa → Nigeria → Lagos</v>
      </c>
      <c r="Z596" t="str">
        <f t="shared" si="188"/>
        <v>Low</v>
      </c>
      <c r="AA596">
        <f t="shared" si="173"/>
        <v>2025</v>
      </c>
      <c r="AB596">
        <f t="shared" si="174"/>
        <v>5</v>
      </c>
      <c r="AC596" t="str">
        <f t="shared" si="175"/>
        <v>No</v>
      </c>
      <c r="AD596" t="str">
        <f t="shared" si="176"/>
        <v>No</v>
      </c>
      <c r="AE596" s="36">
        <f>IF(Dashboard!$P$47&gt;'Staging Data'!R596,'Staging Data'!R596,Dashboard!$P$47)</f>
        <v>0.1</v>
      </c>
      <c r="AF596">
        <f>(100%+Dashboard!$P$48)*'Staging Data'!P596</f>
        <v>69.720000000000013</v>
      </c>
      <c r="AG596">
        <f>(100%+Dashboard!$P$49)*S596</f>
        <v>8.32</v>
      </c>
      <c r="AH596" s="13">
        <f t="shared" si="177"/>
        <v>1059.0278400000002</v>
      </c>
      <c r="AI596" s="13">
        <f t="shared" si="178"/>
        <v>580.07040000000018</v>
      </c>
      <c r="AJ596" s="13">
        <f t="shared" si="179"/>
        <v>478.95744000000002</v>
      </c>
    </row>
    <row r="597" spans="1:36" x14ac:dyDescent="0.45">
      <c r="A597" s="3" t="s">
        <v>609</v>
      </c>
      <c r="B597" s="5">
        <v>45473</v>
      </c>
      <c r="C597" s="5">
        <v>45494</v>
      </c>
      <c r="D597" s="5">
        <f t="shared" si="180"/>
        <v>45473</v>
      </c>
      <c r="E597" s="5">
        <f t="shared" si="181"/>
        <v>45494</v>
      </c>
      <c r="F597" s="7">
        <f t="shared" si="182"/>
        <v>21</v>
      </c>
      <c r="G597" s="23" t="str">
        <f t="shared" si="183"/>
        <v>6-2024</v>
      </c>
      <c r="H597" s="3" t="s">
        <v>646</v>
      </c>
      <c r="I597" s="3" t="s">
        <v>650</v>
      </c>
      <c r="J597" s="3" t="s">
        <v>662</v>
      </c>
      <c r="K597" s="3" t="s">
        <v>705</v>
      </c>
      <c r="L597" s="3" t="s">
        <v>707</v>
      </c>
      <c r="M597" s="3" t="s">
        <v>723</v>
      </c>
      <c r="N597" s="3" t="s">
        <v>731</v>
      </c>
      <c r="O597" s="3" t="s">
        <v>1327</v>
      </c>
      <c r="P597" s="19">
        <v>753.43</v>
      </c>
      <c r="Q597" s="19">
        <v>1787.2</v>
      </c>
      <c r="R597" s="15">
        <v>7.2999999999999995E-2</v>
      </c>
      <c r="S597" s="7">
        <v>9</v>
      </c>
      <c r="T597" s="13">
        <f t="shared" si="171"/>
        <v>14910.609600000002</v>
      </c>
      <c r="U597" s="13">
        <f t="shared" si="172"/>
        <v>6780.87</v>
      </c>
      <c r="V597" s="13">
        <f t="shared" si="184"/>
        <v>8129.7396000000017</v>
      </c>
      <c r="W597" s="15">
        <f t="shared" si="185"/>
        <v>0.54523187301476939</v>
      </c>
      <c r="X597" s="17" t="str">
        <f t="shared" si="186"/>
        <v>Q2-2024</v>
      </c>
      <c r="Y597" t="str">
        <f t="shared" si="187"/>
        <v>Africa → Kenya → Kisumu</v>
      </c>
      <c r="Z597" t="str">
        <f t="shared" si="188"/>
        <v>Medium</v>
      </c>
      <c r="AA597">
        <f t="shared" si="173"/>
        <v>2024</v>
      </c>
      <c r="AB597">
        <f t="shared" si="174"/>
        <v>6</v>
      </c>
      <c r="AC597" t="str">
        <f t="shared" si="175"/>
        <v>No</v>
      </c>
      <c r="AD597" t="str">
        <f t="shared" si="176"/>
        <v>No</v>
      </c>
      <c r="AE597" s="36">
        <f>IF(Dashboard!$P$47&gt;'Staging Data'!R597,'Staging Data'!R597,Dashboard!$P$47)</f>
        <v>7.2999999999999995E-2</v>
      </c>
      <c r="AF597">
        <f>(100%+Dashboard!$P$48)*'Staging Data'!P597</f>
        <v>791.10149999999999</v>
      </c>
      <c r="AG597">
        <f>(100%+Dashboard!$P$49)*S597</f>
        <v>9.36</v>
      </c>
      <c r="AH597" s="13">
        <f t="shared" si="177"/>
        <v>15507.033984</v>
      </c>
      <c r="AI597" s="13">
        <f t="shared" si="178"/>
        <v>7404.710039999999</v>
      </c>
      <c r="AJ597" s="13">
        <f t="shared" si="179"/>
        <v>8102.3239440000007</v>
      </c>
    </row>
    <row r="598" spans="1:36" x14ac:dyDescent="0.45">
      <c r="A598" s="3" t="s">
        <v>610</v>
      </c>
      <c r="B598" s="5">
        <v>45705</v>
      </c>
      <c r="C598" s="5">
        <v>45703</v>
      </c>
      <c r="D598" s="5">
        <f t="shared" si="180"/>
        <v>45703</v>
      </c>
      <c r="E598" s="5">
        <f t="shared" si="181"/>
        <v>45705</v>
      </c>
      <c r="F598" s="7">
        <f t="shared" si="182"/>
        <v>2</v>
      </c>
      <c r="G598" s="23" t="str">
        <f t="shared" si="183"/>
        <v>2-2025</v>
      </c>
      <c r="H598" s="3" t="s">
        <v>648</v>
      </c>
      <c r="I598" s="3" t="s">
        <v>653</v>
      </c>
      <c r="J598" s="3" t="s">
        <v>667</v>
      </c>
      <c r="K598" s="3" t="s">
        <v>705</v>
      </c>
      <c r="L598" s="3" t="s">
        <v>707</v>
      </c>
      <c r="M598" s="3" t="s">
        <v>726</v>
      </c>
      <c r="N598" s="3" t="s">
        <v>727</v>
      </c>
      <c r="O598" s="3" t="s">
        <v>1328</v>
      </c>
      <c r="P598" s="19">
        <v>1133.47</v>
      </c>
      <c r="Q598" s="19">
        <v>1698.75</v>
      </c>
      <c r="R598" s="15">
        <v>4.2999999999999997E-2</v>
      </c>
      <c r="S598" s="7">
        <v>5</v>
      </c>
      <c r="T598" s="13">
        <f t="shared" si="171"/>
        <v>8128.5187499999993</v>
      </c>
      <c r="U598" s="13">
        <f t="shared" si="172"/>
        <v>5667.35</v>
      </c>
      <c r="V598" s="13">
        <f t="shared" si="184"/>
        <v>2461.1687499999989</v>
      </c>
      <c r="W598" s="15">
        <f t="shared" si="185"/>
        <v>0.30278194904821976</v>
      </c>
      <c r="X598" s="17" t="str">
        <f t="shared" si="186"/>
        <v>Q1-2025</v>
      </c>
      <c r="Y598" t="str">
        <f t="shared" si="187"/>
        <v>Americas → Canada → Toronto</v>
      </c>
      <c r="Z598" t="str">
        <f t="shared" si="188"/>
        <v>Medium</v>
      </c>
      <c r="AA598">
        <f t="shared" si="173"/>
        <v>2025</v>
      </c>
      <c r="AB598">
        <f t="shared" si="174"/>
        <v>2</v>
      </c>
      <c r="AC598" t="str">
        <f t="shared" si="175"/>
        <v>Yes</v>
      </c>
      <c r="AD598" t="str">
        <f t="shared" si="176"/>
        <v>No</v>
      </c>
      <c r="AE598" s="36">
        <f>IF(Dashboard!$P$47&gt;'Staging Data'!R598,'Staging Data'!R598,Dashboard!$P$47)</f>
        <v>4.2999999999999997E-2</v>
      </c>
      <c r="AF598">
        <f>(100%+Dashboard!$P$48)*'Staging Data'!P598</f>
        <v>1190.1435000000001</v>
      </c>
      <c r="AG598">
        <f>(100%+Dashboard!$P$49)*S598</f>
        <v>5.2</v>
      </c>
      <c r="AH598" s="13">
        <f t="shared" si="177"/>
        <v>8453.6594999999998</v>
      </c>
      <c r="AI598" s="13">
        <f t="shared" si="178"/>
        <v>6188.7462000000005</v>
      </c>
      <c r="AJ598" s="13">
        <f t="shared" si="179"/>
        <v>2264.9132999999993</v>
      </c>
    </row>
    <row r="599" spans="1:36" x14ac:dyDescent="0.45">
      <c r="A599" s="3" t="s">
        <v>611</v>
      </c>
      <c r="B599" s="5">
        <v>44933</v>
      </c>
      <c r="C599" s="5">
        <v>44956</v>
      </c>
      <c r="D599" s="5">
        <f t="shared" si="180"/>
        <v>44933</v>
      </c>
      <c r="E599" s="5">
        <f t="shared" si="181"/>
        <v>44956</v>
      </c>
      <c r="F599" s="7">
        <f t="shared" si="182"/>
        <v>23</v>
      </c>
      <c r="G599" s="23" t="str">
        <f t="shared" si="183"/>
        <v>1-2023</v>
      </c>
      <c r="H599" s="3" t="s">
        <v>646</v>
      </c>
      <c r="I599" s="3" t="s">
        <v>661</v>
      </c>
      <c r="J599" s="3" t="s">
        <v>695</v>
      </c>
      <c r="K599" s="3" t="s">
        <v>704</v>
      </c>
      <c r="L599" s="3" t="s">
        <v>708</v>
      </c>
      <c r="M599" s="3" t="s">
        <v>720</v>
      </c>
      <c r="N599" s="3" t="s">
        <v>728</v>
      </c>
      <c r="O599" s="3" t="s">
        <v>1329</v>
      </c>
      <c r="P599" s="19">
        <v>299.02</v>
      </c>
      <c r="Q599" s="19">
        <v>724.7</v>
      </c>
      <c r="R599" s="15">
        <v>0.14000000000000001</v>
      </c>
      <c r="S599" s="7">
        <v>5</v>
      </c>
      <c r="T599" s="13">
        <f t="shared" si="171"/>
        <v>3116.21</v>
      </c>
      <c r="U599" s="13">
        <f t="shared" si="172"/>
        <v>1495.1</v>
      </c>
      <c r="V599" s="13">
        <f t="shared" si="184"/>
        <v>1621.1100000000001</v>
      </c>
      <c r="W599" s="15">
        <f t="shared" si="185"/>
        <v>0.52021847051386139</v>
      </c>
      <c r="X599" s="17" t="str">
        <f t="shared" si="186"/>
        <v>Q1-2023</v>
      </c>
      <c r="Y599" t="str">
        <f t="shared" si="187"/>
        <v>Africa → South Africa → Cape Town</v>
      </c>
      <c r="Z599" t="str">
        <f t="shared" si="188"/>
        <v>Low</v>
      </c>
      <c r="AA599">
        <f t="shared" si="173"/>
        <v>2023</v>
      </c>
      <c r="AB599">
        <f t="shared" si="174"/>
        <v>1</v>
      </c>
      <c r="AC599" t="str">
        <f t="shared" si="175"/>
        <v>No</v>
      </c>
      <c r="AD599" t="str">
        <f t="shared" si="176"/>
        <v>No</v>
      </c>
      <c r="AE599" s="36">
        <f>IF(Dashboard!$P$47&gt;'Staging Data'!R599,'Staging Data'!R599,Dashboard!$P$47)</f>
        <v>0.1</v>
      </c>
      <c r="AF599">
        <f>(100%+Dashboard!$P$48)*'Staging Data'!P599</f>
        <v>313.971</v>
      </c>
      <c r="AG599">
        <f>(100%+Dashboard!$P$49)*S599</f>
        <v>5.2</v>
      </c>
      <c r="AH599" s="13">
        <f t="shared" si="177"/>
        <v>3391.5960000000005</v>
      </c>
      <c r="AI599" s="13">
        <f t="shared" si="178"/>
        <v>1632.6492000000001</v>
      </c>
      <c r="AJ599" s="13">
        <f t="shared" si="179"/>
        <v>1758.9468000000004</v>
      </c>
    </row>
    <row r="600" spans="1:36" x14ac:dyDescent="0.45">
      <c r="A600" s="3" t="s">
        <v>612</v>
      </c>
      <c r="B600" s="5">
        <v>45726</v>
      </c>
      <c r="C600" s="5">
        <v>45751</v>
      </c>
      <c r="D600" s="5">
        <f t="shared" si="180"/>
        <v>45726</v>
      </c>
      <c r="E600" s="5">
        <f t="shared" si="181"/>
        <v>45751</v>
      </c>
      <c r="F600" s="7">
        <f t="shared" si="182"/>
        <v>25</v>
      </c>
      <c r="G600" s="23" t="str">
        <f t="shared" si="183"/>
        <v>3-2025</v>
      </c>
      <c r="H600" s="3" t="s">
        <v>647</v>
      </c>
      <c r="I600" s="3" t="s">
        <v>652</v>
      </c>
      <c r="J600" s="3" t="s">
        <v>666</v>
      </c>
      <c r="K600" s="3" t="s">
        <v>701</v>
      </c>
      <c r="L600" s="3" t="s">
        <v>711</v>
      </c>
      <c r="M600" s="3" t="s">
        <v>722</v>
      </c>
      <c r="N600" s="3" t="s">
        <v>728</v>
      </c>
      <c r="O600" s="3" t="s">
        <v>1330</v>
      </c>
      <c r="P600" s="19">
        <v>783.72</v>
      </c>
      <c r="Q600" s="19">
        <v>1355.94</v>
      </c>
      <c r="R600" s="15">
        <v>0.187</v>
      </c>
      <c r="S600" s="7">
        <v>4</v>
      </c>
      <c r="T600" s="13">
        <f t="shared" si="171"/>
        <v>4409.5168800000001</v>
      </c>
      <c r="U600" s="13">
        <f t="shared" si="172"/>
        <v>3134.88</v>
      </c>
      <c r="V600" s="13">
        <f t="shared" si="184"/>
        <v>1274.63688</v>
      </c>
      <c r="W600" s="15">
        <f t="shared" si="185"/>
        <v>0.28906497348525856</v>
      </c>
      <c r="X600" s="17" t="str">
        <f t="shared" si="186"/>
        <v>Q1-2025</v>
      </c>
      <c r="Y600" t="str">
        <f t="shared" si="187"/>
        <v>Asia → Japan → Osaka</v>
      </c>
      <c r="Z600" t="str">
        <f t="shared" si="188"/>
        <v>Medium</v>
      </c>
      <c r="AA600">
        <f t="shared" si="173"/>
        <v>2025</v>
      </c>
      <c r="AB600">
        <f t="shared" si="174"/>
        <v>3</v>
      </c>
      <c r="AC600" t="str">
        <f t="shared" si="175"/>
        <v>No</v>
      </c>
      <c r="AD600" t="str">
        <f t="shared" si="176"/>
        <v>No</v>
      </c>
      <c r="AE600" s="36">
        <f>IF(Dashboard!$P$47&gt;'Staging Data'!R600,'Staging Data'!R600,Dashboard!$P$47)</f>
        <v>0.1</v>
      </c>
      <c r="AF600">
        <f>(100%+Dashboard!$P$48)*'Staging Data'!P600</f>
        <v>822.90600000000006</v>
      </c>
      <c r="AG600">
        <f>(100%+Dashboard!$P$49)*S600</f>
        <v>4.16</v>
      </c>
      <c r="AH600" s="13">
        <f t="shared" si="177"/>
        <v>5076.639360000001</v>
      </c>
      <c r="AI600" s="13">
        <f t="shared" si="178"/>
        <v>3423.2889600000003</v>
      </c>
      <c r="AJ600" s="13">
        <f t="shared" si="179"/>
        <v>1653.3504000000007</v>
      </c>
    </row>
    <row r="601" spans="1:36" x14ac:dyDescent="0.45">
      <c r="A601" s="3" t="s">
        <v>475</v>
      </c>
      <c r="B601" s="5">
        <v>45063</v>
      </c>
      <c r="C601" s="5">
        <v>45092</v>
      </c>
      <c r="D601" s="5">
        <f t="shared" si="180"/>
        <v>45063</v>
      </c>
      <c r="E601" s="5">
        <f t="shared" si="181"/>
        <v>45092</v>
      </c>
      <c r="F601" s="7">
        <f t="shared" si="182"/>
        <v>29</v>
      </c>
      <c r="G601" s="23" t="str">
        <f t="shared" si="183"/>
        <v>5-2023</v>
      </c>
      <c r="H601" s="3" t="s">
        <v>646</v>
      </c>
      <c r="I601" s="3" t="s">
        <v>661</v>
      </c>
      <c r="J601" s="3" t="s">
        <v>687</v>
      </c>
      <c r="K601" s="3" t="s">
        <v>706</v>
      </c>
      <c r="L601" s="3" t="s">
        <v>707</v>
      </c>
      <c r="M601" s="3" t="s">
        <v>723</v>
      </c>
      <c r="N601" s="3" t="s">
        <v>733</v>
      </c>
      <c r="O601" s="3" t="s">
        <v>1194</v>
      </c>
      <c r="P601" s="19">
        <v>40.89</v>
      </c>
      <c r="Q601" s="19">
        <v>62.82</v>
      </c>
      <c r="R601" s="15">
        <v>0.129</v>
      </c>
      <c r="S601" s="7">
        <v>17</v>
      </c>
      <c r="T601" s="13">
        <f t="shared" si="171"/>
        <v>930.17574000000002</v>
      </c>
      <c r="U601" s="13">
        <f t="shared" si="172"/>
        <v>695.13</v>
      </c>
      <c r="V601" s="13">
        <f t="shared" si="184"/>
        <v>235.04574000000002</v>
      </c>
      <c r="W601" s="15">
        <f t="shared" si="185"/>
        <v>0.25268960465470752</v>
      </c>
      <c r="X601" s="17" t="str">
        <f t="shared" si="186"/>
        <v>Q2-2023</v>
      </c>
      <c r="Y601" t="str">
        <f t="shared" si="187"/>
        <v>Africa → South Africa → Durban</v>
      </c>
      <c r="Z601" t="str">
        <f t="shared" si="188"/>
        <v>Low</v>
      </c>
      <c r="AA601">
        <f t="shared" si="173"/>
        <v>2023</v>
      </c>
      <c r="AB601">
        <f t="shared" si="174"/>
        <v>5</v>
      </c>
      <c r="AC601" t="str">
        <f t="shared" si="175"/>
        <v>No</v>
      </c>
      <c r="AD601" t="str">
        <f t="shared" si="176"/>
        <v>No</v>
      </c>
      <c r="AE601" s="36">
        <f>IF(Dashboard!$P$47&gt;'Staging Data'!R601,'Staging Data'!R601,Dashboard!$P$47)</f>
        <v>0.1</v>
      </c>
      <c r="AF601">
        <f>(100%+Dashboard!$P$48)*'Staging Data'!P601</f>
        <v>42.9345</v>
      </c>
      <c r="AG601">
        <f>(100%+Dashboard!$P$49)*S601</f>
        <v>17.68</v>
      </c>
      <c r="AH601" s="13">
        <f t="shared" si="177"/>
        <v>999.59184000000005</v>
      </c>
      <c r="AI601" s="13">
        <f t="shared" si="178"/>
        <v>759.08195999999998</v>
      </c>
      <c r="AJ601" s="13">
        <f t="shared" si="179"/>
        <v>240.50988000000007</v>
      </c>
    </row>
    <row r="602" spans="1:36" x14ac:dyDescent="0.45">
      <c r="A602" s="3" t="s">
        <v>614</v>
      </c>
      <c r="B602" s="5">
        <v>45360</v>
      </c>
      <c r="C602" s="5">
        <v>45373</v>
      </c>
      <c r="D602" s="5">
        <f t="shared" si="180"/>
        <v>45360</v>
      </c>
      <c r="E602" s="5">
        <f t="shared" si="181"/>
        <v>45373</v>
      </c>
      <c r="F602" s="7">
        <f t="shared" si="182"/>
        <v>13</v>
      </c>
      <c r="G602" s="23" t="str">
        <f t="shared" si="183"/>
        <v>3-2024</v>
      </c>
      <c r="H602" s="3" t="s">
        <v>649</v>
      </c>
      <c r="I602" s="3" t="s">
        <v>658</v>
      </c>
      <c r="J602" s="3" t="s">
        <v>693</v>
      </c>
      <c r="K602" s="3" t="s">
        <v>704</v>
      </c>
      <c r="L602" s="3" t="s">
        <v>708</v>
      </c>
      <c r="M602" s="3" t="s">
        <v>718</v>
      </c>
      <c r="N602" s="3" t="s">
        <v>731</v>
      </c>
      <c r="O602" s="3" t="s">
        <v>1332</v>
      </c>
      <c r="P602" s="19">
        <v>985.45</v>
      </c>
      <c r="Q602" s="19">
        <v>1802.44</v>
      </c>
      <c r="R602" s="15">
        <v>8.9999999999999993E-3</v>
      </c>
      <c r="S602" s="7">
        <v>19</v>
      </c>
      <c r="T602" s="13">
        <f t="shared" si="171"/>
        <v>33938.142760000002</v>
      </c>
      <c r="U602" s="13">
        <f t="shared" si="172"/>
        <v>18723.55</v>
      </c>
      <c r="V602" s="13">
        <f t="shared" si="184"/>
        <v>15214.592760000003</v>
      </c>
      <c r="W602" s="15">
        <f t="shared" si="185"/>
        <v>0.44830363486867486</v>
      </c>
      <c r="X602" s="17" t="str">
        <f t="shared" si="186"/>
        <v>Q1-2024</v>
      </c>
      <c r="Y602" t="str">
        <f t="shared" si="187"/>
        <v>Europe → United Kingdom → Manchester</v>
      </c>
      <c r="Z602" t="str">
        <f t="shared" si="188"/>
        <v>Medium</v>
      </c>
      <c r="AA602">
        <f t="shared" si="173"/>
        <v>2024</v>
      </c>
      <c r="AB602">
        <f t="shared" si="174"/>
        <v>3</v>
      </c>
      <c r="AC602" t="str">
        <f t="shared" si="175"/>
        <v>No</v>
      </c>
      <c r="AD602" t="str">
        <f t="shared" si="176"/>
        <v>No</v>
      </c>
      <c r="AE602" s="36">
        <f>IF(Dashboard!$P$47&gt;'Staging Data'!R602,'Staging Data'!R602,Dashboard!$P$47)</f>
        <v>8.9999999999999993E-3</v>
      </c>
      <c r="AF602">
        <f>(100%+Dashboard!$P$48)*'Staging Data'!P602</f>
        <v>1034.7225000000001</v>
      </c>
      <c r="AG602">
        <f>(100%+Dashboard!$P$49)*S602</f>
        <v>19.760000000000002</v>
      </c>
      <c r="AH602" s="13">
        <f t="shared" si="177"/>
        <v>35295.668470400007</v>
      </c>
      <c r="AI602" s="13">
        <f t="shared" si="178"/>
        <v>20446.116600000005</v>
      </c>
      <c r="AJ602" s="13">
        <f t="shared" si="179"/>
        <v>14849.551870400002</v>
      </c>
    </row>
    <row r="603" spans="1:36" x14ac:dyDescent="0.45">
      <c r="A603" s="3" t="s">
        <v>615</v>
      </c>
      <c r="B603" s="5">
        <v>45523</v>
      </c>
      <c r="C603" s="5">
        <v>45537</v>
      </c>
      <c r="D603" s="5">
        <f t="shared" si="180"/>
        <v>45523</v>
      </c>
      <c r="E603" s="5">
        <f t="shared" si="181"/>
        <v>45537</v>
      </c>
      <c r="F603" s="7">
        <f t="shared" si="182"/>
        <v>14</v>
      </c>
      <c r="G603" s="23" t="str">
        <f t="shared" si="183"/>
        <v>8-2024</v>
      </c>
      <c r="H603" s="3" t="s">
        <v>648</v>
      </c>
      <c r="I603" s="3" t="s">
        <v>653</v>
      </c>
      <c r="J603" s="3" t="s">
        <v>667</v>
      </c>
      <c r="K603" s="3" t="s">
        <v>704</v>
      </c>
      <c r="L603" s="3" t="s">
        <v>710</v>
      </c>
      <c r="M603" s="3" t="s">
        <v>712</v>
      </c>
      <c r="N603" s="3" t="s">
        <v>728</v>
      </c>
      <c r="O603" s="3" t="s">
        <v>1333</v>
      </c>
      <c r="P603" s="19">
        <v>1337.01</v>
      </c>
      <c r="Q603" s="19">
        <v>1269.78</v>
      </c>
      <c r="R603" s="15">
        <v>0.16</v>
      </c>
      <c r="S603" s="7">
        <v>7</v>
      </c>
      <c r="T603" s="13">
        <f t="shared" si="171"/>
        <v>7466.3063999999986</v>
      </c>
      <c r="U603" s="13">
        <f t="shared" si="172"/>
        <v>9359.07</v>
      </c>
      <c r="V603" s="13">
        <f t="shared" si="184"/>
        <v>-1892.7636000000011</v>
      </c>
      <c r="W603" s="15">
        <f t="shared" si="185"/>
        <v>-0.25350735672996244</v>
      </c>
      <c r="X603" s="17" t="str">
        <f t="shared" si="186"/>
        <v>Q3-2024</v>
      </c>
      <c r="Y603" t="str">
        <f t="shared" si="187"/>
        <v>Americas → Canada → Toronto</v>
      </c>
      <c r="Z603" t="str">
        <f t="shared" si="188"/>
        <v>Medium</v>
      </c>
      <c r="AA603">
        <f t="shared" si="173"/>
        <v>2024</v>
      </c>
      <c r="AB603">
        <f t="shared" si="174"/>
        <v>8</v>
      </c>
      <c r="AC603" t="str">
        <f t="shared" si="175"/>
        <v>No</v>
      </c>
      <c r="AD603" t="str">
        <f t="shared" si="176"/>
        <v>No</v>
      </c>
      <c r="AE603" s="36">
        <f>IF(Dashboard!$P$47&gt;'Staging Data'!R603,'Staging Data'!R603,Dashboard!$P$47)</f>
        <v>0.1</v>
      </c>
      <c r="AF603">
        <f>(100%+Dashboard!$P$48)*'Staging Data'!P603</f>
        <v>1403.8605</v>
      </c>
      <c r="AG603">
        <f>(100%+Dashboard!$P$49)*S603</f>
        <v>7.28</v>
      </c>
      <c r="AH603" s="13">
        <f t="shared" si="177"/>
        <v>8319.5985600000004</v>
      </c>
      <c r="AI603" s="13">
        <f t="shared" si="178"/>
        <v>10220.104440000001</v>
      </c>
      <c r="AJ603" s="13">
        <f t="shared" si="179"/>
        <v>-1900.5058800000006</v>
      </c>
    </row>
    <row r="604" spans="1:36" x14ac:dyDescent="0.45">
      <c r="A604" s="3" t="s">
        <v>616</v>
      </c>
      <c r="B604" s="5">
        <v>45880</v>
      </c>
      <c r="C604" s="5">
        <v>45897</v>
      </c>
      <c r="D604" s="5">
        <f t="shared" si="180"/>
        <v>45880</v>
      </c>
      <c r="E604" s="5">
        <f t="shared" si="181"/>
        <v>45897</v>
      </c>
      <c r="F604" s="7">
        <f t="shared" si="182"/>
        <v>17</v>
      </c>
      <c r="G604" s="23" t="str">
        <f t="shared" si="183"/>
        <v>8-2025</v>
      </c>
      <c r="H604" s="3" t="s">
        <v>649</v>
      </c>
      <c r="I604" s="3" t="s">
        <v>657</v>
      </c>
      <c r="J604" s="3" t="s">
        <v>690</v>
      </c>
      <c r="K604" s="3" t="s">
        <v>702</v>
      </c>
      <c r="L604" s="3" t="s">
        <v>708</v>
      </c>
      <c r="M604" s="3" t="s">
        <v>721</v>
      </c>
      <c r="N604" s="3" t="s">
        <v>729</v>
      </c>
      <c r="O604" s="3" t="s">
        <v>1334</v>
      </c>
      <c r="P604" s="19">
        <v>416.16</v>
      </c>
      <c r="Q604" s="19">
        <v>571.9</v>
      </c>
      <c r="R604" s="15">
        <v>7.0999999999999994E-2</v>
      </c>
      <c r="S604" s="7">
        <v>2</v>
      </c>
      <c r="T604" s="13">
        <f t="shared" si="171"/>
        <v>1062.5902000000001</v>
      </c>
      <c r="U604" s="13">
        <f t="shared" si="172"/>
        <v>832.32</v>
      </c>
      <c r="V604" s="13">
        <f t="shared" si="184"/>
        <v>230.27020000000005</v>
      </c>
      <c r="W604" s="15">
        <f t="shared" si="185"/>
        <v>0.21670649701079497</v>
      </c>
      <c r="X604" s="17" t="str">
        <f t="shared" si="186"/>
        <v>Q3-2025</v>
      </c>
      <c r="Y604" t="str">
        <f t="shared" si="187"/>
        <v>Europe → France → Paris</v>
      </c>
      <c r="Z604" t="str">
        <f t="shared" si="188"/>
        <v>Low</v>
      </c>
      <c r="AA604">
        <f t="shared" si="173"/>
        <v>2025</v>
      </c>
      <c r="AB604">
        <f t="shared" si="174"/>
        <v>8</v>
      </c>
      <c r="AC604" t="str">
        <f t="shared" si="175"/>
        <v>No</v>
      </c>
      <c r="AD604" t="str">
        <f t="shared" si="176"/>
        <v>No</v>
      </c>
      <c r="AE604" s="36">
        <f>IF(Dashboard!$P$47&gt;'Staging Data'!R604,'Staging Data'!R604,Dashboard!$P$47)</f>
        <v>7.0999999999999994E-2</v>
      </c>
      <c r="AF604">
        <f>(100%+Dashboard!$P$48)*'Staging Data'!P604</f>
        <v>436.96800000000002</v>
      </c>
      <c r="AG604">
        <f>(100%+Dashboard!$P$49)*S604</f>
        <v>2.08</v>
      </c>
      <c r="AH604" s="13">
        <f t="shared" si="177"/>
        <v>1105.0938080000001</v>
      </c>
      <c r="AI604" s="13">
        <f t="shared" si="178"/>
        <v>908.89344000000006</v>
      </c>
      <c r="AJ604" s="13">
        <f t="shared" si="179"/>
        <v>196.20036800000003</v>
      </c>
    </row>
    <row r="605" spans="1:36" x14ac:dyDescent="0.45">
      <c r="A605" s="3" t="s">
        <v>617</v>
      </c>
      <c r="B605" s="5">
        <v>45793</v>
      </c>
      <c r="C605" s="5">
        <v>45795</v>
      </c>
      <c r="D605" s="5">
        <f t="shared" si="180"/>
        <v>45793</v>
      </c>
      <c r="E605" s="5">
        <f t="shared" si="181"/>
        <v>45795</v>
      </c>
      <c r="F605" s="7">
        <f t="shared" si="182"/>
        <v>2</v>
      </c>
      <c r="G605" s="23" t="str">
        <f t="shared" si="183"/>
        <v>5-2025</v>
      </c>
      <c r="H605" s="3" t="s">
        <v>647</v>
      </c>
      <c r="I605" s="3" t="s">
        <v>652</v>
      </c>
      <c r="J605" s="3" t="s">
        <v>689</v>
      </c>
      <c r="K605" s="3" t="s">
        <v>706</v>
      </c>
      <c r="L605" s="3" t="s">
        <v>707</v>
      </c>
      <c r="M605" s="3" t="s">
        <v>713</v>
      </c>
      <c r="N605" s="3" t="s">
        <v>728</v>
      </c>
      <c r="O605" s="3" t="s">
        <v>1335</v>
      </c>
      <c r="P605" s="19">
        <v>1144.3800000000001</v>
      </c>
      <c r="Q605" s="19">
        <v>2755.04</v>
      </c>
      <c r="R605" s="15">
        <v>0.15</v>
      </c>
      <c r="S605" s="7">
        <v>17</v>
      </c>
      <c r="T605" s="13">
        <f t="shared" si="171"/>
        <v>39810.328000000001</v>
      </c>
      <c r="U605" s="13">
        <f t="shared" si="172"/>
        <v>19454.460000000003</v>
      </c>
      <c r="V605" s="13">
        <f t="shared" si="184"/>
        <v>20355.867999999999</v>
      </c>
      <c r="W605" s="15">
        <f t="shared" si="185"/>
        <v>0.51132128326096682</v>
      </c>
      <c r="X605" s="17" t="str">
        <f t="shared" si="186"/>
        <v>Q2-2025</v>
      </c>
      <c r="Y605" t="str">
        <f t="shared" si="187"/>
        <v>Asia → Japan → Tokyo</v>
      </c>
      <c r="Z605" t="str">
        <f t="shared" si="188"/>
        <v>High</v>
      </c>
      <c r="AA605">
        <f t="shared" si="173"/>
        <v>2025</v>
      </c>
      <c r="AB605">
        <f t="shared" si="174"/>
        <v>5</v>
      </c>
      <c r="AC605" t="str">
        <f t="shared" si="175"/>
        <v>Yes</v>
      </c>
      <c r="AD605" t="str">
        <f t="shared" si="176"/>
        <v>No</v>
      </c>
      <c r="AE605" s="36">
        <f>IF(Dashboard!$P$47&gt;'Staging Data'!R605,'Staging Data'!R605,Dashboard!$P$47)</f>
        <v>0.1</v>
      </c>
      <c r="AF605">
        <f>(100%+Dashboard!$P$48)*'Staging Data'!P605</f>
        <v>1201.5990000000002</v>
      </c>
      <c r="AG605">
        <f>(100%+Dashboard!$P$49)*S605</f>
        <v>17.68</v>
      </c>
      <c r="AH605" s="13">
        <f t="shared" si="177"/>
        <v>43838.196479999999</v>
      </c>
      <c r="AI605" s="13">
        <f t="shared" si="178"/>
        <v>21244.270320000003</v>
      </c>
      <c r="AJ605" s="13">
        <f t="shared" si="179"/>
        <v>22593.926159999995</v>
      </c>
    </row>
    <row r="606" spans="1:36" x14ac:dyDescent="0.45">
      <c r="A606" s="3" t="s">
        <v>618</v>
      </c>
      <c r="B606" s="5">
        <v>45026</v>
      </c>
      <c r="C606" s="5">
        <v>45041</v>
      </c>
      <c r="D606" s="5">
        <f t="shared" si="180"/>
        <v>45026</v>
      </c>
      <c r="E606" s="5">
        <f t="shared" si="181"/>
        <v>45041</v>
      </c>
      <c r="F606" s="7">
        <f t="shared" si="182"/>
        <v>15</v>
      </c>
      <c r="G606" s="23" t="str">
        <f t="shared" si="183"/>
        <v>4-2023</v>
      </c>
      <c r="H606" s="3" t="s">
        <v>649</v>
      </c>
      <c r="I606" s="3" t="s">
        <v>658</v>
      </c>
      <c r="J606" s="3" t="s">
        <v>683</v>
      </c>
      <c r="K606" s="3" t="s">
        <v>705</v>
      </c>
      <c r="L606" s="3" t="s">
        <v>707</v>
      </c>
      <c r="M606" s="3" t="s">
        <v>726</v>
      </c>
      <c r="N606" s="3" t="s">
        <v>728</v>
      </c>
      <c r="O606" s="3" t="s">
        <v>1336</v>
      </c>
      <c r="P606" s="19">
        <v>405.66</v>
      </c>
      <c r="Q606" s="19">
        <v>962.51</v>
      </c>
      <c r="R606" s="15">
        <v>0.19</v>
      </c>
      <c r="S606" s="7">
        <v>7</v>
      </c>
      <c r="T606" s="13">
        <f t="shared" si="171"/>
        <v>5457.4317000000001</v>
      </c>
      <c r="U606" s="13">
        <f t="shared" si="172"/>
        <v>2839.6200000000003</v>
      </c>
      <c r="V606" s="13">
        <f t="shared" si="184"/>
        <v>2617.8116999999997</v>
      </c>
      <c r="W606" s="15">
        <f t="shared" si="185"/>
        <v>0.47967832561239376</v>
      </c>
      <c r="X606" s="17" t="str">
        <f t="shared" si="186"/>
        <v>Q2-2023</v>
      </c>
      <c r="Y606" t="str">
        <f t="shared" si="187"/>
        <v>Europe → United Kingdom → London</v>
      </c>
      <c r="Z606" t="str">
        <f t="shared" si="188"/>
        <v>Low</v>
      </c>
      <c r="AA606">
        <f t="shared" si="173"/>
        <v>2023</v>
      </c>
      <c r="AB606">
        <f t="shared" si="174"/>
        <v>4</v>
      </c>
      <c r="AC606" t="str">
        <f t="shared" si="175"/>
        <v>No</v>
      </c>
      <c r="AD606" t="str">
        <f t="shared" si="176"/>
        <v>No</v>
      </c>
      <c r="AE606" s="36">
        <f>IF(Dashboard!$P$47&gt;'Staging Data'!R606,'Staging Data'!R606,Dashboard!$P$47)</f>
        <v>0.1</v>
      </c>
      <c r="AF606">
        <f>(100%+Dashboard!$P$48)*'Staging Data'!P606</f>
        <v>425.94300000000004</v>
      </c>
      <c r="AG606">
        <f>(100%+Dashboard!$P$49)*S606</f>
        <v>7.28</v>
      </c>
      <c r="AH606" s="13">
        <f t="shared" si="177"/>
        <v>6306.3655200000003</v>
      </c>
      <c r="AI606" s="13">
        <f t="shared" si="178"/>
        <v>3100.8650400000006</v>
      </c>
      <c r="AJ606" s="13">
        <f t="shared" si="179"/>
        <v>3205.5004799999997</v>
      </c>
    </row>
    <row r="607" spans="1:36" x14ac:dyDescent="0.45">
      <c r="A607" s="3" t="s">
        <v>513</v>
      </c>
      <c r="B607" s="5">
        <v>45908</v>
      </c>
      <c r="C607" s="5">
        <v>45935</v>
      </c>
      <c r="D607" s="5">
        <f t="shared" si="180"/>
        <v>45908</v>
      </c>
      <c r="E607" s="5">
        <f t="shared" si="181"/>
        <v>45935</v>
      </c>
      <c r="F607" s="7">
        <f t="shared" si="182"/>
        <v>27</v>
      </c>
      <c r="G607" s="23" t="str">
        <f t="shared" si="183"/>
        <v>9-2025</v>
      </c>
      <c r="H607" s="3" t="s">
        <v>648</v>
      </c>
      <c r="I607" s="3" t="s">
        <v>655</v>
      </c>
      <c r="J607" s="3" t="s">
        <v>692</v>
      </c>
      <c r="K607" s="3" t="s">
        <v>702</v>
      </c>
      <c r="L607" s="3" t="s">
        <v>708</v>
      </c>
      <c r="M607" s="3" t="s">
        <v>712</v>
      </c>
      <c r="N607" s="3" t="s">
        <v>732</v>
      </c>
      <c r="O607" s="3" t="s">
        <v>1232</v>
      </c>
      <c r="P607" s="19">
        <v>660.78</v>
      </c>
      <c r="Q607" s="19">
        <v>1630.39</v>
      </c>
      <c r="R607" s="15">
        <v>0.218</v>
      </c>
      <c r="S607" s="7">
        <v>13</v>
      </c>
      <c r="T607" s="13">
        <f t="shared" si="171"/>
        <v>16574.544740000001</v>
      </c>
      <c r="U607" s="13">
        <f t="shared" si="172"/>
        <v>8590.14</v>
      </c>
      <c r="V607" s="13">
        <f t="shared" si="184"/>
        <v>7984.4047400000018</v>
      </c>
      <c r="W607" s="15">
        <f t="shared" si="185"/>
        <v>0.48172694123724097</v>
      </c>
      <c r="X607" s="17" t="str">
        <f t="shared" si="186"/>
        <v>Q3-2025</v>
      </c>
      <c r="Y607" t="str">
        <f t="shared" si="187"/>
        <v>Americas → Brazil → Rio de Janeiro</v>
      </c>
      <c r="Z607" t="str">
        <f t="shared" si="188"/>
        <v>Medium</v>
      </c>
      <c r="AA607">
        <f t="shared" si="173"/>
        <v>2025</v>
      </c>
      <c r="AB607">
        <f t="shared" si="174"/>
        <v>9</v>
      </c>
      <c r="AC607" t="str">
        <f t="shared" si="175"/>
        <v>No</v>
      </c>
      <c r="AD607" t="str">
        <f t="shared" si="176"/>
        <v>Yes</v>
      </c>
      <c r="AE607" s="36">
        <f>IF(Dashboard!$P$47&gt;'Staging Data'!R607,'Staging Data'!R607,Dashboard!$P$47)</f>
        <v>0.1</v>
      </c>
      <c r="AF607">
        <f>(100%+Dashboard!$P$48)*'Staging Data'!P607</f>
        <v>693.81899999999996</v>
      </c>
      <c r="AG607">
        <f>(100%+Dashboard!$P$49)*S607</f>
        <v>13.52</v>
      </c>
      <c r="AH607" s="13">
        <f t="shared" si="177"/>
        <v>19838.585520000001</v>
      </c>
      <c r="AI607" s="13">
        <f t="shared" si="178"/>
        <v>9380.4328799999985</v>
      </c>
      <c r="AJ607" s="13">
        <f t="shared" si="179"/>
        <v>10458.152640000002</v>
      </c>
    </row>
    <row r="608" spans="1:36" x14ac:dyDescent="0.45">
      <c r="A608" s="3" t="s">
        <v>235</v>
      </c>
      <c r="B608" s="5">
        <v>45194</v>
      </c>
      <c r="C608" s="5">
        <v>45201</v>
      </c>
      <c r="D608" s="5">
        <f t="shared" si="180"/>
        <v>45194</v>
      </c>
      <c r="E608" s="5">
        <f t="shared" si="181"/>
        <v>45201</v>
      </c>
      <c r="F608" s="7">
        <f t="shared" si="182"/>
        <v>7</v>
      </c>
      <c r="G608" s="23" t="str">
        <f t="shared" si="183"/>
        <v>9-2023</v>
      </c>
      <c r="H608" s="3" t="s">
        <v>648</v>
      </c>
      <c r="I608" s="3" t="s">
        <v>660</v>
      </c>
      <c r="J608" s="3" t="s">
        <v>700</v>
      </c>
      <c r="K608" s="3" t="s">
        <v>702</v>
      </c>
      <c r="L608" s="3" t="s">
        <v>709</v>
      </c>
      <c r="M608" s="3" t="s">
        <v>714</v>
      </c>
      <c r="N608" s="3" t="s">
        <v>733</v>
      </c>
      <c r="O608" s="3" t="s">
        <v>955</v>
      </c>
      <c r="P608" s="19">
        <v>145.58000000000001</v>
      </c>
      <c r="Q608" s="19">
        <v>228.15</v>
      </c>
      <c r="R608" s="15">
        <v>0.20399999999999999</v>
      </c>
      <c r="S608" s="7">
        <v>5</v>
      </c>
      <c r="T608" s="13">
        <f t="shared" si="171"/>
        <v>908.03700000000003</v>
      </c>
      <c r="U608" s="13">
        <f t="shared" si="172"/>
        <v>727.90000000000009</v>
      </c>
      <c r="V608" s="13">
        <f t="shared" si="184"/>
        <v>180.13699999999994</v>
      </c>
      <c r="W608" s="15">
        <f t="shared" si="185"/>
        <v>0.19838068272548359</v>
      </c>
      <c r="X608" s="17" t="str">
        <f t="shared" si="186"/>
        <v>Q3-2023</v>
      </c>
      <c r="Y608" t="str">
        <f t="shared" si="187"/>
        <v>Americas → USA → New York</v>
      </c>
      <c r="Z608" t="str">
        <f t="shared" si="188"/>
        <v>Low</v>
      </c>
      <c r="AA608">
        <f t="shared" si="173"/>
        <v>2023</v>
      </c>
      <c r="AB608">
        <f t="shared" si="174"/>
        <v>9</v>
      </c>
      <c r="AC608" t="str">
        <f t="shared" si="175"/>
        <v>Yes</v>
      </c>
      <c r="AD608" t="str">
        <f t="shared" si="176"/>
        <v>Yes</v>
      </c>
      <c r="AE608" s="36">
        <f>IF(Dashboard!$P$47&gt;'Staging Data'!R608,'Staging Data'!R608,Dashboard!$P$47)</f>
        <v>0.1</v>
      </c>
      <c r="AF608">
        <f>(100%+Dashboard!$P$48)*'Staging Data'!P608</f>
        <v>152.85900000000001</v>
      </c>
      <c r="AG608">
        <f>(100%+Dashboard!$P$49)*S608</f>
        <v>5.2</v>
      </c>
      <c r="AH608" s="13">
        <f t="shared" si="177"/>
        <v>1067.7420000000002</v>
      </c>
      <c r="AI608" s="13">
        <f t="shared" si="178"/>
        <v>794.86680000000013</v>
      </c>
      <c r="AJ608" s="13">
        <f t="shared" si="179"/>
        <v>272.87520000000006</v>
      </c>
    </row>
    <row r="609" spans="1:36" x14ac:dyDescent="0.45">
      <c r="A609" s="3" t="s">
        <v>621</v>
      </c>
      <c r="B609" s="5">
        <v>45827</v>
      </c>
      <c r="C609" s="5">
        <v>45829</v>
      </c>
      <c r="D609" s="5">
        <f t="shared" si="180"/>
        <v>45827</v>
      </c>
      <c r="E609" s="5">
        <f t="shared" si="181"/>
        <v>45829</v>
      </c>
      <c r="F609" s="7">
        <f t="shared" si="182"/>
        <v>2</v>
      </c>
      <c r="G609" s="23" t="str">
        <f t="shared" si="183"/>
        <v>6-2025</v>
      </c>
      <c r="H609" s="3" t="s">
        <v>646</v>
      </c>
      <c r="I609" s="3" t="s">
        <v>661</v>
      </c>
      <c r="J609" s="3" t="s">
        <v>682</v>
      </c>
      <c r="K609" s="3" t="s">
        <v>705</v>
      </c>
      <c r="L609" s="3" t="s">
        <v>1423</v>
      </c>
      <c r="M609" s="3" t="s">
        <v>722</v>
      </c>
      <c r="N609" s="3" t="s">
        <v>730</v>
      </c>
      <c r="O609" s="3" t="s">
        <v>1339</v>
      </c>
      <c r="P609" s="19">
        <v>1466.27</v>
      </c>
      <c r="Q609" s="19">
        <v>3589.89</v>
      </c>
      <c r="R609" s="15">
        <v>9.7000000000000003E-2</v>
      </c>
      <c r="S609" s="7">
        <v>9</v>
      </c>
      <c r="T609" s="13">
        <f t="shared" si="171"/>
        <v>29175.036029999999</v>
      </c>
      <c r="U609" s="13">
        <f t="shared" si="172"/>
        <v>13196.43</v>
      </c>
      <c r="V609" s="13">
        <f t="shared" si="184"/>
        <v>15978.606029999999</v>
      </c>
      <c r="W609" s="15">
        <f t="shared" si="185"/>
        <v>0.54768076425234147</v>
      </c>
      <c r="X609" s="17" t="str">
        <f t="shared" si="186"/>
        <v>Q2-2025</v>
      </c>
      <c r="Y609" t="str">
        <f t="shared" si="187"/>
        <v>Africa → South Africa → Johannesburg</v>
      </c>
      <c r="Z609" t="str">
        <f t="shared" si="188"/>
        <v>High</v>
      </c>
      <c r="AA609">
        <f t="shared" si="173"/>
        <v>2025</v>
      </c>
      <c r="AB609">
        <f t="shared" si="174"/>
        <v>6</v>
      </c>
      <c r="AC609" t="str">
        <f t="shared" si="175"/>
        <v>Yes</v>
      </c>
      <c r="AD609" t="str">
        <f t="shared" si="176"/>
        <v>No</v>
      </c>
      <c r="AE609" s="36">
        <f>IF(Dashboard!$P$47&gt;'Staging Data'!R609,'Staging Data'!R609,Dashboard!$P$47)</f>
        <v>9.7000000000000003E-2</v>
      </c>
      <c r="AF609">
        <f>(100%+Dashboard!$P$48)*'Staging Data'!P609</f>
        <v>1539.5835</v>
      </c>
      <c r="AG609">
        <f>(100%+Dashboard!$P$49)*S609</f>
        <v>9.36</v>
      </c>
      <c r="AH609" s="13">
        <f t="shared" si="177"/>
        <v>30342.037471200001</v>
      </c>
      <c r="AI609" s="13">
        <f t="shared" si="178"/>
        <v>14410.501559999999</v>
      </c>
      <c r="AJ609" s="13">
        <f t="shared" si="179"/>
        <v>15931.535911200002</v>
      </c>
    </row>
    <row r="610" spans="1:36" x14ac:dyDescent="0.45">
      <c r="A610" s="3" t="s">
        <v>622</v>
      </c>
      <c r="B610" s="5">
        <v>45623</v>
      </c>
      <c r="C610" s="5">
        <v>45650</v>
      </c>
      <c r="D610" s="5">
        <f t="shared" si="180"/>
        <v>45623</v>
      </c>
      <c r="E610" s="5">
        <f t="shared" si="181"/>
        <v>45650</v>
      </c>
      <c r="F610" s="7">
        <f t="shared" si="182"/>
        <v>27</v>
      </c>
      <c r="G610" s="23" t="str">
        <f t="shared" si="183"/>
        <v>11-2024</v>
      </c>
      <c r="H610" s="3" t="s">
        <v>646</v>
      </c>
      <c r="I610" s="3" t="s">
        <v>650</v>
      </c>
      <c r="J610" s="3" t="s">
        <v>675</v>
      </c>
      <c r="K610" s="3" t="s">
        <v>701</v>
      </c>
      <c r="L610" s="3" t="s">
        <v>710</v>
      </c>
      <c r="M610" s="3" t="s">
        <v>717</v>
      </c>
      <c r="N610" s="3" t="s">
        <v>728</v>
      </c>
      <c r="O610" s="3" t="s">
        <v>1340</v>
      </c>
      <c r="P610" s="19">
        <v>143.33000000000001</v>
      </c>
      <c r="Q610" s="19">
        <v>233.51</v>
      </c>
      <c r="R610" s="15">
        <v>0.16300000000000001</v>
      </c>
      <c r="S610" s="7">
        <v>14</v>
      </c>
      <c r="T610" s="13">
        <f t="shared" si="171"/>
        <v>2736.27018</v>
      </c>
      <c r="U610" s="13">
        <f t="shared" si="172"/>
        <v>2006.6200000000001</v>
      </c>
      <c r="V610" s="13">
        <f t="shared" si="184"/>
        <v>729.65017999999986</v>
      </c>
      <c r="W610" s="15">
        <f t="shared" si="185"/>
        <v>0.26665867476580835</v>
      </c>
      <c r="X610" s="17" t="str">
        <f t="shared" si="186"/>
        <v>Q4-2024</v>
      </c>
      <c r="Y610" t="str">
        <f t="shared" si="187"/>
        <v>Africa → Kenya → Mombasa</v>
      </c>
      <c r="Z610" t="str">
        <f t="shared" si="188"/>
        <v>Low</v>
      </c>
      <c r="AA610">
        <f t="shared" si="173"/>
        <v>2024</v>
      </c>
      <c r="AB610">
        <f t="shared" si="174"/>
        <v>11</v>
      </c>
      <c r="AC610" t="str">
        <f t="shared" si="175"/>
        <v>No</v>
      </c>
      <c r="AD610" t="str">
        <f t="shared" si="176"/>
        <v>No</v>
      </c>
      <c r="AE610" s="36">
        <f>IF(Dashboard!$P$47&gt;'Staging Data'!R610,'Staging Data'!R610,Dashboard!$P$47)</f>
        <v>0.1</v>
      </c>
      <c r="AF610">
        <f>(100%+Dashboard!$P$48)*'Staging Data'!P610</f>
        <v>150.49650000000003</v>
      </c>
      <c r="AG610">
        <f>(100%+Dashboard!$P$49)*S610</f>
        <v>14.56</v>
      </c>
      <c r="AH610" s="13">
        <f t="shared" si="177"/>
        <v>3059.9150400000003</v>
      </c>
      <c r="AI610" s="13">
        <f t="shared" si="178"/>
        <v>2191.2290400000006</v>
      </c>
      <c r="AJ610" s="13">
        <f t="shared" si="179"/>
        <v>868.68599999999969</v>
      </c>
    </row>
    <row r="611" spans="1:36" x14ac:dyDescent="0.45">
      <c r="A611" s="3" t="s">
        <v>623</v>
      </c>
      <c r="B611" s="5">
        <v>45319</v>
      </c>
      <c r="C611" s="5">
        <v>45318</v>
      </c>
      <c r="D611" s="5">
        <f t="shared" si="180"/>
        <v>45318</v>
      </c>
      <c r="E611" s="5">
        <f t="shared" si="181"/>
        <v>45319</v>
      </c>
      <c r="F611" s="7">
        <f t="shared" si="182"/>
        <v>1</v>
      </c>
      <c r="G611" s="23" t="str">
        <f t="shared" si="183"/>
        <v>1-2024</v>
      </c>
      <c r="H611" s="3" t="s">
        <v>646</v>
      </c>
      <c r="I611" s="3" t="s">
        <v>661</v>
      </c>
      <c r="J611" s="3" t="s">
        <v>695</v>
      </c>
      <c r="K611" s="3" t="s">
        <v>706</v>
      </c>
      <c r="L611" s="3" t="s">
        <v>711</v>
      </c>
      <c r="M611" s="3" t="s">
        <v>719</v>
      </c>
      <c r="N611" s="3" t="s">
        <v>727</v>
      </c>
      <c r="O611" s="3" t="s">
        <v>1341</v>
      </c>
      <c r="P611" s="19">
        <v>109.75</v>
      </c>
      <c r="Q611" s="19">
        <v>124.25</v>
      </c>
      <c r="R611" s="15">
        <v>0.12</v>
      </c>
      <c r="S611" s="7">
        <v>19</v>
      </c>
      <c r="T611" s="13">
        <f t="shared" si="171"/>
        <v>2077.46</v>
      </c>
      <c r="U611" s="13">
        <f t="shared" si="172"/>
        <v>2085.25</v>
      </c>
      <c r="V611" s="13">
        <f t="shared" si="184"/>
        <v>-7.7899999999999636</v>
      </c>
      <c r="W611" s="15">
        <f t="shared" si="185"/>
        <v>-3.7497713554051405E-3</v>
      </c>
      <c r="X611" s="17" t="str">
        <f t="shared" si="186"/>
        <v>Q1-2024</v>
      </c>
      <c r="Y611" t="str">
        <f t="shared" si="187"/>
        <v>Africa → South Africa → Cape Town</v>
      </c>
      <c r="Z611" t="str">
        <f t="shared" si="188"/>
        <v>Low</v>
      </c>
      <c r="AA611">
        <f t="shared" si="173"/>
        <v>2024</v>
      </c>
      <c r="AB611">
        <f t="shared" si="174"/>
        <v>1</v>
      </c>
      <c r="AC611" t="str">
        <f t="shared" si="175"/>
        <v>Yes</v>
      </c>
      <c r="AD611" t="str">
        <f t="shared" si="176"/>
        <v>No</v>
      </c>
      <c r="AE611" s="36">
        <f>IF(Dashboard!$P$47&gt;'Staging Data'!R611,'Staging Data'!R611,Dashboard!$P$47)</f>
        <v>0.1</v>
      </c>
      <c r="AF611">
        <f>(100%+Dashboard!$P$48)*'Staging Data'!P611</f>
        <v>115.23750000000001</v>
      </c>
      <c r="AG611">
        <f>(100%+Dashboard!$P$49)*S611</f>
        <v>19.760000000000002</v>
      </c>
      <c r="AH611" s="13">
        <f t="shared" si="177"/>
        <v>2209.6620000000003</v>
      </c>
      <c r="AI611" s="13">
        <f t="shared" si="178"/>
        <v>2277.0930000000003</v>
      </c>
      <c r="AJ611" s="13">
        <f t="shared" si="179"/>
        <v>-67.43100000000004</v>
      </c>
    </row>
    <row r="612" spans="1:36" x14ac:dyDescent="0.45">
      <c r="A612" s="3" t="s">
        <v>624</v>
      </c>
      <c r="B612" s="5">
        <v>45032</v>
      </c>
      <c r="C612" s="5">
        <v>45039</v>
      </c>
      <c r="D612" s="5">
        <f t="shared" si="180"/>
        <v>45032</v>
      </c>
      <c r="E612" s="5">
        <f t="shared" si="181"/>
        <v>45039</v>
      </c>
      <c r="F612" s="7">
        <f t="shared" si="182"/>
        <v>7</v>
      </c>
      <c r="G612" s="23" t="str">
        <f t="shared" si="183"/>
        <v>4-2023</v>
      </c>
      <c r="H612" s="3" t="s">
        <v>648</v>
      </c>
      <c r="I612" s="3" t="s">
        <v>660</v>
      </c>
      <c r="J612" s="3" t="s">
        <v>697</v>
      </c>
      <c r="K612" s="3" t="s">
        <v>701</v>
      </c>
      <c r="L612" s="3" t="s">
        <v>710</v>
      </c>
      <c r="M612" s="3" t="s">
        <v>719</v>
      </c>
      <c r="N612" s="3" t="s">
        <v>728</v>
      </c>
      <c r="O612" s="3" t="s">
        <v>1342</v>
      </c>
      <c r="P612" s="19">
        <v>1099.1500000000001</v>
      </c>
      <c r="Q612" s="19">
        <v>1431.37</v>
      </c>
      <c r="R612" s="15">
        <v>0.104</v>
      </c>
      <c r="S612" s="7">
        <v>8</v>
      </c>
      <c r="T612" s="13">
        <f t="shared" si="171"/>
        <v>10260.060159999999</v>
      </c>
      <c r="U612" s="13">
        <f t="shared" si="172"/>
        <v>8793.2000000000007</v>
      </c>
      <c r="V612" s="13">
        <f t="shared" si="184"/>
        <v>1466.8601599999984</v>
      </c>
      <c r="W612" s="15">
        <f t="shared" si="185"/>
        <v>0.14296798821109433</v>
      </c>
      <c r="X612" s="17" t="str">
        <f t="shared" si="186"/>
        <v>Q2-2023</v>
      </c>
      <c r="Y612" t="str">
        <f t="shared" si="187"/>
        <v>Americas → USA → Austin</v>
      </c>
      <c r="Z612" t="str">
        <f t="shared" si="188"/>
        <v>Medium</v>
      </c>
      <c r="AA612">
        <f t="shared" si="173"/>
        <v>2023</v>
      </c>
      <c r="AB612">
        <f t="shared" si="174"/>
        <v>4</v>
      </c>
      <c r="AC612" t="str">
        <f t="shared" si="175"/>
        <v>Yes</v>
      </c>
      <c r="AD612" t="str">
        <f t="shared" si="176"/>
        <v>No</v>
      </c>
      <c r="AE612" s="36">
        <f>IF(Dashboard!$P$47&gt;'Staging Data'!R612,'Staging Data'!R612,Dashboard!$P$47)</f>
        <v>0.1</v>
      </c>
      <c r="AF612">
        <f>(100%+Dashboard!$P$48)*'Staging Data'!P612</f>
        <v>1154.1075000000001</v>
      </c>
      <c r="AG612">
        <f>(100%+Dashboard!$P$49)*S612</f>
        <v>8.32</v>
      </c>
      <c r="AH612" s="13">
        <f t="shared" si="177"/>
        <v>10718.09856</v>
      </c>
      <c r="AI612" s="13">
        <f t="shared" si="178"/>
        <v>9602.1744000000017</v>
      </c>
      <c r="AJ612" s="13">
        <f t="shared" si="179"/>
        <v>1115.9241599999987</v>
      </c>
    </row>
    <row r="613" spans="1:36" x14ac:dyDescent="0.45">
      <c r="A613" s="3" t="s">
        <v>625</v>
      </c>
      <c r="B613" s="5">
        <v>45323</v>
      </c>
      <c r="C613" s="5">
        <v>45323</v>
      </c>
      <c r="D613" s="5">
        <f t="shared" si="180"/>
        <v>45323</v>
      </c>
      <c r="E613" s="5">
        <f t="shared" si="181"/>
        <v>45323</v>
      </c>
      <c r="F613" s="7">
        <f t="shared" si="182"/>
        <v>0</v>
      </c>
      <c r="G613" s="23" t="str">
        <f t="shared" si="183"/>
        <v>2-2024</v>
      </c>
      <c r="H613" s="3" t="s">
        <v>648</v>
      </c>
      <c r="I613" s="3" t="s">
        <v>660</v>
      </c>
      <c r="J613" s="3" t="s">
        <v>697</v>
      </c>
      <c r="K613" s="3" t="s">
        <v>704</v>
      </c>
      <c r="L613" s="3" t="s">
        <v>710</v>
      </c>
      <c r="M613" s="3" t="s">
        <v>722</v>
      </c>
      <c r="N613" s="3" t="s">
        <v>728</v>
      </c>
      <c r="O613" s="3" t="s">
        <v>1343</v>
      </c>
      <c r="P613" s="19">
        <v>714.43</v>
      </c>
      <c r="Q613" s="19">
        <v>1595.52</v>
      </c>
      <c r="R613" s="15">
        <v>0.19400000000000001</v>
      </c>
      <c r="S613" s="7">
        <v>14</v>
      </c>
      <c r="T613" s="13">
        <f t="shared" si="171"/>
        <v>18003.847679999999</v>
      </c>
      <c r="U613" s="13">
        <f t="shared" si="172"/>
        <v>10002.019999999999</v>
      </c>
      <c r="V613" s="13">
        <f t="shared" si="184"/>
        <v>8001.8276800000003</v>
      </c>
      <c r="W613" s="15">
        <f t="shared" si="185"/>
        <v>0.44445097638151093</v>
      </c>
      <c r="X613" s="17" t="str">
        <f t="shared" si="186"/>
        <v>Q1-2024</v>
      </c>
      <c r="Y613" t="str">
        <f t="shared" si="187"/>
        <v>Americas → USA → Austin</v>
      </c>
      <c r="Z613" t="str">
        <f t="shared" si="188"/>
        <v>Medium</v>
      </c>
      <c r="AA613">
        <f t="shared" si="173"/>
        <v>2024</v>
      </c>
      <c r="AB613">
        <f t="shared" si="174"/>
        <v>2</v>
      </c>
      <c r="AC613" t="str">
        <f t="shared" si="175"/>
        <v>Yes</v>
      </c>
      <c r="AD613" t="str">
        <f t="shared" si="176"/>
        <v>No</v>
      </c>
      <c r="AE613" s="36">
        <f>IF(Dashboard!$P$47&gt;'Staging Data'!R613,'Staging Data'!R613,Dashboard!$P$47)</f>
        <v>0.1</v>
      </c>
      <c r="AF613">
        <f>(100%+Dashboard!$P$48)*'Staging Data'!P613</f>
        <v>750.15149999999994</v>
      </c>
      <c r="AG613">
        <f>(100%+Dashboard!$P$49)*S613</f>
        <v>14.56</v>
      </c>
      <c r="AH613" s="13">
        <f t="shared" si="177"/>
        <v>20907.694080000001</v>
      </c>
      <c r="AI613" s="13">
        <f t="shared" si="178"/>
        <v>10922.205839999999</v>
      </c>
      <c r="AJ613" s="13">
        <f t="shared" si="179"/>
        <v>9985.4882400000024</v>
      </c>
    </row>
    <row r="614" spans="1:36" x14ac:dyDescent="0.45">
      <c r="A614" s="3" t="s">
        <v>626</v>
      </c>
      <c r="B614" s="5">
        <v>45584</v>
      </c>
      <c r="C614" s="5">
        <v>45602</v>
      </c>
      <c r="D614" s="5">
        <f t="shared" si="180"/>
        <v>45584</v>
      </c>
      <c r="E614" s="5">
        <f t="shared" si="181"/>
        <v>45602</v>
      </c>
      <c r="F614" s="7">
        <f t="shared" si="182"/>
        <v>18</v>
      </c>
      <c r="G614" s="23" t="str">
        <f t="shared" si="183"/>
        <v>10-2024</v>
      </c>
      <c r="H614" s="3" t="s">
        <v>648</v>
      </c>
      <c r="I614" s="3" t="s">
        <v>660</v>
      </c>
      <c r="J614" s="3" t="s">
        <v>677</v>
      </c>
      <c r="K614" s="3" t="s">
        <v>702</v>
      </c>
      <c r="L614" s="3" t="s">
        <v>1423</v>
      </c>
      <c r="M614" s="3" t="s">
        <v>712</v>
      </c>
      <c r="N614" s="3" t="s">
        <v>732</v>
      </c>
      <c r="O614" s="3" t="s">
        <v>1344</v>
      </c>
      <c r="P614" s="19">
        <v>942.02</v>
      </c>
      <c r="Q614" s="19">
        <v>1028.46</v>
      </c>
      <c r="R614" s="15">
        <v>0</v>
      </c>
      <c r="S614" s="7">
        <v>9</v>
      </c>
      <c r="T614" s="13">
        <f t="shared" si="171"/>
        <v>9256.14</v>
      </c>
      <c r="U614" s="13">
        <f t="shared" si="172"/>
        <v>8478.18</v>
      </c>
      <c r="V614" s="13">
        <f t="shared" si="184"/>
        <v>777.95999999999913</v>
      </c>
      <c r="W614" s="15">
        <f t="shared" si="185"/>
        <v>8.4047994088248354E-2</v>
      </c>
      <c r="X614" s="17" t="str">
        <f t="shared" si="186"/>
        <v>Q4-2024</v>
      </c>
      <c r="Y614" t="str">
        <f t="shared" si="187"/>
        <v>Americas → USA → Chicago</v>
      </c>
      <c r="Z614" t="str">
        <f t="shared" si="188"/>
        <v>Low</v>
      </c>
      <c r="AA614">
        <f t="shared" si="173"/>
        <v>2024</v>
      </c>
      <c r="AB614">
        <f t="shared" si="174"/>
        <v>10</v>
      </c>
      <c r="AC614" t="str">
        <f t="shared" si="175"/>
        <v>No</v>
      </c>
      <c r="AD614" t="str">
        <f t="shared" si="176"/>
        <v>No</v>
      </c>
      <c r="AE614" s="36">
        <f>IF(Dashboard!$P$47&gt;'Staging Data'!R614,'Staging Data'!R614,Dashboard!$P$47)</f>
        <v>0</v>
      </c>
      <c r="AF614">
        <f>(100%+Dashboard!$P$48)*'Staging Data'!P614</f>
        <v>989.12099999999998</v>
      </c>
      <c r="AG614">
        <f>(100%+Dashboard!$P$49)*S614</f>
        <v>9.36</v>
      </c>
      <c r="AH614" s="13">
        <f t="shared" si="177"/>
        <v>9626.3855999999996</v>
      </c>
      <c r="AI614" s="13">
        <f t="shared" si="178"/>
        <v>9258.1725599999991</v>
      </c>
      <c r="AJ614" s="13">
        <f t="shared" si="179"/>
        <v>368.21304000000055</v>
      </c>
    </row>
    <row r="615" spans="1:36" x14ac:dyDescent="0.45">
      <c r="A615" s="3" t="s">
        <v>627</v>
      </c>
      <c r="B615" s="5">
        <v>45468</v>
      </c>
      <c r="C615" s="5">
        <v>45473</v>
      </c>
      <c r="D615" s="5">
        <f t="shared" si="180"/>
        <v>45468</v>
      </c>
      <c r="E615" s="5">
        <f t="shared" si="181"/>
        <v>45473</v>
      </c>
      <c r="F615" s="7">
        <f t="shared" si="182"/>
        <v>5</v>
      </c>
      <c r="G615" s="23" t="str">
        <f t="shared" si="183"/>
        <v>6-2024</v>
      </c>
      <c r="H615" s="3" t="s">
        <v>646</v>
      </c>
      <c r="I615" s="3" t="s">
        <v>650</v>
      </c>
      <c r="J615" s="3" t="s">
        <v>662</v>
      </c>
      <c r="K615" s="3" t="s">
        <v>702</v>
      </c>
      <c r="L615" s="3" t="s">
        <v>711</v>
      </c>
      <c r="M615" s="3" t="s">
        <v>724</v>
      </c>
      <c r="N615" s="3" t="s">
        <v>729</v>
      </c>
      <c r="O615" s="3" t="s">
        <v>1345</v>
      </c>
      <c r="P615" s="19">
        <v>1323.55</v>
      </c>
      <c r="Q615" s="19">
        <v>3230.35</v>
      </c>
      <c r="R615" s="15">
        <v>2.1999999999999999E-2</v>
      </c>
      <c r="S615" s="7">
        <v>26</v>
      </c>
      <c r="T615" s="13">
        <f t="shared" si="171"/>
        <v>82141.339799999987</v>
      </c>
      <c r="U615" s="13">
        <f t="shared" si="172"/>
        <v>34412.299999999996</v>
      </c>
      <c r="V615" s="13">
        <f t="shared" si="184"/>
        <v>47729.039799999991</v>
      </c>
      <c r="W615" s="15">
        <f t="shared" si="185"/>
        <v>0.58105991351263542</v>
      </c>
      <c r="X615" s="17" t="str">
        <f t="shared" si="186"/>
        <v>Q2-2024</v>
      </c>
      <c r="Y615" t="str">
        <f t="shared" si="187"/>
        <v>Africa → Kenya → Kisumu</v>
      </c>
      <c r="Z615" t="str">
        <f t="shared" si="188"/>
        <v>High</v>
      </c>
      <c r="AA615">
        <f t="shared" si="173"/>
        <v>2024</v>
      </c>
      <c r="AB615">
        <f t="shared" si="174"/>
        <v>6</v>
      </c>
      <c r="AC615" t="str">
        <f t="shared" si="175"/>
        <v>Yes</v>
      </c>
      <c r="AD615" t="str">
        <f t="shared" si="176"/>
        <v>No</v>
      </c>
      <c r="AE615" s="36">
        <f>IF(Dashboard!$P$47&gt;'Staging Data'!R615,'Staging Data'!R615,Dashboard!$P$47)</f>
        <v>2.1999999999999999E-2</v>
      </c>
      <c r="AF615">
        <f>(100%+Dashboard!$P$48)*'Staging Data'!P615</f>
        <v>1389.7275</v>
      </c>
      <c r="AG615">
        <f>(100%+Dashboard!$P$49)*S615</f>
        <v>27.04</v>
      </c>
      <c r="AH615" s="13">
        <f t="shared" si="177"/>
        <v>85426.993391999989</v>
      </c>
      <c r="AI615" s="13">
        <f t="shared" si="178"/>
        <v>37578.231599999999</v>
      </c>
      <c r="AJ615" s="13">
        <f t="shared" si="179"/>
        <v>47848.76179199999</v>
      </c>
    </row>
    <row r="616" spans="1:36" x14ac:dyDescent="0.45">
      <c r="A616" s="3" t="s">
        <v>628</v>
      </c>
      <c r="B616" s="5">
        <v>45137</v>
      </c>
      <c r="C616" s="5">
        <v>45157</v>
      </c>
      <c r="D616" s="5">
        <f t="shared" si="180"/>
        <v>45137</v>
      </c>
      <c r="E616" s="5">
        <f t="shared" si="181"/>
        <v>45157</v>
      </c>
      <c r="F616" s="7">
        <f t="shared" si="182"/>
        <v>20</v>
      </c>
      <c r="G616" s="23" t="str">
        <f t="shared" si="183"/>
        <v>7-2023</v>
      </c>
      <c r="H616" s="3" t="s">
        <v>649</v>
      </c>
      <c r="I616" s="3" t="s">
        <v>657</v>
      </c>
      <c r="J616" s="3" t="s">
        <v>690</v>
      </c>
      <c r="K616" s="3" t="s">
        <v>706</v>
      </c>
      <c r="L616" s="3" t="s">
        <v>709</v>
      </c>
      <c r="M616" s="3" t="s">
        <v>715</v>
      </c>
      <c r="N616" s="3" t="s">
        <v>729</v>
      </c>
      <c r="O616" s="3" t="s">
        <v>1346</v>
      </c>
      <c r="P616" s="19">
        <v>1418.51</v>
      </c>
      <c r="Q616" s="19">
        <v>2789.61</v>
      </c>
      <c r="R616" s="15">
        <v>0.17100000000000001</v>
      </c>
      <c r="S616" s="7">
        <v>8</v>
      </c>
      <c r="T616" s="13">
        <f t="shared" si="171"/>
        <v>18500.693520000001</v>
      </c>
      <c r="U616" s="13">
        <f t="shared" si="172"/>
        <v>11348.08</v>
      </c>
      <c r="V616" s="13">
        <f t="shared" si="184"/>
        <v>7152.6135200000008</v>
      </c>
      <c r="W616" s="15">
        <f t="shared" si="185"/>
        <v>0.38661326464695689</v>
      </c>
      <c r="X616" s="17" t="str">
        <f t="shared" si="186"/>
        <v>Q3-2023</v>
      </c>
      <c r="Y616" t="str">
        <f t="shared" si="187"/>
        <v>Europe → France → Paris</v>
      </c>
      <c r="Z616" t="str">
        <f t="shared" si="188"/>
        <v>High</v>
      </c>
      <c r="AA616">
        <f t="shared" si="173"/>
        <v>2023</v>
      </c>
      <c r="AB616">
        <f t="shared" si="174"/>
        <v>7</v>
      </c>
      <c r="AC616" t="str">
        <f t="shared" si="175"/>
        <v>No</v>
      </c>
      <c r="AD616" t="str">
        <f t="shared" si="176"/>
        <v>No</v>
      </c>
      <c r="AE616" s="36">
        <f>IF(Dashboard!$P$47&gt;'Staging Data'!R616,'Staging Data'!R616,Dashboard!$P$47)</f>
        <v>0.1</v>
      </c>
      <c r="AF616">
        <f>(100%+Dashboard!$P$48)*'Staging Data'!P616</f>
        <v>1489.4355</v>
      </c>
      <c r="AG616">
        <f>(100%+Dashboard!$P$49)*S616</f>
        <v>8.32</v>
      </c>
      <c r="AH616" s="13">
        <f t="shared" si="177"/>
        <v>20888.599680000003</v>
      </c>
      <c r="AI616" s="13">
        <f t="shared" si="178"/>
        <v>12392.103360000001</v>
      </c>
      <c r="AJ616" s="13">
        <f t="shared" si="179"/>
        <v>8496.496320000002</v>
      </c>
    </row>
    <row r="617" spans="1:36" x14ac:dyDescent="0.45">
      <c r="A617" s="3" t="s">
        <v>629</v>
      </c>
      <c r="B617" s="5">
        <v>45727</v>
      </c>
      <c r="C617" s="5">
        <v>45743</v>
      </c>
      <c r="D617" s="5">
        <f t="shared" si="180"/>
        <v>45727</v>
      </c>
      <c r="E617" s="5">
        <f t="shared" si="181"/>
        <v>45743</v>
      </c>
      <c r="F617" s="7">
        <f t="shared" si="182"/>
        <v>16</v>
      </c>
      <c r="G617" s="23" t="str">
        <f t="shared" si="183"/>
        <v>3-2025</v>
      </c>
      <c r="H617" s="3" t="s">
        <v>647</v>
      </c>
      <c r="I617" s="3" t="s">
        <v>652</v>
      </c>
      <c r="J617" s="3" t="s">
        <v>689</v>
      </c>
      <c r="K617" s="3" t="s">
        <v>706</v>
      </c>
      <c r="L617" s="3" t="s">
        <v>710</v>
      </c>
      <c r="M617" s="3" t="s">
        <v>717</v>
      </c>
      <c r="N617" s="3" t="s">
        <v>728</v>
      </c>
      <c r="O617" s="3" t="s">
        <v>1347</v>
      </c>
      <c r="P617" s="19">
        <v>1317.58</v>
      </c>
      <c r="Q617" s="19">
        <v>1897.74</v>
      </c>
      <c r="R617" s="15">
        <v>8.1000000000000003E-2</v>
      </c>
      <c r="S617" s="7">
        <v>6</v>
      </c>
      <c r="T617" s="13">
        <f t="shared" si="171"/>
        <v>10464.138360000001</v>
      </c>
      <c r="U617" s="13">
        <f t="shared" si="172"/>
        <v>7905.48</v>
      </c>
      <c r="V617" s="13">
        <f t="shared" si="184"/>
        <v>2558.6583600000013</v>
      </c>
      <c r="W617" s="15">
        <f t="shared" si="185"/>
        <v>0.24451687009230266</v>
      </c>
      <c r="X617" s="17" t="str">
        <f t="shared" si="186"/>
        <v>Q1-2025</v>
      </c>
      <c r="Y617" t="str">
        <f t="shared" si="187"/>
        <v>Asia → Japan → Tokyo</v>
      </c>
      <c r="Z617" t="str">
        <f t="shared" si="188"/>
        <v>Medium</v>
      </c>
      <c r="AA617">
        <f t="shared" si="173"/>
        <v>2025</v>
      </c>
      <c r="AB617">
        <f t="shared" si="174"/>
        <v>3</v>
      </c>
      <c r="AC617" t="str">
        <f t="shared" si="175"/>
        <v>No</v>
      </c>
      <c r="AD617" t="str">
        <f t="shared" si="176"/>
        <v>No</v>
      </c>
      <c r="AE617" s="36">
        <f>IF(Dashboard!$P$47&gt;'Staging Data'!R617,'Staging Data'!R617,Dashboard!$P$47)</f>
        <v>8.1000000000000003E-2</v>
      </c>
      <c r="AF617">
        <f>(100%+Dashboard!$P$48)*'Staging Data'!P617</f>
        <v>1383.4590000000001</v>
      </c>
      <c r="AG617">
        <f>(100%+Dashboard!$P$49)*S617</f>
        <v>6.24</v>
      </c>
      <c r="AH617" s="13">
        <f t="shared" si="177"/>
        <v>10882.703894400001</v>
      </c>
      <c r="AI617" s="13">
        <f t="shared" si="178"/>
        <v>8632.7841600000011</v>
      </c>
      <c r="AJ617" s="13">
        <f t="shared" si="179"/>
        <v>2249.9197344000004</v>
      </c>
    </row>
    <row r="618" spans="1:36" x14ac:dyDescent="0.45">
      <c r="A618" s="3" t="s">
        <v>630</v>
      </c>
      <c r="B618" s="5">
        <v>45208</v>
      </c>
      <c r="C618" s="5">
        <v>45210</v>
      </c>
      <c r="D618" s="5">
        <f t="shared" si="180"/>
        <v>45208</v>
      </c>
      <c r="E618" s="5">
        <f t="shared" si="181"/>
        <v>45210</v>
      </c>
      <c r="F618" s="7">
        <f t="shared" si="182"/>
        <v>2</v>
      </c>
      <c r="G618" s="23" t="str">
        <f t="shared" si="183"/>
        <v>10-2023</v>
      </c>
      <c r="H618" s="3" t="s">
        <v>646</v>
      </c>
      <c r="I618" s="3" t="s">
        <v>651</v>
      </c>
      <c r="J618" s="3" t="s">
        <v>663</v>
      </c>
      <c r="K618" s="3" t="s">
        <v>702</v>
      </c>
      <c r="L618" s="3" t="s">
        <v>709</v>
      </c>
      <c r="M618" s="3" t="s">
        <v>723</v>
      </c>
      <c r="N618" s="3" t="s">
        <v>729</v>
      </c>
      <c r="O618" s="3" t="s">
        <v>1348</v>
      </c>
      <c r="P618" s="19">
        <v>391.16</v>
      </c>
      <c r="Q618" s="19">
        <v>902.47</v>
      </c>
      <c r="R618" s="15">
        <v>4.0000000000000001E-3</v>
      </c>
      <c r="S618" s="7">
        <v>12</v>
      </c>
      <c r="T618" s="13">
        <f t="shared" si="171"/>
        <v>10786.32144</v>
      </c>
      <c r="U618" s="13">
        <f t="shared" si="172"/>
        <v>4693.92</v>
      </c>
      <c r="V618" s="13">
        <f t="shared" si="184"/>
        <v>6092.4014399999996</v>
      </c>
      <c r="W618" s="15">
        <f t="shared" si="185"/>
        <v>0.56482661618139207</v>
      </c>
      <c r="X618" s="17" t="str">
        <f t="shared" si="186"/>
        <v>Q4-2023</v>
      </c>
      <c r="Y618" t="str">
        <f t="shared" si="187"/>
        <v>Africa → Nigeria → Port Harcourt</v>
      </c>
      <c r="Z618" t="str">
        <f t="shared" si="188"/>
        <v>Low</v>
      </c>
      <c r="AA618">
        <f t="shared" si="173"/>
        <v>2023</v>
      </c>
      <c r="AB618">
        <f t="shared" si="174"/>
        <v>10</v>
      </c>
      <c r="AC618" t="str">
        <f t="shared" si="175"/>
        <v>Yes</v>
      </c>
      <c r="AD618" t="str">
        <f t="shared" si="176"/>
        <v>No</v>
      </c>
      <c r="AE618" s="36">
        <f>IF(Dashboard!$P$47&gt;'Staging Data'!R618,'Staging Data'!R618,Dashboard!$P$47)</f>
        <v>4.0000000000000001E-3</v>
      </c>
      <c r="AF618">
        <f>(100%+Dashboard!$P$48)*'Staging Data'!P618</f>
        <v>410.71800000000002</v>
      </c>
      <c r="AG618">
        <f>(100%+Dashboard!$P$49)*S618</f>
        <v>12.48</v>
      </c>
      <c r="AH618" s="13">
        <f t="shared" si="177"/>
        <v>11217.774297600001</v>
      </c>
      <c r="AI618" s="13">
        <f t="shared" si="178"/>
        <v>5125.7606400000004</v>
      </c>
      <c r="AJ618" s="13">
        <f t="shared" si="179"/>
        <v>6092.0136576000004</v>
      </c>
    </row>
    <row r="619" spans="1:36" x14ac:dyDescent="0.45">
      <c r="A619" s="3" t="s">
        <v>631</v>
      </c>
      <c r="B619" s="5">
        <v>45643</v>
      </c>
      <c r="C619" s="5">
        <v>45673</v>
      </c>
      <c r="D619" s="5">
        <f t="shared" si="180"/>
        <v>45643</v>
      </c>
      <c r="E619" s="5">
        <f t="shared" si="181"/>
        <v>45673</v>
      </c>
      <c r="F619" s="7">
        <f t="shared" si="182"/>
        <v>30</v>
      </c>
      <c r="G619" s="23" t="str">
        <f t="shared" si="183"/>
        <v>12-2024</v>
      </c>
      <c r="H619" s="3" t="s">
        <v>649</v>
      </c>
      <c r="I619" s="3" t="s">
        <v>658</v>
      </c>
      <c r="J619" s="3" t="s">
        <v>693</v>
      </c>
      <c r="K619" s="3" t="s">
        <v>701</v>
      </c>
      <c r="L619" s="3" t="s">
        <v>707</v>
      </c>
      <c r="M619" s="3" t="s">
        <v>726</v>
      </c>
      <c r="N619" s="3" t="s">
        <v>732</v>
      </c>
      <c r="O619" s="3" t="s">
        <v>1349</v>
      </c>
      <c r="P619" s="19">
        <v>722.87</v>
      </c>
      <c r="Q619" s="19">
        <v>33.659999999999997</v>
      </c>
      <c r="R619" s="15">
        <v>0.10199999999999999</v>
      </c>
      <c r="S619" s="7">
        <v>28</v>
      </c>
      <c r="T619" s="13">
        <f t="shared" si="171"/>
        <v>846.34703999999988</v>
      </c>
      <c r="U619" s="13">
        <f t="shared" si="172"/>
        <v>20240.36</v>
      </c>
      <c r="V619" s="13">
        <f t="shared" si="184"/>
        <v>-19394.01296</v>
      </c>
      <c r="W619" s="15">
        <f t="shared" si="185"/>
        <v>-22.914965189693348</v>
      </c>
      <c r="X619" s="17" t="str">
        <f t="shared" si="186"/>
        <v>Q4-2024</v>
      </c>
      <c r="Y619" t="str">
        <f t="shared" si="187"/>
        <v>Europe → United Kingdom → Manchester</v>
      </c>
      <c r="Z619" t="str">
        <f t="shared" si="188"/>
        <v>Low</v>
      </c>
      <c r="AA619">
        <f t="shared" si="173"/>
        <v>2024</v>
      </c>
      <c r="AB619">
        <f t="shared" si="174"/>
        <v>12</v>
      </c>
      <c r="AC619" t="str">
        <f t="shared" si="175"/>
        <v>No</v>
      </c>
      <c r="AD619" t="str">
        <f t="shared" si="176"/>
        <v>No</v>
      </c>
      <c r="AE619" s="36">
        <f>IF(Dashboard!$P$47&gt;'Staging Data'!R619,'Staging Data'!R619,Dashboard!$P$47)</f>
        <v>0.1</v>
      </c>
      <c r="AF619">
        <f>(100%+Dashboard!$P$48)*'Staging Data'!P619</f>
        <v>759.01350000000002</v>
      </c>
      <c r="AG619">
        <f>(100%+Dashboard!$P$49)*S619</f>
        <v>29.12</v>
      </c>
      <c r="AH619" s="13">
        <f t="shared" si="177"/>
        <v>882.16127999999992</v>
      </c>
      <c r="AI619" s="13">
        <f t="shared" si="178"/>
        <v>22102.473120000002</v>
      </c>
      <c r="AJ619" s="13">
        <f t="shared" si="179"/>
        <v>-21220.311840000002</v>
      </c>
    </row>
    <row r="620" spans="1:36" x14ac:dyDescent="0.45">
      <c r="A620" s="3" t="s">
        <v>632</v>
      </c>
      <c r="B620" s="5">
        <v>45849</v>
      </c>
      <c r="C620" s="5">
        <v>45854</v>
      </c>
      <c r="D620" s="5">
        <f t="shared" si="180"/>
        <v>45849</v>
      </c>
      <c r="E620" s="5">
        <f t="shared" si="181"/>
        <v>45854</v>
      </c>
      <c r="F620" s="7">
        <f t="shared" si="182"/>
        <v>5</v>
      </c>
      <c r="G620" s="23" t="str">
        <f t="shared" si="183"/>
        <v>7-2025</v>
      </c>
      <c r="H620" s="3" t="s">
        <v>649</v>
      </c>
      <c r="I620" s="3" t="s">
        <v>658</v>
      </c>
      <c r="J620" s="3" t="s">
        <v>683</v>
      </c>
      <c r="K620" s="3" t="s">
        <v>706</v>
      </c>
      <c r="L620" s="3" t="s">
        <v>708</v>
      </c>
      <c r="M620" s="3" t="s">
        <v>723</v>
      </c>
      <c r="N620" s="3" t="s">
        <v>728</v>
      </c>
      <c r="O620" s="3" t="s">
        <v>1350</v>
      </c>
      <c r="P620" s="19">
        <v>930.03</v>
      </c>
      <c r="Q620" s="19">
        <v>1086.68</v>
      </c>
      <c r="R620" s="15">
        <v>0.109</v>
      </c>
      <c r="S620" s="7">
        <v>26</v>
      </c>
      <c r="T620" s="13">
        <f t="shared" si="171"/>
        <v>25174.028880000002</v>
      </c>
      <c r="U620" s="13">
        <f t="shared" si="172"/>
        <v>24180.78</v>
      </c>
      <c r="V620" s="13">
        <f t="shared" si="184"/>
        <v>993.24888000000283</v>
      </c>
      <c r="W620" s="15">
        <f t="shared" si="185"/>
        <v>3.9455300728168656E-2</v>
      </c>
      <c r="X620" s="17" t="str">
        <f t="shared" si="186"/>
        <v>Q3-2025</v>
      </c>
      <c r="Y620" t="str">
        <f t="shared" si="187"/>
        <v>Europe → United Kingdom → London</v>
      </c>
      <c r="Z620" t="str">
        <f t="shared" si="188"/>
        <v>Low</v>
      </c>
      <c r="AA620">
        <f t="shared" si="173"/>
        <v>2025</v>
      </c>
      <c r="AB620">
        <f t="shared" si="174"/>
        <v>7</v>
      </c>
      <c r="AC620" t="str">
        <f t="shared" si="175"/>
        <v>Yes</v>
      </c>
      <c r="AD620" t="str">
        <f t="shared" si="176"/>
        <v>No</v>
      </c>
      <c r="AE620" s="36">
        <f>IF(Dashboard!$P$47&gt;'Staging Data'!R620,'Staging Data'!R620,Dashboard!$P$47)</f>
        <v>0.1</v>
      </c>
      <c r="AF620">
        <f>(100%+Dashboard!$P$48)*'Staging Data'!P620</f>
        <v>976.53150000000005</v>
      </c>
      <c r="AG620">
        <f>(100%+Dashboard!$P$49)*S620</f>
        <v>27.04</v>
      </c>
      <c r="AH620" s="13">
        <f t="shared" si="177"/>
        <v>26445.444480000002</v>
      </c>
      <c r="AI620" s="13">
        <f t="shared" si="178"/>
        <v>26405.411759999999</v>
      </c>
      <c r="AJ620" s="13">
        <f t="shared" si="179"/>
        <v>40.032720000002882</v>
      </c>
    </row>
    <row r="621" spans="1:36" x14ac:dyDescent="0.45">
      <c r="A621" s="3" t="s">
        <v>633</v>
      </c>
      <c r="B621" s="5">
        <v>45578</v>
      </c>
      <c r="C621" s="5">
        <v>45589</v>
      </c>
      <c r="D621" s="5">
        <f t="shared" si="180"/>
        <v>45578</v>
      </c>
      <c r="E621" s="5">
        <f t="shared" si="181"/>
        <v>45589</v>
      </c>
      <c r="F621" s="7">
        <f t="shared" si="182"/>
        <v>11</v>
      </c>
      <c r="G621" s="23" t="str">
        <f t="shared" si="183"/>
        <v>10-2024</v>
      </c>
      <c r="H621" s="3" t="s">
        <v>649</v>
      </c>
      <c r="I621" s="3" t="s">
        <v>657</v>
      </c>
      <c r="J621" s="3" t="s">
        <v>690</v>
      </c>
      <c r="K621" s="3" t="s">
        <v>702</v>
      </c>
      <c r="L621" s="3" t="s">
        <v>710</v>
      </c>
      <c r="M621" s="3" t="s">
        <v>721</v>
      </c>
      <c r="N621" s="3" t="s">
        <v>727</v>
      </c>
      <c r="O621" s="3" t="s">
        <v>1351</v>
      </c>
      <c r="P621" s="19">
        <v>816.7</v>
      </c>
      <c r="Q621" s="19">
        <v>1010.75</v>
      </c>
      <c r="R621" s="15">
        <v>4.7E-2</v>
      </c>
      <c r="S621" s="7">
        <v>43</v>
      </c>
      <c r="T621" s="13">
        <f t="shared" si="171"/>
        <v>41419.524249999995</v>
      </c>
      <c r="U621" s="13">
        <f t="shared" si="172"/>
        <v>35118.1</v>
      </c>
      <c r="V621" s="13">
        <f t="shared" si="184"/>
        <v>6301.4242499999964</v>
      </c>
      <c r="W621" s="15">
        <f t="shared" si="185"/>
        <v>0.15213656757537472</v>
      </c>
      <c r="X621" s="17" t="str">
        <f t="shared" si="186"/>
        <v>Q4-2024</v>
      </c>
      <c r="Y621" t="str">
        <f t="shared" si="187"/>
        <v>Europe → France → Paris</v>
      </c>
      <c r="Z621" t="str">
        <f t="shared" si="188"/>
        <v>Low</v>
      </c>
      <c r="AA621">
        <f t="shared" si="173"/>
        <v>2024</v>
      </c>
      <c r="AB621">
        <f t="shared" si="174"/>
        <v>10</v>
      </c>
      <c r="AC621" t="str">
        <f t="shared" si="175"/>
        <v>No</v>
      </c>
      <c r="AD621" t="str">
        <f t="shared" si="176"/>
        <v>No</v>
      </c>
      <c r="AE621" s="36">
        <f>IF(Dashboard!$P$47&gt;'Staging Data'!R621,'Staging Data'!R621,Dashboard!$P$47)</f>
        <v>4.7E-2</v>
      </c>
      <c r="AF621">
        <f>(100%+Dashboard!$P$48)*'Staging Data'!P621</f>
        <v>857.53500000000008</v>
      </c>
      <c r="AG621">
        <f>(100%+Dashboard!$P$49)*S621</f>
        <v>44.72</v>
      </c>
      <c r="AH621" s="13">
        <f t="shared" si="177"/>
        <v>43076.305219999995</v>
      </c>
      <c r="AI621" s="13">
        <f t="shared" si="178"/>
        <v>38348.965200000006</v>
      </c>
      <c r="AJ621" s="13">
        <f t="shared" si="179"/>
        <v>4727.3400199999887</v>
      </c>
    </row>
    <row r="622" spans="1:36" x14ac:dyDescent="0.45">
      <c r="A622" s="3" t="s">
        <v>124</v>
      </c>
      <c r="B622" s="5">
        <v>45445</v>
      </c>
      <c r="C622" s="5">
        <v>45451</v>
      </c>
      <c r="D622" s="5">
        <f t="shared" si="180"/>
        <v>45445</v>
      </c>
      <c r="E622" s="5">
        <f t="shared" si="181"/>
        <v>45451</v>
      </c>
      <c r="F622" s="7">
        <f t="shared" si="182"/>
        <v>6</v>
      </c>
      <c r="G622" s="23" t="str">
        <f t="shared" si="183"/>
        <v>6-2024</v>
      </c>
      <c r="H622" s="3" t="s">
        <v>646</v>
      </c>
      <c r="I622" s="3" t="s">
        <v>650</v>
      </c>
      <c r="J622" s="3" t="s">
        <v>662</v>
      </c>
      <c r="K622" s="3" t="s">
        <v>704</v>
      </c>
      <c r="L622" s="3" t="s">
        <v>709</v>
      </c>
      <c r="M622" s="3" t="s">
        <v>720</v>
      </c>
      <c r="N622" s="3" t="s">
        <v>733</v>
      </c>
      <c r="O622" s="3" t="s">
        <v>843</v>
      </c>
      <c r="P622" s="19">
        <v>292.94</v>
      </c>
      <c r="Q622" s="19">
        <v>356.55</v>
      </c>
      <c r="R622" s="15">
        <v>0.22900000000000001</v>
      </c>
      <c r="S622" s="7">
        <v>2</v>
      </c>
      <c r="T622" s="13">
        <f t="shared" si="171"/>
        <v>549.80010000000004</v>
      </c>
      <c r="U622" s="13">
        <f t="shared" si="172"/>
        <v>585.88</v>
      </c>
      <c r="V622" s="13">
        <f t="shared" si="184"/>
        <v>-36.079899999999952</v>
      </c>
      <c r="W622" s="15">
        <f t="shared" si="185"/>
        <v>-6.5623669402751925E-2</v>
      </c>
      <c r="X622" s="17" t="str">
        <f t="shared" si="186"/>
        <v>Q2-2024</v>
      </c>
      <c r="Y622" t="str">
        <f t="shared" si="187"/>
        <v>Africa → Kenya → Kisumu</v>
      </c>
      <c r="Z622" t="str">
        <f t="shared" si="188"/>
        <v>Low</v>
      </c>
      <c r="AA622">
        <f t="shared" si="173"/>
        <v>2024</v>
      </c>
      <c r="AB622">
        <f t="shared" si="174"/>
        <v>6</v>
      </c>
      <c r="AC622" t="str">
        <f t="shared" si="175"/>
        <v>Yes</v>
      </c>
      <c r="AD622" t="str">
        <f t="shared" si="176"/>
        <v>Yes</v>
      </c>
      <c r="AE622" s="36">
        <f>IF(Dashboard!$P$47&gt;'Staging Data'!R622,'Staging Data'!R622,Dashboard!$P$47)</f>
        <v>0.1</v>
      </c>
      <c r="AF622">
        <f>(100%+Dashboard!$P$48)*'Staging Data'!P622</f>
        <v>307.58699999999999</v>
      </c>
      <c r="AG622">
        <f>(100%+Dashboard!$P$49)*S622</f>
        <v>2.08</v>
      </c>
      <c r="AH622" s="13">
        <f t="shared" si="177"/>
        <v>667.46160000000009</v>
      </c>
      <c r="AI622" s="13">
        <f t="shared" si="178"/>
        <v>639.78096000000005</v>
      </c>
      <c r="AJ622" s="13">
        <f t="shared" si="179"/>
        <v>27.680640000000039</v>
      </c>
    </row>
    <row r="623" spans="1:36" x14ac:dyDescent="0.45">
      <c r="A623" s="3" t="s">
        <v>73</v>
      </c>
      <c r="B623" s="5">
        <v>45817</v>
      </c>
      <c r="C623" s="5">
        <v>45826</v>
      </c>
      <c r="D623" s="5">
        <f t="shared" si="180"/>
        <v>45817</v>
      </c>
      <c r="E623" s="5">
        <f t="shared" si="181"/>
        <v>45826</v>
      </c>
      <c r="F623" s="7">
        <f t="shared" si="182"/>
        <v>9</v>
      </c>
      <c r="G623" s="23" t="str">
        <f t="shared" si="183"/>
        <v>6-2025</v>
      </c>
      <c r="H623" s="3" t="s">
        <v>649</v>
      </c>
      <c r="I623" s="3" t="s">
        <v>657</v>
      </c>
      <c r="J623" s="3" t="s">
        <v>673</v>
      </c>
      <c r="K623" s="3" t="s">
        <v>705</v>
      </c>
      <c r="L623" s="3" t="s">
        <v>709</v>
      </c>
      <c r="M623" s="3" t="s">
        <v>722</v>
      </c>
      <c r="N623" s="3" t="s">
        <v>733</v>
      </c>
      <c r="O623" s="3" t="s">
        <v>792</v>
      </c>
      <c r="P623" s="19">
        <v>1225.5</v>
      </c>
      <c r="Q623" s="19">
        <v>5.27</v>
      </c>
      <c r="R623" s="15">
        <v>7.4999999999999997E-2</v>
      </c>
      <c r="S623" s="7">
        <v>56</v>
      </c>
      <c r="T623" s="13">
        <f t="shared" si="171"/>
        <v>272.98599999999999</v>
      </c>
      <c r="U623" s="13">
        <f t="shared" si="172"/>
        <v>68628</v>
      </c>
      <c r="V623" s="13">
        <f t="shared" si="184"/>
        <v>-68355.013999999996</v>
      </c>
      <c r="W623" s="15">
        <f t="shared" si="185"/>
        <v>-250.39750756449047</v>
      </c>
      <c r="X623" s="17" t="str">
        <f t="shared" si="186"/>
        <v>Q2-2025</v>
      </c>
      <c r="Y623" t="str">
        <f t="shared" si="187"/>
        <v>Europe → France → Marseille</v>
      </c>
      <c r="Z623" t="str">
        <f t="shared" si="188"/>
        <v>Low</v>
      </c>
      <c r="AA623">
        <f t="shared" si="173"/>
        <v>2025</v>
      </c>
      <c r="AB623">
        <f t="shared" si="174"/>
        <v>6</v>
      </c>
      <c r="AC623" t="str">
        <f t="shared" si="175"/>
        <v>No</v>
      </c>
      <c r="AD623" t="str">
        <f t="shared" si="176"/>
        <v>No</v>
      </c>
      <c r="AE623" s="36">
        <f>IF(Dashboard!$P$47&gt;'Staging Data'!R623,'Staging Data'!R623,Dashboard!$P$47)</f>
        <v>7.4999999999999997E-2</v>
      </c>
      <c r="AF623">
        <f>(100%+Dashboard!$P$48)*'Staging Data'!P623</f>
        <v>1286.7750000000001</v>
      </c>
      <c r="AG623">
        <f>(100%+Dashboard!$P$49)*S623</f>
        <v>58.24</v>
      </c>
      <c r="AH623" s="13">
        <f t="shared" si="177"/>
        <v>283.90544</v>
      </c>
      <c r="AI623" s="13">
        <f t="shared" si="178"/>
        <v>74941.776000000013</v>
      </c>
      <c r="AJ623" s="13">
        <f t="shared" si="179"/>
        <v>-74657.87056000001</v>
      </c>
    </row>
    <row r="624" spans="1:36" x14ac:dyDescent="0.45">
      <c r="A624" s="3" t="s">
        <v>636</v>
      </c>
      <c r="B624" s="5">
        <v>45501</v>
      </c>
      <c r="C624" s="5">
        <v>45527</v>
      </c>
      <c r="D624" s="5">
        <f t="shared" si="180"/>
        <v>45501</v>
      </c>
      <c r="E624" s="5">
        <f t="shared" si="181"/>
        <v>45527</v>
      </c>
      <c r="F624" s="7">
        <f t="shared" si="182"/>
        <v>26</v>
      </c>
      <c r="G624" s="23" t="str">
        <f t="shared" si="183"/>
        <v>7-2024</v>
      </c>
      <c r="H624" s="3" t="s">
        <v>647</v>
      </c>
      <c r="I624" s="3" t="s">
        <v>654</v>
      </c>
      <c r="J624" s="3" t="s">
        <v>696</v>
      </c>
      <c r="K624" s="3" t="s">
        <v>701</v>
      </c>
      <c r="L624" s="3" t="s">
        <v>707</v>
      </c>
      <c r="M624" s="3" t="s">
        <v>713</v>
      </c>
      <c r="N624" s="3" t="s">
        <v>729</v>
      </c>
      <c r="O624" s="3" t="s">
        <v>1354</v>
      </c>
      <c r="P624" s="19">
        <v>1339.24</v>
      </c>
      <c r="Q624" s="19">
        <v>1558.89</v>
      </c>
      <c r="R624" s="15">
        <v>0.192</v>
      </c>
      <c r="S624" s="7">
        <v>24</v>
      </c>
      <c r="T624" s="13">
        <f t="shared" si="171"/>
        <v>30229.994880000002</v>
      </c>
      <c r="U624" s="13">
        <f t="shared" si="172"/>
        <v>32141.760000000002</v>
      </c>
      <c r="V624" s="13">
        <f t="shared" si="184"/>
        <v>-1911.76512</v>
      </c>
      <c r="W624" s="15">
        <f t="shared" si="185"/>
        <v>-6.3240669659021781E-2</v>
      </c>
      <c r="X624" s="17" t="str">
        <f t="shared" si="186"/>
        <v>Q3-2024</v>
      </c>
      <c r="Y624" t="str">
        <f t="shared" si="187"/>
        <v>Asia → India → Hyderabad</v>
      </c>
      <c r="Z624" t="str">
        <f t="shared" si="188"/>
        <v>Medium</v>
      </c>
      <c r="AA624">
        <f t="shared" si="173"/>
        <v>2024</v>
      </c>
      <c r="AB624">
        <f t="shared" si="174"/>
        <v>7</v>
      </c>
      <c r="AC624" t="str">
        <f t="shared" si="175"/>
        <v>No</v>
      </c>
      <c r="AD624" t="str">
        <f t="shared" si="176"/>
        <v>No</v>
      </c>
      <c r="AE624" s="36">
        <f>IF(Dashboard!$P$47&gt;'Staging Data'!R624,'Staging Data'!R624,Dashboard!$P$47)</f>
        <v>0.1</v>
      </c>
      <c r="AF624">
        <f>(100%+Dashboard!$P$48)*'Staging Data'!P624</f>
        <v>1406.202</v>
      </c>
      <c r="AG624">
        <f>(100%+Dashboard!$P$49)*S624</f>
        <v>24.96</v>
      </c>
      <c r="AH624" s="13">
        <f t="shared" si="177"/>
        <v>35018.904960000007</v>
      </c>
      <c r="AI624" s="13">
        <f t="shared" si="178"/>
        <v>35098.801919999998</v>
      </c>
      <c r="AJ624" s="13">
        <f t="shared" si="179"/>
        <v>-79.896959999990941</v>
      </c>
    </row>
    <row r="625" spans="1:36" x14ac:dyDescent="0.45">
      <c r="A625" s="3" t="s">
        <v>195</v>
      </c>
      <c r="B625" s="5">
        <v>45915</v>
      </c>
      <c r="C625" s="5">
        <v>45918</v>
      </c>
      <c r="D625" s="5">
        <f t="shared" si="180"/>
        <v>45915</v>
      </c>
      <c r="E625" s="5">
        <f t="shared" si="181"/>
        <v>45918</v>
      </c>
      <c r="F625" s="7">
        <f t="shared" si="182"/>
        <v>3</v>
      </c>
      <c r="G625" s="23" t="str">
        <f t="shared" si="183"/>
        <v>9-2025</v>
      </c>
      <c r="H625" s="3" t="s">
        <v>648</v>
      </c>
      <c r="I625" s="3" t="s">
        <v>655</v>
      </c>
      <c r="J625" s="3" t="s">
        <v>692</v>
      </c>
      <c r="K625" s="3" t="s">
        <v>703</v>
      </c>
      <c r="L625" s="3" t="s">
        <v>711</v>
      </c>
      <c r="M625" s="3" t="s">
        <v>716</v>
      </c>
      <c r="N625" s="3" t="s">
        <v>733</v>
      </c>
      <c r="O625" s="3" t="s">
        <v>914</v>
      </c>
      <c r="P625" s="19">
        <v>5.5</v>
      </c>
      <c r="Q625" s="19">
        <v>5.92</v>
      </c>
      <c r="R625" s="15">
        <v>0.21199999999999999</v>
      </c>
      <c r="S625" s="7">
        <v>4</v>
      </c>
      <c r="T625" s="13">
        <f t="shared" si="171"/>
        <v>18.659839999999999</v>
      </c>
      <c r="U625" s="13">
        <f t="shared" si="172"/>
        <v>22</v>
      </c>
      <c r="V625" s="13">
        <f t="shared" si="184"/>
        <v>-3.3401600000000009</v>
      </c>
      <c r="W625" s="15">
        <f t="shared" si="185"/>
        <v>-0.17900260666758133</v>
      </c>
      <c r="X625" s="17" t="str">
        <f t="shared" si="186"/>
        <v>Q3-2025</v>
      </c>
      <c r="Y625" t="str">
        <f t="shared" si="187"/>
        <v>Americas → Brazil → Rio de Janeiro</v>
      </c>
      <c r="Z625" t="str">
        <f t="shared" si="188"/>
        <v>Low</v>
      </c>
      <c r="AA625">
        <f t="shared" si="173"/>
        <v>2025</v>
      </c>
      <c r="AB625">
        <f t="shared" si="174"/>
        <v>9</v>
      </c>
      <c r="AC625" t="str">
        <f t="shared" si="175"/>
        <v>Yes</v>
      </c>
      <c r="AD625" t="str">
        <f t="shared" si="176"/>
        <v>Yes</v>
      </c>
      <c r="AE625" s="36">
        <f>IF(Dashboard!$P$47&gt;'Staging Data'!R625,'Staging Data'!R625,Dashboard!$P$47)</f>
        <v>0.1</v>
      </c>
      <c r="AF625">
        <f>(100%+Dashboard!$P$48)*'Staging Data'!P625</f>
        <v>5.7750000000000004</v>
      </c>
      <c r="AG625">
        <f>(100%+Dashboard!$P$49)*S625</f>
        <v>4.16</v>
      </c>
      <c r="AH625" s="13">
        <f t="shared" si="177"/>
        <v>22.164480000000001</v>
      </c>
      <c r="AI625" s="13">
        <f t="shared" si="178"/>
        <v>24.024000000000001</v>
      </c>
      <c r="AJ625" s="13">
        <f t="shared" si="179"/>
        <v>-1.8595199999999998</v>
      </c>
    </row>
    <row r="626" spans="1:36" x14ac:dyDescent="0.45">
      <c r="A626" s="3" t="s">
        <v>638</v>
      </c>
      <c r="B626" s="5">
        <v>45141</v>
      </c>
      <c r="C626" s="5">
        <v>45140</v>
      </c>
      <c r="D626" s="5">
        <f t="shared" si="180"/>
        <v>45140</v>
      </c>
      <c r="E626" s="5">
        <f t="shared" si="181"/>
        <v>45141</v>
      </c>
      <c r="F626" s="7">
        <f t="shared" si="182"/>
        <v>1</v>
      </c>
      <c r="G626" s="23" t="str">
        <f t="shared" si="183"/>
        <v>8-2023</v>
      </c>
      <c r="H626" s="3" t="s">
        <v>647</v>
      </c>
      <c r="I626" s="3" t="s">
        <v>659</v>
      </c>
      <c r="J626" s="3" t="s">
        <v>685</v>
      </c>
      <c r="K626" s="3" t="s">
        <v>703</v>
      </c>
      <c r="L626" s="3" t="s">
        <v>711</v>
      </c>
      <c r="M626" s="3" t="s">
        <v>713</v>
      </c>
      <c r="N626" s="3" t="s">
        <v>729</v>
      </c>
      <c r="O626" s="3" t="s">
        <v>1356</v>
      </c>
      <c r="P626" s="19">
        <v>1021.97</v>
      </c>
      <c r="Q626" s="19">
        <v>2296.25</v>
      </c>
      <c r="R626" s="15">
        <v>0.161</v>
      </c>
      <c r="S626" s="7">
        <v>26</v>
      </c>
      <c r="T626" s="13">
        <f t="shared" si="171"/>
        <v>50090.397499999999</v>
      </c>
      <c r="U626" s="13">
        <f t="shared" si="172"/>
        <v>26571.22</v>
      </c>
      <c r="V626" s="13">
        <f t="shared" si="184"/>
        <v>23519.177499999998</v>
      </c>
      <c r="W626" s="15">
        <f t="shared" si="185"/>
        <v>0.46953465482081669</v>
      </c>
      <c r="X626" s="17" t="str">
        <f t="shared" si="186"/>
        <v>Q3-2023</v>
      </c>
      <c r="Y626" t="str">
        <f t="shared" si="187"/>
        <v>Asia → China → Shanghai</v>
      </c>
      <c r="Z626" t="str">
        <f t="shared" si="188"/>
        <v>High</v>
      </c>
      <c r="AA626">
        <f t="shared" si="173"/>
        <v>2023</v>
      </c>
      <c r="AB626">
        <f t="shared" si="174"/>
        <v>8</v>
      </c>
      <c r="AC626" t="str">
        <f t="shared" si="175"/>
        <v>Yes</v>
      </c>
      <c r="AD626" t="str">
        <f t="shared" si="176"/>
        <v>No</v>
      </c>
      <c r="AE626" s="36">
        <f>IF(Dashboard!$P$47&gt;'Staging Data'!R626,'Staging Data'!R626,Dashboard!$P$47)</f>
        <v>0.1</v>
      </c>
      <c r="AF626">
        <f>(100%+Dashboard!$P$48)*'Staging Data'!P626</f>
        <v>1073.0685000000001</v>
      </c>
      <c r="AG626">
        <f>(100%+Dashboard!$P$49)*S626</f>
        <v>27.04</v>
      </c>
      <c r="AH626" s="13">
        <f t="shared" si="177"/>
        <v>55881.54</v>
      </c>
      <c r="AI626" s="13">
        <f t="shared" si="178"/>
        <v>29015.772240000002</v>
      </c>
      <c r="AJ626" s="13">
        <f t="shared" si="179"/>
        <v>26865.767759999999</v>
      </c>
    </row>
    <row r="627" spans="1:36" x14ac:dyDescent="0.45">
      <c r="A627" s="3" t="s">
        <v>639</v>
      </c>
      <c r="B627" s="5">
        <v>45249</v>
      </c>
      <c r="C627" s="5">
        <v>45272</v>
      </c>
      <c r="D627" s="5">
        <f t="shared" si="180"/>
        <v>45249</v>
      </c>
      <c r="E627" s="5">
        <f t="shared" si="181"/>
        <v>45272</v>
      </c>
      <c r="F627" s="7">
        <f t="shared" si="182"/>
        <v>23</v>
      </c>
      <c r="G627" s="23" t="str">
        <f t="shared" si="183"/>
        <v>11-2023</v>
      </c>
      <c r="H627" s="3" t="s">
        <v>647</v>
      </c>
      <c r="I627" s="3" t="s">
        <v>654</v>
      </c>
      <c r="J627" s="3" t="s">
        <v>680</v>
      </c>
      <c r="K627" s="3" t="s">
        <v>705</v>
      </c>
      <c r="L627" s="3" t="s">
        <v>711</v>
      </c>
      <c r="M627" s="3" t="s">
        <v>712</v>
      </c>
      <c r="N627" s="3" t="s">
        <v>729</v>
      </c>
      <c r="O627" s="3" t="s">
        <v>1357</v>
      </c>
      <c r="P627" s="19">
        <v>1349.04</v>
      </c>
      <c r="Q627" s="19">
        <v>2636.6</v>
      </c>
      <c r="R627" s="15">
        <v>0.114</v>
      </c>
      <c r="S627" s="7">
        <v>14</v>
      </c>
      <c r="T627" s="13">
        <f t="shared" si="171"/>
        <v>32704.386400000003</v>
      </c>
      <c r="U627" s="13">
        <f t="shared" si="172"/>
        <v>18886.559999999998</v>
      </c>
      <c r="V627" s="13">
        <f t="shared" si="184"/>
        <v>13817.826400000005</v>
      </c>
      <c r="W627" s="15">
        <f t="shared" si="185"/>
        <v>0.42250682312143928</v>
      </c>
      <c r="X627" s="17" t="str">
        <f t="shared" si="186"/>
        <v>Q4-2023</v>
      </c>
      <c r="Y627" t="str">
        <f t="shared" si="187"/>
        <v>Asia → India → Delhi</v>
      </c>
      <c r="Z627" t="str">
        <f t="shared" si="188"/>
        <v>High</v>
      </c>
      <c r="AA627">
        <f t="shared" si="173"/>
        <v>2023</v>
      </c>
      <c r="AB627">
        <f t="shared" si="174"/>
        <v>11</v>
      </c>
      <c r="AC627" t="str">
        <f t="shared" si="175"/>
        <v>No</v>
      </c>
      <c r="AD627" t="str">
        <f t="shared" si="176"/>
        <v>No</v>
      </c>
      <c r="AE627" s="36">
        <f>IF(Dashboard!$P$47&gt;'Staging Data'!R627,'Staging Data'!R627,Dashboard!$P$47)</f>
        <v>0.1</v>
      </c>
      <c r="AF627">
        <f>(100%+Dashboard!$P$48)*'Staging Data'!P627</f>
        <v>1416.492</v>
      </c>
      <c r="AG627">
        <f>(100%+Dashboard!$P$49)*S627</f>
        <v>14.56</v>
      </c>
      <c r="AH627" s="13">
        <f t="shared" si="177"/>
        <v>34550.006399999998</v>
      </c>
      <c r="AI627" s="13">
        <f t="shared" si="178"/>
        <v>20624.123520000001</v>
      </c>
      <c r="AJ627" s="13">
        <f t="shared" si="179"/>
        <v>13925.882879999997</v>
      </c>
    </row>
    <row r="628" spans="1:36" x14ac:dyDescent="0.45">
      <c r="A628" s="3" t="s">
        <v>640</v>
      </c>
      <c r="B628" s="5">
        <v>45282</v>
      </c>
      <c r="C628" s="5">
        <v>45307</v>
      </c>
      <c r="D628" s="5">
        <f t="shared" si="180"/>
        <v>45282</v>
      </c>
      <c r="E628" s="5">
        <f t="shared" si="181"/>
        <v>45307</v>
      </c>
      <c r="F628" s="7">
        <f t="shared" si="182"/>
        <v>25</v>
      </c>
      <c r="G628" s="23" t="str">
        <f t="shared" si="183"/>
        <v>12-2023</v>
      </c>
      <c r="H628" s="3" t="s">
        <v>647</v>
      </c>
      <c r="I628" s="3" t="s">
        <v>654</v>
      </c>
      <c r="J628" s="3" t="s">
        <v>696</v>
      </c>
      <c r="K628" s="3" t="s">
        <v>705</v>
      </c>
      <c r="L628" s="3" t="s">
        <v>707</v>
      </c>
      <c r="M628" s="3" t="s">
        <v>720</v>
      </c>
      <c r="N628" s="3" t="s">
        <v>727</v>
      </c>
      <c r="O628" s="3" t="s">
        <v>1358</v>
      </c>
      <c r="P628" s="19">
        <v>1346.81</v>
      </c>
      <c r="Q628" s="19">
        <v>978.09</v>
      </c>
      <c r="R628" s="15">
        <v>0.159</v>
      </c>
      <c r="S628" s="7">
        <v>17</v>
      </c>
      <c r="T628" s="13">
        <f t="shared" si="171"/>
        <v>13983.752729999998</v>
      </c>
      <c r="U628" s="13">
        <f t="shared" si="172"/>
        <v>22895.77</v>
      </c>
      <c r="V628" s="13">
        <f t="shared" si="184"/>
        <v>-8912.0172700000021</v>
      </c>
      <c r="W628" s="15">
        <f t="shared" si="185"/>
        <v>-0.6373122753293996</v>
      </c>
      <c r="X628" s="17" t="str">
        <f t="shared" si="186"/>
        <v>Q4-2023</v>
      </c>
      <c r="Y628" t="str">
        <f t="shared" si="187"/>
        <v>Asia → India → Hyderabad</v>
      </c>
      <c r="Z628" t="str">
        <f t="shared" si="188"/>
        <v>Low</v>
      </c>
      <c r="AA628">
        <f t="shared" si="173"/>
        <v>2023</v>
      </c>
      <c r="AB628">
        <f t="shared" si="174"/>
        <v>12</v>
      </c>
      <c r="AC628" t="str">
        <f t="shared" si="175"/>
        <v>No</v>
      </c>
      <c r="AD628" t="str">
        <f t="shared" si="176"/>
        <v>No</v>
      </c>
      <c r="AE628" s="36">
        <f>IF(Dashboard!$P$47&gt;'Staging Data'!R628,'Staging Data'!R628,Dashboard!$P$47)</f>
        <v>0.1</v>
      </c>
      <c r="AF628">
        <f>(100%+Dashboard!$P$48)*'Staging Data'!P628</f>
        <v>1414.1505</v>
      </c>
      <c r="AG628">
        <f>(100%+Dashboard!$P$49)*S628</f>
        <v>17.68</v>
      </c>
      <c r="AH628" s="13">
        <f t="shared" si="177"/>
        <v>15563.36808</v>
      </c>
      <c r="AI628" s="13">
        <f t="shared" si="178"/>
        <v>25002.180839999997</v>
      </c>
      <c r="AJ628" s="13">
        <f t="shared" si="179"/>
        <v>-9438.8127599999971</v>
      </c>
    </row>
    <row r="629" spans="1:36" x14ac:dyDescent="0.45">
      <c r="A629" s="3" t="s">
        <v>641</v>
      </c>
      <c r="B629" s="5">
        <v>45141</v>
      </c>
      <c r="C629" s="5">
        <v>45168</v>
      </c>
      <c r="D629" s="5">
        <f t="shared" si="180"/>
        <v>45141</v>
      </c>
      <c r="E629" s="5">
        <f t="shared" si="181"/>
        <v>45168</v>
      </c>
      <c r="F629" s="7">
        <f t="shared" si="182"/>
        <v>27</v>
      </c>
      <c r="G629" s="23" t="str">
        <f t="shared" si="183"/>
        <v>8-2023</v>
      </c>
      <c r="H629" s="3" t="s">
        <v>647</v>
      </c>
      <c r="I629" s="3" t="s">
        <v>659</v>
      </c>
      <c r="J629" s="3" t="s">
        <v>685</v>
      </c>
      <c r="K629" s="3" t="s">
        <v>704</v>
      </c>
      <c r="L629" s="3" t="s">
        <v>710</v>
      </c>
      <c r="M629" s="3" t="s">
        <v>725</v>
      </c>
      <c r="N629" s="3" t="s">
        <v>732</v>
      </c>
      <c r="O629" s="3" t="s">
        <v>1359</v>
      </c>
      <c r="P629" s="19">
        <v>226.04</v>
      </c>
      <c r="Q629" s="19">
        <v>545.72</v>
      </c>
      <c r="R629" s="15">
        <v>0.151</v>
      </c>
      <c r="S629" s="7">
        <v>11</v>
      </c>
      <c r="T629" s="13">
        <f t="shared" si="171"/>
        <v>5096.4790800000001</v>
      </c>
      <c r="U629" s="13">
        <f t="shared" si="172"/>
        <v>2486.44</v>
      </c>
      <c r="V629" s="13">
        <f t="shared" si="184"/>
        <v>2610.03908</v>
      </c>
      <c r="W629" s="15">
        <f t="shared" si="185"/>
        <v>0.51212592831834014</v>
      </c>
      <c r="X629" s="17" t="str">
        <f t="shared" si="186"/>
        <v>Q3-2023</v>
      </c>
      <c r="Y629" t="str">
        <f t="shared" si="187"/>
        <v>Asia → China → Shanghai</v>
      </c>
      <c r="Z629" t="str">
        <f t="shared" si="188"/>
        <v>Low</v>
      </c>
      <c r="AA629">
        <f t="shared" si="173"/>
        <v>2023</v>
      </c>
      <c r="AB629">
        <f t="shared" si="174"/>
        <v>8</v>
      </c>
      <c r="AC629" t="str">
        <f t="shared" si="175"/>
        <v>No</v>
      </c>
      <c r="AD629" t="str">
        <f t="shared" si="176"/>
        <v>No</v>
      </c>
      <c r="AE629" s="36">
        <f>IF(Dashboard!$P$47&gt;'Staging Data'!R629,'Staging Data'!R629,Dashboard!$P$47)</f>
        <v>0.1</v>
      </c>
      <c r="AF629">
        <f>(100%+Dashboard!$P$48)*'Staging Data'!P629</f>
        <v>237.34200000000001</v>
      </c>
      <c r="AG629">
        <f>(100%+Dashboard!$P$49)*S629</f>
        <v>11.440000000000001</v>
      </c>
      <c r="AH629" s="13">
        <f t="shared" si="177"/>
        <v>5618.7331200000008</v>
      </c>
      <c r="AI629" s="13">
        <f t="shared" si="178"/>
        <v>2715.1924800000006</v>
      </c>
      <c r="AJ629" s="13">
        <f t="shared" si="179"/>
        <v>2903.5406400000002</v>
      </c>
    </row>
    <row r="630" spans="1:36" x14ac:dyDescent="0.45">
      <c r="A630" s="3" t="s">
        <v>642</v>
      </c>
      <c r="B630" s="5">
        <v>45100</v>
      </c>
      <c r="C630" s="5">
        <v>45125</v>
      </c>
      <c r="D630" s="5">
        <f t="shared" si="180"/>
        <v>45100</v>
      </c>
      <c r="E630" s="5">
        <f t="shared" si="181"/>
        <v>45125</v>
      </c>
      <c r="F630" s="7">
        <f t="shared" si="182"/>
        <v>25</v>
      </c>
      <c r="G630" s="23" t="str">
        <f t="shared" si="183"/>
        <v>6-2023</v>
      </c>
      <c r="H630" s="3" t="s">
        <v>648</v>
      </c>
      <c r="I630" s="3" t="s">
        <v>653</v>
      </c>
      <c r="J630" s="3" t="s">
        <v>688</v>
      </c>
      <c r="K630" s="3" t="s">
        <v>706</v>
      </c>
      <c r="L630" s="3" t="s">
        <v>708</v>
      </c>
      <c r="M630" s="3" t="s">
        <v>725</v>
      </c>
      <c r="N630" s="3" t="s">
        <v>730</v>
      </c>
      <c r="O630" s="3" t="s">
        <v>1360</v>
      </c>
      <c r="P630" s="19">
        <v>807.02</v>
      </c>
      <c r="Q630" s="19">
        <v>1435.54</v>
      </c>
      <c r="R630" s="15">
        <v>0</v>
      </c>
      <c r="S630" s="7">
        <v>23</v>
      </c>
      <c r="T630" s="13">
        <f t="shared" si="171"/>
        <v>33017.42</v>
      </c>
      <c r="U630" s="13">
        <f t="shared" si="172"/>
        <v>18561.46</v>
      </c>
      <c r="V630" s="13">
        <f t="shared" si="184"/>
        <v>14455.96</v>
      </c>
      <c r="W630" s="15">
        <f t="shared" si="185"/>
        <v>0.43782827368098415</v>
      </c>
      <c r="X630" s="17" t="str">
        <f t="shared" si="186"/>
        <v>Q2-2023</v>
      </c>
      <c r="Y630" t="str">
        <f t="shared" si="187"/>
        <v>Americas → Canada → Vancouver</v>
      </c>
      <c r="Z630" t="str">
        <f t="shared" si="188"/>
        <v>Medium</v>
      </c>
      <c r="AA630">
        <f t="shared" si="173"/>
        <v>2023</v>
      </c>
      <c r="AB630">
        <f t="shared" si="174"/>
        <v>6</v>
      </c>
      <c r="AC630" t="str">
        <f t="shared" si="175"/>
        <v>No</v>
      </c>
      <c r="AD630" t="str">
        <f t="shared" si="176"/>
        <v>No</v>
      </c>
      <c r="AE630" s="36">
        <f>IF(Dashboard!$P$47&gt;'Staging Data'!R630,'Staging Data'!R630,Dashboard!$P$47)</f>
        <v>0</v>
      </c>
      <c r="AF630">
        <f>(100%+Dashboard!$P$48)*'Staging Data'!P630</f>
        <v>847.37099999999998</v>
      </c>
      <c r="AG630">
        <f>(100%+Dashboard!$P$49)*S630</f>
        <v>23.92</v>
      </c>
      <c r="AH630" s="13">
        <f t="shared" si="177"/>
        <v>34338.116800000003</v>
      </c>
      <c r="AI630" s="13">
        <f t="shared" si="178"/>
        <v>20269.114320000001</v>
      </c>
      <c r="AJ630" s="13">
        <f t="shared" si="179"/>
        <v>14069.002480000003</v>
      </c>
    </row>
    <row r="631" spans="1:36" x14ac:dyDescent="0.45">
      <c r="A631" s="3" t="s">
        <v>643</v>
      </c>
      <c r="B631" s="5">
        <v>45267</v>
      </c>
      <c r="C631" s="5">
        <v>45293</v>
      </c>
      <c r="D631" s="5">
        <f t="shared" si="180"/>
        <v>45267</v>
      </c>
      <c r="E631" s="5">
        <f t="shared" si="181"/>
        <v>45293</v>
      </c>
      <c r="F631" s="7">
        <f t="shared" si="182"/>
        <v>26</v>
      </c>
      <c r="G631" s="23" t="str">
        <f t="shared" si="183"/>
        <v>12-2023</v>
      </c>
      <c r="H631" s="3" t="s">
        <v>649</v>
      </c>
      <c r="I631" s="3" t="s">
        <v>656</v>
      </c>
      <c r="J631" s="3" t="s">
        <v>698</v>
      </c>
      <c r="K631" s="3" t="s">
        <v>706</v>
      </c>
      <c r="L631" s="3" t="s">
        <v>710</v>
      </c>
      <c r="M631" s="3" t="s">
        <v>718</v>
      </c>
      <c r="N631" s="3" t="s">
        <v>727</v>
      </c>
      <c r="O631" s="3" t="s">
        <v>1361</v>
      </c>
      <c r="P631" s="19">
        <v>1071.99</v>
      </c>
      <c r="Q631" s="19">
        <v>2397.3000000000002</v>
      </c>
      <c r="R631" s="15">
        <v>6.2E-2</v>
      </c>
      <c r="S631" s="7">
        <v>18</v>
      </c>
      <c r="T631" s="13">
        <f t="shared" si="171"/>
        <v>40476.013200000001</v>
      </c>
      <c r="U631" s="13">
        <f t="shared" si="172"/>
        <v>19295.82</v>
      </c>
      <c r="V631" s="13">
        <f t="shared" si="184"/>
        <v>21180.193200000002</v>
      </c>
      <c r="W631" s="15">
        <f t="shared" si="185"/>
        <v>0.52327765324476183</v>
      </c>
      <c r="X631" s="17" t="str">
        <f t="shared" si="186"/>
        <v>Q4-2023</v>
      </c>
      <c r="Y631" t="str">
        <f t="shared" si="187"/>
        <v>Europe → Germany → Frankfurt</v>
      </c>
      <c r="Z631" t="str">
        <f t="shared" si="188"/>
        <v>High</v>
      </c>
      <c r="AA631">
        <f t="shared" si="173"/>
        <v>2023</v>
      </c>
      <c r="AB631">
        <f t="shared" si="174"/>
        <v>12</v>
      </c>
      <c r="AC631" t="str">
        <f t="shared" si="175"/>
        <v>No</v>
      </c>
      <c r="AD631" t="str">
        <f t="shared" si="176"/>
        <v>No</v>
      </c>
      <c r="AE631" s="36">
        <f>IF(Dashboard!$P$47&gt;'Staging Data'!R631,'Staging Data'!R631,Dashboard!$P$47)</f>
        <v>6.2E-2</v>
      </c>
      <c r="AF631">
        <f>(100%+Dashboard!$P$48)*'Staging Data'!P631</f>
        <v>1125.5895</v>
      </c>
      <c r="AG631">
        <f>(100%+Dashboard!$P$49)*S631</f>
        <v>18.72</v>
      </c>
      <c r="AH631" s="13">
        <f t="shared" si="177"/>
        <v>42095.053727999999</v>
      </c>
      <c r="AI631" s="13">
        <f t="shared" si="178"/>
        <v>21071.03544</v>
      </c>
      <c r="AJ631" s="13">
        <f t="shared" si="179"/>
        <v>21024.018287999999</v>
      </c>
    </row>
    <row r="632" spans="1:36" x14ac:dyDescent="0.45">
      <c r="A632" s="3" t="s">
        <v>644</v>
      </c>
      <c r="B632" s="5">
        <v>45249</v>
      </c>
      <c r="C632" s="5">
        <v>45279</v>
      </c>
      <c r="D632" s="5">
        <f t="shared" si="180"/>
        <v>45249</v>
      </c>
      <c r="E632" s="5">
        <f t="shared" si="181"/>
        <v>45279</v>
      </c>
      <c r="F632" s="7">
        <f t="shared" si="182"/>
        <v>30</v>
      </c>
      <c r="G632" s="23" t="str">
        <f t="shared" si="183"/>
        <v>11-2023</v>
      </c>
      <c r="H632" s="3" t="s">
        <v>647</v>
      </c>
      <c r="I632" s="3" t="s">
        <v>652</v>
      </c>
      <c r="J632" s="3" t="s">
        <v>694</v>
      </c>
      <c r="K632" s="3" t="s">
        <v>704</v>
      </c>
      <c r="L632" s="3" t="s">
        <v>707</v>
      </c>
      <c r="M632" s="3" t="s">
        <v>1424</v>
      </c>
      <c r="N632" s="3" t="s">
        <v>730</v>
      </c>
      <c r="O632" s="3" t="s">
        <v>1362</v>
      </c>
      <c r="P632" s="19">
        <v>807.11</v>
      </c>
      <c r="Q632" s="19">
        <v>1853.86</v>
      </c>
      <c r="R632" s="15">
        <v>0.13900000000000001</v>
      </c>
      <c r="S632" s="7">
        <v>8</v>
      </c>
      <c r="T632" s="13">
        <f t="shared" si="171"/>
        <v>12769.38768</v>
      </c>
      <c r="U632" s="13">
        <f t="shared" si="172"/>
        <v>6456.88</v>
      </c>
      <c r="V632" s="13">
        <f t="shared" si="184"/>
        <v>6312.5076799999997</v>
      </c>
      <c r="W632" s="15">
        <f t="shared" si="185"/>
        <v>0.49434693645388639</v>
      </c>
      <c r="X632" s="17" t="str">
        <f t="shared" si="186"/>
        <v>Q4-2023</v>
      </c>
      <c r="Y632" t="str">
        <f t="shared" si="187"/>
        <v>Asia → Japan → Nagoya</v>
      </c>
      <c r="Z632" t="str">
        <f t="shared" si="188"/>
        <v>Medium</v>
      </c>
      <c r="AA632">
        <f t="shared" si="173"/>
        <v>2023</v>
      </c>
      <c r="AB632">
        <f t="shared" si="174"/>
        <v>11</v>
      </c>
      <c r="AC632" t="str">
        <f t="shared" si="175"/>
        <v>No</v>
      </c>
      <c r="AD632" t="str">
        <f t="shared" si="176"/>
        <v>No</v>
      </c>
      <c r="AE632" s="36">
        <f>IF(Dashboard!$P$47&gt;'Staging Data'!R632,'Staging Data'!R632,Dashboard!$P$47)</f>
        <v>0.1</v>
      </c>
      <c r="AF632">
        <f>(100%+Dashboard!$P$48)*'Staging Data'!P632</f>
        <v>847.46550000000002</v>
      </c>
      <c r="AG632">
        <f>(100%+Dashboard!$P$49)*S632</f>
        <v>8.32</v>
      </c>
      <c r="AH632" s="13">
        <f t="shared" si="177"/>
        <v>13881.703680000001</v>
      </c>
      <c r="AI632" s="13">
        <f t="shared" si="178"/>
        <v>7050.9129600000006</v>
      </c>
      <c r="AJ632" s="13">
        <f t="shared" si="179"/>
        <v>6830.79072</v>
      </c>
    </row>
    <row r="633" spans="1:36" x14ac:dyDescent="0.45">
      <c r="A633" s="3" t="s">
        <v>645</v>
      </c>
      <c r="B633" s="5">
        <v>45716</v>
      </c>
      <c r="C633" s="5">
        <v>45726</v>
      </c>
      <c r="D633" s="5">
        <f t="shared" si="180"/>
        <v>45716</v>
      </c>
      <c r="E633" s="5">
        <f t="shared" si="181"/>
        <v>45726</v>
      </c>
      <c r="F633" s="7">
        <f t="shared" si="182"/>
        <v>10</v>
      </c>
      <c r="G633" s="23" t="str">
        <f t="shared" si="183"/>
        <v>2-2025</v>
      </c>
      <c r="H633" s="3" t="s">
        <v>647</v>
      </c>
      <c r="I633" s="3" t="s">
        <v>652</v>
      </c>
      <c r="J633" s="3" t="s">
        <v>666</v>
      </c>
      <c r="K633" s="3" t="s">
        <v>702</v>
      </c>
      <c r="L633" s="3" t="s">
        <v>710</v>
      </c>
      <c r="M633" s="3" t="s">
        <v>725</v>
      </c>
      <c r="N633" s="3" t="s">
        <v>731</v>
      </c>
      <c r="O633" s="3" t="s">
        <v>1363</v>
      </c>
      <c r="P633" s="19">
        <v>51.86</v>
      </c>
      <c r="Q633" s="19">
        <v>45.98</v>
      </c>
      <c r="R633" s="15">
        <v>0.17299999999999999</v>
      </c>
      <c r="S633" s="7">
        <v>7</v>
      </c>
      <c r="T633" s="13">
        <f t="shared" si="171"/>
        <v>266.17821999999995</v>
      </c>
      <c r="U633" s="13">
        <f t="shared" si="172"/>
        <v>363.02</v>
      </c>
      <c r="V633" s="13">
        <f t="shared" si="184"/>
        <v>-96.841780000000028</v>
      </c>
      <c r="W633" s="15">
        <f t="shared" si="185"/>
        <v>-0.3638230806412337</v>
      </c>
      <c r="X633" s="17" t="str">
        <f t="shared" si="186"/>
        <v>Q1-2025</v>
      </c>
      <c r="Y633" t="str">
        <f t="shared" si="187"/>
        <v>Asia → Japan → Osaka</v>
      </c>
      <c r="Z633" t="str">
        <f t="shared" si="188"/>
        <v>Low</v>
      </c>
      <c r="AA633">
        <f t="shared" si="173"/>
        <v>2025</v>
      </c>
      <c r="AB633">
        <f t="shared" si="174"/>
        <v>2</v>
      </c>
      <c r="AC633" t="str">
        <f t="shared" si="175"/>
        <v>No</v>
      </c>
      <c r="AD633" t="str">
        <f t="shared" si="176"/>
        <v>No</v>
      </c>
      <c r="AE633" s="36">
        <f>IF(Dashboard!$P$47&gt;'Staging Data'!R633,'Staging Data'!R633,Dashboard!$P$47)</f>
        <v>0.1</v>
      </c>
      <c r="AF633">
        <f>(100%+Dashboard!$P$48)*'Staging Data'!P633</f>
        <v>54.453000000000003</v>
      </c>
      <c r="AG633">
        <f>(100%+Dashboard!$P$49)*S633</f>
        <v>7.28</v>
      </c>
      <c r="AH633" s="13">
        <f t="shared" si="177"/>
        <v>301.26096000000001</v>
      </c>
      <c r="AI633" s="13">
        <f t="shared" si="178"/>
        <v>396.41784000000001</v>
      </c>
      <c r="AJ633" s="13">
        <f t="shared" si="179"/>
        <v>-95.156880000000001</v>
      </c>
    </row>
  </sheetData>
  <sortState ref="A12:Z641">
    <sortCondition descending="1" ref="T1"/>
  </sortState>
  <conditionalFormatting sqref="A1:A1048576">
    <cfRule type="duplicateValues" dxfId="136" priority="6"/>
  </conditionalFormatting>
  <conditionalFormatting sqref="O1:O1048576">
    <cfRule type="duplicateValues" dxfId="135" priority="5"/>
  </conditionalFormatting>
  <conditionalFormatting sqref="P1:P1048576">
    <cfRule type="cellIs" dxfId="134" priority="2" operator="lessThan">
      <formula>0</formula>
    </cfRule>
    <cfRule type="cellIs" dxfId="133" priority="3" operator="lessThan">
      <formula>0</formula>
    </cfRule>
  </conditionalFormatting>
  <conditionalFormatting sqref="Q1:Q1048576">
    <cfRule type="cellIs" dxfId="132" priority="1" operator="lessThan">
      <formula>0</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
  <sheetViews>
    <sheetView tabSelected="1" zoomScale="82" workbookViewId="0">
      <selection activeCell="A18" sqref="A18"/>
    </sheetView>
  </sheetViews>
  <sheetFormatPr defaultRowHeight="14.25" x14ac:dyDescent="0.45"/>
  <sheetData>
    <row r="1" spans="1:1" x14ac:dyDescent="0.45">
      <c r="A1" t="s">
        <v>1431</v>
      </c>
    </row>
    <row r="2" spans="1:1" x14ac:dyDescent="0.45">
      <c r="A2" t="s">
        <v>1432</v>
      </c>
    </row>
    <row r="3" spans="1:1" x14ac:dyDescent="0.45">
      <c r="A3" t="s">
        <v>1433</v>
      </c>
    </row>
    <row r="4" spans="1:1" x14ac:dyDescent="0.45">
      <c r="A4" t="s">
        <v>1434</v>
      </c>
    </row>
    <row r="5" spans="1:1" x14ac:dyDescent="0.45">
      <c r="A5" t="s">
        <v>1440</v>
      </c>
    </row>
    <row r="6" spans="1:1" x14ac:dyDescent="0.45">
      <c r="A6" t="s">
        <v>1438</v>
      </c>
    </row>
    <row r="7" spans="1:1" x14ac:dyDescent="0.45">
      <c r="A7" t="s">
        <v>1445</v>
      </c>
    </row>
    <row r="8" spans="1:1" x14ac:dyDescent="0.45">
      <c r="A8" t="s">
        <v>1451</v>
      </c>
    </row>
    <row r="9" spans="1:1" x14ac:dyDescent="0.45">
      <c r="A9" t="s">
        <v>1455</v>
      </c>
    </row>
    <row r="10" spans="1:1" x14ac:dyDescent="0.45">
      <c r="A10" t="s">
        <v>1460</v>
      </c>
    </row>
    <row r="11" spans="1:1" x14ac:dyDescent="0.45">
      <c r="A11" t="s">
        <v>1461</v>
      </c>
    </row>
    <row r="12" spans="1:1" x14ac:dyDescent="0.45">
      <c r="A12" t="s">
        <v>1514</v>
      </c>
    </row>
    <row r="14" spans="1:1" x14ac:dyDescent="0.45">
      <c r="A14" t="s">
        <v>1515</v>
      </c>
    </row>
    <row r="15" spans="1:1" x14ac:dyDescent="0.45">
      <c r="A15" t="s">
        <v>1516</v>
      </c>
    </row>
    <row r="16" spans="1:1" x14ac:dyDescent="0.45">
      <c r="A16" t="s">
        <v>1517</v>
      </c>
    </row>
    <row r="17" spans="1:1" x14ac:dyDescent="0.45">
      <c r="A17" t="s">
        <v>1518</v>
      </c>
    </row>
    <row r="18" spans="1:1" x14ac:dyDescent="0.45">
      <c r="A18" t="s">
        <v>1519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opLeftCell="A46" workbookViewId="0">
      <selection activeCell="A45" sqref="A45:A47"/>
    </sheetView>
  </sheetViews>
  <sheetFormatPr defaultRowHeight="14.25" x14ac:dyDescent="0.45"/>
  <sheetData>
    <row r="1" spans="1:1" x14ac:dyDescent="0.45">
      <c r="A1" s="1" t="s">
        <v>1364</v>
      </c>
    </row>
    <row r="2" spans="1:1" x14ac:dyDescent="0.45">
      <c r="A2" t="s">
        <v>1365</v>
      </c>
    </row>
    <row r="4" spans="1:1" x14ac:dyDescent="0.45">
      <c r="A4" t="s">
        <v>1366</v>
      </c>
    </row>
    <row r="5" spans="1:1" x14ac:dyDescent="0.45">
      <c r="A5" t="s">
        <v>1367</v>
      </c>
    </row>
    <row r="6" spans="1:1" x14ac:dyDescent="0.45">
      <c r="A6" t="s">
        <v>1368</v>
      </c>
    </row>
    <row r="8" spans="1:1" x14ac:dyDescent="0.45">
      <c r="A8" t="s">
        <v>1369</v>
      </c>
    </row>
    <row r="9" spans="1:1" x14ac:dyDescent="0.45">
      <c r="A9" t="s">
        <v>1370</v>
      </c>
    </row>
    <row r="10" spans="1:1" x14ac:dyDescent="0.45">
      <c r="A10" t="s">
        <v>1371</v>
      </c>
    </row>
    <row r="11" spans="1:1" x14ac:dyDescent="0.45">
      <c r="A11" t="s">
        <v>1372</v>
      </c>
    </row>
    <row r="12" spans="1:1" x14ac:dyDescent="0.45">
      <c r="A12" t="s">
        <v>1373</v>
      </c>
    </row>
    <row r="13" spans="1:1" x14ac:dyDescent="0.45">
      <c r="A13" t="s">
        <v>1374</v>
      </c>
    </row>
    <row r="14" spans="1:1" x14ac:dyDescent="0.45">
      <c r="A14" t="s">
        <v>1375</v>
      </c>
    </row>
    <row r="15" spans="1:1" x14ac:dyDescent="0.45">
      <c r="A15" t="s">
        <v>1376</v>
      </c>
    </row>
    <row r="17" spans="1:1" x14ac:dyDescent="0.45">
      <c r="A17" t="s">
        <v>1377</v>
      </c>
    </row>
    <row r="18" spans="1:1" x14ac:dyDescent="0.45">
      <c r="A18" t="s">
        <v>1378</v>
      </c>
    </row>
    <row r="19" spans="1:1" x14ac:dyDescent="0.45">
      <c r="A19" t="s">
        <v>1379</v>
      </c>
    </row>
    <row r="20" spans="1:1" x14ac:dyDescent="0.45">
      <c r="A20" t="s">
        <v>1380</v>
      </c>
    </row>
    <row r="21" spans="1:1" x14ac:dyDescent="0.45">
      <c r="A21" t="s">
        <v>1381</v>
      </c>
    </row>
    <row r="23" spans="1:1" x14ac:dyDescent="0.45">
      <c r="A23" t="s">
        <v>1382</v>
      </c>
    </row>
    <row r="24" spans="1:1" x14ac:dyDescent="0.45">
      <c r="A24" t="s">
        <v>1383</v>
      </c>
    </row>
    <row r="25" spans="1:1" x14ac:dyDescent="0.45">
      <c r="A25" t="s">
        <v>1384</v>
      </c>
    </row>
    <row r="26" spans="1:1" x14ac:dyDescent="0.45">
      <c r="A26" t="s">
        <v>1385</v>
      </c>
    </row>
    <row r="27" spans="1:1" x14ac:dyDescent="0.45">
      <c r="A27" t="s">
        <v>1386</v>
      </c>
    </row>
    <row r="29" spans="1:1" x14ac:dyDescent="0.45">
      <c r="A29" t="s">
        <v>1387</v>
      </c>
    </row>
    <row r="30" spans="1:1" x14ac:dyDescent="0.45">
      <c r="A30" t="s">
        <v>1388</v>
      </c>
    </row>
    <row r="31" spans="1:1" x14ac:dyDescent="0.45">
      <c r="A31" t="s">
        <v>1389</v>
      </c>
    </row>
    <row r="32" spans="1:1" x14ac:dyDescent="0.45">
      <c r="A32" t="s">
        <v>1390</v>
      </c>
    </row>
    <row r="33" spans="1:1" x14ac:dyDescent="0.45">
      <c r="A33" t="s">
        <v>1391</v>
      </c>
    </row>
    <row r="34" spans="1:1" x14ac:dyDescent="0.45">
      <c r="A34" t="s">
        <v>1392</v>
      </c>
    </row>
    <row r="35" spans="1:1" x14ac:dyDescent="0.45">
      <c r="A35" t="s">
        <v>1393</v>
      </c>
    </row>
    <row r="36" spans="1:1" x14ac:dyDescent="0.45">
      <c r="A36" t="s">
        <v>1394</v>
      </c>
    </row>
    <row r="37" spans="1:1" x14ac:dyDescent="0.45">
      <c r="A37" t="s">
        <v>1395</v>
      </c>
    </row>
    <row r="38" spans="1:1" x14ac:dyDescent="0.45">
      <c r="A38" t="s">
        <v>1396</v>
      </c>
    </row>
    <row r="39" spans="1:1" x14ac:dyDescent="0.45">
      <c r="A39" t="s">
        <v>1397</v>
      </c>
    </row>
    <row r="40" spans="1:1" x14ac:dyDescent="0.45">
      <c r="A40" t="s">
        <v>1398</v>
      </c>
    </row>
    <row r="41" spans="1:1" x14ac:dyDescent="0.45">
      <c r="A41" t="s">
        <v>1399</v>
      </c>
    </row>
    <row r="43" spans="1:1" x14ac:dyDescent="0.45">
      <c r="A43" t="s">
        <v>1400</v>
      </c>
    </row>
    <row r="44" spans="1:1" x14ac:dyDescent="0.45">
      <c r="A44" t="s">
        <v>1401</v>
      </c>
    </row>
    <row r="45" spans="1:1" x14ac:dyDescent="0.45">
      <c r="A45" t="s">
        <v>1402</v>
      </c>
    </row>
    <row r="46" spans="1:1" x14ac:dyDescent="0.45">
      <c r="A46" t="s">
        <v>1403</v>
      </c>
    </row>
    <row r="47" spans="1:1" x14ac:dyDescent="0.45">
      <c r="A47" t="s">
        <v>1404</v>
      </c>
    </row>
    <row r="48" spans="1:1" x14ac:dyDescent="0.45">
      <c r="A48" t="s">
        <v>1405</v>
      </c>
    </row>
    <row r="50" spans="1:1" x14ac:dyDescent="0.45">
      <c r="A50" t="s">
        <v>1406</v>
      </c>
    </row>
    <row r="51" spans="1:1" x14ac:dyDescent="0.45">
      <c r="A51" t="s">
        <v>1407</v>
      </c>
    </row>
    <row r="52" spans="1:1" x14ac:dyDescent="0.45">
      <c r="A52" t="s">
        <v>1408</v>
      </c>
    </row>
    <row r="53" spans="1:1" x14ac:dyDescent="0.45">
      <c r="A53" t="s">
        <v>1409</v>
      </c>
    </row>
    <row r="54" spans="1:1" x14ac:dyDescent="0.45">
      <c r="A54" t="s">
        <v>1410</v>
      </c>
    </row>
    <row r="55" spans="1:1" x14ac:dyDescent="0.45">
      <c r="A55" t="s">
        <v>1411</v>
      </c>
    </row>
    <row r="56" spans="1:1" x14ac:dyDescent="0.45">
      <c r="A56" t="s">
        <v>1412</v>
      </c>
    </row>
    <row r="57" spans="1:1" x14ac:dyDescent="0.45">
      <c r="A57" t="s">
        <v>1413</v>
      </c>
    </row>
    <row r="58" spans="1:1" x14ac:dyDescent="0.45">
      <c r="A58" t="s">
        <v>1414</v>
      </c>
    </row>
    <row r="59" spans="1:1" x14ac:dyDescent="0.45">
      <c r="A59" t="s">
        <v>1415</v>
      </c>
    </row>
    <row r="61" spans="1:1" x14ac:dyDescent="0.45">
      <c r="A61" t="s">
        <v>1416</v>
      </c>
    </row>
    <row r="62" spans="1:1" x14ac:dyDescent="0.45">
      <c r="A62" t="s">
        <v>1417</v>
      </c>
    </row>
    <row r="64" spans="1:1" x14ac:dyDescent="0.45">
      <c r="A64" t="s">
        <v>1418</v>
      </c>
    </row>
    <row r="65" spans="1:1" x14ac:dyDescent="0.45">
      <c r="A65" t="s">
        <v>1419</v>
      </c>
    </row>
    <row r="66" spans="1:1" x14ac:dyDescent="0.45">
      <c r="A66" t="s">
        <v>1420</v>
      </c>
    </row>
    <row r="67" spans="1:1" x14ac:dyDescent="0.45">
      <c r="A67" t="s">
        <v>1421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0:Q49"/>
  <sheetViews>
    <sheetView topLeftCell="A3" zoomScale="37" zoomScaleNormal="50" workbookViewId="0">
      <selection activeCell="C49" sqref="C49"/>
    </sheetView>
  </sheetViews>
  <sheetFormatPr defaultRowHeight="14.25" x14ac:dyDescent="0.45"/>
  <cols>
    <col min="1" max="9" width="9.06640625" style="34"/>
    <col min="10" max="10" width="31.46484375" style="34" bestFit="1" customWidth="1"/>
    <col min="11" max="11" width="9.06640625" style="34" customWidth="1"/>
    <col min="12" max="12" width="37.73046875" style="34" customWidth="1"/>
    <col min="13" max="13" width="37.73046875" style="34" bestFit="1" customWidth="1"/>
    <col min="14" max="14" width="23.1328125" style="34" bestFit="1" customWidth="1"/>
    <col min="15" max="15" width="69.265625" style="34" bestFit="1" customWidth="1"/>
    <col min="16" max="16" width="45.33203125" style="34" customWidth="1"/>
    <col min="17" max="17" width="47.19921875" style="34" bestFit="1" customWidth="1"/>
    <col min="18" max="18" width="9.06640625" style="34" customWidth="1"/>
    <col min="19" max="19" width="45.796875" style="34" bestFit="1" customWidth="1"/>
    <col min="20" max="22" width="9.06640625" style="34"/>
    <col min="23" max="24" width="58.33203125" style="34" bestFit="1" customWidth="1"/>
    <col min="25" max="25" width="9.06640625" style="34" customWidth="1"/>
    <col min="26" max="26" width="58.33203125" style="34" bestFit="1" customWidth="1"/>
    <col min="27" max="16384" width="9.06640625" style="34"/>
  </cols>
  <sheetData>
    <row r="10" spans="10:17" ht="28.5" x14ac:dyDescent="0.85">
      <c r="K10" s="37"/>
      <c r="O10" s="37"/>
    </row>
    <row r="12" spans="10:17" ht="28.5" x14ac:dyDescent="0.85">
      <c r="J12" s="38" t="s">
        <v>1468</v>
      </c>
      <c r="M12" s="39" t="s">
        <v>1471</v>
      </c>
      <c r="O12" s="38" t="s">
        <v>1470</v>
      </c>
      <c r="Q12" s="38" t="s">
        <v>1469</v>
      </c>
    </row>
    <row r="13" spans="10:17" ht="28.5" x14ac:dyDescent="0.45">
      <c r="J13" s="40">
        <f>GETPIVOTDATA("Sum of GrossRevenue",KPIs!$A$3)</f>
        <v>929424.88821999985</v>
      </c>
      <c r="M13" s="40">
        <f>GETPIVOTDATA("Sum of GrossProfit",KPIs!$A$3)</f>
        <v>331115.02821999986</v>
      </c>
      <c r="O13" s="41">
        <f>GETPIVOTDATA("OrderID",'Service Level Proxy'!$A$4,"7 Day Lead Time","Yes")</f>
        <v>0.27215189873417722</v>
      </c>
      <c r="Q13" s="40">
        <f>GETPIVOTDATA("Average of GrossRevenue",KPIs!$A$9)</f>
        <v>18224.01741607843</v>
      </c>
    </row>
    <row r="42" spans="15:16" ht="28.5" x14ac:dyDescent="0.45">
      <c r="O42" s="38" t="s">
        <v>1481</v>
      </c>
      <c r="P42" s="38" t="s">
        <v>1482</v>
      </c>
    </row>
    <row r="43" spans="15:16" ht="28.5" x14ac:dyDescent="0.45">
      <c r="O43" s="40">
        <f>GETPIVOTDATA("Sum of ScenarioGrossRevenue",KPIs!$A$9)</f>
        <v>1004031.4083799998</v>
      </c>
      <c r="P43" s="40">
        <f>GETPIVOTDATA("Sum of ScenarioGrossProfit",KPIs!$A$9)</f>
        <v>350677.04126000003</v>
      </c>
    </row>
    <row r="47" spans="15:16" ht="28.5" x14ac:dyDescent="0.85">
      <c r="O47" s="42" t="s">
        <v>1484</v>
      </c>
      <c r="P47" s="43">
        <v>0.1</v>
      </c>
    </row>
    <row r="48" spans="15:16" ht="28.5" x14ac:dyDescent="0.85">
      <c r="O48" s="42" t="s">
        <v>1483</v>
      </c>
      <c r="P48" s="43">
        <v>0.05</v>
      </c>
    </row>
    <row r="49" spans="15:16" ht="28.5" x14ac:dyDescent="0.85">
      <c r="O49" s="42" t="s">
        <v>1485</v>
      </c>
      <c r="P49" s="43">
        <v>0.04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Original Data</vt:lpstr>
      <vt:lpstr>Cohort Analysis</vt:lpstr>
      <vt:lpstr>ABC Analysis</vt:lpstr>
      <vt:lpstr>Sales Productivity</vt:lpstr>
      <vt:lpstr>Service Level Proxy</vt:lpstr>
      <vt:lpstr>Price Compliance</vt:lpstr>
      <vt:lpstr>Revenue By Month</vt:lpstr>
      <vt:lpstr>Profit by R and C</vt:lpstr>
      <vt:lpstr>Top 10 SKUs</vt:lpstr>
      <vt:lpstr>KPIs</vt:lpstr>
      <vt:lpstr>Revenue Share</vt:lpstr>
      <vt:lpstr>Staging Data</vt:lpstr>
      <vt:lpstr>README</vt:lpstr>
      <vt:lpstr>Brief</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2025-09-28T10:49:35Z</dcterms:created>
  <dcterms:modified xsi:type="dcterms:W3CDTF">2026-02-01T16:40:19Z</dcterms:modified>
</cp:coreProperties>
</file>